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46145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46145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46145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46145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46145</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46145</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46145</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46145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46145</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46145</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46145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46145</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13322-2022</t>
        </is>
      </c>
      <c r="B19" s="1" t="n">
        <v>44644</v>
      </c>
      <c r="C19" s="1" t="n">
        <v>46145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46145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46145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46145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46145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46145</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46145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46145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46145</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46145</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46145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46145</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46145</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46145</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46145</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46145</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46145</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46145</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10362-2026</t>
        </is>
      </c>
      <c r="B37" s="1" t="n">
        <v>46076</v>
      </c>
      <c r="C37" s="1" t="n">
        <v>46145</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46145</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46145</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25917-2023</t>
        </is>
      </c>
      <c r="B40" s="1" t="n">
        <v>45085</v>
      </c>
      <c r="C40" s="1" t="n">
        <v>46145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46145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46145</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46145</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46145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46145</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46145</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46145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33355-2024</t>
        </is>
      </c>
      <c r="B48" s="1" t="n">
        <v>45519</v>
      </c>
      <c r="C48" s="1" t="n">
        <v>46145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46145</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v>
      </c>
      <c r="C50" s="1" t="n">
        <v>46145</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46145</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42189-2024</t>
        </is>
      </c>
      <c r="B52" s="1" t="n">
        <v>45562</v>
      </c>
      <c r="C52" s="1" t="n">
        <v>46145</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35969-2025</t>
        </is>
      </c>
      <c r="B53" s="1" t="n">
        <v>45863.40695601852</v>
      </c>
      <c r="C53" s="1" t="n">
        <v>46145</v>
      </c>
      <c r="D53" t="inlineStr">
        <is>
          <t>VÄSTERBOTTENS LÄN</t>
        </is>
      </c>
      <c r="E53" t="inlineStr">
        <is>
          <t>VINDELN</t>
        </is>
      </c>
      <c r="F53" t="inlineStr">
        <is>
          <t>Holmen skog AB</t>
        </is>
      </c>
      <c r="G53" t="n">
        <v>9.6</v>
      </c>
      <c r="H53" t="n">
        <v>2</v>
      </c>
      <c r="I53" t="n">
        <v>4</v>
      </c>
      <c r="J53" t="n">
        <v>13</v>
      </c>
      <c r="K53" t="n">
        <v>4</v>
      </c>
      <c r="L53" t="n">
        <v>0</v>
      </c>
      <c r="M53" t="n">
        <v>0</v>
      </c>
      <c r="N53" t="n">
        <v>0</v>
      </c>
      <c r="O53" t="n">
        <v>17</v>
      </c>
      <c r="P53" t="n">
        <v>4</v>
      </c>
      <c r="Q53" t="n">
        <v>21</v>
      </c>
      <c r="R53"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53">
        <f>HYPERLINK("https://klasma.github.io/Logging_2404/artfynd/A 35969-2025 artfynd.xlsx", "A 35969-2025")</f>
        <v/>
      </c>
      <c r="T53">
        <f>HYPERLINK("https://klasma.github.io/Logging_2404/kartor/A 35969-2025 karta.png", "A 35969-2025")</f>
        <v/>
      </c>
      <c r="V53">
        <f>HYPERLINK("https://klasma.github.io/Logging_2404/klagomål/A 35969-2025 FSC-klagomål.docx", "A 35969-2025")</f>
        <v/>
      </c>
      <c r="W53">
        <f>HYPERLINK("https://klasma.github.io/Logging_2404/klagomålsmail/A 35969-2025 FSC-klagomål mail.docx", "A 35969-2025")</f>
        <v/>
      </c>
      <c r="X53">
        <f>HYPERLINK("https://klasma.github.io/Logging_2404/tillsyn/A 35969-2025 tillsynsbegäran.docx", "A 35969-2025")</f>
        <v/>
      </c>
      <c r="Y53">
        <f>HYPERLINK("https://klasma.github.io/Logging_2404/tillsynsmail/A 35969-2025 tillsynsbegäran mail.docx", "A 35969-2025")</f>
        <v/>
      </c>
      <c r="Z53">
        <f>HYPERLINK("https://klasma.github.io/Logging_2404/fåglar/A 35969-2025 prioriterade fågelarter.docx", "A 35969-2025")</f>
        <v/>
      </c>
    </row>
    <row r="54" ht="15" customHeight="1">
      <c r="A54" t="inlineStr">
        <is>
          <t>A 29360-2021</t>
        </is>
      </c>
      <c r="B54" s="1" t="n">
        <v>44361</v>
      </c>
      <c r="C54" s="1" t="n">
        <v>46145</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46145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14895-2026</t>
        </is>
      </c>
      <c r="B56" s="1" t="n">
        <v>46104</v>
      </c>
      <c r="C56" s="1" t="n">
        <v>46145</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46145</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46145</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46145</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46145</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v>
      </c>
      <c r="C61" s="1" t="n">
        <v>46145</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46145</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46145</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41223-2024</t>
        </is>
      </c>
      <c r="B64" s="1" t="n">
        <v>45559</v>
      </c>
      <c r="C64" s="1" t="n">
        <v>46145</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46145</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50909-2022</t>
        </is>
      </c>
      <c r="B66" s="1" t="n">
        <v>44865</v>
      </c>
      <c r="C66" s="1" t="n">
        <v>46145</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24409-2021</t>
        </is>
      </c>
      <c r="B67" s="1" t="n">
        <v>44337</v>
      </c>
      <c r="C67" s="1" t="n">
        <v>46145</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42064-2024</t>
        </is>
      </c>
      <c r="B68" s="1" t="n">
        <v>45561</v>
      </c>
      <c r="C68" s="1" t="n">
        <v>46145</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46145</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46145</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46776-2024</t>
        </is>
      </c>
      <c r="B71" s="1" t="n">
        <v>45583</v>
      </c>
      <c r="C71" s="1" t="n">
        <v>46145</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9048-2023</t>
        </is>
      </c>
      <c r="B72" s="1" t="n">
        <v>44972</v>
      </c>
      <c r="C72" s="1" t="n">
        <v>46145</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46145</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19109-2022</t>
        </is>
      </c>
      <c r="B74" s="1" t="n">
        <v>44691</v>
      </c>
      <c r="C74" s="1" t="n">
        <v>46145</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20904-2026</t>
        </is>
      </c>
      <c r="B75" s="1" t="n">
        <v>46142.46131944445</v>
      </c>
      <c r="C75" s="1" t="n">
        <v>46145</v>
      </c>
      <c r="D75" t="inlineStr">
        <is>
          <t>VÄSTERBOTTENS LÄN</t>
        </is>
      </c>
      <c r="E75" t="inlineStr">
        <is>
          <t>VILHELMINA</t>
        </is>
      </c>
      <c r="G75" t="n">
        <v>14.6</v>
      </c>
      <c r="H75" t="n">
        <v>6</v>
      </c>
      <c r="I75" t="n">
        <v>8</v>
      </c>
      <c r="J75" t="n">
        <v>8</v>
      </c>
      <c r="K75" t="n">
        <v>1</v>
      </c>
      <c r="L75" t="n">
        <v>0</v>
      </c>
      <c r="M75" t="n">
        <v>0</v>
      </c>
      <c r="N75" t="n">
        <v>0</v>
      </c>
      <c r="O75" t="n">
        <v>9</v>
      </c>
      <c r="P75" t="n">
        <v>1</v>
      </c>
      <c r="Q75" t="n">
        <v>18</v>
      </c>
      <c r="R75" s="2" t="inlineStr">
        <is>
          <t>Grantickeporing
Garnlav
Granticka
Lappmes
Lunglav
Skrovellav
Tretåig hackspett
Ullticka
Violettgrå tagellav
Bårdlav
Korallrot
Luddlav
Plattlummer
Skinnlav
Spindelblomster
Stuplav
Trådticka
Lavskrika</t>
        </is>
      </c>
      <c r="S75">
        <f>HYPERLINK("https://klasma.github.io/Logging_2462/artfynd/A 20904-2026 artfynd.xlsx", "A 20904-2026")</f>
        <v/>
      </c>
      <c r="T75">
        <f>HYPERLINK("https://klasma.github.io/Logging_2462/kartor/A 20904-2026 karta.png", "A 20904-2026")</f>
        <v/>
      </c>
      <c r="V75">
        <f>HYPERLINK("https://klasma.github.io/Logging_2462/klagomål/A 20904-2026 FSC-klagomål.docx", "A 20904-2026")</f>
        <v/>
      </c>
      <c r="W75">
        <f>HYPERLINK("https://klasma.github.io/Logging_2462/klagomålsmail/A 20904-2026 FSC-klagomål mail.docx", "A 20904-2026")</f>
        <v/>
      </c>
      <c r="X75">
        <f>HYPERLINK("https://klasma.github.io/Logging_2462/tillsyn/A 20904-2026 tillsynsbegäran.docx", "A 20904-2026")</f>
        <v/>
      </c>
      <c r="Y75">
        <f>HYPERLINK("https://klasma.github.io/Logging_2462/tillsynsmail/A 20904-2026 tillsynsbegäran mail.docx", "A 20904-2026")</f>
        <v/>
      </c>
      <c r="Z75">
        <f>HYPERLINK("https://klasma.github.io/Logging_2462/fåglar/A 20904-2026 prioriterade fågelarter.docx", "A 20904-2026")</f>
        <v/>
      </c>
    </row>
    <row r="76" ht="15" customHeight="1">
      <c r="A76" t="inlineStr">
        <is>
          <t>A 9057-2023</t>
        </is>
      </c>
      <c r="B76" s="1" t="n">
        <v>44972</v>
      </c>
      <c r="C76" s="1" t="n">
        <v>46145</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46145</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64501-2023</t>
        </is>
      </c>
      <c r="B78" s="1" t="n">
        <v>45280</v>
      </c>
      <c r="C78" s="1" t="n">
        <v>46145</v>
      </c>
      <c r="D78" t="inlineStr">
        <is>
          <t>VÄSTERBOTTENS LÄN</t>
        </is>
      </c>
      <c r="E78" t="inlineStr">
        <is>
          <t>BJURHOLM</t>
        </is>
      </c>
      <c r="F78" t="inlineStr">
        <is>
          <t>SCA</t>
        </is>
      </c>
      <c r="G78" t="n">
        <v>4.4</v>
      </c>
      <c r="H78" t="n">
        <v>5</v>
      </c>
      <c r="I78" t="n">
        <v>8</v>
      </c>
      <c r="J78" t="n">
        <v>8</v>
      </c>
      <c r="K78" t="n">
        <v>0</v>
      </c>
      <c r="L78" t="n">
        <v>0</v>
      </c>
      <c r="M78" t="n">
        <v>0</v>
      </c>
      <c r="N78" t="n">
        <v>0</v>
      </c>
      <c r="O78" t="n">
        <v>8</v>
      </c>
      <c r="P78" t="n">
        <v>0</v>
      </c>
      <c r="Q78" t="n">
        <v>18</v>
      </c>
      <c r="R78" s="2" t="inlineStr">
        <is>
          <t>Dvärgbägarlav
Garnlav
Mörk kolflarnlav
Talltita
Tretåig hackspett
Ullticka
Vedskivlav
Vitgrynig nållav
Björksplintborre
Bårdlav
Kornig nållav
Norrlandslav
Skinnlav
Spindelblomster
Stuplav
Vedticka
Kungsfågel
Revlummer</t>
        </is>
      </c>
      <c r="S78">
        <f>HYPERLINK("https://klasma.github.io/Logging_2403/artfynd/A 64501-2023 artfynd.xlsx", "A 64501-2023")</f>
        <v/>
      </c>
      <c r="T78">
        <f>HYPERLINK("https://klasma.github.io/Logging_2403/kartor/A 64501-2023 karta.png", "A 64501-2023")</f>
        <v/>
      </c>
      <c r="U78">
        <f>HYPERLINK("https://klasma.github.io/Logging_2403/knärot/A 64501-2023 karta knärot.png", "A 64501-2023")</f>
        <v/>
      </c>
      <c r="V78">
        <f>HYPERLINK("https://klasma.github.io/Logging_2403/klagomål/A 64501-2023 FSC-klagomål.docx", "A 64501-2023")</f>
        <v/>
      </c>
      <c r="W78">
        <f>HYPERLINK("https://klasma.github.io/Logging_2403/klagomålsmail/A 64501-2023 FSC-klagomål mail.docx", "A 64501-2023")</f>
        <v/>
      </c>
      <c r="X78">
        <f>HYPERLINK("https://klasma.github.io/Logging_2403/tillsyn/A 64501-2023 tillsynsbegäran.docx", "A 64501-2023")</f>
        <v/>
      </c>
      <c r="Y78">
        <f>HYPERLINK("https://klasma.github.io/Logging_2403/tillsynsmail/A 64501-2023 tillsynsbegäran mail.docx", "A 64501-2023")</f>
        <v/>
      </c>
      <c r="Z78">
        <f>HYPERLINK("https://klasma.github.io/Logging_2403/fåglar/A 64501-2023 prioriterade fågelarter.docx", "A 64501-2023")</f>
        <v/>
      </c>
    </row>
    <row r="79" ht="15" customHeight="1">
      <c r="A79" t="inlineStr">
        <is>
          <t>A 22179-2022</t>
        </is>
      </c>
      <c r="B79" s="1" t="n">
        <v>44712</v>
      </c>
      <c r="C79" s="1" t="n">
        <v>46145</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46145</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46145</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46145</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46145</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46145</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46145</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46145</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9827-2025</t>
        </is>
      </c>
      <c r="B87" s="1" t="n">
        <v>45716</v>
      </c>
      <c r="C87" s="1" t="n">
        <v>46145</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46145</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46145</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59489-2025</t>
        </is>
      </c>
      <c r="B90" s="1" t="n">
        <v>45989</v>
      </c>
      <c r="C90" s="1" t="n">
        <v>46145</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46145</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46145</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46145</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30467-2025</t>
        </is>
      </c>
      <c r="B94" s="1" t="n">
        <v>45827</v>
      </c>
      <c r="C94" s="1" t="n">
        <v>46145</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46145</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46145</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28796-2024</t>
        </is>
      </c>
      <c r="B97" s="1" t="n">
        <v>45478</v>
      </c>
      <c r="C97" s="1" t="n">
        <v>46145</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46145</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36807-2025</t>
        </is>
      </c>
      <c r="B99" s="1" t="n">
        <v>45873.70951388889</v>
      </c>
      <c r="C99" s="1" t="n">
        <v>46145</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agg.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43267-2021</t>
        </is>
      </c>
      <c r="B100" s="1" t="n">
        <v>44432</v>
      </c>
      <c r="C100" s="1" t="n">
        <v>46145</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46145</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46145</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46145</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46145</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46145</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46145</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24579-2025</t>
        </is>
      </c>
      <c r="B107" s="1" t="n">
        <v>45798</v>
      </c>
      <c r="C107" s="1" t="n">
        <v>46145</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39786-2025</t>
        </is>
      </c>
      <c r="B108" s="1" t="n">
        <v>45891</v>
      </c>
      <c r="C108" s="1" t="n">
        <v>46145</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27557-2025</t>
        </is>
      </c>
      <c r="B109" s="1" t="n">
        <v>45813</v>
      </c>
      <c r="C109" s="1" t="n">
        <v>46145</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46145</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46145</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46145</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46145</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3140-2023</t>
        </is>
      </c>
      <c r="B114" s="1" t="n">
        <v>44945</v>
      </c>
      <c r="C114" s="1" t="n">
        <v>46145</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18574-2025</t>
        </is>
      </c>
      <c r="B115" s="1" t="n">
        <v>45763</v>
      </c>
      <c r="C115" s="1" t="n">
        <v>46145</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56645-2024</t>
        </is>
      </c>
      <c r="B116" s="1" t="n">
        <v>45625</v>
      </c>
      <c r="C116" s="1" t="n">
        <v>46145</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46145</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61033-2023</t>
        </is>
      </c>
      <c r="B118" s="1" t="n">
        <v>45261</v>
      </c>
      <c r="C118" s="1" t="n">
        <v>46145</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32724-2025</t>
        </is>
      </c>
      <c r="B119" s="1" t="n">
        <v>45839.39023148148</v>
      </c>
      <c r="C119" s="1" t="n">
        <v>46145</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agg.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42138-2021</t>
        </is>
      </c>
      <c r="B120" s="1" t="n">
        <v>44426</v>
      </c>
      <c r="C120" s="1" t="n">
        <v>46145</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46145</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46145</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37406-2025</t>
        </is>
      </c>
      <c r="B123" s="1" t="n">
        <v>45877.46135416667</v>
      </c>
      <c r="C123" s="1" t="n">
        <v>46145</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53141-2024</t>
        </is>
      </c>
      <c r="B124" s="1" t="n">
        <v>45611.60192129629</v>
      </c>
      <c r="C124" s="1" t="n">
        <v>46145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46145</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46145</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44016-2025</t>
        </is>
      </c>
      <c r="B127" s="1" t="n">
        <v>45915</v>
      </c>
      <c r="C127" s="1" t="n">
        <v>46145</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19934-2023</t>
        </is>
      </c>
      <c r="B128" s="1" t="n">
        <v>45051</v>
      </c>
      <c r="C128" s="1" t="n">
        <v>46145</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15051-2024</t>
        </is>
      </c>
      <c r="B129" s="1" t="n">
        <v>45399</v>
      </c>
      <c r="C129" s="1" t="n">
        <v>46145</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58496-2024</t>
        </is>
      </c>
      <c r="B130" s="1" t="n">
        <v>45635</v>
      </c>
      <c r="C130" s="1" t="n">
        <v>46145</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22575-2024</t>
        </is>
      </c>
      <c r="B131" s="1" t="n">
        <v>45447</v>
      </c>
      <c r="C131" s="1" t="n">
        <v>46145</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24414-2024</t>
        </is>
      </c>
      <c r="B132" s="1" t="n">
        <v>45457</v>
      </c>
      <c r="C132" s="1" t="n">
        <v>46145</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58596-2022</t>
        </is>
      </c>
      <c r="B133" s="1" t="n">
        <v>44902</v>
      </c>
      <c r="C133" s="1" t="n">
        <v>46145</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46145</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24173-2025</t>
        </is>
      </c>
      <c r="B135" s="1" t="n">
        <v>45796</v>
      </c>
      <c r="C135" s="1" t="n">
        <v>46145</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25257-2025</t>
        </is>
      </c>
      <c r="B136" s="1" t="n">
        <v>45800</v>
      </c>
      <c r="C136" s="1" t="n">
        <v>46145</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50813-2023</t>
        </is>
      </c>
      <c r="B137" s="1" t="n">
        <v>45217</v>
      </c>
      <c r="C137" s="1" t="n">
        <v>46145</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50983-2024</t>
        </is>
      </c>
      <c r="B138" s="1" t="n">
        <v>45603</v>
      </c>
      <c r="C138" s="1" t="n">
        <v>46145</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14021-2026</t>
        </is>
      </c>
      <c r="B139" s="1" t="n">
        <v>46098.70232638889</v>
      </c>
      <c r="C139" s="1" t="n">
        <v>46145</v>
      </c>
      <c r="D139" t="inlineStr">
        <is>
          <t>VÄSTERBOTTENS LÄN</t>
        </is>
      </c>
      <c r="E139" t="inlineStr">
        <is>
          <t>NORDMALING</t>
        </is>
      </c>
      <c r="G139" t="n">
        <v>7.8</v>
      </c>
      <c r="H139" t="n">
        <v>4</v>
      </c>
      <c r="I139" t="n">
        <v>4</v>
      </c>
      <c r="J139" t="n">
        <v>6</v>
      </c>
      <c r="K139" t="n">
        <v>2</v>
      </c>
      <c r="L139" t="n">
        <v>0</v>
      </c>
      <c r="M139" t="n">
        <v>0</v>
      </c>
      <c r="N139" t="n">
        <v>0</v>
      </c>
      <c r="O139" t="n">
        <v>8</v>
      </c>
      <c r="P139" t="n">
        <v>2</v>
      </c>
      <c r="Q139" t="n">
        <v>13</v>
      </c>
      <c r="R139" s="2" t="inlineStr">
        <is>
          <t>Knärot
Rynkskinn
Garnlav
Granticka
Harticka
Spillkråka
Talltita
Ullticka
Mörk husmossa
Skinnlav
Trådticka
Vedticka
Tjäder</t>
        </is>
      </c>
      <c r="S139">
        <f>HYPERLINK("https://klasma.github.io/Logging_2401/artfynd/A 14021-2026 artfynd.xlsx", "A 14021-2026")</f>
        <v/>
      </c>
      <c r="T139">
        <f>HYPERLINK("https://klasma.github.io/Logging_2401/kartor/A 14021-2026 karta.png", "A 14021-2026")</f>
        <v/>
      </c>
      <c r="U139">
        <f>HYPERLINK("https://klasma.github.io/Logging_2401/knärot/A 14021-2026 karta knärot.png", "A 14021-2026")</f>
        <v/>
      </c>
      <c r="V139">
        <f>HYPERLINK("https://klasma.github.io/Logging_2401/klagomål/A 14021-2026 FSC-klagomål.docx", "A 14021-2026")</f>
        <v/>
      </c>
      <c r="W139">
        <f>HYPERLINK("https://klasma.github.io/Logging_2401/klagomålsmail/A 14021-2026 FSC-klagomål mail.docx", "A 14021-2026")</f>
        <v/>
      </c>
      <c r="X139">
        <f>HYPERLINK("https://klasma.github.io/Logging_2401/tillsyn/A 14021-2026 tillsynsbegäran.docx", "A 14021-2026")</f>
        <v/>
      </c>
      <c r="Y139">
        <f>HYPERLINK("https://klasma.github.io/Logging_2401/tillsynsmail/A 14021-2026 tillsynsbegäran mail.docx", "A 14021-2026")</f>
        <v/>
      </c>
      <c r="Z139">
        <f>HYPERLINK("https://klasma.github.io/Logging_2401/fåglar/A 14021-2026 prioriterade fågelarter.docx", "A 14021-2026")</f>
        <v/>
      </c>
    </row>
    <row r="140" ht="15" customHeight="1">
      <c r="A140" t="inlineStr">
        <is>
          <t>A 35963-2025</t>
        </is>
      </c>
      <c r="B140" s="1" t="n">
        <v>45863.37907407407</v>
      </c>
      <c r="C140" s="1" t="n">
        <v>46145</v>
      </c>
      <c r="D140" t="inlineStr">
        <is>
          <t>VÄSTERBOTTENS LÄN</t>
        </is>
      </c>
      <c r="E140" t="inlineStr">
        <is>
          <t>VINDELN</t>
        </is>
      </c>
      <c r="F140" t="inlineStr">
        <is>
          <t>Holmen skog AB</t>
        </is>
      </c>
      <c r="G140" t="n">
        <v>13.4</v>
      </c>
      <c r="H140" t="n">
        <v>2</v>
      </c>
      <c r="I140" t="n">
        <v>3</v>
      </c>
      <c r="J140" t="n">
        <v>9</v>
      </c>
      <c r="K140" t="n">
        <v>1</v>
      </c>
      <c r="L140" t="n">
        <v>0</v>
      </c>
      <c r="M140" t="n">
        <v>0</v>
      </c>
      <c r="N140" t="n">
        <v>0</v>
      </c>
      <c r="O140" t="n">
        <v>10</v>
      </c>
      <c r="P140" t="n">
        <v>1</v>
      </c>
      <c r="Q140" t="n">
        <v>13</v>
      </c>
      <c r="R140" s="2" t="inlineStr">
        <is>
          <t>Smalfotad taggsvamp
Garnlav
Granticka
Kolflarnlav
Mörk kolflarnlav
Oljetagging
Talltita
Tretåig hackspett
Vedskivlav
Violettgrå tagellav
Dropptaggsvamp
Skarp dropptaggsvamp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62266-2021</t>
        </is>
      </c>
      <c r="B141" s="1" t="n">
        <v>44503.35390046296</v>
      </c>
      <c r="C141" s="1" t="n">
        <v>46145</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46145</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46145</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46145</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38930-2025</t>
        </is>
      </c>
      <c r="B145" s="1" t="n">
        <v>45887</v>
      </c>
      <c r="C145" s="1" t="n">
        <v>46145</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40113-2023</t>
        </is>
      </c>
      <c r="B146" s="1" t="n">
        <v>45168</v>
      </c>
      <c r="C146" s="1" t="n">
        <v>46145</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46145</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46145</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46145</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2991-2026</t>
        </is>
      </c>
      <c r="B150" s="1" t="n">
        <v>46038</v>
      </c>
      <c r="C150" s="1" t="n">
        <v>46145</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46145</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55308-2024</t>
        </is>
      </c>
      <c r="B152" s="1" t="n">
        <v>45621.65283564815</v>
      </c>
      <c r="C152" s="1" t="n">
        <v>46145</v>
      </c>
      <c r="D152" t="inlineStr">
        <is>
          <t>VÄSTERBOTTENS LÄN</t>
        </is>
      </c>
      <c r="E152" t="inlineStr">
        <is>
          <t>LYCKSELE</t>
        </is>
      </c>
      <c r="F152" t="inlineStr">
        <is>
          <t>Sveaskog</t>
        </is>
      </c>
      <c r="G152" t="n">
        <v>6.3</v>
      </c>
      <c r="H152" t="n">
        <v>1</v>
      </c>
      <c r="I152" t="n">
        <v>0</v>
      </c>
      <c r="J152" t="n">
        <v>11</v>
      </c>
      <c r="K152" t="n">
        <v>1</v>
      </c>
      <c r="L152" t="n">
        <v>0</v>
      </c>
      <c r="M152" t="n">
        <v>0</v>
      </c>
      <c r="N152" t="n">
        <v>0</v>
      </c>
      <c r="O152" t="n">
        <v>12</v>
      </c>
      <c r="P152" t="n">
        <v>1</v>
      </c>
      <c r="Q152" t="n">
        <v>12</v>
      </c>
      <c r="R152" s="2" t="inlineStr">
        <is>
          <t>Rynkskinn
Brunpudrad nållav
Gammelgransskål
Garnlav
Granticka
Gultoppig fingersvamp
Motaggsvamp
Spillkråka
Stjärntagging
Ullticka
Vedskivlav
Violmussling</t>
        </is>
      </c>
      <c r="S152">
        <f>HYPERLINK("https://klasma.github.io/Logging_2481/artfynd/A 55308-2024 artfynd.xlsx", "A 55308-2024")</f>
        <v/>
      </c>
      <c r="T152">
        <f>HYPERLINK("https://klasma.github.io/Logging_2481/kartor/A 55308-2024 karta.png", "A 55308-2024")</f>
        <v/>
      </c>
      <c r="V152">
        <f>HYPERLINK("https://klasma.github.io/Logging_2481/klagomål/A 55308-2024 FSC-klagomål.docx", "A 55308-2024")</f>
        <v/>
      </c>
      <c r="W152">
        <f>HYPERLINK("https://klasma.github.io/Logging_2481/klagomålsmail/A 55308-2024 FSC-klagomål mail.docx", "A 55308-2024")</f>
        <v/>
      </c>
      <c r="X152">
        <f>HYPERLINK("https://klasma.github.io/Logging_2481/tillsyn/A 55308-2024 tillsynsbegäran.docx", "A 55308-2024")</f>
        <v/>
      </c>
      <c r="Y152">
        <f>HYPERLINK("https://klasma.github.io/Logging_2481/tillsynsmail/A 55308-2024 tillsynsbegäran mail.docx", "A 55308-2024")</f>
        <v/>
      </c>
      <c r="Z152">
        <f>HYPERLINK("https://klasma.github.io/Logging_2481/fåglar/A 55308-2024 prioriterade fågelarter.docx", "A 55308-2024")</f>
        <v/>
      </c>
    </row>
    <row r="153" ht="15" customHeight="1">
      <c r="A153" t="inlineStr">
        <is>
          <t>A 63685-2025</t>
        </is>
      </c>
      <c r="B153" s="1" t="n">
        <v>46014.52336805555</v>
      </c>
      <c r="C153" s="1" t="n">
        <v>46145</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46145</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14646-2025</t>
        </is>
      </c>
      <c r="B155" s="1" t="n">
        <v>45742</v>
      </c>
      <c r="C155" s="1" t="n">
        <v>46145</v>
      </c>
      <c r="D155" t="inlineStr">
        <is>
          <t>VÄSTERBOTTENS LÄN</t>
        </is>
      </c>
      <c r="E155" t="inlineStr">
        <is>
          <t>BJURHOLM</t>
        </is>
      </c>
      <c r="G155" t="n">
        <v>14.8</v>
      </c>
      <c r="H155" t="n">
        <v>5</v>
      </c>
      <c r="I155" t="n">
        <v>2</v>
      </c>
      <c r="J155" t="n">
        <v>6</v>
      </c>
      <c r="K155" t="n">
        <v>1</v>
      </c>
      <c r="L155" t="n">
        <v>0</v>
      </c>
      <c r="M155" t="n">
        <v>0</v>
      </c>
      <c r="N155" t="n">
        <v>0</v>
      </c>
      <c r="O155" t="n">
        <v>7</v>
      </c>
      <c r="P155" t="n">
        <v>1</v>
      </c>
      <c r="Q155" t="n">
        <v>12</v>
      </c>
      <c r="R155" s="2" t="inlineStr">
        <is>
          <t>Knärot
Garnlav
Granticka
Lunglav
Spillkråka
Ullticka
Violettgrå tagellav
Stuplav
Vedticka
Tjäder
Fläcknycklar
Nattviol</t>
        </is>
      </c>
      <c r="S155">
        <f>HYPERLINK("https://klasma.github.io/Logging_2403/artfynd/A 14646-2025 artfynd.xlsx", "A 14646-2025")</f>
        <v/>
      </c>
      <c r="T155">
        <f>HYPERLINK("https://klasma.github.io/Logging_2403/kartor/A 14646-2025 karta.png", "A 14646-2025")</f>
        <v/>
      </c>
      <c r="U155">
        <f>HYPERLINK("https://klasma.github.io/Logging_2403/knärot/A 14646-2025 karta knärot.png", "A 14646-2025")</f>
        <v/>
      </c>
      <c r="V155">
        <f>HYPERLINK("https://klasma.github.io/Logging_2403/klagomål/A 14646-2025 FSC-klagomål.docx", "A 14646-2025")</f>
        <v/>
      </c>
      <c r="W155">
        <f>HYPERLINK("https://klasma.github.io/Logging_2403/klagomålsmail/A 14646-2025 FSC-klagomål mail.docx", "A 14646-2025")</f>
        <v/>
      </c>
      <c r="X155">
        <f>HYPERLINK("https://klasma.github.io/Logging_2403/tillsyn/A 14646-2025 tillsynsbegäran.docx", "A 14646-2025")</f>
        <v/>
      </c>
      <c r="Y155">
        <f>HYPERLINK("https://klasma.github.io/Logging_2403/tillsynsmail/A 14646-2025 tillsynsbegäran mail.docx", "A 14646-2025")</f>
        <v/>
      </c>
      <c r="Z155">
        <f>HYPERLINK("https://klasma.github.io/Logging_2403/fåglar/A 14646-2025 prioriterade fågelarter.docx", "A 14646-2025")</f>
        <v/>
      </c>
    </row>
    <row r="156" ht="15" customHeight="1">
      <c r="A156" t="inlineStr">
        <is>
          <t>A 65389-2021</t>
        </is>
      </c>
      <c r="B156" s="1" t="n">
        <v>44515</v>
      </c>
      <c r="C156" s="1" t="n">
        <v>46145</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46145</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46145</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20608-2023</t>
        </is>
      </c>
      <c r="B159" s="1" t="n">
        <v>45057</v>
      </c>
      <c r="C159" s="1" t="n">
        <v>46145</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40718-2025</t>
        </is>
      </c>
      <c r="B160" s="1" t="n">
        <v>45897.34474537037</v>
      </c>
      <c r="C160" s="1" t="n">
        <v>46145</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46145</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29392-2021</t>
        </is>
      </c>
      <c r="B162" s="1" t="n">
        <v>44361</v>
      </c>
      <c r="C162" s="1" t="n">
        <v>46145</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46145</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46145</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1339-2025</t>
        </is>
      </c>
      <c r="B165" s="1" t="n">
        <v>45667</v>
      </c>
      <c r="C165" s="1" t="n">
        <v>46145</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42025-2024</t>
        </is>
      </c>
      <c r="B166" s="1" t="n">
        <v>45561.72197916666</v>
      </c>
      <c r="C166" s="1" t="n">
        <v>46145</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agg.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46145</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9904-2026</t>
        </is>
      </c>
      <c r="B168" s="1" t="n">
        <v>46073.40673611111</v>
      </c>
      <c r="C168" s="1" t="n">
        <v>46145</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7762-2024</t>
        </is>
      </c>
      <c r="B169" s="1" t="n">
        <v>45349</v>
      </c>
      <c r="C169" s="1" t="n">
        <v>46145</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13699-2026</t>
        </is>
      </c>
      <c r="B170" s="1" t="n">
        <v>46097</v>
      </c>
      <c r="C170" s="1" t="n">
        <v>46145</v>
      </c>
      <c r="D170" t="inlineStr">
        <is>
          <t>VÄSTERBOTTENS LÄN</t>
        </is>
      </c>
      <c r="E170" t="inlineStr">
        <is>
          <t>VILHELMINA</t>
        </is>
      </c>
      <c r="G170" t="n">
        <v>6.5</v>
      </c>
      <c r="H170" t="n">
        <v>2</v>
      </c>
      <c r="I170" t="n">
        <v>2</v>
      </c>
      <c r="J170" t="n">
        <v>7</v>
      </c>
      <c r="K170" t="n">
        <v>2</v>
      </c>
      <c r="L170" t="n">
        <v>0</v>
      </c>
      <c r="M170" t="n">
        <v>0</v>
      </c>
      <c r="N170" t="n">
        <v>0</v>
      </c>
      <c r="O170" t="n">
        <v>9</v>
      </c>
      <c r="P170" t="n">
        <v>2</v>
      </c>
      <c r="Q170" t="n">
        <v>11</v>
      </c>
      <c r="R170" s="2" t="inlineStr">
        <is>
          <t>Rynkskinn
Ulltickeporing
Doftskinn
Garnlav
Granticka
Rosenticka
Talltita
Tretåig hackspett
Ullticka
Blodticka
Trådticka</t>
        </is>
      </c>
      <c r="S170">
        <f>HYPERLINK("https://klasma.github.io/Logging_2462/artfynd/A 13699-2026 artfynd.xlsx", "A 13699-2026")</f>
        <v/>
      </c>
      <c r="T170">
        <f>HYPERLINK("https://klasma.github.io/Logging_2462/kartor/A 13699-2026 karta.png", "A 13699-2026")</f>
        <v/>
      </c>
      <c r="V170">
        <f>HYPERLINK("https://klasma.github.io/Logging_2462/klagomål/A 13699-2026 FSC-klagomål.docx", "A 13699-2026")</f>
        <v/>
      </c>
      <c r="W170">
        <f>HYPERLINK("https://klasma.github.io/Logging_2462/klagomålsmail/A 13699-2026 FSC-klagomål mail.docx", "A 13699-2026")</f>
        <v/>
      </c>
      <c r="X170">
        <f>HYPERLINK("https://klasma.github.io/Logging_2462/tillsyn/A 13699-2026 tillsynsbegäran.docx", "A 13699-2026")</f>
        <v/>
      </c>
      <c r="Y170">
        <f>HYPERLINK("https://klasma.github.io/Logging_2462/tillsynsmail/A 13699-2026 tillsynsbegäran mail.docx", "A 13699-2026")</f>
        <v/>
      </c>
      <c r="Z170">
        <f>HYPERLINK("https://klasma.github.io/Logging_2462/fåglar/A 13699-2026 prioriterade fågelarter.docx", "A 13699-2026")</f>
        <v/>
      </c>
    </row>
    <row r="171" ht="15" customHeight="1">
      <c r="A171" t="inlineStr">
        <is>
          <t>A 14963-2022</t>
        </is>
      </c>
      <c r="B171" s="1" t="n">
        <v>44657</v>
      </c>
      <c r="C171" s="1" t="n">
        <v>46145</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48749-2025</t>
        </is>
      </c>
      <c r="B172" s="1" t="n">
        <v>45936.67924768518</v>
      </c>
      <c r="C172" s="1" t="n">
        <v>46145</v>
      </c>
      <c r="D172" t="inlineStr">
        <is>
          <t>VÄSTERBOTTENS LÄN</t>
        </is>
      </c>
      <c r="E172" t="inlineStr">
        <is>
          <t>ROBERTSFORS</t>
        </is>
      </c>
      <c r="G172" t="n">
        <v>24.4</v>
      </c>
      <c r="H172" t="n">
        <v>3</v>
      </c>
      <c r="I172" t="n">
        <v>1</v>
      </c>
      <c r="J172" t="n">
        <v>8</v>
      </c>
      <c r="K172" t="n">
        <v>2</v>
      </c>
      <c r="L172" t="n">
        <v>0</v>
      </c>
      <c r="M172" t="n">
        <v>0</v>
      </c>
      <c r="N172" t="n">
        <v>0</v>
      </c>
      <c r="O172" t="n">
        <v>10</v>
      </c>
      <c r="P172" t="n">
        <v>2</v>
      </c>
      <c r="Q172" t="n">
        <v>11</v>
      </c>
      <c r="R172" s="2" t="inlineStr">
        <is>
          <t>Knärot
Ostticka
Gammelgransskål
Garnlav
Granticka
Rosenticka
Spillkråka
Stjärntagging
Tretåig hackspett
Ullticka
Vedticka</t>
        </is>
      </c>
      <c r="S172">
        <f>HYPERLINK("https://klasma.github.io/Logging_2409/artfynd/A 48749-2025 artfynd.xlsx", "A 48749-2025")</f>
        <v/>
      </c>
      <c r="T172">
        <f>HYPERLINK("https://klasma.github.io/Logging_2409/kartor/A 48749-2025 karta.png", "A 48749-2025")</f>
        <v/>
      </c>
      <c r="U172">
        <f>HYPERLINK("https://klasma.github.io/Logging_2409/knärot/A 48749-2025 karta knärot.png", "A 48749-2025")</f>
        <v/>
      </c>
      <c r="V172">
        <f>HYPERLINK("https://klasma.github.io/Logging_2409/klagomål/A 48749-2025 FSC-klagomål.docx", "A 48749-2025")</f>
        <v/>
      </c>
      <c r="W172">
        <f>HYPERLINK("https://klasma.github.io/Logging_2409/klagomålsmail/A 48749-2025 FSC-klagomål mail.docx", "A 48749-2025")</f>
        <v/>
      </c>
      <c r="X172">
        <f>HYPERLINK("https://klasma.github.io/Logging_2409/tillsyn/A 48749-2025 tillsynsbegäran.docx", "A 48749-2025")</f>
        <v/>
      </c>
      <c r="Y172">
        <f>HYPERLINK("https://klasma.github.io/Logging_2409/tillsynsmail/A 48749-2025 tillsynsbegäran mail.docx", "A 48749-2025")</f>
        <v/>
      </c>
      <c r="Z172">
        <f>HYPERLINK("https://klasma.github.io/Logging_2409/fåglar/A 48749-2025 prioriterade fågelarter.docx", "A 48749-2025")</f>
        <v/>
      </c>
    </row>
    <row r="173" ht="15" customHeight="1">
      <c r="A173" t="inlineStr">
        <is>
          <t>A 57232-2025</t>
        </is>
      </c>
      <c r="B173" s="1" t="n">
        <v>45979.62033564815</v>
      </c>
      <c r="C173" s="1" t="n">
        <v>46145</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15343-2023</t>
        </is>
      </c>
      <c r="B174" s="1" t="n">
        <v>45016</v>
      </c>
      <c r="C174" s="1" t="n">
        <v>46145</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12578-2026</t>
        </is>
      </c>
      <c r="B175" s="1" t="n">
        <v>46090.67262731482</v>
      </c>
      <c r="C175" s="1" t="n">
        <v>46145</v>
      </c>
      <c r="D175" t="inlineStr">
        <is>
          <t>VÄSTERBOTTENS LÄN</t>
        </is>
      </c>
      <c r="E175" t="inlineStr">
        <is>
          <t>SKELLEFTEÅ</t>
        </is>
      </c>
      <c r="G175" t="n">
        <v>11.3</v>
      </c>
      <c r="H175" t="n">
        <v>3</v>
      </c>
      <c r="I175" t="n">
        <v>3</v>
      </c>
      <c r="J175" t="n">
        <v>7</v>
      </c>
      <c r="K175" t="n">
        <v>1</v>
      </c>
      <c r="L175" t="n">
        <v>0</v>
      </c>
      <c r="M175" t="n">
        <v>0</v>
      </c>
      <c r="N175" t="n">
        <v>0</v>
      </c>
      <c r="O175" t="n">
        <v>8</v>
      </c>
      <c r="P175" t="n">
        <v>1</v>
      </c>
      <c r="Q175" t="n">
        <v>11</v>
      </c>
      <c r="R175" s="2" t="inlineStr">
        <is>
          <t>Knärot
Doftskinn
Garnlav
Gränsticka
Rosenticka
Spillkråka
Tretåig hackspett
Ullticka
Blodticka
Bronshjon
Vedticka</t>
        </is>
      </c>
      <c r="S175">
        <f>HYPERLINK("https://klasma.github.io/Logging_2482/artfynd/A 12578-2026 artfynd.xlsx", "A 12578-2026")</f>
        <v/>
      </c>
      <c r="T175">
        <f>HYPERLINK("https://klasma.github.io/Logging_2482/kartor/A 12578-2026 karta.png", "A 12578-2026")</f>
        <v/>
      </c>
      <c r="U175">
        <f>HYPERLINK("https://klasma.github.io/Logging_2482/knärot/A 12578-2026 karta knärot.png", "A 12578-2026")</f>
        <v/>
      </c>
      <c r="V175">
        <f>HYPERLINK("https://klasma.github.io/Logging_2482/klagomål/A 12578-2026 FSC-klagomål.docx", "A 12578-2026")</f>
        <v/>
      </c>
      <c r="W175">
        <f>HYPERLINK("https://klasma.github.io/Logging_2482/klagomålsmail/A 12578-2026 FSC-klagomål mail.docx", "A 12578-2026")</f>
        <v/>
      </c>
      <c r="X175">
        <f>HYPERLINK("https://klasma.github.io/Logging_2482/tillsyn/A 12578-2026 tillsynsbegäran.docx", "A 12578-2026")</f>
        <v/>
      </c>
      <c r="Y175">
        <f>HYPERLINK("https://klasma.github.io/Logging_2482/tillsynsmail/A 12578-2026 tillsynsbegäran mail.docx", "A 12578-2026")</f>
        <v/>
      </c>
      <c r="Z175">
        <f>HYPERLINK("https://klasma.github.io/Logging_2482/fåglar/A 12578-2026 prioriterade fågelarter.docx", "A 12578-2026")</f>
        <v/>
      </c>
    </row>
    <row r="176" ht="15" customHeight="1">
      <c r="A176" t="inlineStr">
        <is>
          <t>A 49141-2023</t>
        </is>
      </c>
      <c r="B176" s="1" t="n">
        <v>45205</v>
      </c>
      <c r="C176" s="1" t="n">
        <v>46145</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24512-2025</t>
        </is>
      </c>
      <c r="B177" s="1" t="n">
        <v>45798</v>
      </c>
      <c r="C177" s="1" t="n">
        <v>46145</v>
      </c>
      <c r="D177" t="inlineStr">
        <is>
          <t>VÄSTERBOTTENS LÄN</t>
        </is>
      </c>
      <c r="E177" t="inlineStr">
        <is>
          <t>LYCKSELE</t>
        </is>
      </c>
      <c r="F177" t="inlineStr">
        <is>
          <t>Sveaskog</t>
        </is>
      </c>
      <c r="G177" t="n">
        <v>11.1</v>
      </c>
      <c r="H177" t="n">
        <v>5</v>
      </c>
      <c r="I177" t="n">
        <v>5</v>
      </c>
      <c r="J177" t="n">
        <v>4</v>
      </c>
      <c r="K177" t="n">
        <v>1</v>
      </c>
      <c r="L177" t="n">
        <v>0</v>
      </c>
      <c r="M177" t="n">
        <v>0</v>
      </c>
      <c r="N177" t="n">
        <v>0</v>
      </c>
      <c r="O177" t="n">
        <v>5</v>
      </c>
      <c r="P177" t="n">
        <v>1</v>
      </c>
      <c r="Q177" t="n">
        <v>11</v>
      </c>
      <c r="R177" s="2" t="inlineStr">
        <is>
          <t>Doftticka
Garnlav
Grantaggsvamp
Granticka
Spillkråka
Dvärgtufs
Norrlandslav
Plattlummer
Spindelblomster
Stuplav
Revlummer</t>
        </is>
      </c>
      <c r="S177">
        <f>HYPERLINK("https://klasma.github.io/Logging_2481/artfynd/A 24512-2025 artfynd.xlsx", "A 24512-2025")</f>
        <v/>
      </c>
      <c r="T177">
        <f>HYPERLINK("https://klasma.github.io/Logging_2481/kartor/A 24512-2025 karta.png", "A 24512-2025")</f>
        <v/>
      </c>
      <c r="V177">
        <f>HYPERLINK("https://klasma.github.io/Logging_2481/klagomål/A 24512-2025 FSC-klagomål.docx", "A 24512-2025")</f>
        <v/>
      </c>
      <c r="W177">
        <f>HYPERLINK("https://klasma.github.io/Logging_2481/klagomålsmail/A 24512-2025 FSC-klagomål mail.docx", "A 24512-2025")</f>
        <v/>
      </c>
      <c r="X177">
        <f>HYPERLINK("https://klasma.github.io/Logging_2481/tillsyn/A 24512-2025 tillsynsbegäran.docx", "A 24512-2025")</f>
        <v/>
      </c>
      <c r="Y177">
        <f>HYPERLINK("https://klasma.github.io/Logging_2481/tillsynsmail/A 24512-2025 tillsynsbegäran mail.docx", "A 24512-2025")</f>
        <v/>
      </c>
      <c r="Z177">
        <f>HYPERLINK("https://klasma.github.io/Logging_2481/fåglar/A 24512-2025 prioriterade fågelarter.docx", "A 24512-2025")</f>
        <v/>
      </c>
    </row>
    <row r="178" ht="15" customHeight="1">
      <c r="A178" t="inlineStr">
        <is>
          <t>A 36480-2025</t>
        </is>
      </c>
      <c r="B178" s="1" t="n">
        <v>45869.49547453703</v>
      </c>
      <c r="C178" s="1" t="n">
        <v>46145</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Kötticka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69626-2021</t>
        </is>
      </c>
      <c r="B179" s="1" t="n">
        <v>44532</v>
      </c>
      <c r="C179" s="1" t="n">
        <v>46145</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46145</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46145</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46145</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46145</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46145</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46145</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46145</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72173-2021</t>
        </is>
      </c>
      <c r="B187" s="1" t="n">
        <v>44543</v>
      </c>
      <c r="C187" s="1" t="n">
        <v>46145</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12019-2023</t>
        </is>
      </c>
      <c r="B188" s="1" t="n">
        <v>44995.64879629629</v>
      </c>
      <c r="C188" s="1" t="n">
        <v>46145</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62308-2022</t>
        </is>
      </c>
      <c r="B189" s="1" t="n">
        <v>44923.47131944444</v>
      </c>
      <c r="C189" s="1" t="n">
        <v>46145</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10862-2023</t>
        </is>
      </c>
      <c r="B190" s="1" t="n">
        <v>44991</v>
      </c>
      <c r="C190" s="1" t="n">
        <v>46145</v>
      </c>
      <c r="D190" t="inlineStr">
        <is>
          <t>VÄSTERBOTTENS LÄN</t>
        </is>
      </c>
      <c r="E190" t="inlineStr">
        <is>
          <t>VINDELN</t>
        </is>
      </c>
      <c r="G190" t="n">
        <v>26</v>
      </c>
      <c r="H190" t="n">
        <v>1</v>
      </c>
      <c r="I190" t="n">
        <v>2</v>
      </c>
      <c r="J190" t="n">
        <v>7</v>
      </c>
      <c r="K190" t="n">
        <v>1</v>
      </c>
      <c r="L190" t="n">
        <v>0</v>
      </c>
      <c r="M190" t="n">
        <v>0</v>
      </c>
      <c r="N190" t="n">
        <v>0</v>
      </c>
      <c r="O190" t="n">
        <v>8</v>
      </c>
      <c r="P190" t="n">
        <v>1</v>
      </c>
      <c r="Q190" t="n">
        <v>10</v>
      </c>
      <c r="R190" s="2" t="inlineStr">
        <is>
          <t>Smalfotad taggsvamp
Gammelgransskål
Järpe
Motaggsvamp
Nordtagging
Skrovlig taggsvamp
Svart taggsvamp agg.
Vaddporing
Dropptaggsvamp
Skarp dropptaggsvamp</t>
        </is>
      </c>
      <c r="S190">
        <f>HYPERLINK("https://klasma.github.io/Logging_2404/artfynd/A 10862-2023 artfynd.xlsx", "A 10862-2023")</f>
        <v/>
      </c>
      <c r="T190">
        <f>HYPERLINK("https://klasma.github.io/Logging_2404/kartor/A 10862-2023 karta.png", "A 10862-2023")</f>
        <v/>
      </c>
      <c r="V190">
        <f>HYPERLINK("https://klasma.github.io/Logging_2404/klagomål/A 10862-2023 FSC-klagomål.docx", "A 10862-2023")</f>
        <v/>
      </c>
      <c r="W190">
        <f>HYPERLINK("https://klasma.github.io/Logging_2404/klagomålsmail/A 10862-2023 FSC-klagomål mail.docx", "A 10862-2023")</f>
        <v/>
      </c>
      <c r="X190">
        <f>HYPERLINK("https://klasma.github.io/Logging_2404/tillsyn/A 10862-2023 tillsynsbegäran.docx", "A 10862-2023")</f>
        <v/>
      </c>
      <c r="Y190">
        <f>HYPERLINK("https://klasma.github.io/Logging_2404/tillsynsmail/A 10862-2023 tillsynsbegäran mail.docx", "A 10862-2023")</f>
        <v/>
      </c>
      <c r="Z190">
        <f>HYPERLINK("https://klasma.github.io/Logging_2404/fåglar/A 10862-2023 prioriterade fågelarter.docx", "A 10862-2023")</f>
        <v/>
      </c>
    </row>
    <row r="191" ht="15" customHeight="1">
      <c r="A191" t="inlineStr">
        <is>
          <t>A 59038-2024</t>
        </is>
      </c>
      <c r="B191" s="1" t="n">
        <v>45636</v>
      </c>
      <c r="C191" s="1" t="n">
        <v>46145</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51947-2025</t>
        </is>
      </c>
      <c r="B192" s="1" t="n">
        <v>45952</v>
      </c>
      <c r="C192" s="1" t="n">
        <v>46145</v>
      </c>
      <c r="D192" t="inlineStr">
        <is>
          <t>VÄSTERBOTTENS LÄN</t>
        </is>
      </c>
      <c r="E192" t="inlineStr">
        <is>
          <t>VILHELMINA</t>
        </is>
      </c>
      <c r="F192" t="inlineStr">
        <is>
          <t>SCA</t>
        </is>
      </c>
      <c r="G192" t="n">
        <v>5.8</v>
      </c>
      <c r="H192" t="n">
        <v>2</v>
      </c>
      <c r="I192" t="n">
        <v>0</v>
      </c>
      <c r="J192" t="n">
        <v>10</v>
      </c>
      <c r="K192" t="n">
        <v>0</v>
      </c>
      <c r="L192" t="n">
        <v>0</v>
      </c>
      <c r="M192" t="n">
        <v>0</v>
      </c>
      <c r="N192" t="n">
        <v>0</v>
      </c>
      <c r="O192" t="n">
        <v>10</v>
      </c>
      <c r="P192" t="n">
        <v>0</v>
      </c>
      <c r="Q192" t="n">
        <v>10</v>
      </c>
      <c r="R192" s="2" t="inlineStr">
        <is>
          <t>Garnlav
Harticka
Kötticka
Liten svartspik
Rödbrun blekspik
Spillkråka
Tretåig hackspett
Ullticka
Vitgrynig nållav
Vitskaftad svartspik</t>
        </is>
      </c>
      <c r="S192">
        <f>HYPERLINK("https://klasma.github.io/Logging_2462/artfynd/A 51947-2025 artfynd.xlsx", "A 51947-2025")</f>
        <v/>
      </c>
      <c r="T192">
        <f>HYPERLINK("https://klasma.github.io/Logging_2462/kartor/A 51947-2025 karta.png", "A 51947-2025")</f>
        <v/>
      </c>
      <c r="V192">
        <f>HYPERLINK("https://klasma.github.io/Logging_2462/klagomål/A 51947-2025 FSC-klagomål.docx", "A 51947-2025")</f>
        <v/>
      </c>
      <c r="W192">
        <f>HYPERLINK("https://klasma.github.io/Logging_2462/klagomålsmail/A 51947-2025 FSC-klagomål mail.docx", "A 51947-2025")</f>
        <v/>
      </c>
      <c r="X192">
        <f>HYPERLINK("https://klasma.github.io/Logging_2462/tillsyn/A 51947-2025 tillsynsbegäran.docx", "A 51947-2025")</f>
        <v/>
      </c>
      <c r="Y192">
        <f>HYPERLINK("https://klasma.github.io/Logging_2462/tillsynsmail/A 51947-2025 tillsynsbegäran mail.docx", "A 51947-2025")</f>
        <v/>
      </c>
      <c r="Z192">
        <f>HYPERLINK("https://klasma.github.io/Logging_2462/fåglar/A 51947-2025 prioriterade fågelarter.docx", "A 51947-2025")</f>
        <v/>
      </c>
    </row>
    <row r="193" ht="15" customHeight="1">
      <c r="A193" t="inlineStr">
        <is>
          <t>A 57190-2025</t>
        </is>
      </c>
      <c r="B193" s="1" t="n">
        <v>45979.57586805556</v>
      </c>
      <c r="C193" s="1" t="n">
        <v>46145</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3370-2022</t>
        </is>
      </c>
      <c r="B194" s="1" t="n">
        <v>44585</v>
      </c>
      <c r="C194" s="1" t="n">
        <v>46145</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50032-2024</t>
        </is>
      </c>
      <c r="B195" s="1" t="n">
        <v>45599</v>
      </c>
      <c r="C195" s="1" t="n">
        <v>46145</v>
      </c>
      <c r="D195" t="inlineStr">
        <is>
          <t>VÄSTERBOTTENS LÄN</t>
        </is>
      </c>
      <c r="E195" t="inlineStr">
        <is>
          <t>SKELLEFTEÅ</t>
        </is>
      </c>
      <c r="F195" t="inlineStr">
        <is>
          <t>Sveaskog</t>
        </is>
      </c>
      <c r="G195" t="n">
        <v>22.7</v>
      </c>
      <c r="H195" t="n">
        <v>3</v>
      </c>
      <c r="I195" t="n">
        <v>2</v>
      </c>
      <c r="J195" t="n">
        <v>7</v>
      </c>
      <c r="K195" t="n">
        <v>0</v>
      </c>
      <c r="L195" t="n">
        <v>1</v>
      </c>
      <c r="M195" t="n">
        <v>0</v>
      </c>
      <c r="N195" t="n">
        <v>0</v>
      </c>
      <c r="O195" t="n">
        <v>8</v>
      </c>
      <c r="P195" t="n">
        <v>1</v>
      </c>
      <c r="Q195" t="n">
        <v>10</v>
      </c>
      <c r="R195" s="2" t="inlineStr">
        <is>
          <t>Urskogsporing
Gammelgransskål
Granticka
Kolflarnlav
Mörk kolflarnlav
Spillkråka
Talltita
Tretåig hackspett
Dropptaggsvamp
Skinnlav</t>
        </is>
      </c>
      <c r="S195">
        <f>HYPERLINK("https://klasma.github.io/Logging_2482/artfynd/A 50032-2024 artfynd.xlsx", "A 50032-2024")</f>
        <v/>
      </c>
      <c r="T195">
        <f>HYPERLINK("https://klasma.github.io/Logging_2482/kartor/A 50032-2024 karta.png", "A 50032-2024")</f>
        <v/>
      </c>
      <c r="V195">
        <f>HYPERLINK("https://klasma.github.io/Logging_2482/klagomål/A 50032-2024 FSC-klagomål.docx", "A 50032-2024")</f>
        <v/>
      </c>
      <c r="W195">
        <f>HYPERLINK("https://klasma.github.io/Logging_2482/klagomålsmail/A 50032-2024 FSC-klagomål mail.docx", "A 50032-2024")</f>
        <v/>
      </c>
      <c r="X195">
        <f>HYPERLINK("https://klasma.github.io/Logging_2482/tillsyn/A 50032-2024 tillsynsbegäran.docx", "A 50032-2024")</f>
        <v/>
      </c>
      <c r="Y195">
        <f>HYPERLINK("https://klasma.github.io/Logging_2482/tillsynsmail/A 50032-2024 tillsynsbegäran mail.docx", "A 50032-2024")</f>
        <v/>
      </c>
      <c r="Z195">
        <f>HYPERLINK("https://klasma.github.io/Logging_2482/fåglar/A 50032-2024 prioriterade fågelarter.docx", "A 50032-2024")</f>
        <v/>
      </c>
    </row>
    <row r="196" ht="15" customHeight="1">
      <c r="A196" t="inlineStr">
        <is>
          <t>A 28986-2025</t>
        </is>
      </c>
      <c r="B196" s="1" t="n">
        <v>45821</v>
      </c>
      <c r="C196" s="1" t="n">
        <v>46145</v>
      </c>
      <c r="D196" t="inlineStr">
        <is>
          <t>VÄSTERBOTTENS LÄN</t>
        </is>
      </c>
      <c r="E196" t="inlineStr">
        <is>
          <t>SKELLEFTEÅ</t>
        </is>
      </c>
      <c r="F196" t="inlineStr">
        <is>
          <t>Holmen skog AB</t>
        </is>
      </c>
      <c r="G196" t="n">
        <v>12.5</v>
      </c>
      <c r="H196" t="n">
        <v>2</v>
      </c>
      <c r="I196" t="n">
        <v>0</v>
      </c>
      <c r="J196" t="n">
        <v>9</v>
      </c>
      <c r="K196" t="n">
        <v>1</v>
      </c>
      <c r="L196" t="n">
        <v>0</v>
      </c>
      <c r="M196" t="n">
        <v>0</v>
      </c>
      <c r="N196" t="n">
        <v>0</v>
      </c>
      <c r="O196" t="n">
        <v>10</v>
      </c>
      <c r="P196" t="n">
        <v>1</v>
      </c>
      <c r="Q196" t="n">
        <v>10</v>
      </c>
      <c r="R196" s="2" t="inlineStr">
        <is>
          <t>Ulltickeporing
Garnlav
Granticka
Gränsticka
Lunglav
Rosenticka
Spillkråka
Tretåig hackspett
Ullticka
Violettgrå tagellav</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9093-2025</t>
        </is>
      </c>
      <c r="B197" s="1" t="n">
        <v>45713</v>
      </c>
      <c r="C197" s="1" t="n">
        <v>46145</v>
      </c>
      <c r="D197" t="inlineStr">
        <is>
          <t>VÄSTERBOTTENS LÄN</t>
        </is>
      </c>
      <c r="E197" t="inlineStr">
        <is>
          <t>SKELLEFTEÅ</t>
        </is>
      </c>
      <c r="G197" t="n">
        <v>10.5</v>
      </c>
      <c r="H197" t="n">
        <v>4</v>
      </c>
      <c r="I197" t="n">
        <v>2</v>
      </c>
      <c r="J197" t="n">
        <v>7</v>
      </c>
      <c r="K197" t="n">
        <v>1</v>
      </c>
      <c r="L197" t="n">
        <v>0</v>
      </c>
      <c r="M197" t="n">
        <v>0</v>
      </c>
      <c r="N197" t="n">
        <v>0</v>
      </c>
      <c r="O197" t="n">
        <v>8</v>
      </c>
      <c r="P197" t="n">
        <v>1</v>
      </c>
      <c r="Q197" t="n">
        <v>10</v>
      </c>
      <c r="R197" s="2" t="inlineStr">
        <is>
          <t>Knärot
Garnlav
Granticka
Spillkråka
Talltita
Tretåig hackspett
Ullticka
Violettgrå tagellav
Bronshjon
Vedticka</t>
        </is>
      </c>
      <c r="S197">
        <f>HYPERLINK("https://klasma.github.io/Logging_2482/artfynd/A 9093-2025 artfynd.xlsx", "A 9093-2025")</f>
        <v/>
      </c>
      <c r="T197">
        <f>HYPERLINK("https://klasma.github.io/Logging_2482/kartor/A 9093-2025 karta.png", "A 9093-2025")</f>
        <v/>
      </c>
      <c r="U197">
        <f>HYPERLINK("https://klasma.github.io/Logging_2482/knärot/A 9093-2025 karta knärot.png", "A 9093-2025")</f>
        <v/>
      </c>
      <c r="V197">
        <f>HYPERLINK("https://klasma.github.io/Logging_2482/klagomål/A 9093-2025 FSC-klagomål.docx", "A 9093-2025")</f>
        <v/>
      </c>
      <c r="W197">
        <f>HYPERLINK("https://klasma.github.io/Logging_2482/klagomålsmail/A 9093-2025 FSC-klagomål mail.docx", "A 9093-2025")</f>
        <v/>
      </c>
      <c r="X197">
        <f>HYPERLINK("https://klasma.github.io/Logging_2482/tillsyn/A 9093-2025 tillsynsbegäran.docx", "A 9093-2025")</f>
        <v/>
      </c>
      <c r="Y197">
        <f>HYPERLINK("https://klasma.github.io/Logging_2482/tillsynsmail/A 9093-2025 tillsynsbegäran mail.docx", "A 9093-2025")</f>
        <v/>
      </c>
      <c r="Z197">
        <f>HYPERLINK("https://klasma.github.io/Logging_2482/fåglar/A 9093-2025 prioriterade fågelarter.docx", "A 9093-2025")</f>
        <v/>
      </c>
    </row>
    <row r="198" ht="15" customHeight="1">
      <c r="A198" t="inlineStr">
        <is>
          <t>A 31173-2021</t>
        </is>
      </c>
      <c r="B198" s="1" t="n">
        <v>44368</v>
      </c>
      <c r="C198" s="1" t="n">
        <v>46145</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46145</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22677-2024</t>
        </is>
      </c>
      <c r="B200" s="1" t="n">
        <v>45447</v>
      </c>
      <c r="C200" s="1" t="n">
        <v>46145</v>
      </c>
      <c r="D200" t="inlineStr">
        <is>
          <t>VÄSTERBOTTENS LÄN</t>
        </is>
      </c>
      <c r="E200" t="inlineStr">
        <is>
          <t>BJURHOLM</t>
        </is>
      </c>
      <c r="F200" t="inlineStr">
        <is>
          <t>SCA</t>
        </is>
      </c>
      <c r="G200" t="n">
        <v>14.4</v>
      </c>
      <c r="H200" t="n">
        <v>3</v>
      </c>
      <c r="I200" t="n">
        <v>1</v>
      </c>
      <c r="J200" t="n">
        <v>6</v>
      </c>
      <c r="K200" t="n">
        <v>1</v>
      </c>
      <c r="L200" t="n">
        <v>0</v>
      </c>
      <c r="M200" t="n">
        <v>0</v>
      </c>
      <c r="N200" t="n">
        <v>0</v>
      </c>
      <c r="O200" t="n">
        <v>7</v>
      </c>
      <c r="P200" t="n">
        <v>1</v>
      </c>
      <c r="Q200" t="n">
        <v>10</v>
      </c>
      <c r="R200" s="2" t="inlineStr">
        <is>
          <t>Lappticka
Duvhök
Garnlav
Granticka
Lunglav
Stjärntagging
Ullticka
Vedticka
Tjäder
Fläcknycklar</t>
        </is>
      </c>
      <c r="S200">
        <f>HYPERLINK("https://klasma.github.io/Logging_2403/artfynd/A 22677-2024 artfynd.xlsx", "A 22677-2024")</f>
        <v/>
      </c>
      <c r="T200">
        <f>HYPERLINK("https://klasma.github.io/Logging_2403/kartor/A 22677-2024 karta.png", "A 22677-2024")</f>
        <v/>
      </c>
      <c r="V200">
        <f>HYPERLINK("https://klasma.github.io/Logging_2403/klagomål/A 22677-2024 FSC-klagomål.docx", "A 22677-2024")</f>
        <v/>
      </c>
      <c r="W200">
        <f>HYPERLINK("https://klasma.github.io/Logging_2403/klagomålsmail/A 22677-2024 FSC-klagomål mail.docx", "A 22677-2024")</f>
        <v/>
      </c>
      <c r="X200">
        <f>HYPERLINK("https://klasma.github.io/Logging_2403/tillsyn/A 22677-2024 tillsynsbegäran.docx", "A 22677-2024")</f>
        <v/>
      </c>
      <c r="Y200">
        <f>HYPERLINK("https://klasma.github.io/Logging_2403/tillsynsmail/A 22677-2024 tillsynsbegäran mail.docx", "A 22677-2024")</f>
        <v/>
      </c>
      <c r="Z200">
        <f>HYPERLINK("https://klasma.github.io/Logging_2403/fåglar/A 22677-2024 prioriterade fågelarter.docx", "A 22677-2024")</f>
        <v/>
      </c>
    </row>
    <row r="201" ht="15" customHeight="1">
      <c r="A201" t="inlineStr">
        <is>
          <t>A 52336-2024</t>
        </is>
      </c>
      <c r="B201" s="1" t="n">
        <v>45609</v>
      </c>
      <c r="C201" s="1" t="n">
        <v>46145</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28716-2024</t>
        </is>
      </c>
      <c r="B202" s="1" t="n">
        <v>45478</v>
      </c>
      <c r="C202" s="1" t="n">
        <v>46145</v>
      </c>
      <c r="D202" t="inlineStr">
        <is>
          <t>VÄSTERBOTTENS LÄN</t>
        </is>
      </c>
      <c r="E202" t="inlineStr">
        <is>
          <t>VINDELN</t>
        </is>
      </c>
      <c r="F202" t="inlineStr">
        <is>
          <t>Holmen skog AB</t>
        </is>
      </c>
      <c r="G202" t="n">
        <v>3.6</v>
      </c>
      <c r="H202" t="n">
        <v>6</v>
      </c>
      <c r="I202" t="n">
        <v>2</v>
      </c>
      <c r="J202" t="n">
        <v>5</v>
      </c>
      <c r="K202" t="n">
        <v>1</v>
      </c>
      <c r="L202" t="n">
        <v>0</v>
      </c>
      <c r="M202" t="n">
        <v>0</v>
      </c>
      <c r="N202" t="n">
        <v>0</v>
      </c>
      <c r="O202" t="n">
        <v>6</v>
      </c>
      <c r="P202" t="n">
        <v>1</v>
      </c>
      <c r="Q202" t="n">
        <v>10</v>
      </c>
      <c r="R202" s="2" t="inlineStr">
        <is>
          <t>Knärot
Garnlav
Lunglav
Spillkråka
Talltita
Tretåig hackspett
Bårdlav
Stuplav
Kungsfågel
Fläcknycklar</t>
        </is>
      </c>
      <c r="S202">
        <f>HYPERLINK("https://klasma.github.io/Logging_2404/artfynd/A 28716-2024 artfynd.xlsx", "A 28716-2024")</f>
        <v/>
      </c>
      <c r="T202">
        <f>HYPERLINK("https://klasma.github.io/Logging_2404/kartor/A 28716-2024 karta.png", "A 28716-2024")</f>
        <v/>
      </c>
      <c r="U202">
        <f>HYPERLINK("https://klasma.github.io/Logging_2404/knärot/A 28716-2024 karta knärot.png", "A 28716-2024")</f>
        <v/>
      </c>
      <c r="V202">
        <f>HYPERLINK("https://klasma.github.io/Logging_2404/klagomål/A 28716-2024 FSC-klagomål.docx", "A 28716-2024")</f>
        <v/>
      </c>
      <c r="W202">
        <f>HYPERLINK("https://klasma.github.io/Logging_2404/klagomålsmail/A 28716-2024 FSC-klagomål mail.docx", "A 28716-2024")</f>
        <v/>
      </c>
      <c r="X202">
        <f>HYPERLINK("https://klasma.github.io/Logging_2404/tillsyn/A 28716-2024 tillsynsbegäran.docx", "A 28716-2024")</f>
        <v/>
      </c>
      <c r="Y202">
        <f>HYPERLINK("https://klasma.github.io/Logging_2404/tillsynsmail/A 28716-2024 tillsynsbegäran mail.docx", "A 28716-2024")</f>
        <v/>
      </c>
      <c r="Z202">
        <f>HYPERLINK("https://klasma.github.io/Logging_2404/fåglar/A 28716-2024 prioriterade fågelarter.docx", "A 28716-2024")</f>
        <v/>
      </c>
    </row>
    <row r="203" ht="15" customHeight="1">
      <c r="A203" t="inlineStr">
        <is>
          <t>A 50406-2025</t>
        </is>
      </c>
      <c r="B203" s="1" t="n">
        <v>45944.63659722222</v>
      </c>
      <c r="C203" s="1" t="n">
        <v>46145</v>
      </c>
      <c r="D203" t="inlineStr">
        <is>
          <t>VÄSTERBOTTENS LÄN</t>
        </is>
      </c>
      <c r="E203" t="inlineStr">
        <is>
          <t>ROBERTSFORS</t>
        </is>
      </c>
      <c r="G203" t="n">
        <v>3.6</v>
      </c>
      <c r="H203" t="n">
        <v>2</v>
      </c>
      <c r="I203" t="n">
        <v>2</v>
      </c>
      <c r="J203" t="n">
        <v>7</v>
      </c>
      <c r="K203" t="n">
        <v>1</v>
      </c>
      <c r="L203" t="n">
        <v>0</v>
      </c>
      <c r="M203" t="n">
        <v>0</v>
      </c>
      <c r="N203" t="n">
        <v>0</v>
      </c>
      <c r="O203" t="n">
        <v>8</v>
      </c>
      <c r="P203" t="n">
        <v>1</v>
      </c>
      <c r="Q203" t="n">
        <v>10</v>
      </c>
      <c r="R203" s="2" t="inlineStr">
        <is>
          <t>Rynkskinn
Gammelgransskål
Garnlav
Spillkråka
Stjärntagging
Tretåig hackspett
Ullticka
Violettgrå tagellav
Bronshjon
Vedticka</t>
        </is>
      </c>
      <c r="S203">
        <f>HYPERLINK("https://klasma.github.io/Logging_2409/artfynd/A 50406-2025 artfynd.xlsx", "A 50406-2025")</f>
        <v/>
      </c>
      <c r="T203">
        <f>HYPERLINK("https://klasma.github.io/Logging_2409/kartor/A 50406-2025 karta.png", "A 50406-2025")</f>
        <v/>
      </c>
      <c r="V203">
        <f>HYPERLINK("https://klasma.github.io/Logging_2409/klagomål/A 50406-2025 FSC-klagomål.docx", "A 50406-2025")</f>
        <v/>
      </c>
      <c r="W203">
        <f>HYPERLINK("https://klasma.github.io/Logging_2409/klagomålsmail/A 50406-2025 FSC-klagomål mail.docx", "A 50406-2025")</f>
        <v/>
      </c>
      <c r="X203">
        <f>HYPERLINK("https://klasma.github.io/Logging_2409/tillsyn/A 50406-2025 tillsynsbegäran.docx", "A 50406-2025")</f>
        <v/>
      </c>
      <c r="Y203">
        <f>HYPERLINK("https://klasma.github.io/Logging_2409/tillsynsmail/A 50406-2025 tillsynsbegäran mail.docx", "A 50406-2025")</f>
        <v/>
      </c>
      <c r="Z203">
        <f>HYPERLINK("https://klasma.github.io/Logging_2409/fåglar/A 50406-2025 prioriterade fågelarter.docx", "A 50406-2025")</f>
        <v/>
      </c>
    </row>
    <row r="204" ht="15" customHeight="1">
      <c r="A204" t="inlineStr">
        <is>
          <t>A 6969-2023</t>
        </is>
      </c>
      <c r="B204" s="1" t="n">
        <v>44964</v>
      </c>
      <c r="C204" s="1" t="n">
        <v>46145</v>
      </c>
      <c r="D204" t="inlineStr">
        <is>
          <t>VÄSTERBOTTENS LÄN</t>
        </is>
      </c>
      <c r="E204" t="inlineStr">
        <is>
          <t>VILHELMINA</t>
        </is>
      </c>
      <c r="F204" t="inlineStr">
        <is>
          <t>Allmännings- och besparingsskogar</t>
        </is>
      </c>
      <c r="G204" t="n">
        <v>22</v>
      </c>
      <c r="H204" t="n">
        <v>0</v>
      </c>
      <c r="I204" t="n">
        <v>3</v>
      </c>
      <c r="J204" t="n">
        <v>7</v>
      </c>
      <c r="K204" t="n">
        <v>0</v>
      </c>
      <c r="L204" t="n">
        <v>0</v>
      </c>
      <c r="M204" t="n">
        <v>0</v>
      </c>
      <c r="N204" t="n">
        <v>0</v>
      </c>
      <c r="O204" t="n">
        <v>7</v>
      </c>
      <c r="P204" t="n">
        <v>0</v>
      </c>
      <c r="Q204" t="n">
        <v>10</v>
      </c>
      <c r="R204" s="2" t="inlineStr">
        <is>
          <t>Brunpudrad nållav
Garnlav
Granticka
Rosenticka
Rödbrun blekspik
Skrovellav
Ullticka
Gulnål
Mörk husmossa
Stuplav</t>
        </is>
      </c>
      <c r="S204">
        <f>HYPERLINK("https://klasma.github.io/Logging_2462/artfynd/A 6969-2023 artfynd.xlsx", "A 6969-2023")</f>
        <v/>
      </c>
      <c r="T204">
        <f>HYPERLINK("https://klasma.github.io/Logging_2462/kartor/A 6969-2023 karta.png", "A 6969-2023")</f>
        <v/>
      </c>
      <c r="V204">
        <f>HYPERLINK("https://klasma.github.io/Logging_2462/klagomål/A 6969-2023 FSC-klagomål.docx", "A 6969-2023")</f>
        <v/>
      </c>
      <c r="W204">
        <f>HYPERLINK("https://klasma.github.io/Logging_2462/klagomålsmail/A 6969-2023 FSC-klagomål mail.docx", "A 6969-2023")</f>
        <v/>
      </c>
      <c r="X204">
        <f>HYPERLINK("https://klasma.github.io/Logging_2462/tillsyn/A 6969-2023 tillsynsbegäran.docx", "A 6969-2023")</f>
        <v/>
      </c>
      <c r="Y204">
        <f>HYPERLINK("https://klasma.github.io/Logging_2462/tillsynsmail/A 6969-2023 tillsynsbegäran mail.docx", "A 6969-2023")</f>
        <v/>
      </c>
    </row>
    <row r="205" ht="15" customHeight="1">
      <c r="A205" t="inlineStr">
        <is>
          <t>A 22116-2025</t>
        </is>
      </c>
      <c r="B205" s="1" t="n">
        <v>45785</v>
      </c>
      <c r="C205" s="1" t="n">
        <v>46145</v>
      </c>
      <c r="D205" t="inlineStr">
        <is>
          <t>VÄSTERBOTTENS LÄN</t>
        </is>
      </c>
      <c r="E205" t="inlineStr">
        <is>
          <t>DOROTEA</t>
        </is>
      </c>
      <c r="F205" t="inlineStr">
        <is>
          <t>SCA</t>
        </is>
      </c>
      <c r="G205" t="n">
        <v>10.1</v>
      </c>
      <c r="H205" t="n">
        <v>2</v>
      </c>
      <c r="I205" t="n">
        <v>2</v>
      </c>
      <c r="J205" t="n">
        <v>6</v>
      </c>
      <c r="K205" t="n">
        <v>2</v>
      </c>
      <c r="L205" t="n">
        <v>0</v>
      </c>
      <c r="M205" t="n">
        <v>0</v>
      </c>
      <c r="N205" t="n">
        <v>0</v>
      </c>
      <c r="O205" t="n">
        <v>8</v>
      </c>
      <c r="P205" t="n">
        <v>2</v>
      </c>
      <c r="Q205" t="n">
        <v>10</v>
      </c>
      <c r="R205" s="2" t="inlineStr">
        <is>
          <t>Grantickeporing
Tajgaskinn
Granticka
Harticka
Lunglav
Skrovellav
Spillkråka
Tretåig hackspett
Bårdlav
Trådticka</t>
        </is>
      </c>
      <c r="S205">
        <f>HYPERLINK("https://klasma.github.io/Logging_2425/artfynd/A 22116-2025 artfynd.xlsx", "A 22116-2025")</f>
        <v/>
      </c>
      <c r="T205">
        <f>HYPERLINK("https://klasma.github.io/Logging_2425/kartor/A 22116-2025 karta.png", "A 22116-2025")</f>
        <v/>
      </c>
      <c r="V205">
        <f>HYPERLINK("https://klasma.github.io/Logging_2425/klagomål/A 22116-2025 FSC-klagomål.docx", "A 22116-2025")</f>
        <v/>
      </c>
      <c r="W205">
        <f>HYPERLINK("https://klasma.github.io/Logging_2425/klagomålsmail/A 22116-2025 FSC-klagomål mail.docx", "A 22116-2025")</f>
        <v/>
      </c>
      <c r="X205">
        <f>HYPERLINK("https://klasma.github.io/Logging_2425/tillsyn/A 22116-2025 tillsynsbegäran.docx", "A 22116-2025")</f>
        <v/>
      </c>
      <c r="Y205">
        <f>HYPERLINK("https://klasma.github.io/Logging_2425/tillsynsmail/A 22116-2025 tillsynsbegäran mail.docx", "A 22116-2025")</f>
        <v/>
      </c>
      <c r="Z205">
        <f>HYPERLINK("https://klasma.github.io/Logging_2425/fåglar/A 22116-2025 prioriterade fågelarter.docx", "A 22116-2025")</f>
        <v/>
      </c>
    </row>
    <row r="206" ht="15" customHeight="1">
      <c r="A206" t="inlineStr">
        <is>
          <t>A 2574-2026</t>
        </is>
      </c>
      <c r="B206" s="1" t="n">
        <v>46037</v>
      </c>
      <c r="C206" s="1" t="n">
        <v>46145</v>
      </c>
      <c r="D206" t="inlineStr">
        <is>
          <t>VÄSTERBOTTENS LÄN</t>
        </is>
      </c>
      <c r="E206" t="inlineStr">
        <is>
          <t>SKELLEFTEÅ</t>
        </is>
      </c>
      <c r="G206" t="n">
        <v>11.2</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2574-2026 artfynd.xlsx", "A 2574-2026")</f>
        <v/>
      </c>
      <c r="T206">
        <f>HYPERLINK("https://klasma.github.io/Logging_2482/kartor/A 2574-2026 karta.png", "A 2574-2026")</f>
        <v/>
      </c>
      <c r="V206">
        <f>HYPERLINK("https://klasma.github.io/Logging_2482/klagomål/A 2574-2026 FSC-klagomål.docx", "A 2574-2026")</f>
        <v/>
      </c>
      <c r="W206">
        <f>HYPERLINK("https://klasma.github.io/Logging_2482/klagomålsmail/A 2574-2026 FSC-klagomål mail.docx", "A 2574-2026")</f>
        <v/>
      </c>
      <c r="X206">
        <f>HYPERLINK("https://klasma.github.io/Logging_2482/tillsyn/A 2574-2026 tillsynsbegäran.docx", "A 2574-2026")</f>
        <v/>
      </c>
      <c r="Y206">
        <f>HYPERLINK("https://klasma.github.io/Logging_2482/tillsynsmail/A 2574-2026 tillsynsbegäran mail.docx", "A 2574-2026")</f>
        <v/>
      </c>
      <c r="Z206">
        <f>HYPERLINK("https://klasma.github.io/Logging_2482/fåglar/A 2574-2026 prioriterade fågelarter.docx", "A 2574-2026")</f>
        <v/>
      </c>
    </row>
    <row r="207" ht="15" customHeight="1">
      <c r="A207" t="inlineStr">
        <is>
          <t>A 56840-2023</t>
        </is>
      </c>
      <c r="B207" s="1" t="n">
        <v>45238</v>
      </c>
      <c r="C207" s="1" t="n">
        <v>46145</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14286-2026</t>
        </is>
      </c>
      <c r="B208" s="1" t="n">
        <v>46099.68403935185</v>
      </c>
      <c r="C208" s="1" t="n">
        <v>46145</v>
      </c>
      <c r="D208" t="inlineStr">
        <is>
          <t>VÄSTERBOTTENS LÄN</t>
        </is>
      </c>
      <c r="E208" t="inlineStr">
        <is>
          <t>SKELLEFTEÅ</t>
        </is>
      </c>
      <c r="G208" t="n">
        <v>4.9</v>
      </c>
      <c r="H208" t="n">
        <v>3</v>
      </c>
      <c r="I208" t="n">
        <v>2</v>
      </c>
      <c r="J208" t="n">
        <v>6</v>
      </c>
      <c r="K208" t="n">
        <v>2</v>
      </c>
      <c r="L208" t="n">
        <v>0</v>
      </c>
      <c r="M208" t="n">
        <v>0</v>
      </c>
      <c r="N208" t="n">
        <v>0</v>
      </c>
      <c r="O208" t="n">
        <v>8</v>
      </c>
      <c r="P208" t="n">
        <v>2</v>
      </c>
      <c r="Q208" t="n">
        <v>10</v>
      </c>
      <c r="R208" s="2" t="inlineStr">
        <is>
          <t>Knärot
Rynkskinn
Gammelgransskål
Garnlav
Granticka
Spillkråka
Tretåig hackspett
Ullticka
Blodticka
Vedticka</t>
        </is>
      </c>
      <c r="S208">
        <f>HYPERLINK("https://klasma.github.io/Logging_2482/artfynd/A 14286-2026 artfynd.xlsx", "A 14286-2026")</f>
        <v/>
      </c>
      <c r="T208">
        <f>HYPERLINK("https://klasma.github.io/Logging_2482/kartor/A 14286-2026 karta.png", "A 14286-2026")</f>
        <v/>
      </c>
      <c r="U208">
        <f>HYPERLINK("https://klasma.github.io/Logging_2482/knärot/A 14286-2026 karta knärot.png", "A 14286-2026")</f>
        <v/>
      </c>
      <c r="V208">
        <f>HYPERLINK("https://klasma.github.io/Logging_2482/klagomål/A 14286-2026 FSC-klagomål.docx", "A 14286-2026")</f>
        <v/>
      </c>
      <c r="W208">
        <f>HYPERLINK("https://klasma.github.io/Logging_2482/klagomålsmail/A 14286-2026 FSC-klagomål mail.docx", "A 14286-2026")</f>
        <v/>
      </c>
      <c r="X208">
        <f>HYPERLINK("https://klasma.github.io/Logging_2482/tillsyn/A 14286-2026 tillsynsbegäran.docx", "A 14286-2026")</f>
        <v/>
      </c>
      <c r="Y208">
        <f>HYPERLINK("https://klasma.github.io/Logging_2482/tillsynsmail/A 14286-2026 tillsynsbegäran mail.docx", "A 14286-2026")</f>
        <v/>
      </c>
      <c r="Z208">
        <f>HYPERLINK("https://klasma.github.io/Logging_2482/fåglar/A 14286-2026 prioriterade fågelarter.docx", "A 14286-2026")</f>
        <v/>
      </c>
    </row>
    <row r="209" ht="15" customHeight="1">
      <c r="A209" t="inlineStr">
        <is>
          <t>A 32934-2025</t>
        </is>
      </c>
      <c r="B209" s="1" t="n">
        <v>45839.67444444444</v>
      </c>
      <c r="C209" s="1" t="n">
        <v>46145</v>
      </c>
      <c r="D209" t="inlineStr">
        <is>
          <t>VÄSTERBOTTENS LÄN</t>
        </is>
      </c>
      <c r="E209" t="inlineStr">
        <is>
          <t>SKELLEFTEÅ</t>
        </is>
      </c>
      <c r="F209" t="inlineStr">
        <is>
          <t>Holmen skog AB</t>
        </is>
      </c>
      <c r="G209" t="n">
        <v>17.3</v>
      </c>
      <c r="H209" t="n">
        <v>4</v>
      </c>
      <c r="I209" t="n">
        <v>2</v>
      </c>
      <c r="J209" t="n">
        <v>5</v>
      </c>
      <c r="K209" t="n">
        <v>2</v>
      </c>
      <c r="L209" t="n">
        <v>0</v>
      </c>
      <c r="M209" t="n">
        <v>0</v>
      </c>
      <c r="N209" t="n">
        <v>0</v>
      </c>
      <c r="O209" t="n">
        <v>7</v>
      </c>
      <c r="P209" t="n">
        <v>2</v>
      </c>
      <c r="Q209" t="n">
        <v>10</v>
      </c>
      <c r="R209" s="2" t="inlineStr">
        <is>
          <t>Gräddporing
Smalfotad taggsvamp
Blå taggsvamp
Spillkråka
Stjärntagging
Talltita
Vaxspindling
Dropptaggsvamp
Plattlummer
Tjäder</t>
        </is>
      </c>
      <c r="S209">
        <f>HYPERLINK("https://klasma.github.io/Logging_2482/artfynd/A 32934-2025 artfynd.xlsx", "A 32934-2025")</f>
        <v/>
      </c>
      <c r="T209">
        <f>HYPERLINK("https://klasma.github.io/Logging_2482/kartor/A 32934-2025 karta.png", "A 32934-2025")</f>
        <v/>
      </c>
      <c r="V209">
        <f>HYPERLINK("https://klasma.github.io/Logging_2482/klagomål/A 32934-2025 FSC-klagomål.docx", "A 32934-2025")</f>
        <v/>
      </c>
      <c r="W209">
        <f>HYPERLINK("https://klasma.github.io/Logging_2482/klagomålsmail/A 32934-2025 FSC-klagomål mail.docx", "A 32934-2025")</f>
        <v/>
      </c>
      <c r="X209">
        <f>HYPERLINK("https://klasma.github.io/Logging_2482/tillsyn/A 32934-2025 tillsynsbegäran.docx", "A 32934-2025")</f>
        <v/>
      </c>
      <c r="Y209">
        <f>HYPERLINK("https://klasma.github.io/Logging_2482/tillsynsmail/A 32934-2025 tillsynsbegäran mail.docx", "A 32934-2025")</f>
        <v/>
      </c>
      <c r="Z209">
        <f>HYPERLINK("https://klasma.github.io/Logging_2482/fåglar/A 32934-2025 prioriterade fågelarter.docx", "A 32934-2025")</f>
        <v/>
      </c>
    </row>
    <row r="210" ht="15" customHeight="1">
      <c r="A210" t="inlineStr">
        <is>
          <t>A 31884-2024</t>
        </is>
      </c>
      <c r="B210" s="1" t="n">
        <v>45509</v>
      </c>
      <c r="C210" s="1" t="n">
        <v>46145</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51198-2022</t>
        </is>
      </c>
      <c r="B211" s="1" t="n">
        <v>44868</v>
      </c>
      <c r="C211" s="1" t="n">
        <v>46145</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1602-2023</t>
        </is>
      </c>
      <c r="B212" s="1" t="n">
        <v>44935</v>
      </c>
      <c r="C212" s="1" t="n">
        <v>46145</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39213-2021</t>
        </is>
      </c>
      <c r="B213" s="1" t="n">
        <v>44413</v>
      </c>
      <c r="C213" s="1" t="n">
        <v>46145</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38157-2023</t>
        </is>
      </c>
      <c r="B214" s="1" t="n">
        <v>45161</v>
      </c>
      <c r="C214" s="1" t="n">
        <v>46145</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49000-2025</t>
        </is>
      </c>
      <c r="B215" s="1" t="n">
        <v>45937.5946412037</v>
      </c>
      <c r="C215" s="1" t="n">
        <v>46145</v>
      </c>
      <c r="D215" t="inlineStr">
        <is>
          <t>VÄSTERBOTTENS LÄN</t>
        </is>
      </c>
      <c r="E215" t="inlineStr">
        <is>
          <t>UMEÅ</t>
        </is>
      </c>
      <c r="G215" t="n">
        <v>12.2</v>
      </c>
      <c r="H215" t="n">
        <v>2</v>
      </c>
      <c r="I215" t="n">
        <v>3</v>
      </c>
      <c r="J215" t="n">
        <v>4</v>
      </c>
      <c r="K215" t="n">
        <v>1</v>
      </c>
      <c r="L215" t="n">
        <v>0</v>
      </c>
      <c r="M215" t="n">
        <v>0</v>
      </c>
      <c r="N215" t="n">
        <v>0</v>
      </c>
      <c r="O215" t="n">
        <v>5</v>
      </c>
      <c r="P215" t="n">
        <v>1</v>
      </c>
      <c r="Q215" t="n">
        <v>9</v>
      </c>
      <c r="R215" s="2" t="inlineStr">
        <is>
          <t>Knärot
Blanksvart spiklav
Garnlav
Kolflarnlav
Motaggsvamp
Björksplintborre
Dropptaggsvamp
Skarp dropptaggsvamp
Tjäder</t>
        </is>
      </c>
      <c r="S215">
        <f>HYPERLINK("https://klasma.github.io/Logging_2480/artfynd/A 49000-2025 artfynd.xlsx", "A 49000-2025")</f>
        <v/>
      </c>
      <c r="T215">
        <f>HYPERLINK("https://klasma.github.io/Logging_2480/kartor/A 49000-2025 karta.png", "A 49000-2025")</f>
        <v/>
      </c>
      <c r="U215">
        <f>HYPERLINK("https://klasma.github.io/Logging_2480/knärot/A 49000-2025 karta knärot.png", "A 49000-2025")</f>
        <v/>
      </c>
      <c r="V215">
        <f>HYPERLINK("https://klasma.github.io/Logging_2480/klagomål/A 49000-2025 FSC-klagomål.docx", "A 49000-2025")</f>
        <v/>
      </c>
      <c r="W215">
        <f>HYPERLINK("https://klasma.github.io/Logging_2480/klagomålsmail/A 49000-2025 FSC-klagomål mail.docx", "A 49000-2025")</f>
        <v/>
      </c>
      <c r="X215">
        <f>HYPERLINK("https://klasma.github.io/Logging_2480/tillsyn/A 49000-2025 tillsynsbegäran.docx", "A 49000-2025")</f>
        <v/>
      </c>
      <c r="Y215">
        <f>HYPERLINK("https://klasma.github.io/Logging_2480/tillsynsmail/A 49000-2025 tillsynsbegäran mail.docx", "A 49000-2025")</f>
        <v/>
      </c>
      <c r="Z215">
        <f>HYPERLINK("https://klasma.github.io/Logging_2480/fåglar/A 49000-2025 prioriterade fågelarter.docx", "A 49000-2025")</f>
        <v/>
      </c>
    </row>
    <row r="216" ht="15" customHeight="1">
      <c r="A216" t="inlineStr">
        <is>
          <t>A 32223-2024</t>
        </is>
      </c>
      <c r="B216" s="1" t="n">
        <v>45511</v>
      </c>
      <c r="C216" s="1" t="n">
        <v>46145</v>
      </c>
      <c r="D216" t="inlineStr">
        <is>
          <t>VÄSTERBOTTENS LÄN</t>
        </is>
      </c>
      <c r="E216" t="inlineStr">
        <is>
          <t>VINDELN</t>
        </is>
      </c>
      <c r="G216" t="n">
        <v>15.9</v>
      </c>
      <c r="H216" t="n">
        <v>1</v>
      </c>
      <c r="I216" t="n">
        <v>4</v>
      </c>
      <c r="J216" t="n">
        <v>4</v>
      </c>
      <c r="K216" t="n">
        <v>1</v>
      </c>
      <c r="L216" t="n">
        <v>0</v>
      </c>
      <c r="M216" t="n">
        <v>0</v>
      </c>
      <c r="N216" t="n">
        <v>0</v>
      </c>
      <c r="O216" t="n">
        <v>5</v>
      </c>
      <c r="P216" t="n">
        <v>1</v>
      </c>
      <c r="Q216" t="n">
        <v>9</v>
      </c>
      <c r="R216" s="2" t="inlineStr">
        <is>
          <t>Smalfotad taggsvamp
Blå taggsvamp
Garnlav
Skrovlig taggsvamp
Svartvit taggsvamp
Dropptaggsvamp
Plattlummer
Skarp dropptaggsvamp
Vedticka</t>
        </is>
      </c>
      <c r="S216">
        <f>HYPERLINK("https://klasma.github.io/Logging_2404/artfynd/A 32223-2024 artfynd.xlsx", "A 32223-2024")</f>
        <v/>
      </c>
      <c r="T216">
        <f>HYPERLINK("https://klasma.github.io/Logging_2404/kartor/A 32223-2024 karta.png", "A 32223-2024")</f>
        <v/>
      </c>
      <c r="V216">
        <f>HYPERLINK("https://klasma.github.io/Logging_2404/klagomål/A 32223-2024 FSC-klagomål.docx", "A 32223-2024")</f>
        <v/>
      </c>
      <c r="W216">
        <f>HYPERLINK("https://klasma.github.io/Logging_2404/klagomålsmail/A 32223-2024 FSC-klagomål mail.docx", "A 32223-2024")</f>
        <v/>
      </c>
      <c r="X216">
        <f>HYPERLINK("https://klasma.github.io/Logging_2404/tillsyn/A 32223-2024 tillsynsbegäran.docx", "A 32223-2024")</f>
        <v/>
      </c>
      <c r="Y216">
        <f>HYPERLINK("https://klasma.github.io/Logging_2404/tillsynsmail/A 32223-2024 tillsynsbegäran mail.docx", "A 32223-2024")</f>
        <v/>
      </c>
    </row>
    <row r="217" ht="15" customHeight="1">
      <c r="A217" t="inlineStr">
        <is>
          <t>A 24709-2022</t>
        </is>
      </c>
      <c r="B217" s="1" t="n">
        <v>44727</v>
      </c>
      <c r="C217" s="1" t="n">
        <v>46145</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60737-2024</t>
        </is>
      </c>
      <c r="B218" s="1" t="n">
        <v>45644</v>
      </c>
      <c r="C218" s="1" t="n">
        <v>46145</v>
      </c>
      <c r="D218" t="inlineStr">
        <is>
          <t>VÄSTERBOTTENS LÄN</t>
        </is>
      </c>
      <c r="E218" t="inlineStr">
        <is>
          <t>VILHELMINA</t>
        </is>
      </c>
      <c r="G218" t="n">
        <v>198.1</v>
      </c>
      <c r="H218" t="n">
        <v>4</v>
      </c>
      <c r="I218" t="n">
        <v>1</v>
      </c>
      <c r="J218" t="n">
        <v>7</v>
      </c>
      <c r="K218" t="n">
        <v>0</v>
      </c>
      <c r="L218" t="n">
        <v>0</v>
      </c>
      <c r="M218" t="n">
        <v>0</v>
      </c>
      <c r="N218" t="n">
        <v>0</v>
      </c>
      <c r="O218" t="n">
        <v>7</v>
      </c>
      <c r="P218" t="n">
        <v>0</v>
      </c>
      <c r="Q218" t="n">
        <v>9</v>
      </c>
      <c r="R218" s="2" t="inlineStr">
        <is>
          <t>Alfågel
Garnlav
Granticka
Gränsticka
Järpe
Tretåig hackspett
Ullticka
Kransrams
Skogsrör</t>
        </is>
      </c>
      <c r="S218">
        <f>HYPERLINK("https://klasma.github.io/Logging_2462/artfynd/A 60737-2024 artfynd.xlsx", "A 60737-2024")</f>
        <v/>
      </c>
      <c r="T218">
        <f>HYPERLINK("https://klasma.github.io/Logging_2462/kartor/A 60737-2024 karta.png", "A 60737-2024")</f>
        <v/>
      </c>
      <c r="V218">
        <f>HYPERLINK("https://klasma.github.io/Logging_2462/klagomål/A 60737-2024 FSC-klagomål.docx", "A 60737-2024")</f>
        <v/>
      </c>
      <c r="W218">
        <f>HYPERLINK("https://klasma.github.io/Logging_2462/klagomålsmail/A 60737-2024 FSC-klagomål mail.docx", "A 60737-2024")</f>
        <v/>
      </c>
      <c r="X218">
        <f>HYPERLINK("https://klasma.github.io/Logging_2462/tillsyn/A 60737-2024 tillsynsbegäran.docx", "A 60737-2024")</f>
        <v/>
      </c>
      <c r="Y218">
        <f>HYPERLINK("https://klasma.github.io/Logging_2462/tillsynsmail/A 60737-2024 tillsynsbegäran mail.docx", "A 60737-2024")</f>
        <v/>
      </c>
      <c r="Z218">
        <f>HYPERLINK("https://klasma.github.io/Logging_2462/fåglar/A 60737-2024 prioriterade fågelarter.docx", "A 60737-2024")</f>
        <v/>
      </c>
    </row>
    <row r="219" ht="15" customHeight="1">
      <c r="A219" t="inlineStr">
        <is>
          <t>A 59036-2024</t>
        </is>
      </c>
      <c r="B219" s="1" t="n">
        <v>45636</v>
      </c>
      <c r="C219" s="1" t="n">
        <v>46145</v>
      </c>
      <c r="D219" t="inlineStr">
        <is>
          <t>VÄSTERBOTTENS LÄN</t>
        </is>
      </c>
      <c r="E219" t="inlineStr">
        <is>
          <t>VILHELMINA</t>
        </is>
      </c>
      <c r="F219" t="inlineStr">
        <is>
          <t>Allmännings- och besparingsskogar</t>
        </is>
      </c>
      <c r="G219" t="n">
        <v>33.1</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53274-2024</t>
        </is>
      </c>
      <c r="B220" s="1" t="n">
        <v>45614</v>
      </c>
      <c r="C220" s="1" t="n">
        <v>46145</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12330-2023</t>
        </is>
      </c>
      <c r="B221" s="1" t="n">
        <v>44995</v>
      </c>
      <c r="C221" s="1" t="n">
        <v>46145</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47706-2025</t>
        </is>
      </c>
      <c r="B222" s="1" t="n">
        <v>45931</v>
      </c>
      <c r="C222" s="1" t="n">
        <v>46145</v>
      </c>
      <c r="D222" t="inlineStr">
        <is>
          <t>VÄSTERBOTTENS LÄN</t>
        </is>
      </c>
      <c r="E222" t="inlineStr">
        <is>
          <t>ÅSELE</t>
        </is>
      </c>
      <c r="F222" t="inlineStr">
        <is>
          <t>Naturvårdsverket</t>
        </is>
      </c>
      <c r="G222" t="n">
        <v>21.5</v>
      </c>
      <c r="H222" t="n">
        <v>3</v>
      </c>
      <c r="I222" t="n">
        <v>1</v>
      </c>
      <c r="J222" t="n">
        <v>7</v>
      </c>
      <c r="K222" t="n">
        <v>0</v>
      </c>
      <c r="L222" t="n">
        <v>0</v>
      </c>
      <c r="M222" t="n">
        <v>0</v>
      </c>
      <c r="N222" t="n">
        <v>0</v>
      </c>
      <c r="O222" t="n">
        <v>7</v>
      </c>
      <c r="P222" t="n">
        <v>0</v>
      </c>
      <c r="Q222" t="n">
        <v>9</v>
      </c>
      <c r="R222" s="2" t="inlineStr">
        <is>
          <t>Blågrå svartspik
Garnlav
Granticka
Kolflarnlav
Spillkråka
Tretåig hackspett
Vedskivlav
Luddlav
Kungsfågel</t>
        </is>
      </c>
      <c r="S222">
        <f>HYPERLINK("https://klasma.github.io/Logging_2463/artfynd/A 47706-2025 artfynd.xlsx", "A 47706-2025")</f>
        <v/>
      </c>
      <c r="T222">
        <f>HYPERLINK("https://klasma.github.io/Logging_2463/kartor/A 47706-2025 karta.png", "A 47706-2025")</f>
        <v/>
      </c>
      <c r="V222">
        <f>HYPERLINK("https://klasma.github.io/Logging_2463/klagomål/A 47706-2025 FSC-klagomål.docx", "A 47706-2025")</f>
        <v/>
      </c>
      <c r="W222">
        <f>HYPERLINK("https://klasma.github.io/Logging_2463/klagomålsmail/A 47706-2025 FSC-klagomål mail.docx", "A 47706-2025")</f>
        <v/>
      </c>
      <c r="X222">
        <f>HYPERLINK("https://klasma.github.io/Logging_2463/tillsyn/A 47706-2025 tillsynsbegäran.docx", "A 47706-2025")</f>
        <v/>
      </c>
      <c r="Y222">
        <f>HYPERLINK("https://klasma.github.io/Logging_2463/tillsynsmail/A 47706-2025 tillsynsbegäran mail.docx", "A 47706-2025")</f>
        <v/>
      </c>
      <c r="Z222">
        <f>HYPERLINK("https://klasma.github.io/Logging_2463/fåglar/A 47706-2025 prioriterade fågelarter.docx", "A 47706-2025")</f>
        <v/>
      </c>
    </row>
    <row r="223" ht="15" customHeight="1">
      <c r="A223" t="inlineStr">
        <is>
          <t>A 58829-2025</t>
        </is>
      </c>
      <c r="B223" s="1" t="n">
        <v>45987</v>
      </c>
      <c r="C223" s="1" t="n">
        <v>46145</v>
      </c>
      <c r="D223" t="inlineStr">
        <is>
          <t>VÄSTERBOTTENS LÄN</t>
        </is>
      </c>
      <c r="E223" t="inlineStr">
        <is>
          <t>UMEÅ</t>
        </is>
      </c>
      <c r="G223" t="n">
        <v>7.6</v>
      </c>
      <c r="H223" t="n">
        <v>4</v>
      </c>
      <c r="I223" t="n">
        <v>1</v>
      </c>
      <c r="J223" t="n">
        <v>7</v>
      </c>
      <c r="K223" t="n">
        <v>0</v>
      </c>
      <c r="L223" t="n">
        <v>0</v>
      </c>
      <c r="M223" t="n">
        <v>0</v>
      </c>
      <c r="N223" t="n">
        <v>0</v>
      </c>
      <c r="O223" t="n">
        <v>7</v>
      </c>
      <c r="P223" t="n">
        <v>0</v>
      </c>
      <c r="Q223" t="n">
        <v>9</v>
      </c>
      <c r="R223" s="2" t="inlineStr">
        <is>
          <t>Garnlav
Harticka
Spillkråka
Stjärntagging
Talltita
Tretåig hackspett
Ullticka
Vedticka
Kungsfågel</t>
        </is>
      </c>
      <c r="S223">
        <f>HYPERLINK("https://klasma.github.io/Logging_2480/artfynd/A 58829-2025 artfynd.xlsx", "A 58829-2025")</f>
        <v/>
      </c>
      <c r="T223">
        <f>HYPERLINK("https://klasma.github.io/Logging_2480/kartor/A 58829-2025 karta.png", "A 58829-2025")</f>
        <v/>
      </c>
      <c r="V223">
        <f>HYPERLINK("https://klasma.github.io/Logging_2480/klagomål/A 58829-2025 FSC-klagomål.docx", "A 58829-2025")</f>
        <v/>
      </c>
      <c r="W223">
        <f>HYPERLINK("https://klasma.github.io/Logging_2480/klagomålsmail/A 58829-2025 FSC-klagomål mail.docx", "A 58829-2025")</f>
        <v/>
      </c>
      <c r="X223">
        <f>HYPERLINK("https://klasma.github.io/Logging_2480/tillsyn/A 58829-2025 tillsynsbegäran.docx", "A 58829-2025")</f>
        <v/>
      </c>
      <c r="Y223">
        <f>HYPERLINK("https://klasma.github.io/Logging_2480/tillsynsmail/A 58829-2025 tillsynsbegäran mail.docx", "A 58829-2025")</f>
        <v/>
      </c>
      <c r="Z223">
        <f>HYPERLINK("https://klasma.github.io/Logging_2480/fåglar/A 58829-2025 prioriterade fågelarter.docx", "A 58829-2025")</f>
        <v/>
      </c>
    </row>
    <row r="224" ht="15" customHeight="1">
      <c r="A224" t="inlineStr">
        <is>
          <t>A 11302-2026</t>
        </is>
      </c>
      <c r="B224" s="1" t="n">
        <v>46080</v>
      </c>
      <c r="C224" s="1" t="n">
        <v>46145</v>
      </c>
      <c r="D224" t="inlineStr">
        <is>
          <t>VÄSTERBOTTENS LÄN</t>
        </is>
      </c>
      <c r="E224" t="inlineStr">
        <is>
          <t>ROBERTSFORS</t>
        </is>
      </c>
      <c r="G224" t="n">
        <v>3.6</v>
      </c>
      <c r="H224" t="n">
        <v>3</v>
      </c>
      <c r="I224" t="n">
        <v>1</v>
      </c>
      <c r="J224" t="n">
        <v>7</v>
      </c>
      <c r="K224" t="n">
        <v>1</v>
      </c>
      <c r="L224" t="n">
        <v>0</v>
      </c>
      <c r="M224" t="n">
        <v>0</v>
      </c>
      <c r="N224" t="n">
        <v>0</v>
      </c>
      <c r="O224" t="n">
        <v>8</v>
      </c>
      <c r="P224" t="n">
        <v>1</v>
      </c>
      <c r="Q224" t="n">
        <v>9</v>
      </c>
      <c r="R224" s="2" t="inlineStr">
        <is>
          <t>Knärot
Gammelgransskål
Garnlav
Granticka
Spillkråka
Tallticka
Tretåig hackspett
Ullticka
Vedticka</t>
        </is>
      </c>
      <c r="S224">
        <f>HYPERLINK("https://klasma.github.io/Logging_2409/artfynd/A 11302-2026 artfynd.xlsx", "A 11302-2026")</f>
        <v/>
      </c>
      <c r="T224">
        <f>HYPERLINK("https://klasma.github.io/Logging_2409/kartor/A 11302-2026 karta.png", "A 11302-2026")</f>
        <v/>
      </c>
      <c r="U224">
        <f>HYPERLINK("https://klasma.github.io/Logging_2409/knärot/A 11302-2026 karta knärot.png", "A 11302-2026")</f>
        <v/>
      </c>
      <c r="V224">
        <f>HYPERLINK("https://klasma.github.io/Logging_2409/klagomål/A 11302-2026 FSC-klagomål.docx", "A 11302-2026")</f>
        <v/>
      </c>
      <c r="W224">
        <f>HYPERLINK("https://klasma.github.io/Logging_2409/klagomålsmail/A 11302-2026 FSC-klagomål mail.docx", "A 11302-2026")</f>
        <v/>
      </c>
      <c r="X224">
        <f>HYPERLINK("https://klasma.github.io/Logging_2409/tillsyn/A 11302-2026 tillsynsbegäran.docx", "A 11302-2026")</f>
        <v/>
      </c>
      <c r="Y224">
        <f>HYPERLINK("https://klasma.github.io/Logging_2409/tillsynsmail/A 11302-2026 tillsynsbegäran mail.docx", "A 11302-2026")</f>
        <v/>
      </c>
      <c r="Z224">
        <f>HYPERLINK("https://klasma.github.io/Logging_2409/fåglar/A 11302-2026 prioriterade fågelarter.docx", "A 11302-2026")</f>
        <v/>
      </c>
    </row>
    <row r="225" ht="15" customHeight="1">
      <c r="A225" t="inlineStr">
        <is>
          <t>A 15455-2025</t>
        </is>
      </c>
      <c r="B225" s="1" t="n">
        <v>45747</v>
      </c>
      <c r="C225" s="1" t="n">
        <v>46145</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46145</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31759-2025</t>
        </is>
      </c>
      <c r="B227" s="1" t="n">
        <v>45834.48988425926</v>
      </c>
      <c r="C227" s="1" t="n">
        <v>46145</v>
      </c>
      <c r="D227" t="inlineStr">
        <is>
          <t>VÄSTERBOTTENS LÄN</t>
        </is>
      </c>
      <c r="E227" t="inlineStr">
        <is>
          <t>NORSJÖ</t>
        </is>
      </c>
      <c r="G227" t="n">
        <v>18.5</v>
      </c>
      <c r="H227" t="n">
        <v>2</v>
      </c>
      <c r="I227" t="n">
        <v>1</v>
      </c>
      <c r="J227" t="n">
        <v>8</v>
      </c>
      <c r="K227" t="n">
        <v>0</v>
      </c>
      <c r="L227" t="n">
        <v>0</v>
      </c>
      <c r="M227" t="n">
        <v>0</v>
      </c>
      <c r="N227" t="n">
        <v>0</v>
      </c>
      <c r="O227" t="n">
        <v>8</v>
      </c>
      <c r="P227" t="n">
        <v>0</v>
      </c>
      <c r="Q227" t="n">
        <v>9</v>
      </c>
      <c r="R227" s="2" t="inlineStr">
        <is>
          <t>Garnlav
Gränsticka
Kolflarnlav
Mörk kolflarnlav
Nordtagging
Spillkråka
Tretåig hackspett
Vedskivlav
Vedticka</t>
        </is>
      </c>
      <c r="S227">
        <f>HYPERLINK("https://klasma.github.io/Logging_2417/artfynd/A 31759-2025 artfynd.xlsx", "A 31759-2025")</f>
        <v/>
      </c>
      <c r="T227">
        <f>HYPERLINK("https://klasma.github.io/Logging_2417/kartor/A 31759-2025 karta.png", "A 31759-2025")</f>
        <v/>
      </c>
      <c r="V227">
        <f>HYPERLINK("https://klasma.github.io/Logging_2417/klagomål/A 31759-2025 FSC-klagomål.docx", "A 31759-2025")</f>
        <v/>
      </c>
      <c r="W227">
        <f>HYPERLINK("https://klasma.github.io/Logging_2417/klagomålsmail/A 31759-2025 FSC-klagomål mail.docx", "A 31759-2025")</f>
        <v/>
      </c>
      <c r="X227">
        <f>HYPERLINK("https://klasma.github.io/Logging_2417/tillsyn/A 31759-2025 tillsynsbegäran.docx", "A 31759-2025")</f>
        <v/>
      </c>
      <c r="Y227">
        <f>HYPERLINK("https://klasma.github.io/Logging_2417/tillsynsmail/A 31759-2025 tillsynsbegäran mail.docx", "A 31759-2025")</f>
        <v/>
      </c>
      <c r="Z227">
        <f>HYPERLINK("https://klasma.github.io/Logging_2417/fåglar/A 31759-2025 prioriterade fågelarter.docx", "A 31759-2025")</f>
        <v/>
      </c>
    </row>
    <row r="228" ht="15" customHeight="1">
      <c r="A228" t="inlineStr">
        <is>
          <t>A 34015-2025</t>
        </is>
      </c>
      <c r="B228" s="1" t="n">
        <v>45845.3308912037</v>
      </c>
      <c r="C228" s="1" t="n">
        <v>46145</v>
      </c>
      <c r="D228" t="inlineStr">
        <is>
          <t>VÄSTERBOTTENS LÄN</t>
        </is>
      </c>
      <c r="E228" t="inlineStr">
        <is>
          <t>LYCKSELE</t>
        </is>
      </c>
      <c r="F228" t="inlineStr">
        <is>
          <t>Sveaskog</t>
        </is>
      </c>
      <c r="G228" t="n">
        <v>10.4</v>
      </c>
      <c r="H228" t="n">
        <v>3</v>
      </c>
      <c r="I228" t="n">
        <v>0</v>
      </c>
      <c r="J228" t="n">
        <v>7</v>
      </c>
      <c r="K228" t="n">
        <v>0</v>
      </c>
      <c r="L228" t="n">
        <v>0</v>
      </c>
      <c r="M228" t="n">
        <v>0</v>
      </c>
      <c r="N228" t="n">
        <v>0</v>
      </c>
      <c r="O228" t="n">
        <v>7</v>
      </c>
      <c r="P228" t="n">
        <v>0</v>
      </c>
      <c r="Q228" t="n">
        <v>9</v>
      </c>
      <c r="R228" s="2" t="inlineStr">
        <is>
          <t>Gammelgransskål
Garnlav
Kolflarnlav
Motaggsvamp
Tallriska
Tretåig hackspett
Vitgrynig nållav
Huggorm
Revlummer</t>
        </is>
      </c>
      <c r="S228">
        <f>HYPERLINK("https://klasma.github.io/Logging_2481/artfynd/A 34015-2025 artfynd.xlsx", "A 34015-2025")</f>
        <v/>
      </c>
      <c r="T228">
        <f>HYPERLINK("https://klasma.github.io/Logging_2481/kartor/A 34015-2025 karta.png", "A 34015-2025")</f>
        <v/>
      </c>
      <c r="V228">
        <f>HYPERLINK("https://klasma.github.io/Logging_2481/klagomål/A 34015-2025 FSC-klagomål.docx", "A 34015-2025")</f>
        <v/>
      </c>
      <c r="W228">
        <f>HYPERLINK("https://klasma.github.io/Logging_2481/klagomålsmail/A 34015-2025 FSC-klagomål mail.docx", "A 34015-2025")</f>
        <v/>
      </c>
      <c r="X228">
        <f>HYPERLINK("https://klasma.github.io/Logging_2481/tillsyn/A 34015-2025 tillsynsbegäran.docx", "A 34015-2025")</f>
        <v/>
      </c>
      <c r="Y228">
        <f>HYPERLINK("https://klasma.github.io/Logging_2481/tillsynsmail/A 34015-2025 tillsynsbegäran mail.docx", "A 34015-2025")</f>
        <v/>
      </c>
      <c r="Z228">
        <f>HYPERLINK("https://klasma.github.io/Logging_2481/fåglar/A 34015-2025 prioriterade fågelarter.docx", "A 34015-2025")</f>
        <v/>
      </c>
    </row>
    <row r="229" ht="15" customHeight="1">
      <c r="A229" t="inlineStr">
        <is>
          <t>A 72168-2021</t>
        </is>
      </c>
      <c r="B229" s="1" t="n">
        <v>44543</v>
      </c>
      <c r="C229" s="1" t="n">
        <v>46145</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46145</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46145</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Kötticka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46145</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12017-2023</t>
        </is>
      </c>
      <c r="B233" s="1" t="n">
        <v>44995.64068287037</v>
      </c>
      <c r="C233" s="1" t="n">
        <v>46145</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37960-2025</t>
        </is>
      </c>
      <c r="B234" s="1" t="n">
        <v>45881</v>
      </c>
      <c r="C234" s="1" t="n">
        <v>46145</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Kötticka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40423-2025</t>
        </is>
      </c>
      <c r="B235" s="1" t="n">
        <v>45895.58626157408</v>
      </c>
      <c r="C235" s="1" t="n">
        <v>46145</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56632-2024</t>
        </is>
      </c>
      <c r="B236" s="1" t="n">
        <v>45625</v>
      </c>
      <c r="C236" s="1" t="n">
        <v>46145</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49216-2025</t>
        </is>
      </c>
      <c r="B237" s="1" t="n">
        <v>45938.44971064815</v>
      </c>
      <c r="C237" s="1" t="n">
        <v>46145</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46145</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46145</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46145</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56996-2025</t>
        </is>
      </c>
      <c r="B241" s="1" t="n">
        <v>45978</v>
      </c>
      <c r="C241" s="1" t="n">
        <v>46145</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28799-2024</t>
        </is>
      </c>
      <c r="B242" s="1" t="n">
        <v>45478</v>
      </c>
      <c r="C242" s="1" t="n">
        <v>46145</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62402-2025</t>
        </is>
      </c>
      <c r="B243" s="1" t="n">
        <v>46007.41623842593</v>
      </c>
      <c r="C243" s="1" t="n">
        <v>46145</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46145</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302-2025</t>
        </is>
      </c>
      <c r="B245" s="1" t="n">
        <v>45656</v>
      </c>
      <c r="C245" s="1" t="n">
        <v>46145</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36220-2023</t>
        </is>
      </c>
      <c r="B246" s="1" t="n">
        <v>45149</v>
      </c>
      <c r="C246" s="1" t="n">
        <v>46145</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36650-2023</t>
        </is>
      </c>
      <c r="B247" s="1" t="n">
        <v>45152</v>
      </c>
      <c r="C247" s="1" t="n">
        <v>46145</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30345-2024</t>
        </is>
      </c>
      <c r="B248" s="1" t="n">
        <v>45490</v>
      </c>
      <c r="C248" s="1" t="n">
        <v>46145</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60849-2024</t>
        </is>
      </c>
      <c r="B249" s="1" t="n">
        <v>45644</v>
      </c>
      <c r="C249" s="1" t="n">
        <v>46145</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48272-2024</t>
        </is>
      </c>
      <c r="B250" s="1" t="n">
        <v>45590</v>
      </c>
      <c r="C250" s="1" t="n">
        <v>46145</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50033-2025</t>
        </is>
      </c>
      <c r="B251" s="1" t="n">
        <v>45943</v>
      </c>
      <c r="C251" s="1" t="n">
        <v>46145</v>
      </c>
      <c r="D251" t="inlineStr">
        <is>
          <t>VÄSTERBOTTENS LÄN</t>
        </is>
      </c>
      <c r="E251" t="inlineStr">
        <is>
          <t>VÄNNÄS</t>
        </is>
      </c>
      <c r="G251" t="n">
        <v>22.5</v>
      </c>
      <c r="H251" t="n">
        <v>3</v>
      </c>
      <c r="I251" t="n">
        <v>2</v>
      </c>
      <c r="J251" t="n">
        <v>5</v>
      </c>
      <c r="K251" t="n">
        <v>0</v>
      </c>
      <c r="L251" t="n">
        <v>0</v>
      </c>
      <c r="M251" t="n">
        <v>0</v>
      </c>
      <c r="N251" t="n">
        <v>0</v>
      </c>
      <c r="O251" t="n">
        <v>5</v>
      </c>
      <c r="P251" t="n">
        <v>0</v>
      </c>
      <c r="Q251" t="n">
        <v>8</v>
      </c>
      <c r="R251" s="2" t="inlineStr">
        <is>
          <t>Garnlav
Rosenticka
Spillkråka
Tretåig hackspett
Ullticka
Jättesvampmal
Vedticka
Fläcknycklar</t>
        </is>
      </c>
      <c r="S251">
        <f>HYPERLINK("https://klasma.github.io/Logging_2460/artfynd/A 50033-2025 artfynd.xlsx", "A 50033-2025")</f>
        <v/>
      </c>
      <c r="T251">
        <f>HYPERLINK("https://klasma.github.io/Logging_2460/kartor/A 50033-2025 karta.png", "A 50033-2025")</f>
        <v/>
      </c>
      <c r="V251">
        <f>HYPERLINK("https://klasma.github.io/Logging_2460/klagomål/A 50033-2025 FSC-klagomål.docx", "A 50033-2025")</f>
        <v/>
      </c>
      <c r="W251">
        <f>HYPERLINK("https://klasma.github.io/Logging_2460/klagomålsmail/A 50033-2025 FSC-klagomål mail.docx", "A 50033-2025")</f>
        <v/>
      </c>
      <c r="X251">
        <f>HYPERLINK("https://klasma.github.io/Logging_2460/tillsyn/A 50033-2025 tillsynsbegäran.docx", "A 50033-2025")</f>
        <v/>
      </c>
      <c r="Y251">
        <f>HYPERLINK("https://klasma.github.io/Logging_2460/tillsynsmail/A 50033-2025 tillsynsbegäran mail.docx", "A 50033-2025")</f>
        <v/>
      </c>
      <c r="Z251">
        <f>HYPERLINK("https://klasma.github.io/Logging_2460/fåglar/A 50033-2025 prioriterade fågelarter.docx", "A 50033-2025")</f>
        <v/>
      </c>
    </row>
    <row r="252" ht="15" customHeight="1">
      <c r="A252" t="inlineStr">
        <is>
          <t>A 54406-2021</t>
        </is>
      </c>
      <c r="B252" s="1" t="n">
        <v>44473.40152777778</v>
      </c>
      <c r="C252" s="1" t="n">
        <v>46145</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57580-2024</t>
        </is>
      </c>
      <c r="B253" s="1" t="n">
        <v>45630</v>
      </c>
      <c r="C253" s="1" t="n">
        <v>46145</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26191-2022</t>
        </is>
      </c>
      <c r="B254" s="1" t="n">
        <v>44735</v>
      </c>
      <c r="C254" s="1" t="n">
        <v>46145</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6819-2026</t>
        </is>
      </c>
      <c r="B255" s="1" t="n">
        <v>46057.38619212963</v>
      </c>
      <c r="C255" s="1" t="n">
        <v>46145</v>
      </c>
      <c r="D255" t="inlineStr">
        <is>
          <t>VÄSTERBOTTENS LÄN</t>
        </is>
      </c>
      <c r="E255" t="inlineStr">
        <is>
          <t>BJURHOLM</t>
        </is>
      </c>
      <c r="G255" t="n">
        <v>10.5</v>
      </c>
      <c r="H255" t="n">
        <v>3</v>
      </c>
      <c r="I255" t="n">
        <v>2</v>
      </c>
      <c r="J255" t="n">
        <v>6</v>
      </c>
      <c r="K255" t="n">
        <v>0</v>
      </c>
      <c r="L255" t="n">
        <v>0</v>
      </c>
      <c r="M255" t="n">
        <v>0</v>
      </c>
      <c r="N255" t="n">
        <v>0</v>
      </c>
      <c r="O255" t="n">
        <v>6</v>
      </c>
      <c r="P255" t="n">
        <v>0</v>
      </c>
      <c r="Q255" t="n">
        <v>8</v>
      </c>
      <c r="R255" s="2" t="inlineStr">
        <is>
          <t>Garnlav
Granticka
Lunglav
Spillkråka
Talltita
Tretåig hackspett
Dropptaggsvamp
Grönpyrola</t>
        </is>
      </c>
      <c r="S255">
        <f>HYPERLINK("https://klasma.github.io/Logging_2403/artfynd/A 6819-2026 artfynd.xlsx", "A 6819-2026")</f>
        <v/>
      </c>
      <c r="T255">
        <f>HYPERLINK("https://klasma.github.io/Logging_2403/kartor/A 6819-2026 karta.png", "A 6819-2026")</f>
        <v/>
      </c>
      <c r="V255">
        <f>HYPERLINK("https://klasma.github.io/Logging_2403/klagomål/A 6819-2026 FSC-klagomål.docx", "A 6819-2026")</f>
        <v/>
      </c>
      <c r="W255">
        <f>HYPERLINK("https://klasma.github.io/Logging_2403/klagomålsmail/A 6819-2026 FSC-klagomål mail.docx", "A 6819-2026")</f>
        <v/>
      </c>
      <c r="X255">
        <f>HYPERLINK("https://klasma.github.io/Logging_2403/tillsyn/A 6819-2026 tillsynsbegäran.docx", "A 6819-2026")</f>
        <v/>
      </c>
      <c r="Y255">
        <f>HYPERLINK("https://klasma.github.io/Logging_2403/tillsynsmail/A 6819-2026 tillsynsbegäran mail.docx", "A 6819-2026")</f>
        <v/>
      </c>
      <c r="Z255">
        <f>HYPERLINK("https://klasma.github.io/Logging_2403/fåglar/A 6819-2026 prioriterade fågelarter.docx", "A 6819-2026")</f>
        <v/>
      </c>
    </row>
    <row r="256" ht="15" customHeight="1">
      <c r="A256" t="inlineStr">
        <is>
          <t>A 1095-2026</t>
        </is>
      </c>
      <c r="B256" s="1" t="n">
        <v>46030.66328703704</v>
      </c>
      <c r="C256" s="1" t="n">
        <v>46145</v>
      </c>
      <c r="D256" t="inlineStr">
        <is>
          <t>VÄSTERBOTTENS LÄN</t>
        </is>
      </c>
      <c r="E256" t="inlineStr">
        <is>
          <t>SKELLEFTEÅ</t>
        </is>
      </c>
      <c r="G256" t="n">
        <v>7.6</v>
      </c>
      <c r="H256" t="n">
        <v>3</v>
      </c>
      <c r="I256" t="n">
        <v>0</v>
      </c>
      <c r="J256" t="n">
        <v>6</v>
      </c>
      <c r="K256" t="n">
        <v>2</v>
      </c>
      <c r="L256" t="n">
        <v>0</v>
      </c>
      <c r="M256" t="n">
        <v>0</v>
      </c>
      <c r="N256" t="n">
        <v>0</v>
      </c>
      <c r="O256" t="n">
        <v>8</v>
      </c>
      <c r="P256" t="n">
        <v>2</v>
      </c>
      <c r="Q256" t="n">
        <v>8</v>
      </c>
      <c r="R256" s="2" t="inlineStr">
        <is>
          <t>Knärot
Rynkskinn
Garnlav
Lunglav
Spillkråka
Tretåig hackspett
Ullticka
Violettgrå tagellav</t>
        </is>
      </c>
      <c r="S256">
        <f>HYPERLINK("https://klasma.github.io/Logging_2482/artfynd/A 1095-2026 artfynd.xlsx", "A 1095-2026")</f>
        <v/>
      </c>
      <c r="T256">
        <f>HYPERLINK("https://klasma.github.io/Logging_2482/kartor/A 1095-2026 karta.png", "A 1095-2026")</f>
        <v/>
      </c>
      <c r="U256">
        <f>HYPERLINK("https://klasma.github.io/Logging_2482/knärot/A 1095-2026 karta knärot.png", "A 1095-2026")</f>
        <v/>
      </c>
      <c r="V256">
        <f>HYPERLINK("https://klasma.github.io/Logging_2482/klagomål/A 1095-2026 FSC-klagomål.docx", "A 1095-2026")</f>
        <v/>
      </c>
      <c r="W256">
        <f>HYPERLINK("https://klasma.github.io/Logging_2482/klagomålsmail/A 1095-2026 FSC-klagomål mail.docx", "A 1095-2026")</f>
        <v/>
      </c>
      <c r="X256">
        <f>HYPERLINK("https://klasma.github.io/Logging_2482/tillsyn/A 1095-2026 tillsynsbegäran.docx", "A 1095-2026")</f>
        <v/>
      </c>
      <c r="Y256">
        <f>HYPERLINK("https://klasma.github.io/Logging_2482/tillsynsmail/A 1095-2026 tillsynsbegäran mail.docx", "A 1095-2026")</f>
        <v/>
      </c>
      <c r="Z256">
        <f>HYPERLINK("https://klasma.github.io/Logging_2482/fåglar/A 1095-2026 prioriterade fågelarter.docx", "A 1095-2026")</f>
        <v/>
      </c>
    </row>
    <row r="257" ht="15" customHeight="1">
      <c r="A257" t="inlineStr">
        <is>
          <t>A 28001-2023</t>
        </is>
      </c>
      <c r="B257" s="1" t="n">
        <v>45098</v>
      </c>
      <c r="C257" s="1" t="n">
        <v>46145</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49036-2024</t>
        </is>
      </c>
      <c r="B258" s="1" t="n">
        <v>45594</v>
      </c>
      <c r="C258" s="1" t="n">
        <v>46145</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22371-2025</t>
        </is>
      </c>
      <c r="B259" s="1" t="n">
        <v>45786.47739583333</v>
      </c>
      <c r="C259" s="1" t="n">
        <v>46145</v>
      </c>
      <c r="D259" t="inlineStr">
        <is>
          <t>VÄSTERBOTTENS LÄN</t>
        </is>
      </c>
      <c r="E259" t="inlineStr">
        <is>
          <t>VINDELN</t>
        </is>
      </c>
      <c r="F259" t="inlineStr">
        <is>
          <t>Holmen skog AB</t>
        </is>
      </c>
      <c r="G259" t="n">
        <v>8.300000000000001</v>
      </c>
      <c r="H259" t="n">
        <v>0</v>
      </c>
      <c r="I259" t="n">
        <v>1</v>
      </c>
      <c r="J259" t="n">
        <v>7</v>
      </c>
      <c r="K259" t="n">
        <v>0</v>
      </c>
      <c r="L259" t="n">
        <v>0</v>
      </c>
      <c r="M259" t="n">
        <v>0</v>
      </c>
      <c r="N259" t="n">
        <v>0</v>
      </c>
      <c r="O259" t="n">
        <v>7</v>
      </c>
      <c r="P259" t="n">
        <v>0</v>
      </c>
      <c r="Q259" t="n">
        <v>8</v>
      </c>
      <c r="R259" s="2" t="inlineStr">
        <is>
          <t>Blanksvart spiklav
Blågrå svartspik
Kolflarnlav
Nordtagging
Reliktbock
Vedflamlav
Vedskivlav
Mindre märgborre</t>
        </is>
      </c>
      <c r="S259">
        <f>HYPERLINK("https://klasma.github.io/Logging_2404/artfynd/A 22371-2025 artfynd.xlsx", "A 22371-2025")</f>
        <v/>
      </c>
      <c r="T259">
        <f>HYPERLINK("https://klasma.github.io/Logging_2404/kartor/A 22371-2025 karta.png", "A 22371-2025")</f>
        <v/>
      </c>
      <c r="V259">
        <f>HYPERLINK("https://klasma.github.io/Logging_2404/klagomål/A 22371-2025 FSC-klagomål.docx", "A 22371-2025")</f>
        <v/>
      </c>
      <c r="W259">
        <f>HYPERLINK("https://klasma.github.io/Logging_2404/klagomålsmail/A 22371-2025 FSC-klagomål mail.docx", "A 22371-2025")</f>
        <v/>
      </c>
      <c r="X259">
        <f>HYPERLINK("https://klasma.github.io/Logging_2404/tillsyn/A 22371-2025 tillsynsbegäran.docx", "A 22371-2025")</f>
        <v/>
      </c>
      <c r="Y259">
        <f>HYPERLINK("https://klasma.github.io/Logging_2404/tillsynsmail/A 22371-2025 tillsynsbegäran mail.docx", "A 22371-2025")</f>
        <v/>
      </c>
    </row>
    <row r="260" ht="15" customHeight="1">
      <c r="A260" t="inlineStr">
        <is>
          <t>A 2110-2025</t>
        </is>
      </c>
      <c r="B260" s="1" t="n">
        <v>45672</v>
      </c>
      <c r="C260" s="1" t="n">
        <v>46145</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30810-2024</t>
        </is>
      </c>
      <c r="B261" s="1" t="n">
        <v>45497</v>
      </c>
      <c r="C261" s="1" t="n">
        <v>46145</v>
      </c>
      <c r="D261" t="inlineStr">
        <is>
          <t>VÄSTERBOTTENS LÄN</t>
        </is>
      </c>
      <c r="E261" t="inlineStr">
        <is>
          <t>VILHELMINA</t>
        </is>
      </c>
      <c r="G261" t="n">
        <v>24.7</v>
      </c>
      <c r="H261" t="n">
        <v>3</v>
      </c>
      <c r="I261" t="n">
        <v>1</v>
      </c>
      <c r="J261" t="n">
        <v>6</v>
      </c>
      <c r="K261" t="n">
        <v>0</v>
      </c>
      <c r="L261" t="n">
        <v>0</v>
      </c>
      <c r="M261" t="n">
        <v>0</v>
      </c>
      <c r="N261" t="n">
        <v>0</v>
      </c>
      <c r="O261" t="n">
        <v>6</v>
      </c>
      <c r="P261" t="n">
        <v>0</v>
      </c>
      <c r="Q261" t="n">
        <v>8</v>
      </c>
      <c r="R261" s="2" t="inlineStr">
        <is>
          <t>Garnlav
Granticka
Harticka
Spillkråka
Tretåig hackspett
Ullticka
Vedticka
Lavskrika</t>
        </is>
      </c>
      <c r="S261">
        <f>HYPERLINK("https://klasma.github.io/Logging_2462/artfynd/A 30810-2024 artfynd.xlsx", "A 30810-2024")</f>
        <v/>
      </c>
      <c r="T261">
        <f>HYPERLINK("https://klasma.github.io/Logging_2462/kartor/A 30810-2024 karta.png", "A 30810-2024")</f>
        <v/>
      </c>
      <c r="V261">
        <f>HYPERLINK("https://klasma.github.io/Logging_2462/klagomål/A 30810-2024 FSC-klagomål.docx", "A 30810-2024")</f>
        <v/>
      </c>
      <c r="W261">
        <f>HYPERLINK("https://klasma.github.io/Logging_2462/klagomålsmail/A 30810-2024 FSC-klagomål mail.docx", "A 30810-2024")</f>
        <v/>
      </c>
      <c r="X261">
        <f>HYPERLINK("https://klasma.github.io/Logging_2462/tillsyn/A 30810-2024 tillsynsbegäran.docx", "A 30810-2024")</f>
        <v/>
      </c>
      <c r="Y261">
        <f>HYPERLINK("https://klasma.github.io/Logging_2462/tillsynsmail/A 30810-2024 tillsynsbegäran mail.docx", "A 30810-2024")</f>
        <v/>
      </c>
      <c r="Z261">
        <f>HYPERLINK("https://klasma.github.io/Logging_2462/fåglar/A 30810-2024 prioriterade fågelarter.docx", "A 30810-2024")</f>
        <v/>
      </c>
    </row>
    <row r="262" ht="15" customHeight="1">
      <c r="A262" t="inlineStr">
        <is>
          <t>A 26112-2025</t>
        </is>
      </c>
      <c r="B262" s="1" t="n">
        <v>45805.36883101852</v>
      </c>
      <c r="C262" s="1" t="n">
        <v>46145</v>
      </c>
      <c r="D262" t="inlineStr">
        <is>
          <t>VÄSTERBOTTENS LÄN</t>
        </is>
      </c>
      <c r="E262" t="inlineStr">
        <is>
          <t>SKELLEFTEÅ</t>
        </is>
      </c>
      <c r="G262" t="n">
        <v>12.7</v>
      </c>
      <c r="H262" t="n">
        <v>0</v>
      </c>
      <c r="I262" t="n">
        <v>2</v>
      </c>
      <c r="J262" t="n">
        <v>5</v>
      </c>
      <c r="K262" t="n">
        <v>1</v>
      </c>
      <c r="L262" t="n">
        <v>0</v>
      </c>
      <c r="M262" t="n">
        <v>0</v>
      </c>
      <c r="N262" t="n">
        <v>0</v>
      </c>
      <c r="O262" t="n">
        <v>6</v>
      </c>
      <c r="P262" t="n">
        <v>1</v>
      </c>
      <c r="Q262" t="n">
        <v>8</v>
      </c>
      <c r="R262" s="2" t="inlineStr">
        <is>
          <t>Ulltickeporing
Garnlav
Kilporing
Lunglav
Stjärntagging
Ullticka
Blodticka
Vedticka</t>
        </is>
      </c>
      <c r="S262">
        <f>HYPERLINK("https://klasma.github.io/Logging_2482/artfynd/A 26112-2025 artfynd.xlsx", "A 26112-2025")</f>
        <v/>
      </c>
      <c r="T262">
        <f>HYPERLINK("https://klasma.github.io/Logging_2482/kartor/A 26112-2025 karta.png", "A 26112-2025")</f>
        <v/>
      </c>
      <c r="V262">
        <f>HYPERLINK("https://klasma.github.io/Logging_2482/klagomål/A 26112-2025 FSC-klagomål.docx", "A 26112-2025")</f>
        <v/>
      </c>
      <c r="W262">
        <f>HYPERLINK("https://klasma.github.io/Logging_2482/klagomålsmail/A 26112-2025 FSC-klagomål mail.docx", "A 26112-2025")</f>
        <v/>
      </c>
      <c r="X262">
        <f>HYPERLINK("https://klasma.github.io/Logging_2482/tillsyn/A 26112-2025 tillsynsbegäran.docx", "A 26112-2025")</f>
        <v/>
      </c>
      <c r="Y262">
        <f>HYPERLINK("https://klasma.github.io/Logging_2482/tillsynsmail/A 26112-2025 tillsynsbegäran mail.docx", "A 26112-2025")</f>
        <v/>
      </c>
    </row>
    <row r="263" ht="15" customHeight="1">
      <c r="A263" t="inlineStr">
        <is>
          <t>A 26792-2025</t>
        </is>
      </c>
      <c r="B263" s="1" t="n">
        <v>45810</v>
      </c>
      <c r="C263" s="1" t="n">
        <v>46145</v>
      </c>
      <c r="D263" t="inlineStr">
        <is>
          <t>VÄSTERBOTTENS LÄN</t>
        </is>
      </c>
      <c r="E263" t="inlineStr">
        <is>
          <t>ÅSELE</t>
        </is>
      </c>
      <c r="F263" t="inlineStr">
        <is>
          <t>SCA</t>
        </is>
      </c>
      <c r="G263" t="n">
        <v>0.8</v>
      </c>
      <c r="H263" t="n">
        <v>3</v>
      </c>
      <c r="I263" t="n">
        <v>2</v>
      </c>
      <c r="J263" t="n">
        <v>5</v>
      </c>
      <c r="K263" t="n">
        <v>0</v>
      </c>
      <c r="L263" t="n">
        <v>0</v>
      </c>
      <c r="M263" t="n">
        <v>0</v>
      </c>
      <c r="N263" t="n">
        <v>0</v>
      </c>
      <c r="O263" t="n">
        <v>5</v>
      </c>
      <c r="P263" t="n">
        <v>0</v>
      </c>
      <c r="Q263" t="n">
        <v>8</v>
      </c>
      <c r="R263" s="2" t="inlineStr">
        <is>
          <t>Gammelgransskål
Garnlav
Liten svartspik
Tretåig hackspett
Vitgrynig nållav
Luddlav
Spindelblomster
Fläcknycklar</t>
        </is>
      </c>
      <c r="S263">
        <f>HYPERLINK("https://klasma.github.io/Logging_2463/artfynd/A 26792-2025 artfynd.xlsx", "A 26792-2025")</f>
        <v/>
      </c>
      <c r="T263">
        <f>HYPERLINK("https://klasma.github.io/Logging_2463/kartor/A 26792-2025 karta.png", "A 26792-2025")</f>
        <v/>
      </c>
      <c r="V263">
        <f>HYPERLINK("https://klasma.github.io/Logging_2463/klagomål/A 26792-2025 FSC-klagomål.docx", "A 26792-2025")</f>
        <v/>
      </c>
      <c r="W263">
        <f>HYPERLINK("https://klasma.github.io/Logging_2463/klagomålsmail/A 26792-2025 FSC-klagomål mail.docx", "A 26792-2025")</f>
        <v/>
      </c>
      <c r="X263">
        <f>HYPERLINK("https://klasma.github.io/Logging_2463/tillsyn/A 26792-2025 tillsynsbegäran.docx", "A 26792-2025")</f>
        <v/>
      </c>
      <c r="Y263">
        <f>HYPERLINK("https://klasma.github.io/Logging_2463/tillsynsmail/A 26792-2025 tillsynsbegäran mail.docx", "A 26792-2025")</f>
        <v/>
      </c>
      <c r="Z263">
        <f>HYPERLINK("https://klasma.github.io/Logging_2463/fåglar/A 26792-2025 prioriterade fågelarter.docx", "A 26792-2025")</f>
        <v/>
      </c>
    </row>
    <row r="264" ht="15" customHeight="1">
      <c r="A264" t="inlineStr">
        <is>
          <t>A 33322-2025</t>
        </is>
      </c>
      <c r="B264" s="1" t="n">
        <v>45841.3452662037</v>
      </c>
      <c r="C264" s="1" t="n">
        <v>46145</v>
      </c>
      <c r="D264" t="inlineStr">
        <is>
          <t>VÄSTERBOTTENS LÄN</t>
        </is>
      </c>
      <c r="E264" t="inlineStr">
        <is>
          <t>VILHELMINA</t>
        </is>
      </c>
      <c r="F264" t="inlineStr">
        <is>
          <t>SCA</t>
        </is>
      </c>
      <c r="G264" t="n">
        <v>3.4</v>
      </c>
      <c r="H264" t="n">
        <v>1</v>
      </c>
      <c r="I264" t="n">
        <v>1</v>
      </c>
      <c r="J264" t="n">
        <v>5</v>
      </c>
      <c r="K264" t="n">
        <v>1</v>
      </c>
      <c r="L264" t="n">
        <v>0</v>
      </c>
      <c r="M264" t="n">
        <v>0</v>
      </c>
      <c r="N264" t="n">
        <v>0</v>
      </c>
      <c r="O264" t="n">
        <v>6</v>
      </c>
      <c r="P264" t="n">
        <v>1</v>
      </c>
      <c r="Q264" t="n">
        <v>8</v>
      </c>
      <c r="R264" s="2" t="inlineStr">
        <is>
          <t>Rynkskinn
Gammelgransskål
Garnlav
Granticka
Lunglav
Skrovellav
Bronshjon
Fläcknycklar</t>
        </is>
      </c>
      <c r="S264">
        <f>HYPERLINK("https://klasma.github.io/Logging_2462/artfynd/A 33322-2025 artfynd.xlsx", "A 33322-2025")</f>
        <v/>
      </c>
      <c r="T264">
        <f>HYPERLINK("https://klasma.github.io/Logging_2462/kartor/A 33322-2025 karta.png", "A 33322-2025")</f>
        <v/>
      </c>
      <c r="V264">
        <f>HYPERLINK("https://klasma.github.io/Logging_2462/klagomål/A 33322-2025 FSC-klagomål.docx", "A 33322-2025")</f>
        <v/>
      </c>
      <c r="W264">
        <f>HYPERLINK("https://klasma.github.io/Logging_2462/klagomålsmail/A 33322-2025 FSC-klagomål mail.docx", "A 33322-2025")</f>
        <v/>
      </c>
      <c r="X264">
        <f>HYPERLINK("https://klasma.github.io/Logging_2462/tillsyn/A 33322-2025 tillsynsbegäran.docx", "A 33322-2025")</f>
        <v/>
      </c>
      <c r="Y264">
        <f>HYPERLINK("https://klasma.github.io/Logging_2462/tillsynsmail/A 33322-2025 tillsynsbegäran mail.docx", "A 33322-2025")</f>
        <v/>
      </c>
    </row>
    <row r="265" ht="15" customHeight="1">
      <c r="A265" t="inlineStr">
        <is>
          <t>A 35262-2025</t>
        </is>
      </c>
      <c r="B265" s="1" t="n">
        <v>45853.78947916667</v>
      </c>
      <c r="C265" s="1" t="n">
        <v>46145</v>
      </c>
      <c r="D265" t="inlineStr">
        <is>
          <t>VÄSTERBOTTENS LÄN</t>
        </is>
      </c>
      <c r="E265" t="inlineStr">
        <is>
          <t>NORSJÖ</t>
        </is>
      </c>
      <c r="F265" t="inlineStr">
        <is>
          <t>Sveaskog</t>
        </is>
      </c>
      <c r="G265" t="n">
        <v>9.199999999999999</v>
      </c>
      <c r="H265" t="n">
        <v>3</v>
      </c>
      <c r="I265" t="n">
        <v>3</v>
      </c>
      <c r="J265" t="n">
        <v>3</v>
      </c>
      <c r="K265" t="n">
        <v>1</v>
      </c>
      <c r="L265" t="n">
        <v>0</v>
      </c>
      <c r="M265" t="n">
        <v>0</v>
      </c>
      <c r="N265" t="n">
        <v>0</v>
      </c>
      <c r="O265" t="n">
        <v>4</v>
      </c>
      <c r="P265" t="n">
        <v>1</v>
      </c>
      <c r="Q265" t="n">
        <v>8</v>
      </c>
      <c r="R265" s="2" t="inlineStr">
        <is>
          <t>Knärot
Garnlav
Lunglav
Tretåig hackspett
Grönpyrola
Stuplav
Ögonpyrola
Fläcknycklar</t>
        </is>
      </c>
      <c r="S265">
        <f>HYPERLINK("https://klasma.github.io/Logging_2417/artfynd/A 35262-2025 artfynd.xlsx", "A 35262-2025")</f>
        <v/>
      </c>
      <c r="T265">
        <f>HYPERLINK("https://klasma.github.io/Logging_2417/kartor/A 35262-2025 karta.png", "A 35262-2025")</f>
        <v/>
      </c>
      <c r="U265">
        <f>HYPERLINK("https://klasma.github.io/Logging_2417/knärot/A 35262-2025 karta knärot.png", "A 35262-2025")</f>
        <v/>
      </c>
      <c r="V265">
        <f>HYPERLINK("https://klasma.github.io/Logging_2417/klagomål/A 35262-2025 FSC-klagomål.docx", "A 35262-2025")</f>
        <v/>
      </c>
      <c r="W265">
        <f>HYPERLINK("https://klasma.github.io/Logging_2417/klagomålsmail/A 35262-2025 FSC-klagomål mail.docx", "A 35262-2025")</f>
        <v/>
      </c>
      <c r="X265">
        <f>HYPERLINK("https://klasma.github.io/Logging_2417/tillsyn/A 35262-2025 tillsynsbegäran.docx", "A 35262-2025")</f>
        <v/>
      </c>
      <c r="Y265">
        <f>HYPERLINK("https://klasma.github.io/Logging_2417/tillsynsmail/A 35262-2025 tillsynsbegäran mail.docx", "A 35262-2025")</f>
        <v/>
      </c>
      <c r="Z265">
        <f>HYPERLINK("https://klasma.github.io/Logging_2417/fåglar/A 35262-2025 prioriterade fågelarter.docx", "A 35262-2025")</f>
        <v/>
      </c>
    </row>
    <row r="266" ht="15" customHeight="1">
      <c r="A266" t="inlineStr">
        <is>
          <t>A 40101-2022</t>
        </is>
      </c>
      <c r="B266" s="1" t="n">
        <v>44820</v>
      </c>
      <c r="C266" s="1" t="n">
        <v>46145</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46145</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46145</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14493-2022</t>
        </is>
      </c>
      <c r="B269" s="1" t="n">
        <v>44655</v>
      </c>
      <c r="C269" s="1" t="n">
        <v>46145</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53097-2024</t>
        </is>
      </c>
      <c r="B270" s="1" t="n">
        <v>45611</v>
      </c>
      <c r="C270" s="1" t="n">
        <v>46145</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31833-2023</t>
        </is>
      </c>
      <c r="B271" s="1" t="n">
        <v>45106</v>
      </c>
      <c r="C271" s="1" t="n">
        <v>46145</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61242-2023</t>
        </is>
      </c>
      <c r="B272" s="1" t="n">
        <v>45264.46740740741</v>
      </c>
      <c r="C272" s="1" t="n">
        <v>46145</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33655-2023</t>
        </is>
      </c>
      <c r="B273" s="1" t="n">
        <v>45119</v>
      </c>
      <c r="C273" s="1" t="n">
        <v>46145</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46145</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agg.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30187-2023</t>
        </is>
      </c>
      <c r="B275" s="1" t="n">
        <v>45110</v>
      </c>
      <c r="C275" s="1" t="n">
        <v>46145</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25564-2024</t>
        </is>
      </c>
      <c r="B276" s="1" t="n">
        <v>45463</v>
      </c>
      <c r="C276" s="1" t="n">
        <v>46145</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37547-2023</t>
        </is>
      </c>
      <c r="B277" s="1" t="n">
        <v>45158</v>
      </c>
      <c r="C277" s="1" t="n">
        <v>46145</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57059-2024</t>
        </is>
      </c>
      <c r="B278" s="1" t="n">
        <v>45629</v>
      </c>
      <c r="C278" s="1" t="n">
        <v>46145</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3358-2022</t>
        </is>
      </c>
      <c r="B279" s="1" t="n">
        <v>44585</v>
      </c>
      <c r="C279" s="1" t="n">
        <v>46145</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19331-2024</t>
        </is>
      </c>
      <c r="B280" s="1" t="n">
        <v>45428</v>
      </c>
      <c r="C280" s="1" t="n">
        <v>46145</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18873-2025</t>
        </is>
      </c>
      <c r="B281" s="1" t="n">
        <v>45764</v>
      </c>
      <c r="C281" s="1" t="n">
        <v>46145</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15852-2022</t>
        </is>
      </c>
      <c r="B282" s="1" t="n">
        <v>44664</v>
      </c>
      <c r="C282" s="1" t="n">
        <v>46145</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13467-2024</t>
        </is>
      </c>
      <c r="B283" s="1" t="n">
        <v>45387.57256944444</v>
      </c>
      <c r="C283" s="1" t="n">
        <v>46145</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54391-2023</t>
        </is>
      </c>
      <c r="B284" s="1" t="n">
        <v>45226</v>
      </c>
      <c r="C284" s="1" t="n">
        <v>46145</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46145</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32456-2024</t>
        </is>
      </c>
      <c r="B286" s="1" t="n">
        <v>45512</v>
      </c>
      <c r="C286" s="1" t="n">
        <v>46145</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7260-2026</t>
        </is>
      </c>
      <c r="B287" s="1" t="n">
        <v>46058.59981481481</v>
      </c>
      <c r="C287" s="1" t="n">
        <v>46145</v>
      </c>
      <c r="D287" t="inlineStr">
        <is>
          <t>VÄSTERBOTTENS LÄN</t>
        </is>
      </c>
      <c r="E287" t="inlineStr">
        <is>
          <t>VILHELMINA</t>
        </is>
      </c>
      <c r="G287" t="n">
        <v>6.1</v>
      </c>
      <c r="H287" t="n">
        <v>3</v>
      </c>
      <c r="I287" t="n">
        <v>3</v>
      </c>
      <c r="J287" t="n">
        <v>3</v>
      </c>
      <c r="K287" t="n">
        <v>0</v>
      </c>
      <c r="L287" t="n">
        <v>0</v>
      </c>
      <c r="M287" t="n">
        <v>0</v>
      </c>
      <c r="N287" t="n">
        <v>0</v>
      </c>
      <c r="O287" t="n">
        <v>3</v>
      </c>
      <c r="P287" t="n">
        <v>0</v>
      </c>
      <c r="Q287" t="n">
        <v>7</v>
      </c>
      <c r="R287" s="2" t="inlineStr">
        <is>
          <t>Garnlav
Järpe
Skrovellav
Luddlav
Plattlummer
Ögonpyrola
Revlummer</t>
        </is>
      </c>
      <c r="S287">
        <f>HYPERLINK("https://klasma.github.io/Logging_2462/artfynd/A 7260-2026 artfynd.xlsx", "A 7260-2026")</f>
        <v/>
      </c>
      <c r="T287">
        <f>HYPERLINK("https://klasma.github.io/Logging_2462/kartor/A 7260-2026 karta.png", "A 7260-2026")</f>
        <v/>
      </c>
      <c r="V287">
        <f>HYPERLINK("https://klasma.github.io/Logging_2462/klagomål/A 7260-2026 FSC-klagomål.docx", "A 7260-2026")</f>
        <v/>
      </c>
      <c r="W287">
        <f>HYPERLINK("https://klasma.github.io/Logging_2462/klagomålsmail/A 7260-2026 FSC-klagomål mail.docx", "A 7260-2026")</f>
        <v/>
      </c>
      <c r="X287">
        <f>HYPERLINK("https://klasma.github.io/Logging_2462/tillsyn/A 7260-2026 tillsynsbegäran.docx", "A 7260-2026")</f>
        <v/>
      </c>
      <c r="Y287">
        <f>HYPERLINK("https://klasma.github.io/Logging_2462/tillsynsmail/A 7260-2026 tillsynsbegäran mail.docx", "A 7260-2026")</f>
        <v/>
      </c>
      <c r="Z287">
        <f>HYPERLINK("https://klasma.github.io/Logging_2462/fåglar/A 7260-2026 prioriterade fågelarter.docx", "A 7260-2026")</f>
        <v/>
      </c>
    </row>
    <row r="288" ht="15" customHeight="1">
      <c r="A288" t="inlineStr">
        <is>
          <t>A 47932-2024</t>
        </is>
      </c>
      <c r="B288" s="1" t="n">
        <v>45589</v>
      </c>
      <c r="C288" s="1" t="n">
        <v>46145</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23646-2025</t>
        </is>
      </c>
      <c r="B289" s="1" t="n">
        <v>45792.69844907407</v>
      </c>
      <c r="C289" s="1" t="n">
        <v>46145</v>
      </c>
      <c r="D289" t="inlineStr">
        <is>
          <t>VÄSTERBOTTENS LÄN</t>
        </is>
      </c>
      <c r="E289" t="inlineStr">
        <is>
          <t>ROBERTSFORS</t>
        </is>
      </c>
      <c r="G289" t="n">
        <v>5.7</v>
      </c>
      <c r="H289" t="n">
        <v>3</v>
      </c>
      <c r="I289" t="n">
        <v>1</v>
      </c>
      <c r="J289" t="n">
        <v>5</v>
      </c>
      <c r="K289" t="n">
        <v>1</v>
      </c>
      <c r="L289" t="n">
        <v>0</v>
      </c>
      <c r="M289" t="n">
        <v>0</v>
      </c>
      <c r="N289" t="n">
        <v>0</v>
      </c>
      <c r="O289" t="n">
        <v>6</v>
      </c>
      <c r="P289" t="n">
        <v>1</v>
      </c>
      <c r="Q289" t="n">
        <v>7</v>
      </c>
      <c r="R289" s="2" t="inlineStr">
        <is>
          <t>Knärot
Harticka
Lunglav
Spillkråka
Stjärntagging
Tretåig hackspett
Stuplav</t>
        </is>
      </c>
      <c r="S289">
        <f>HYPERLINK("https://klasma.github.io/Logging_2409/artfynd/A 23646-2025 artfynd.xlsx", "A 23646-2025")</f>
        <v/>
      </c>
      <c r="T289">
        <f>HYPERLINK("https://klasma.github.io/Logging_2409/kartor/A 23646-2025 karta.png", "A 23646-2025")</f>
        <v/>
      </c>
      <c r="U289">
        <f>HYPERLINK("https://klasma.github.io/Logging_2409/knärot/A 23646-2025 karta knärot.png", "A 23646-2025")</f>
        <v/>
      </c>
      <c r="V289">
        <f>HYPERLINK("https://klasma.github.io/Logging_2409/klagomål/A 23646-2025 FSC-klagomål.docx", "A 23646-2025")</f>
        <v/>
      </c>
      <c r="W289">
        <f>HYPERLINK("https://klasma.github.io/Logging_2409/klagomålsmail/A 23646-2025 FSC-klagomål mail.docx", "A 23646-2025")</f>
        <v/>
      </c>
      <c r="X289">
        <f>HYPERLINK("https://klasma.github.io/Logging_2409/tillsyn/A 23646-2025 tillsynsbegäran.docx", "A 23646-2025")</f>
        <v/>
      </c>
      <c r="Y289">
        <f>HYPERLINK("https://klasma.github.io/Logging_2409/tillsynsmail/A 23646-2025 tillsynsbegäran mail.docx", "A 23646-2025")</f>
        <v/>
      </c>
      <c r="Z289">
        <f>HYPERLINK("https://klasma.github.io/Logging_2409/fåglar/A 23646-2025 prioriterade fågelarter.docx", "A 23646-2025")</f>
        <v/>
      </c>
    </row>
    <row r="290" ht="15" customHeight="1">
      <c r="A290" t="inlineStr">
        <is>
          <t>A 45657-2024</t>
        </is>
      </c>
      <c r="B290" s="1" t="n">
        <v>45579.49459490741</v>
      </c>
      <c r="C290" s="1" t="n">
        <v>46145</v>
      </c>
      <c r="D290" t="inlineStr">
        <is>
          <t>VÄSTERBOTTENS LÄN</t>
        </is>
      </c>
      <c r="E290" t="inlineStr">
        <is>
          <t>UMEÅ</t>
        </is>
      </c>
      <c r="F290" t="inlineStr">
        <is>
          <t>Kommuner</t>
        </is>
      </c>
      <c r="G290" t="n">
        <v>1.8</v>
      </c>
      <c r="H290" t="n">
        <v>1</v>
      </c>
      <c r="I290" t="n">
        <v>0</v>
      </c>
      <c r="J290" t="n">
        <v>2</v>
      </c>
      <c r="K290" t="n">
        <v>5</v>
      </c>
      <c r="L290" t="n">
        <v>0</v>
      </c>
      <c r="M290" t="n">
        <v>0</v>
      </c>
      <c r="N290" t="n">
        <v>0</v>
      </c>
      <c r="O290" t="n">
        <v>7</v>
      </c>
      <c r="P290" t="n">
        <v>5</v>
      </c>
      <c r="Q290" t="n">
        <v>7</v>
      </c>
      <c r="R290" s="2" t="inlineStr">
        <is>
          <t>Gräddporing
Smalfotad taggsvamp
Spadskinn
Tajgataggsvamp
Torrmusseron
Svartvit taggsvamp
Talltita</t>
        </is>
      </c>
      <c r="S290">
        <f>HYPERLINK("https://klasma.github.io/Logging_2480/artfynd/A 45657-2024 artfynd.xlsx", "A 45657-2024")</f>
        <v/>
      </c>
      <c r="T290">
        <f>HYPERLINK("https://klasma.github.io/Logging_2480/kartor/A 45657-2024 karta.png", "A 45657-2024")</f>
        <v/>
      </c>
      <c r="V290">
        <f>HYPERLINK("https://klasma.github.io/Logging_2480/klagomål/A 45657-2024 FSC-klagomål.docx", "A 45657-2024")</f>
        <v/>
      </c>
      <c r="W290">
        <f>HYPERLINK("https://klasma.github.io/Logging_2480/klagomålsmail/A 45657-2024 FSC-klagomål mail.docx", "A 45657-2024")</f>
        <v/>
      </c>
      <c r="X290">
        <f>HYPERLINK("https://klasma.github.io/Logging_2480/tillsyn/A 45657-2024 tillsynsbegäran.docx", "A 45657-2024")</f>
        <v/>
      </c>
      <c r="Y290">
        <f>HYPERLINK("https://klasma.github.io/Logging_2480/tillsynsmail/A 45657-2024 tillsynsbegäran mail.docx", "A 45657-2024")</f>
        <v/>
      </c>
      <c r="Z290">
        <f>HYPERLINK("https://klasma.github.io/Logging_2480/fåglar/A 45657-2024 prioriterade fågelarter.docx", "A 45657-2024")</f>
        <v/>
      </c>
    </row>
    <row r="291" ht="15" customHeight="1">
      <c r="A291" t="inlineStr">
        <is>
          <t>A 17804-2026</t>
        </is>
      </c>
      <c r="B291" s="1" t="n">
        <v>46122.41791666667</v>
      </c>
      <c r="C291" s="1" t="n">
        <v>46145</v>
      </c>
      <c r="D291" t="inlineStr">
        <is>
          <t>VÄSTERBOTTENS LÄN</t>
        </is>
      </c>
      <c r="E291" t="inlineStr">
        <is>
          <t>VINDELN</t>
        </is>
      </c>
      <c r="G291" t="n">
        <v>5.7</v>
      </c>
      <c r="H291" t="n">
        <v>0</v>
      </c>
      <c r="I291" t="n">
        <v>1</v>
      </c>
      <c r="J291" t="n">
        <v>6</v>
      </c>
      <c r="K291" t="n">
        <v>0</v>
      </c>
      <c r="L291" t="n">
        <v>0</v>
      </c>
      <c r="M291" t="n">
        <v>0</v>
      </c>
      <c r="N291" t="n">
        <v>0</v>
      </c>
      <c r="O291" t="n">
        <v>6</v>
      </c>
      <c r="P291" t="n">
        <v>0</v>
      </c>
      <c r="Q291" t="n">
        <v>7</v>
      </c>
      <c r="R291" s="2" t="inlineStr">
        <is>
          <t>Blå taggsvamp
Dvärgbägarlav
Gammelgransskål
Garnlav
Kolflarnlav
Skrovlig taggsvamp
Dropptaggsvamp</t>
        </is>
      </c>
      <c r="S291">
        <f>HYPERLINK("https://klasma.github.io/Logging_2404/artfynd/A 17804-2026 artfynd.xlsx", "A 17804-2026")</f>
        <v/>
      </c>
      <c r="T291">
        <f>HYPERLINK("https://klasma.github.io/Logging_2404/kartor/A 17804-2026 karta.png", "A 17804-2026")</f>
        <v/>
      </c>
      <c r="V291">
        <f>HYPERLINK("https://klasma.github.io/Logging_2404/klagomål/A 17804-2026 FSC-klagomål.docx", "A 17804-2026")</f>
        <v/>
      </c>
      <c r="W291">
        <f>HYPERLINK("https://klasma.github.io/Logging_2404/klagomålsmail/A 17804-2026 FSC-klagomål mail.docx", "A 17804-2026")</f>
        <v/>
      </c>
      <c r="X291">
        <f>HYPERLINK("https://klasma.github.io/Logging_2404/tillsyn/A 17804-2026 tillsynsbegäran.docx", "A 17804-2026")</f>
        <v/>
      </c>
      <c r="Y291">
        <f>HYPERLINK("https://klasma.github.io/Logging_2404/tillsynsmail/A 17804-2026 tillsynsbegäran mail.docx", "A 17804-2026")</f>
        <v/>
      </c>
    </row>
    <row r="292" ht="15" customHeight="1">
      <c r="A292" t="inlineStr">
        <is>
          <t>A 14855-2024</t>
        </is>
      </c>
      <c r="B292" s="1" t="n">
        <v>45398</v>
      </c>
      <c r="C292" s="1" t="n">
        <v>46145</v>
      </c>
      <c r="D292" t="inlineStr">
        <is>
          <t>VÄSTERBOTTENS LÄN</t>
        </is>
      </c>
      <c r="E292" t="inlineStr">
        <is>
          <t>STORUMAN</t>
        </is>
      </c>
      <c r="G292" t="n">
        <v>31.1</v>
      </c>
      <c r="H292" t="n">
        <v>1</v>
      </c>
      <c r="I292" t="n">
        <v>1</v>
      </c>
      <c r="J292" t="n">
        <v>6</v>
      </c>
      <c r="K292" t="n">
        <v>0</v>
      </c>
      <c r="L292" t="n">
        <v>0</v>
      </c>
      <c r="M292" t="n">
        <v>0</v>
      </c>
      <c r="N292" t="n">
        <v>0</v>
      </c>
      <c r="O292" t="n">
        <v>6</v>
      </c>
      <c r="P292" t="n">
        <v>0</v>
      </c>
      <c r="Q292" t="n">
        <v>7</v>
      </c>
      <c r="R292" s="2" t="inlineStr">
        <is>
          <t>Granticka
Harticka
Knottrig blåslav
Rosenticka
Skrovellav
Tretåig hackspett
Skinnlav</t>
        </is>
      </c>
      <c r="S292">
        <f>HYPERLINK("https://klasma.github.io/Logging_2421/artfynd/A 14855-2024 artfynd.xlsx", "A 14855-2024")</f>
        <v/>
      </c>
      <c r="T292">
        <f>HYPERLINK("https://klasma.github.io/Logging_2421/kartor/A 14855-2024 karta.png", "A 14855-2024")</f>
        <v/>
      </c>
      <c r="V292">
        <f>HYPERLINK("https://klasma.github.io/Logging_2421/klagomål/A 14855-2024 FSC-klagomål.docx", "A 14855-2024")</f>
        <v/>
      </c>
      <c r="W292">
        <f>HYPERLINK("https://klasma.github.io/Logging_2421/klagomålsmail/A 14855-2024 FSC-klagomål mail.docx", "A 14855-2024")</f>
        <v/>
      </c>
      <c r="X292">
        <f>HYPERLINK("https://klasma.github.io/Logging_2421/tillsyn/A 14855-2024 tillsynsbegäran.docx", "A 14855-2024")</f>
        <v/>
      </c>
      <c r="Y292">
        <f>HYPERLINK("https://klasma.github.io/Logging_2421/tillsynsmail/A 14855-2024 tillsynsbegäran mail.docx", "A 14855-2024")</f>
        <v/>
      </c>
      <c r="Z292">
        <f>HYPERLINK("https://klasma.github.io/Logging_2421/fåglar/A 14855-2024 prioriterade fågelarter.docx", "A 14855-2024")</f>
        <v/>
      </c>
    </row>
    <row r="293" ht="15" customHeight="1">
      <c r="A293" t="inlineStr">
        <is>
          <t>A 44354-2024</t>
        </is>
      </c>
      <c r="B293" s="1" t="n">
        <v>45573</v>
      </c>
      <c r="C293" s="1" t="n">
        <v>46145</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10370-2026</t>
        </is>
      </c>
      <c r="B294" s="1" t="n">
        <v>46076</v>
      </c>
      <c r="C294" s="1" t="n">
        <v>46145</v>
      </c>
      <c r="D294" t="inlineStr">
        <is>
          <t>VÄSTERBOTTENS LÄN</t>
        </is>
      </c>
      <c r="E294" t="inlineStr">
        <is>
          <t>VILHELMINA</t>
        </is>
      </c>
      <c r="G294" t="n">
        <v>20.1</v>
      </c>
      <c r="H294" t="n">
        <v>1</v>
      </c>
      <c r="I294" t="n">
        <v>0</v>
      </c>
      <c r="J294" t="n">
        <v>5</v>
      </c>
      <c r="K294" t="n">
        <v>2</v>
      </c>
      <c r="L294" t="n">
        <v>0</v>
      </c>
      <c r="M294" t="n">
        <v>0</v>
      </c>
      <c r="N294" t="n">
        <v>0</v>
      </c>
      <c r="O294" t="n">
        <v>7</v>
      </c>
      <c r="P294" t="n">
        <v>2</v>
      </c>
      <c r="Q294" t="n">
        <v>7</v>
      </c>
      <c r="R294" s="2" t="inlineStr">
        <is>
          <t>Liten sotlav
Sprickporing
Gammelgransskål
Garnlav
Granticka
Rosenticka
Tretåig hackspett</t>
        </is>
      </c>
      <c r="S294">
        <f>HYPERLINK("https://klasma.github.io/Logging_2462/artfynd/A 10370-2026 artfynd.xlsx", "A 10370-2026")</f>
        <v/>
      </c>
      <c r="T294">
        <f>HYPERLINK("https://klasma.github.io/Logging_2462/kartor/A 10370-2026 karta.png", "A 10370-2026")</f>
        <v/>
      </c>
      <c r="V294">
        <f>HYPERLINK("https://klasma.github.io/Logging_2462/klagomål/A 10370-2026 FSC-klagomål.docx", "A 10370-2026")</f>
        <v/>
      </c>
      <c r="W294">
        <f>HYPERLINK("https://klasma.github.io/Logging_2462/klagomålsmail/A 10370-2026 FSC-klagomål mail.docx", "A 10370-2026")</f>
        <v/>
      </c>
      <c r="X294">
        <f>HYPERLINK("https://klasma.github.io/Logging_2462/tillsyn/A 10370-2026 tillsynsbegäran.docx", "A 10370-2026")</f>
        <v/>
      </c>
      <c r="Y294">
        <f>HYPERLINK("https://klasma.github.io/Logging_2462/tillsynsmail/A 10370-2026 tillsynsbegäran mail.docx", "A 10370-2026")</f>
        <v/>
      </c>
      <c r="Z294">
        <f>HYPERLINK("https://klasma.github.io/Logging_2462/fåglar/A 10370-2026 prioriterade fågelarter.docx", "A 10370-2026")</f>
        <v/>
      </c>
    </row>
    <row r="295" ht="15" customHeight="1">
      <c r="A295" t="inlineStr">
        <is>
          <t>A 54875-2025</t>
        </is>
      </c>
      <c r="B295" s="1" t="n">
        <v>45967.31410879629</v>
      </c>
      <c r="C295" s="1" t="n">
        <v>46145</v>
      </c>
      <c r="D295" t="inlineStr">
        <is>
          <t>VÄSTERBOTTENS LÄN</t>
        </is>
      </c>
      <c r="E295" t="inlineStr">
        <is>
          <t>ROBERTSFORS</t>
        </is>
      </c>
      <c r="G295" t="n">
        <v>6</v>
      </c>
      <c r="H295" t="n">
        <v>3</v>
      </c>
      <c r="I295" t="n">
        <v>2</v>
      </c>
      <c r="J295" t="n">
        <v>4</v>
      </c>
      <c r="K295" t="n">
        <v>0</v>
      </c>
      <c r="L295" t="n">
        <v>0</v>
      </c>
      <c r="M295" t="n">
        <v>0</v>
      </c>
      <c r="N295" t="n">
        <v>0</v>
      </c>
      <c r="O295" t="n">
        <v>4</v>
      </c>
      <c r="P295" t="n">
        <v>0</v>
      </c>
      <c r="Q295" t="n">
        <v>7</v>
      </c>
      <c r="R295" s="2" t="inlineStr">
        <is>
          <t>Granticka
Spillkråka
Tretåig hackspett
Ullticka
Bronshjon
Vedticka
Tjäder</t>
        </is>
      </c>
      <c r="S295">
        <f>HYPERLINK("https://klasma.github.io/Logging_2409/artfynd/A 54875-2025 artfynd.xlsx", "A 54875-2025")</f>
        <v/>
      </c>
      <c r="T295">
        <f>HYPERLINK("https://klasma.github.io/Logging_2409/kartor/A 54875-2025 karta.png", "A 54875-2025")</f>
        <v/>
      </c>
      <c r="V295">
        <f>HYPERLINK("https://klasma.github.io/Logging_2409/klagomål/A 54875-2025 FSC-klagomål.docx", "A 54875-2025")</f>
        <v/>
      </c>
      <c r="W295">
        <f>HYPERLINK("https://klasma.github.io/Logging_2409/klagomålsmail/A 54875-2025 FSC-klagomål mail.docx", "A 54875-2025")</f>
        <v/>
      </c>
      <c r="X295">
        <f>HYPERLINK("https://klasma.github.io/Logging_2409/tillsyn/A 54875-2025 tillsynsbegäran.docx", "A 54875-2025")</f>
        <v/>
      </c>
      <c r="Y295">
        <f>HYPERLINK("https://klasma.github.io/Logging_2409/tillsynsmail/A 54875-2025 tillsynsbegäran mail.docx", "A 54875-2025")</f>
        <v/>
      </c>
      <c r="Z295">
        <f>HYPERLINK("https://klasma.github.io/Logging_2409/fåglar/A 54875-2025 prioriterade fågelarter.docx", "A 54875-2025")</f>
        <v/>
      </c>
    </row>
    <row r="296" ht="15" customHeight="1">
      <c r="A296" t="inlineStr">
        <is>
          <t>A 21922-2025</t>
        </is>
      </c>
      <c r="B296" s="1" t="n">
        <v>45784.52596064815</v>
      </c>
      <c r="C296" s="1" t="n">
        <v>46145</v>
      </c>
      <c r="D296" t="inlineStr">
        <is>
          <t>VÄSTERBOTTENS LÄN</t>
        </is>
      </c>
      <c r="E296" t="inlineStr">
        <is>
          <t>UMEÅ</t>
        </is>
      </c>
      <c r="G296" t="n">
        <v>2.6</v>
      </c>
      <c r="H296" t="n">
        <v>1</v>
      </c>
      <c r="I296" t="n">
        <v>2</v>
      </c>
      <c r="J296" t="n">
        <v>2</v>
      </c>
      <c r="K296" t="n">
        <v>3</v>
      </c>
      <c r="L296" t="n">
        <v>0</v>
      </c>
      <c r="M296" t="n">
        <v>0</v>
      </c>
      <c r="N296" t="n">
        <v>0</v>
      </c>
      <c r="O296" t="n">
        <v>5</v>
      </c>
      <c r="P296" t="n">
        <v>3</v>
      </c>
      <c r="Q296" t="n">
        <v>7</v>
      </c>
      <c r="R296" s="2" t="inlineStr">
        <is>
          <t>Blackticka
Ostticka
Rynkskinn
Granticka
Tretåig hackspett
Trådticka
Vedticka</t>
        </is>
      </c>
      <c r="S296">
        <f>HYPERLINK("https://klasma.github.io/Logging_2480/artfynd/A 21922-2025 artfynd.xlsx", "A 21922-2025")</f>
        <v/>
      </c>
      <c r="T296">
        <f>HYPERLINK("https://klasma.github.io/Logging_2480/kartor/A 21922-2025 karta.png", "A 21922-2025")</f>
        <v/>
      </c>
      <c r="V296">
        <f>HYPERLINK("https://klasma.github.io/Logging_2480/klagomål/A 21922-2025 FSC-klagomål.docx", "A 21922-2025")</f>
        <v/>
      </c>
      <c r="W296">
        <f>HYPERLINK("https://klasma.github.io/Logging_2480/klagomålsmail/A 21922-2025 FSC-klagomål mail.docx", "A 21922-2025")</f>
        <v/>
      </c>
      <c r="X296">
        <f>HYPERLINK("https://klasma.github.io/Logging_2480/tillsyn/A 21922-2025 tillsynsbegäran.docx", "A 21922-2025")</f>
        <v/>
      </c>
      <c r="Y296">
        <f>HYPERLINK("https://klasma.github.io/Logging_2480/tillsynsmail/A 21922-2025 tillsynsbegäran mail.docx", "A 21922-2025")</f>
        <v/>
      </c>
      <c r="Z296">
        <f>HYPERLINK("https://klasma.github.io/Logging_2480/fåglar/A 21922-2025 prioriterade fågelarter.docx", "A 21922-2025")</f>
        <v/>
      </c>
    </row>
    <row r="297" ht="15" customHeight="1">
      <c r="A297" t="inlineStr">
        <is>
          <t>A 36104-2021</t>
        </is>
      </c>
      <c r="B297" s="1" t="n">
        <v>44386</v>
      </c>
      <c r="C297" s="1" t="n">
        <v>46145</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23008-2022</t>
        </is>
      </c>
      <c r="B298" s="1" t="n">
        <v>44715</v>
      </c>
      <c r="C298" s="1" t="n">
        <v>46145</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Kötticka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16100-2024</t>
        </is>
      </c>
      <c r="B299" s="1" t="n">
        <v>45406.44877314815</v>
      </c>
      <c r="C299" s="1" t="n">
        <v>46145</v>
      </c>
      <c r="D299" t="inlineStr">
        <is>
          <t>VÄSTERBOTTENS LÄN</t>
        </is>
      </c>
      <c r="E299" t="inlineStr">
        <is>
          <t>UMEÅ</t>
        </is>
      </c>
      <c r="G299" t="n">
        <v>8</v>
      </c>
      <c r="H299" t="n">
        <v>2</v>
      </c>
      <c r="I299" t="n">
        <v>1</v>
      </c>
      <c r="J299" t="n">
        <v>5</v>
      </c>
      <c r="K299" t="n">
        <v>0</v>
      </c>
      <c r="L299" t="n">
        <v>0</v>
      </c>
      <c r="M299" t="n">
        <v>0</v>
      </c>
      <c r="N299" t="n">
        <v>0</v>
      </c>
      <c r="O299" t="n">
        <v>5</v>
      </c>
      <c r="P299" t="n">
        <v>0</v>
      </c>
      <c r="Q299" t="n">
        <v>6</v>
      </c>
      <c r="R299" s="2" t="inlineStr">
        <is>
          <t>Granticka
Gränsticka
Järpe
Spillkråka
Ullticka
Vedticka</t>
        </is>
      </c>
      <c r="S299">
        <f>HYPERLINK("https://klasma.github.io/Logging_2480/artfynd/A 16100-2024 artfynd.xlsx", "A 16100-2024")</f>
        <v/>
      </c>
      <c r="T299">
        <f>HYPERLINK("https://klasma.github.io/Logging_2480/kartor/A 16100-2024 karta.png", "A 16100-2024")</f>
        <v/>
      </c>
      <c r="V299">
        <f>HYPERLINK("https://klasma.github.io/Logging_2480/klagomål/A 16100-2024 FSC-klagomål.docx", "A 16100-2024")</f>
        <v/>
      </c>
      <c r="W299">
        <f>HYPERLINK("https://klasma.github.io/Logging_2480/klagomålsmail/A 16100-2024 FSC-klagomål mail.docx", "A 16100-2024")</f>
        <v/>
      </c>
      <c r="X299">
        <f>HYPERLINK("https://klasma.github.io/Logging_2480/tillsyn/A 16100-2024 tillsynsbegäran.docx", "A 16100-2024")</f>
        <v/>
      </c>
      <c r="Y299">
        <f>HYPERLINK("https://klasma.github.io/Logging_2480/tillsynsmail/A 16100-2024 tillsynsbegäran mail.docx", "A 16100-2024")</f>
        <v/>
      </c>
      <c r="Z299">
        <f>HYPERLINK("https://klasma.github.io/Logging_2480/fåglar/A 16100-2024 prioriterade fågelarter.docx", "A 16100-2024")</f>
        <v/>
      </c>
    </row>
    <row r="300" ht="15" customHeight="1">
      <c r="A300" t="inlineStr">
        <is>
          <t>A 62316-2023</t>
        </is>
      </c>
      <c r="B300" s="1" t="n">
        <v>45267.73364583333</v>
      </c>
      <c r="C300" s="1" t="n">
        <v>46145</v>
      </c>
      <c r="D300" t="inlineStr">
        <is>
          <t>VÄSTERBOTTENS LÄN</t>
        </is>
      </c>
      <c r="E300" t="inlineStr">
        <is>
          <t>SKELLEFTEÅ</t>
        </is>
      </c>
      <c r="F300" t="inlineStr">
        <is>
          <t>Sveaskog</t>
        </is>
      </c>
      <c r="G300" t="n">
        <v>12.8</v>
      </c>
      <c r="H300" t="n">
        <v>2</v>
      </c>
      <c r="I300" t="n">
        <v>4</v>
      </c>
      <c r="J300" t="n">
        <v>1</v>
      </c>
      <c r="K300" t="n">
        <v>0</v>
      </c>
      <c r="L300" t="n">
        <v>0</v>
      </c>
      <c r="M300" t="n">
        <v>0</v>
      </c>
      <c r="N300" t="n">
        <v>0</v>
      </c>
      <c r="O300" t="n">
        <v>1</v>
      </c>
      <c r="P300" t="n">
        <v>0</v>
      </c>
      <c r="Q300" t="n">
        <v>6</v>
      </c>
      <c r="R300" s="2" t="inlineStr">
        <is>
          <t>Tretåig hackspett
Bronshjon
Myskbock
Stuplav
Vågbandad barkbock
Fläcknycklar</t>
        </is>
      </c>
      <c r="S300">
        <f>HYPERLINK("https://klasma.github.io/Logging_2482/artfynd/A 62316-2023 artfynd.xlsx", "A 62316-2023")</f>
        <v/>
      </c>
      <c r="T300">
        <f>HYPERLINK("https://klasma.github.io/Logging_2482/kartor/A 62316-2023 karta.png", "A 62316-2023")</f>
        <v/>
      </c>
      <c r="V300">
        <f>HYPERLINK("https://klasma.github.io/Logging_2482/klagomål/A 62316-2023 FSC-klagomål.docx", "A 62316-2023")</f>
        <v/>
      </c>
      <c r="W300">
        <f>HYPERLINK("https://klasma.github.io/Logging_2482/klagomålsmail/A 62316-2023 FSC-klagomål mail.docx", "A 62316-2023")</f>
        <v/>
      </c>
      <c r="X300">
        <f>HYPERLINK("https://klasma.github.io/Logging_2482/tillsyn/A 62316-2023 tillsynsbegäran.docx", "A 62316-2023")</f>
        <v/>
      </c>
      <c r="Y300">
        <f>HYPERLINK("https://klasma.github.io/Logging_2482/tillsynsmail/A 62316-2023 tillsynsbegäran mail.docx", "A 62316-2023")</f>
        <v/>
      </c>
      <c r="Z300">
        <f>HYPERLINK("https://klasma.github.io/Logging_2482/fåglar/A 62316-2023 prioriterade fågelarter.docx", "A 62316-2023")</f>
        <v/>
      </c>
    </row>
    <row r="301" ht="15" customHeight="1">
      <c r="A301" t="inlineStr">
        <is>
          <t>A 50969-2022</t>
        </is>
      </c>
      <c r="B301" s="1" t="n">
        <v>44867</v>
      </c>
      <c r="C301" s="1" t="n">
        <v>46145</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2801-2024</t>
        </is>
      </c>
      <c r="B302" s="1" t="n">
        <v>45314</v>
      </c>
      <c r="C302" s="1" t="n">
        <v>46145</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Apelsinticka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14108-2023</t>
        </is>
      </c>
      <c r="B303" s="1" t="n">
        <v>45009</v>
      </c>
      <c r="C303" s="1" t="n">
        <v>46145</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47105-2024</t>
        </is>
      </c>
      <c r="B304" s="1" t="n">
        <v>45586.55159722222</v>
      </c>
      <c r="C304" s="1" t="n">
        <v>46145</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41330-2024</t>
        </is>
      </c>
      <c r="B305" s="1" t="n">
        <v>45559.66045138889</v>
      </c>
      <c r="C305" s="1" t="n">
        <v>46145</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agg.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18046-2025</t>
        </is>
      </c>
      <c r="B306" s="1" t="n">
        <v>45761.4652199074</v>
      </c>
      <c r="C306" s="1" t="n">
        <v>46145</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21871-2025</t>
        </is>
      </c>
      <c r="B307" s="1" t="n">
        <v>45784</v>
      </c>
      <c r="C307" s="1" t="n">
        <v>46145</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37141-2023</t>
        </is>
      </c>
      <c r="B308" s="1" t="n">
        <v>45154</v>
      </c>
      <c r="C308" s="1" t="n">
        <v>46145</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902-2023</t>
        </is>
      </c>
      <c r="B309" s="1" t="n">
        <v>44931.92561342593</v>
      </c>
      <c r="C309" s="1" t="n">
        <v>46145</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51686-2025</t>
        </is>
      </c>
      <c r="B310" s="1" t="n">
        <v>45951.52231481481</v>
      </c>
      <c r="C310" s="1" t="n">
        <v>46145</v>
      </c>
      <c r="D310" t="inlineStr">
        <is>
          <t>VÄSTERBOTTENS LÄN</t>
        </is>
      </c>
      <c r="E310" t="inlineStr">
        <is>
          <t>SKELLEFTEÅ</t>
        </is>
      </c>
      <c r="G310" t="n">
        <v>3.5</v>
      </c>
      <c r="H310" t="n">
        <v>3</v>
      </c>
      <c r="I310" t="n">
        <v>1</v>
      </c>
      <c r="J310" t="n">
        <v>5</v>
      </c>
      <c r="K310" t="n">
        <v>0</v>
      </c>
      <c r="L310" t="n">
        <v>0</v>
      </c>
      <c r="M310" t="n">
        <v>0</v>
      </c>
      <c r="N310" t="n">
        <v>0</v>
      </c>
      <c r="O310" t="n">
        <v>5</v>
      </c>
      <c r="P310" t="n">
        <v>0</v>
      </c>
      <c r="Q310" t="n">
        <v>6</v>
      </c>
      <c r="R310" s="2" t="inlineStr">
        <is>
          <t>Garnlav
Granticka
Spillkråka
Tretåig hackspett
Ullticka
Spindelblomster</t>
        </is>
      </c>
      <c r="S310">
        <f>HYPERLINK("https://klasma.github.io/Logging_2482/artfynd/A 51686-2025 artfynd.xlsx", "A 51686-2025")</f>
        <v/>
      </c>
      <c r="T310">
        <f>HYPERLINK("https://klasma.github.io/Logging_2482/kartor/A 51686-2025 karta.png", "A 51686-2025")</f>
        <v/>
      </c>
      <c r="V310">
        <f>HYPERLINK("https://klasma.github.io/Logging_2482/klagomål/A 51686-2025 FSC-klagomål.docx", "A 51686-2025")</f>
        <v/>
      </c>
      <c r="W310">
        <f>HYPERLINK("https://klasma.github.io/Logging_2482/klagomålsmail/A 51686-2025 FSC-klagomål mail.docx", "A 51686-2025")</f>
        <v/>
      </c>
      <c r="X310">
        <f>HYPERLINK("https://klasma.github.io/Logging_2482/tillsyn/A 51686-2025 tillsynsbegäran.docx", "A 51686-2025")</f>
        <v/>
      </c>
      <c r="Y310">
        <f>HYPERLINK("https://klasma.github.io/Logging_2482/tillsynsmail/A 51686-2025 tillsynsbegäran mail.docx", "A 51686-2025")</f>
        <v/>
      </c>
      <c r="Z310">
        <f>HYPERLINK("https://klasma.github.io/Logging_2482/fåglar/A 51686-2025 prioriterade fågelarter.docx", "A 51686-2025")</f>
        <v/>
      </c>
    </row>
    <row r="311" ht="15" customHeight="1">
      <c r="A311" t="inlineStr">
        <is>
          <t>A 38540-2024</t>
        </is>
      </c>
      <c r="B311" s="1" t="n">
        <v>45546</v>
      </c>
      <c r="C311" s="1" t="n">
        <v>46145</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62346-2023</t>
        </is>
      </c>
      <c r="B312" s="1" t="n">
        <v>45267</v>
      </c>
      <c r="C312" s="1" t="n">
        <v>46145</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4192-2025</t>
        </is>
      </c>
      <c r="B313" s="1" t="n">
        <v>45685</v>
      </c>
      <c r="C313" s="1" t="n">
        <v>46145</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42835-2021</t>
        </is>
      </c>
      <c r="B314" s="1" t="n">
        <v>44430</v>
      </c>
      <c r="C314" s="1" t="n">
        <v>46145</v>
      </c>
      <c r="D314" t="inlineStr">
        <is>
          <t>VÄSTERBOTTENS LÄN</t>
        </is>
      </c>
      <c r="E314" t="inlineStr">
        <is>
          <t>STORUMAN</t>
        </is>
      </c>
      <c r="F314" t="inlineStr">
        <is>
          <t>Övriga statliga verk och myndigheter</t>
        </is>
      </c>
      <c r="G314" t="n">
        <v>27.1</v>
      </c>
      <c r="H314" t="n">
        <v>2</v>
      </c>
      <c r="I314" t="n">
        <v>4</v>
      </c>
      <c r="J314" t="n">
        <v>2</v>
      </c>
      <c r="K314" t="n">
        <v>0</v>
      </c>
      <c r="L314" t="n">
        <v>0</v>
      </c>
      <c r="M314" t="n">
        <v>0</v>
      </c>
      <c r="N314" t="n">
        <v>0</v>
      </c>
      <c r="O314" t="n">
        <v>2</v>
      </c>
      <c r="P314" t="n">
        <v>0</v>
      </c>
      <c r="Q314" t="n">
        <v>6</v>
      </c>
      <c r="R314" s="2" t="inlineStr">
        <is>
          <t>Garnlav
Tretåig hackspett
Blodvaxing
Taggbräken
Tibast
Tvåblad</t>
        </is>
      </c>
      <c r="S314">
        <f>HYPERLINK("https://klasma.github.io/Logging_2421/artfynd/A 42835-2021 artfynd.xlsx", "A 42835-2021")</f>
        <v/>
      </c>
      <c r="T314">
        <f>HYPERLINK("https://klasma.github.io/Logging_2421/kartor/A 42835-2021 karta.png", "A 42835-2021")</f>
        <v/>
      </c>
      <c r="V314">
        <f>HYPERLINK("https://klasma.github.io/Logging_2421/klagomål/A 42835-2021 FSC-klagomål.docx", "A 42835-2021")</f>
        <v/>
      </c>
      <c r="W314">
        <f>HYPERLINK("https://klasma.github.io/Logging_2421/klagomålsmail/A 42835-2021 FSC-klagomål mail.docx", "A 42835-2021")</f>
        <v/>
      </c>
      <c r="X314">
        <f>HYPERLINK("https://klasma.github.io/Logging_2421/tillsyn/A 42835-2021 tillsynsbegäran.docx", "A 42835-2021")</f>
        <v/>
      </c>
      <c r="Y314">
        <f>HYPERLINK("https://klasma.github.io/Logging_2421/tillsynsmail/A 42835-2021 tillsynsbegäran mail.docx", "A 42835-2021")</f>
        <v/>
      </c>
      <c r="Z314">
        <f>HYPERLINK("https://klasma.github.io/Logging_2421/fåglar/A 42835-2021 prioriterade fågelarter.docx", "A 42835-2021")</f>
        <v/>
      </c>
    </row>
    <row r="315" ht="15" customHeight="1">
      <c r="A315" t="inlineStr">
        <is>
          <t>A 58498-2024</t>
        </is>
      </c>
      <c r="B315" s="1" t="n">
        <v>45635</v>
      </c>
      <c r="C315" s="1" t="n">
        <v>46145</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46145</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9217-2025</t>
        </is>
      </c>
      <c r="B317" s="1" t="n">
        <v>45714</v>
      </c>
      <c r="C317" s="1" t="n">
        <v>46145</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38585-2025</t>
        </is>
      </c>
      <c r="B318" s="1" t="n">
        <v>45884.47008101852</v>
      </c>
      <c r="C318" s="1" t="n">
        <v>46145</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19644-2022</t>
        </is>
      </c>
      <c r="B319" s="1" t="n">
        <v>44694</v>
      </c>
      <c r="C319" s="1" t="n">
        <v>46145</v>
      </c>
      <c r="D319" t="inlineStr">
        <is>
          <t>VÄSTERBOTTENS LÄN</t>
        </is>
      </c>
      <c r="E319" t="inlineStr">
        <is>
          <t>BJURHOLM</t>
        </is>
      </c>
      <c r="F319" t="inlineStr">
        <is>
          <t>Kyrkan</t>
        </is>
      </c>
      <c r="G319" t="n">
        <v>3.1</v>
      </c>
      <c r="H319" t="n">
        <v>2</v>
      </c>
      <c r="I319" t="n">
        <v>2</v>
      </c>
      <c r="J319" t="n">
        <v>3</v>
      </c>
      <c r="K319" t="n">
        <v>0</v>
      </c>
      <c r="L319" t="n">
        <v>0</v>
      </c>
      <c r="M319" t="n">
        <v>0</v>
      </c>
      <c r="N319" t="n">
        <v>0</v>
      </c>
      <c r="O319" t="n">
        <v>3</v>
      </c>
      <c r="P319" t="n">
        <v>0</v>
      </c>
      <c r="Q319" t="n">
        <v>6</v>
      </c>
      <c r="R319" s="2" t="inlineStr">
        <is>
          <t>Granticka
Talltita
Ullticka
Skinnlav
Vedticka
Revlummer</t>
        </is>
      </c>
      <c r="S319">
        <f>HYPERLINK("https://klasma.github.io/Logging_2403/artfynd/A 19644-2022 artfynd.xlsx", "A 19644-2022")</f>
        <v/>
      </c>
      <c r="T319">
        <f>HYPERLINK("https://klasma.github.io/Logging_2403/kartor/A 19644-2022 karta.png", "A 19644-2022")</f>
        <v/>
      </c>
      <c r="V319">
        <f>HYPERLINK("https://klasma.github.io/Logging_2403/klagomål/A 19644-2022 FSC-klagomål.docx", "A 19644-2022")</f>
        <v/>
      </c>
      <c r="W319">
        <f>HYPERLINK("https://klasma.github.io/Logging_2403/klagomålsmail/A 19644-2022 FSC-klagomål mail.docx", "A 19644-2022")</f>
        <v/>
      </c>
      <c r="X319">
        <f>HYPERLINK("https://klasma.github.io/Logging_2403/tillsyn/A 19644-2022 tillsynsbegäran.docx", "A 19644-2022")</f>
        <v/>
      </c>
      <c r="Y319">
        <f>HYPERLINK("https://klasma.github.io/Logging_2403/tillsynsmail/A 19644-2022 tillsynsbegäran mail.docx", "A 19644-2022")</f>
        <v/>
      </c>
      <c r="Z319">
        <f>HYPERLINK("https://klasma.github.io/Logging_2403/fåglar/A 19644-2022 prioriterade fågelarter.docx", "A 19644-2022")</f>
        <v/>
      </c>
    </row>
    <row r="320" ht="15" customHeight="1">
      <c r="A320" t="inlineStr">
        <is>
          <t>A 38128-2024</t>
        </is>
      </c>
      <c r="B320" s="1" t="n">
        <v>45545</v>
      </c>
      <c r="C320" s="1" t="n">
        <v>46145</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46145</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58499-2024</t>
        </is>
      </c>
      <c r="B322" s="1" t="n">
        <v>45635</v>
      </c>
      <c r="C322" s="1" t="n">
        <v>46145</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46145</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12714-2026</t>
        </is>
      </c>
      <c r="B324" s="1" t="n">
        <v>46091</v>
      </c>
      <c r="C324" s="1" t="n">
        <v>46145</v>
      </c>
      <c r="D324" t="inlineStr">
        <is>
          <t>VÄSTERBOTTENS LÄN</t>
        </is>
      </c>
      <c r="E324" t="inlineStr">
        <is>
          <t>SORSELE</t>
        </is>
      </c>
      <c r="G324" t="n">
        <v>28.6</v>
      </c>
      <c r="H324" t="n">
        <v>0</v>
      </c>
      <c r="I324" t="n">
        <v>3</v>
      </c>
      <c r="J324" t="n">
        <v>3</v>
      </c>
      <c r="K324" t="n">
        <v>0</v>
      </c>
      <c r="L324" t="n">
        <v>0</v>
      </c>
      <c r="M324" t="n">
        <v>0</v>
      </c>
      <c r="N324" t="n">
        <v>0</v>
      </c>
      <c r="O324" t="n">
        <v>3</v>
      </c>
      <c r="P324" t="n">
        <v>0</v>
      </c>
      <c r="Q324" t="n">
        <v>6</v>
      </c>
      <c r="R324" s="2" t="inlineStr">
        <is>
          <t>Granticka
Harticka
Skrovellav
Bronshjon
Dvärgtufs
Skinnlav</t>
        </is>
      </c>
      <c r="S324">
        <f>HYPERLINK("https://klasma.github.io/Logging_2422/artfynd/A 12714-2026 artfynd.xlsx", "A 12714-2026")</f>
        <v/>
      </c>
      <c r="T324">
        <f>HYPERLINK("https://klasma.github.io/Logging_2422/kartor/A 12714-2026 karta.png", "A 12714-2026")</f>
        <v/>
      </c>
      <c r="V324">
        <f>HYPERLINK("https://klasma.github.io/Logging_2422/klagomål/A 12714-2026 FSC-klagomål.docx", "A 12714-2026")</f>
        <v/>
      </c>
      <c r="W324">
        <f>HYPERLINK("https://klasma.github.io/Logging_2422/klagomålsmail/A 12714-2026 FSC-klagomål mail.docx", "A 12714-2026")</f>
        <v/>
      </c>
      <c r="X324">
        <f>HYPERLINK("https://klasma.github.io/Logging_2422/tillsyn/A 12714-2026 tillsynsbegäran.docx", "A 12714-2026")</f>
        <v/>
      </c>
      <c r="Y324">
        <f>HYPERLINK("https://klasma.github.io/Logging_2422/tillsynsmail/A 12714-2026 tillsynsbegäran mail.docx", "A 12714-2026")</f>
        <v/>
      </c>
    </row>
    <row r="325" ht="15" customHeight="1">
      <c r="A325" t="inlineStr">
        <is>
          <t>A 44874-2024</t>
        </is>
      </c>
      <c r="B325" s="1" t="n">
        <v>45575</v>
      </c>
      <c r="C325" s="1" t="n">
        <v>46145</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8723-2025</t>
        </is>
      </c>
      <c r="B326" s="1" t="n">
        <v>45712</v>
      </c>
      <c r="C326" s="1" t="n">
        <v>46145</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39678-2024</t>
        </is>
      </c>
      <c r="B327" s="1" t="n">
        <v>45552</v>
      </c>
      <c r="C327" s="1" t="n">
        <v>46145</v>
      </c>
      <c r="D327" t="inlineStr">
        <is>
          <t>VÄSTERBOTTENS LÄN</t>
        </is>
      </c>
      <c r="E327" t="inlineStr">
        <is>
          <t>VILHELMINA</t>
        </is>
      </c>
      <c r="F327" t="inlineStr">
        <is>
          <t>SCA</t>
        </is>
      </c>
      <c r="G327" t="n">
        <v>9</v>
      </c>
      <c r="H327" t="n">
        <v>2</v>
      </c>
      <c r="I327" t="n">
        <v>1</v>
      </c>
      <c r="J327" t="n">
        <v>5</v>
      </c>
      <c r="K327" t="n">
        <v>0</v>
      </c>
      <c r="L327" t="n">
        <v>0</v>
      </c>
      <c r="M327" t="n">
        <v>0</v>
      </c>
      <c r="N327" t="n">
        <v>0</v>
      </c>
      <c r="O327" t="n">
        <v>5</v>
      </c>
      <c r="P327" t="n">
        <v>0</v>
      </c>
      <c r="Q327" t="n">
        <v>6</v>
      </c>
      <c r="R327" s="2" t="inlineStr">
        <is>
          <t>Garnlav
Granticka
Rödbrun blekspik
Spillkråka
Tretåig hackspett
Gulnål</t>
        </is>
      </c>
      <c r="S327">
        <f>HYPERLINK("https://klasma.github.io/Logging_2462/artfynd/A 39678-2024 artfynd.xlsx", "A 39678-2024")</f>
        <v/>
      </c>
      <c r="T327">
        <f>HYPERLINK("https://klasma.github.io/Logging_2462/kartor/A 39678-2024 karta.png", "A 39678-2024")</f>
        <v/>
      </c>
      <c r="V327">
        <f>HYPERLINK("https://klasma.github.io/Logging_2462/klagomål/A 39678-2024 FSC-klagomål.docx", "A 39678-2024")</f>
        <v/>
      </c>
      <c r="W327">
        <f>HYPERLINK("https://klasma.github.io/Logging_2462/klagomålsmail/A 39678-2024 FSC-klagomål mail.docx", "A 39678-2024")</f>
        <v/>
      </c>
      <c r="X327">
        <f>HYPERLINK("https://klasma.github.io/Logging_2462/tillsyn/A 39678-2024 tillsynsbegäran.docx", "A 39678-2024")</f>
        <v/>
      </c>
      <c r="Y327">
        <f>HYPERLINK("https://klasma.github.io/Logging_2462/tillsynsmail/A 39678-2024 tillsynsbegäran mail.docx", "A 39678-2024")</f>
        <v/>
      </c>
      <c r="Z327">
        <f>HYPERLINK("https://klasma.github.io/Logging_2462/fåglar/A 39678-2024 prioriterade fågelarter.docx", "A 39678-2024")</f>
        <v/>
      </c>
    </row>
    <row r="328" ht="15" customHeight="1">
      <c r="A328" t="inlineStr">
        <is>
          <t>A 50916-2022</t>
        </is>
      </c>
      <c r="B328" s="1" t="n">
        <v>44865</v>
      </c>
      <c r="C328" s="1" t="n">
        <v>46145</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57099-2024</t>
        </is>
      </c>
      <c r="B329" s="1" t="n">
        <v>45629</v>
      </c>
      <c r="C329" s="1" t="n">
        <v>46145</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50261-2024</t>
        </is>
      </c>
      <c r="B330" s="1" t="n">
        <v>45600.58561342592</v>
      </c>
      <c r="C330" s="1" t="n">
        <v>46145</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44833-2024</t>
        </is>
      </c>
      <c r="B331" s="1" t="n">
        <v>45574.69194444444</v>
      </c>
      <c r="C331" s="1" t="n">
        <v>46145</v>
      </c>
      <c r="D331" t="inlineStr">
        <is>
          <t>VÄSTERBOTTENS LÄN</t>
        </is>
      </c>
      <c r="E331" t="inlineStr">
        <is>
          <t>NORSJÖ</t>
        </is>
      </c>
      <c r="G331" t="n">
        <v>15</v>
      </c>
      <c r="H331" t="n">
        <v>2</v>
      </c>
      <c r="I331" t="n">
        <v>1</v>
      </c>
      <c r="J331" t="n">
        <v>4</v>
      </c>
      <c r="K331" t="n">
        <v>1</v>
      </c>
      <c r="L331" t="n">
        <v>0</v>
      </c>
      <c r="M331" t="n">
        <v>0</v>
      </c>
      <c r="N331" t="n">
        <v>0</v>
      </c>
      <c r="O331" t="n">
        <v>5</v>
      </c>
      <c r="P331" t="n">
        <v>1</v>
      </c>
      <c r="Q331" t="n">
        <v>6</v>
      </c>
      <c r="R331" s="2" t="inlineStr">
        <is>
          <t>Knärot
Gammelgransskål
Garnlav
Granticka
Ullticka
Spindelblomster</t>
        </is>
      </c>
      <c r="S331">
        <f>HYPERLINK("https://klasma.github.io/Logging_2417/artfynd/A 44833-2024 artfynd.xlsx", "A 44833-2024")</f>
        <v/>
      </c>
      <c r="T331">
        <f>HYPERLINK("https://klasma.github.io/Logging_2417/kartor/A 44833-2024 karta.png", "A 44833-2024")</f>
        <v/>
      </c>
      <c r="U331">
        <f>HYPERLINK("https://klasma.github.io/Logging_2417/knärot/A 44833-2024 karta knärot.png", "A 44833-2024")</f>
        <v/>
      </c>
      <c r="V331">
        <f>HYPERLINK("https://klasma.github.io/Logging_2417/klagomål/A 44833-2024 FSC-klagomål.docx", "A 44833-2024")</f>
        <v/>
      </c>
      <c r="W331">
        <f>HYPERLINK("https://klasma.github.io/Logging_2417/klagomålsmail/A 44833-2024 FSC-klagomål mail.docx", "A 44833-2024")</f>
        <v/>
      </c>
      <c r="X331">
        <f>HYPERLINK("https://klasma.github.io/Logging_2417/tillsyn/A 44833-2024 tillsynsbegäran.docx", "A 44833-2024")</f>
        <v/>
      </c>
      <c r="Y331">
        <f>HYPERLINK("https://klasma.github.io/Logging_2417/tillsynsmail/A 44833-2024 tillsynsbegäran mail.docx", "A 44833-2024")</f>
        <v/>
      </c>
    </row>
    <row r="332" ht="15" customHeight="1">
      <c r="A332" t="inlineStr">
        <is>
          <t>A 14285-2026</t>
        </is>
      </c>
      <c r="B332" s="1" t="n">
        <v>46099.68047453704</v>
      </c>
      <c r="C332" s="1" t="n">
        <v>46145</v>
      </c>
      <c r="D332" t="inlineStr">
        <is>
          <t>VÄSTERBOTTENS LÄN</t>
        </is>
      </c>
      <c r="E332" t="inlineStr">
        <is>
          <t>SKELLEFTEÅ</t>
        </is>
      </c>
      <c r="G332" t="n">
        <v>2.7</v>
      </c>
      <c r="H332" t="n">
        <v>1</v>
      </c>
      <c r="I332" t="n">
        <v>2</v>
      </c>
      <c r="J332" t="n">
        <v>4</v>
      </c>
      <c r="K332" t="n">
        <v>0</v>
      </c>
      <c r="L332" t="n">
        <v>0</v>
      </c>
      <c r="M332" t="n">
        <v>0</v>
      </c>
      <c r="N332" t="n">
        <v>0</v>
      </c>
      <c r="O332" t="n">
        <v>4</v>
      </c>
      <c r="P332" t="n">
        <v>0</v>
      </c>
      <c r="Q332" t="n">
        <v>6</v>
      </c>
      <c r="R332" s="2" t="inlineStr">
        <is>
          <t>Garnlav
Granticka
Tretåig hackspett
Ullticka
Nästlav
Vedticka</t>
        </is>
      </c>
      <c r="S332">
        <f>HYPERLINK("https://klasma.github.io/Logging_2482/artfynd/A 14285-2026 artfynd.xlsx", "A 14285-2026")</f>
        <v/>
      </c>
      <c r="T332">
        <f>HYPERLINK("https://klasma.github.io/Logging_2482/kartor/A 14285-2026 karta.png", "A 14285-2026")</f>
        <v/>
      </c>
      <c r="V332">
        <f>HYPERLINK("https://klasma.github.io/Logging_2482/klagomål/A 14285-2026 FSC-klagomål.docx", "A 14285-2026")</f>
        <v/>
      </c>
      <c r="W332">
        <f>HYPERLINK("https://klasma.github.io/Logging_2482/klagomålsmail/A 14285-2026 FSC-klagomål mail.docx", "A 14285-2026")</f>
        <v/>
      </c>
      <c r="X332">
        <f>HYPERLINK("https://klasma.github.io/Logging_2482/tillsyn/A 14285-2026 tillsynsbegäran.docx", "A 14285-2026")</f>
        <v/>
      </c>
      <c r="Y332">
        <f>HYPERLINK("https://klasma.github.io/Logging_2482/tillsynsmail/A 14285-2026 tillsynsbegäran mail.docx", "A 14285-2026")</f>
        <v/>
      </c>
      <c r="Z332">
        <f>HYPERLINK("https://klasma.github.io/Logging_2482/fåglar/A 14285-2026 prioriterade fågelarter.docx", "A 14285-2026")</f>
        <v/>
      </c>
    </row>
    <row r="333" ht="15" customHeight="1">
      <c r="A333" t="inlineStr">
        <is>
          <t>A 33589-2024</t>
        </is>
      </c>
      <c r="B333" s="1" t="n">
        <v>45520.35296296296</v>
      </c>
      <c r="C333" s="1" t="n">
        <v>46145</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46864-2025</t>
        </is>
      </c>
      <c r="B334" s="1" t="n">
        <v>45929.32023148148</v>
      </c>
      <c r="C334" s="1" t="n">
        <v>46145</v>
      </c>
      <c r="D334" t="inlineStr">
        <is>
          <t>VÄSTERBOTTENS LÄN</t>
        </is>
      </c>
      <c r="E334" t="inlineStr">
        <is>
          <t>UMEÅ</t>
        </is>
      </c>
      <c r="G334" t="n">
        <v>9.5</v>
      </c>
      <c r="H334" t="n">
        <v>2</v>
      </c>
      <c r="I334" t="n">
        <v>1</v>
      </c>
      <c r="J334" t="n">
        <v>4</v>
      </c>
      <c r="K334" t="n">
        <v>0</v>
      </c>
      <c r="L334" t="n">
        <v>0</v>
      </c>
      <c r="M334" t="n">
        <v>0</v>
      </c>
      <c r="N334" t="n">
        <v>0</v>
      </c>
      <c r="O334" t="n">
        <v>4</v>
      </c>
      <c r="P334" t="n">
        <v>0</v>
      </c>
      <c r="Q334" t="n">
        <v>6</v>
      </c>
      <c r="R334" s="2" t="inlineStr">
        <is>
          <t>Blågrå svartspik
Garnlav
Spillkråka
Vedskivlav
Vedticka
Tjäder</t>
        </is>
      </c>
      <c r="S334">
        <f>HYPERLINK("https://klasma.github.io/Logging_2480/artfynd/A 46864-2025 artfynd.xlsx", "A 46864-2025")</f>
        <v/>
      </c>
      <c r="T334">
        <f>HYPERLINK("https://klasma.github.io/Logging_2480/kartor/A 46864-2025 karta.png", "A 46864-2025")</f>
        <v/>
      </c>
      <c r="V334">
        <f>HYPERLINK("https://klasma.github.io/Logging_2480/klagomål/A 46864-2025 FSC-klagomål.docx", "A 46864-2025")</f>
        <v/>
      </c>
      <c r="W334">
        <f>HYPERLINK("https://klasma.github.io/Logging_2480/klagomålsmail/A 46864-2025 FSC-klagomål mail.docx", "A 46864-2025")</f>
        <v/>
      </c>
      <c r="X334">
        <f>HYPERLINK("https://klasma.github.io/Logging_2480/tillsyn/A 46864-2025 tillsynsbegäran.docx", "A 46864-2025")</f>
        <v/>
      </c>
      <c r="Y334">
        <f>HYPERLINK("https://klasma.github.io/Logging_2480/tillsynsmail/A 46864-2025 tillsynsbegäran mail.docx", "A 46864-2025")</f>
        <v/>
      </c>
      <c r="Z334">
        <f>HYPERLINK("https://klasma.github.io/Logging_2480/fåglar/A 46864-2025 prioriterade fågelarter.docx", "A 46864-2025")</f>
        <v/>
      </c>
    </row>
    <row r="335" ht="15" customHeight="1">
      <c r="A335" t="inlineStr">
        <is>
          <t>A 49135-2023</t>
        </is>
      </c>
      <c r="B335" s="1" t="n">
        <v>45205</v>
      </c>
      <c r="C335" s="1" t="n">
        <v>46145</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33659-2023</t>
        </is>
      </c>
      <c r="B336" s="1" t="n">
        <v>45119</v>
      </c>
      <c r="C336" s="1" t="n">
        <v>46145</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46145</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46145</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25180-2025</t>
        </is>
      </c>
      <c r="B339" s="1" t="n">
        <v>45800.44892361111</v>
      </c>
      <c r="C339" s="1" t="n">
        <v>46145</v>
      </c>
      <c r="D339" t="inlineStr">
        <is>
          <t>VÄSTERBOTTENS LÄN</t>
        </is>
      </c>
      <c r="E339" t="inlineStr">
        <is>
          <t>VILHELMINA</t>
        </is>
      </c>
      <c r="F339" t="inlineStr">
        <is>
          <t>SCA</t>
        </is>
      </c>
      <c r="G339" t="n">
        <v>10.8</v>
      </c>
      <c r="H339" t="n">
        <v>3</v>
      </c>
      <c r="I339" t="n">
        <v>0</v>
      </c>
      <c r="J339" t="n">
        <v>5</v>
      </c>
      <c r="K339" t="n">
        <v>0</v>
      </c>
      <c r="L339" t="n">
        <v>0</v>
      </c>
      <c r="M339" t="n">
        <v>0</v>
      </c>
      <c r="N339" t="n">
        <v>0</v>
      </c>
      <c r="O339" t="n">
        <v>5</v>
      </c>
      <c r="P339" t="n">
        <v>0</v>
      </c>
      <c r="Q339" t="n">
        <v>6</v>
      </c>
      <c r="R339" s="2" t="inlineStr">
        <is>
          <t>Garnlav
Spillkråka
Tretåig hackspett
Ullticka
Vitgrynig nållav
Revlummer</t>
        </is>
      </c>
      <c r="S339">
        <f>HYPERLINK("https://klasma.github.io/Logging_2462/artfynd/A 25180-2025 artfynd.xlsx", "A 25180-2025")</f>
        <v/>
      </c>
      <c r="T339">
        <f>HYPERLINK("https://klasma.github.io/Logging_2462/kartor/A 25180-2025 karta.png", "A 25180-2025")</f>
        <v/>
      </c>
      <c r="V339">
        <f>HYPERLINK("https://klasma.github.io/Logging_2462/klagomål/A 25180-2025 FSC-klagomål.docx", "A 25180-2025")</f>
        <v/>
      </c>
      <c r="W339">
        <f>HYPERLINK("https://klasma.github.io/Logging_2462/klagomålsmail/A 25180-2025 FSC-klagomål mail.docx", "A 25180-2025")</f>
        <v/>
      </c>
      <c r="X339">
        <f>HYPERLINK("https://klasma.github.io/Logging_2462/tillsyn/A 25180-2025 tillsynsbegäran.docx", "A 25180-2025")</f>
        <v/>
      </c>
      <c r="Y339">
        <f>HYPERLINK("https://klasma.github.io/Logging_2462/tillsynsmail/A 25180-2025 tillsynsbegäran mail.docx", "A 25180-2025")</f>
        <v/>
      </c>
      <c r="Z339">
        <f>HYPERLINK("https://klasma.github.io/Logging_2462/fåglar/A 25180-2025 prioriterade fågelarter.docx", "A 25180-2025")</f>
        <v/>
      </c>
    </row>
    <row r="340" ht="15" customHeight="1">
      <c r="A340" t="inlineStr">
        <is>
          <t>A 25040-2025</t>
        </is>
      </c>
      <c r="B340" s="1" t="n">
        <v>45799.65734953704</v>
      </c>
      <c r="C340" s="1" t="n">
        <v>46145</v>
      </c>
      <c r="D340" t="inlineStr">
        <is>
          <t>VÄSTERBOTTENS LÄN</t>
        </is>
      </c>
      <c r="E340" t="inlineStr">
        <is>
          <t>VILHELMINA</t>
        </is>
      </c>
      <c r="F340" t="inlineStr">
        <is>
          <t>SCA</t>
        </is>
      </c>
      <c r="G340" t="n">
        <v>2.6</v>
      </c>
      <c r="H340" t="n">
        <v>3</v>
      </c>
      <c r="I340" t="n">
        <v>1</v>
      </c>
      <c r="J340" t="n">
        <v>4</v>
      </c>
      <c r="K340" t="n">
        <v>0</v>
      </c>
      <c r="L340" t="n">
        <v>0</v>
      </c>
      <c r="M340" t="n">
        <v>0</v>
      </c>
      <c r="N340" t="n">
        <v>0</v>
      </c>
      <c r="O340" t="n">
        <v>4</v>
      </c>
      <c r="P340" t="n">
        <v>0</v>
      </c>
      <c r="Q340" t="n">
        <v>6</v>
      </c>
      <c r="R340" s="2" t="inlineStr">
        <is>
          <t>Gammelgransskål
Garnlav
Granticka
Tretåig hackspett
Spindelblomster
Kungsfågel</t>
        </is>
      </c>
      <c r="S340">
        <f>HYPERLINK("https://klasma.github.io/Logging_2462/artfynd/A 25040-2025 artfynd.xlsx", "A 25040-2025")</f>
        <v/>
      </c>
      <c r="T340">
        <f>HYPERLINK("https://klasma.github.io/Logging_2462/kartor/A 25040-2025 karta.png", "A 25040-2025")</f>
        <v/>
      </c>
      <c r="V340">
        <f>HYPERLINK("https://klasma.github.io/Logging_2462/klagomål/A 25040-2025 FSC-klagomål.docx", "A 25040-2025")</f>
        <v/>
      </c>
      <c r="W340">
        <f>HYPERLINK("https://klasma.github.io/Logging_2462/klagomålsmail/A 25040-2025 FSC-klagomål mail.docx", "A 25040-2025")</f>
        <v/>
      </c>
      <c r="X340">
        <f>HYPERLINK("https://klasma.github.io/Logging_2462/tillsyn/A 25040-2025 tillsynsbegäran.docx", "A 25040-2025")</f>
        <v/>
      </c>
      <c r="Y340">
        <f>HYPERLINK("https://klasma.github.io/Logging_2462/tillsynsmail/A 25040-2025 tillsynsbegäran mail.docx", "A 25040-2025")</f>
        <v/>
      </c>
      <c r="Z340">
        <f>HYPERLINK("https://klasma.github.io/Logging_2462/fåglar/A 25040-2025 prioriterade fågelarter.docx", "A 25040-2025")</f>
        <v/>
      </c>
    </row>
    <row r="341" ht="15" customHeight="1">
      <c r="A341" t="inlineStr">
        <is>
          <t>A 8562-2025</t>
        </is>
      </c>
      <c r="B341" s="1" t="n">
        <v>45709</v>
      </c>
      <c r="C341" s="1" t="n">
        <v>46145</v>
      </c>
      <c r="D341" t="inlineStr">
        <is>
          <t>VÄSTERBOTTENS LÄN</t>
        </is>
      </c>
      <c r="E341" t="inlineStr">
        <is>
          <t>VILHELMINA</t>
        </is>
      </c>
      <c r="G341" t="n">
        <v>3.1</v>
      </c>
      <c r="H341" t="n">
        <v>0</v>
      </c>
      <c r="I341" t="n">
        <v>0</v>
      </c>
      <c r="J341" t="n">
        <v>6</v>
      </c>
      <c r="K341" t="n">
        <v>0</v>
      </c>
      <c r="L341" t="n">
        <v>0</v>
      </c>
      <c r="M341" t="n">
        <v>0</v>
      </c>
      <c r="N341" t="n">
        <v>0</v>
      </c>
      <c r="O341" t="n">
        <v>6</v>
      </c>
      <c r="P341" t="n">
        <v>0</v>
      </c>
      <c r="Q341" t="n">
        <v>6</v>
      </c>
      <c r="R341" s="2" t="inlineStr">
        <is>
          <t>Blanksvart spiklav
Garnlav
Granticka
Harticka
Vedtrappmossa
Vitgrynig nållav</t>
        </is>
      </c>
      <c r="S341">
        <f>HYPERLINK("https://klasma.github.io/Logging_2462/artfynd/A 8562-2025 artfynd.xlsx", "A 8562-2025")</f>
        <v/>
      </c>
      <c r="T341">
        <f>HYPERLINK("https://klasma.github.io/Logging_2462/kartor/A 8562-2025 karta.png", "A 8562-2025")</f>
        <v/>
      </c>
      <c r="V341">
        <f>HYPERLINK("https://klasma.github.io/Logging_2462/klagomål/A 8562-2025 FSC-klagomål.docx", "A 8562-2025")</f>
        <v/>
      </c>
      <c r="W341">
        <f>HYPERLINK("https://klasma.github.io/Logging_2462/klagomålsmail/A 8562-2025 FSC-klagomål mail.docx", "A 8562-2025")</f>
        <v/>
      </c>
      <c r="X341">
        <f>HYPERLINK("https://klasma.github.io/Logging_2462/tillsyn/A 8562-2025 tillsynsbegäran.docx", "A 8562-2025")</f>
        <v/>
      </c>
      <c r="Y341">
        <f>HYPERLINK("https://klasma.github.io/Logging_2462/tillsynsmail/A 8562-2025 tillsynsbegäran mail.docx", "A 8562-2025")</f>
        <v/>
      </c>
    </row>
    <row r="342" ht="15" customHeight="1">
      <c r="A342" t="inlineStr">
        <is>
          <t>A 26900-2025</t>
        </is>
      </c>
      <c r="B342" s="1" t="n">
        <v>45811.34444444445</v>
      </c>
      <c r="C342" s="1" t="n">
        <v>46145</v>
      </c>
      <c r="D342" t="inlineStr">
        <is>
          <t>VÄSTERBOTTENS LÄN</t>
        </is>
      </c>
      <c r="E342" t="inlineStr">
        <is>
          <t>ÅSELE</t>
        </is>
      </c>
      <c r="F342" t="inlineStr">
        <is>
          <t>SCA</t>
        </is>
      </c>
      <c r="G342" t="n">
        <v>1.4</v>
      </c>
      <c r="H342" t="n">
        <v>1</v>
      </c>
      <c r="I342" t="n">
        <v>1</v>
      </c>
      <c r="J342" t="n">
        <v>4</v>
      </c>
      <c r="K342" t="n">
        <v>0</v>
      </c>
      <c r="L342" t="n">
        <v>0</v>
      </c>
      <c r="M342" t="n">
        <v>0</v>
      </c>
      <c r="N342" t="n">
        <v>0</v>
      </c>
      <c r="O342" t="n">
        <v>4</v>
      </c>
      <c r="P342" t="n">
        <v>0</v>
      </c>
      <c r="Q342" t="n">
        <v>6</v>
      </c>
      <c r="R342" s="2" t="inlineStr">
        <is>
          <t>Blanksvart spiklav
Garnlav
Lunglav
Vedflamlav
Stuplav
Fläcknycklar</t>
        </is>
      </c>
      <c r="S342">
        <f>HYPERLINK("https://klasma.github.io/Logging_2463/artfynd/A 26900-2025 artfynd.xlsx", "A 26900-2025")</f>
        <v/>
      </c>
      <c r="T342">
        <f>HYPERLINK("https://klasma.github.io/Logging_2463/kartor/A 26900-2025 karta.png", "A 26900-2025")</f>
        <v/>
      </c>
      <c r="V342">
        <f>HYPERLINK("https://klasma.github.io/Logging_2463/klagomål/A 26900-2025 FSC-klagomål.docx", "A 26900-2025")</f>
        <v/>
      </c>
      <c r="W342">
        <f>HYPERLINK("https://klasma.github.io/Logging_2463/klagomålsmail/A 26900-2025 FSC-klagomål mail.docx", "A 26900-2025")</f>
        <v/>
      </c>
      <c r="X342">
        <f>HYPERLINK("https://klasma.github.io/Logging_2463/tillsyn/A 26900-2025 tillsynsbegäran.docx", "A 26900-2025")</f>
        <v/>
      </c>
      <c r="Y342">
        <f>HYPERLINK("https://klasma.github.io/Logging_2463/tillsynsmail/A 26900-2025 tillsynsbegäran mail.docx", "A 26900-2025")</f>
        <v/>
      </c>
    </row>
    <row r="343" ht="15" customHeight="1">
      <c r="A343" t="inlineStr">
        <is>
          <t>A 28430-2025</t>
        </is>
      </c>
      <c r="B343" s="1" t="n">
        <v>45819.37813657407</v>
      </c>
      <c r="C343" s="1" t="n">
        <v>46145</v>
      </c>
      <c r="D343" t="inlineStr">
        <is>
          <t>VÄSTERBOTTENS LÄN</t>
        </is>
      </c>
      <c r="E343" t="inlineStr">
        <is>
          <t>UMEÅ</t>
        </is>
      </c>
      <c r="F343" t="inlineStr">
        <is>
          <t>Holmen skog AB</t>
        </is>
      </c>
      <c r="G343" t="n">
        <v>2.4</v>
      </c>
      <c r="H343" t="n">
        <v>1</v>
      </c>
      <c r="I343" t="n">
        <v>1</v>
      </c>
      <c r="J343" t="n">
        <v>4</v>
      </c>
      <c r="K343" t="n">
        <v>1</v>
      </c>
      <c r="L343" t="n">
        <v>0</v>
      </c>
      <c r="M343" t="n">
        <v>0</v>
      </c>
      <c r="N343" t="n">
        <v>0</v>
      </c>
      <c r="O343" t="n">
        <v>5</v>
      </c>
      <c r="P343" t="n">
        <v>1</v>
      </c>
      <c r="Q343" t="n">
        <v>6</v>
      </c>
      <c r="R343" s="2" t="inlineStr">
        <is>
          <t>Rynkskinn
Garnlav
Granticka
Spillkråka
Ullticka
Vedticka</t>
        </is>
      </c>
      <c r="S343">
        <f>HYPERLINK("https://klasma.github.io/Logging_2480/artfynd/A 28430-2025 artfynd.xlsx", "A 28430-2025")</f>
        <v/>
      </c>
      <c r="T343">
        <f>HYPERLINK("https://klasma.github.io/Logging_2480/kartor/A 28430-2025 karta.png", "A 28430-2025")</f>
        <v/>
      </c>
      <c r="V343">
        <f>HYPERLINK("https://klasma.github.io/Logging_2480/klagomål/A 28430-2025 FSC-klagomål.docx", "A 28430-2025")</f>
        <v/>
      </c>
      <c r="W343">
        <f>HYPERLINK("https://klasma.github.io/Logging_2480/klagomålsmail/A 28430-2025 FSC-klagomål mail.docx", "A 28430-2025")</f>
        <v/>
      </c>
      <c r="X343">
        <f>HYPERLINK("https://klasma.github.io/Logging_2480/tillsyn/A 28430-2025 tillsynsbegäran.docx", "A 28430-2025")</f>
        <v/>
      </c>
      <c r="Y343">
        <f>HYPERLINK("https://klasma.github.io/Logging_2480/tillsynsmail/A 28430-2025 tillsynsbegäran mail.docx", "A 28430-2025")</f>
        <v/>
      </c>
      <c r="Z343">
        <f>HYPERLINK("https://klasma.github.io/Logging_2480/fåglar/A 28430-2025 prioriterade fågelarter.docx", "A 28430-2025")</f>
        <v/>
      </c>
    </row>
    <row r="344" ht="15" customHeight="1">
      <c r="A344" t="inlineStr">
        <is>
          <t>A 30076-2025</t>
        </is>
      </c>
      <c r="B344" s="1" t="n">
        <v>45826</v>
      </c>
      <c r="C344" s="1" t="n">
        <v>46145</v>
      </c>
      <c r="D344" t="inlineStr">
        <is>
          <t>VÄSTERBOTTENS LÄN</t>
        </is>
      </c>
      <c r="E344" t="inlineStr">
        <is>
          <t>ÅSELE</t>
        </is>
      </c>
      <c r="F344" t="inlineStr">
        <is>
          <t>Sveaskog</t>
        </is>
      </c>
      <c r="G344" t="n">
        <v>2.4</v>
      </c>
      <c r="H344" t="n">
        <v>0</v>
      </c>
      <c r="I344" t="n">
        <v>0</v>
      </c>
      <c r="J344" t="n">
        <v>6</v>
      </c>
      <c r="K344" t="n">
        <v>0</v>
      </c>
      <c r="L344" t="n">
        <v>0</v>
      </c>
      <c r="M344" t="n">
        <v>0</v>
      </c>
      <c r="N344" t="n">
        <v>0</v>
      </c>
      <c r="O344" t="n">
        <v>6</v>
      </c>
      <c r="P344" t="n">
        <v>0</v>
      </c>
      <c r="Q344" t="n">
        <v>6</v>
      </c>
      <c r="R344" s="2" t="inlineStr">
        <is>
          <t>Blanksvart spiklav
Blågrå svartspik
Garnlav
Mörk kolflarnlav
Vaddporing
Vedskivlav</t>
        </is>
      </c>
      <c r="S344">
        <f>HYPERLINK("https://klasma.github.io/Logging_2463/artfynd/A 30076-2025 artfynd.xlsx", "A 30076-2025")</f>
        <v/>
      </c>
      <c r="T344">
        <f>HYPERLINK("https://klasma.github.io/Logging_2463/kartor/A 30076-2025 karta.png", "A 30076-2025")</f>
        <v/>
      </c>
      <c r="V344">
        <f>HYPERLINK("https://klasma.github.io/Logging_2463/klagomål/A 30076-2025 FSC-klagomål.docx", "A 30076-2025")</f>
        <v/>
      </c>
      <c r="W344">
        <f>HYPERLINK("https://klasma.github.io/Logging_2463/klagomålsmail/A 30076-2025 FSC-klagomål mail.docx", "A 30076-2025")</f>
        <v/>
      </c>
      <c r="X344">
        <f>HYPERLINK("https://klasma.github.io/Logging_2463/tillsyn/A 30076-2025 tillsynsbegäran.docx", "A 30076-2025")</f>
        <v/>
      </c>
      <c r="Y344">
        <f>HYPERLINK("https://klasma.github.io/Logging_2463/tillsynsmail/A 30076-2025 tillsynsbegäran mail.docx", "A 30076-2025")</f>
        <v/>
      </c>
    </row>
    <row r="345" ht="15" customHeight="1">
      <c r="A345" t="inlineStr">
        <is>
          <t>A 32758-2025</t>
        </is>
      </c>
      <c r="B345" s="1" t="n">
        <v>45839.43550925926</v>
      </c>
      <c r="C345" s="1" t="n">
        <v>46145</v>
      </c>
      <c r="D345" t="inlineStr">
        <is>
          <t>VÄSTERBOTTENS LÄN</t>
        </is>
      </c>
      <c r="E345" t="inlineStr">
        <is>
          <t>LYCKSELE</t>
        </is>
      </c>
      <c r="G345" t="n">
        <v>4.5</v>
      </c>
      <c r="H345" t="n">
        <v>4</v>
      </c>
      <c r="I345" t="n">
        <v>1</v>
      </c>
      <c r="J345" t="n">
        <v>3</v>
      </c>
      <c r="K345" t="n">
        <v>0</v>
      </c>
      <c r="L345" t="n">
        <v>0</v>
      </c>
      <c r="M345" t="n">
        <v>0</v>
      </c>
      <c r="N345" t="n">
        <v>0</v>
      </c>
      <c r="O345" t="n">
        <v>3</v>
      </c>
      <c r="P345" t="n">
        <v>0</v>
      </c>
      <c r="Q345" t="n">
        <v>6</v>
      </c>
      <c r="R345" s="2" t="inlineStr">
        <is>
          <t>Gammelgransskål
Garnlav
Spillkråka
Spindelblomster
Fläcknycklar
Revlummer</t>
        </is>
      </c>
      <c r="S345">
        <f>HYPERLINK("https://klasma.github.io/Logging_2481/artfynd/A 32758-2025 artfynd.xlsx", "A 32758-2025")</f>
        <v/>
      </c>
      <c r="T345">
        <f>HYPERLINK("https://klasma.github.io/Logging_2481/kartor/A 32758-2025 karta.png", "A 32758-2025")</f>
        <v/>
      </c>
      <c r="V345">
        <f>HYPERLINK("https://klasma.github.io/Logging_2481/klagomål/A 32758-2025 FSC-klagomål.docx", "A 32758-2025")</f>
        <v/>
      </c>
      <c r="W345">
        <f>HYPERLINK("https://klasma.github.io/Logging_2481/klagomålsmail/A 32758-2025 FSC-klagomål mail.docx", "A 32758-2025")</f>
        <v/>
      </c>
      <c r="X345">
        <f>HYPERLINK("https://klasma.github.io/Logging_2481/tillsyn/A 32758-2025 tillsynsbegäran.docx", "A 32758-2025")</f>
        <v/>
      </c>
      <c r="Y345">
        <f>HYPERLINK("https://klasma.github.io/Logging_2481/tillsynsmail/A 32758-2025 tillsynsbegäran mail.docx", "A 32758-2025")</f>
        <v/>
      </c>
      <c r="Z345">
        <f>HYPERLINK("https://klasma.github.io/Logging_2481/fåglar/A 32758-2025 prioriterade fågelarter.docx", "A 32758-2025")</f>
        <v/>
      </c>
    </row>
    <row r="346" ht="15" customHeight="1">
      <c r="A346" t="inlineStr">
        <is>
          <t>A 24496-2025</t>
        </is>
      </c>
      <c r="B346" s="1" t="n">
        <v>45798</v>
      </c>
      <c r="C346" s="1" t="n">
        <v>46145</v>
      </c>
      <c r="D346" t="inlineStr">
        <is>
          <t>VÄSTERBOTTENS LÄN</t>
        </is>
      </c>
      <c r="E346" t="inlineStr">
        <is>
          <t>SKELLEFTEÅ</t>
        </is>
      </c>
      <c r="G346" t="n">
        <v>3</v>
      </c>
      <c r="H346" t="n">
        <v>3</v>
      </c>
      <c r="I346" t="n">
        <v>2</v>
      </c>
      <c r="J346" t="n">
        <v>3</v>
      </c>
      <c r="K346" t="n">
        <v>0</v>
      </c>
      <c r="L346" t="n">
        <v>0</v>
      </c>
      <c r="M346" t="n">
        <v>0</v>
      </c>
      <c r="N346" t="n">
        <v>0</v>
      </c>
      <c r="O346" t="n">
        <v>3</v>
      </c>
      <c r="P346" t="n">
        <v>0</v>
      </c>
      <c r="Q346" t="n">
        <v>6</v>
      </c>
      <c r="R346" s="2" t="inlineStr">
        <is>
          <t>Gammelgransskål
Mindre hackspett
Talltita
Björksplintborre
Vedticka
Kungsfågel</t>
        </is>
      </c>
      <c r="S346">
        <f>HYPERLINK("https://klasma.github.io/Logging_2482/artfynd/A 24496-2025 artfynd.xlsx", "A 24496-2025")</f>
        <v/>
      </c>
      <c r="T346">
        <f>HYPERLINK("https://klasma.github.io/Logging_2482/kartor/A 24496-2025 karta.png", "A 24496-2025")</f>
        <v/>
      </c>
      <c r="V346">
        <f>HYPERLINK("https://klasma.github.io/Logging_2482/klagomål/A 24496-2025 FSC-klagomål.docx", "A 24496-2025")</f>
        <v/>
      </c>
      <c r="W346">
        <f>HYPERLINK("https://klasma.github.io/Logging_2482/klagomålsmail/A 24496-2025 FSC-klagomål mail.docx", "A 24496-2025")</f>
        <v/>
      </c>
      <c r="X346">
        <f>HYPERLINK("https://klasma.github.io/Logging_2482/tillsyn/A 24496-2025 tillsynsbegäran.docx", "A 24496-2025")</f>
        <v/>
      </c>
      <c r="Y346">
        <f>HYPERLINK("https://klasma.github.io/Logging_2482/tillsynsmail/A 24496-2025 tillsynsbegäran mail.docx", "A 24496-2025")</f>
        <v/>
      </c>
      <c r="Z346">
        <f>HYPERLINK("https://klasma.github.io/Logging_2482/fåglar/A 24496-2025 prioriterade fågelarter.docx", "A 24496-2025")</f>
        <v/>
      </c>
    </row>
    <row r="347" ht="15" customHeight="1">
      <c r="A347" t="inlineStr">
        <is>
          <t>A 24279-2021</t>
        </is>
      </c>
      <c r="B347" s="1" t="n">
        <v>44336</v>
      </c>
      <c r="C347" s="1" t="n">
        <v>46145</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54568-2021</t>
        </is>
      </c>
      <c r="B348" s="1" t="n">
        <v>44473</v>
      </c>
      <c r="C348" s="1" t="n">
        <v>46145</v>
      </c>
      <c r="D348" t="inlineStr">
        <is>
          <t>VÄSTERBOTTENS LÄN</t>
        </is>
      </c>
      <c r="E348" t="inlineStr">
        <is>
          <t>SORSELE</t>
        </is>
      </c>
      <c r="F348" t="inlineStr">
        <is>
          <t>Sveaskog</t>
        </is>
      </c>
      <c r="G348" t="n">
        <v>1.6</v>
      </c>
      <c r="H348" t="n">
        <v>2</v>
      </c>
      <c r="I348" t="n">
        <v>0</v>
      </c>
      <c r="J348" t="n">
        <v>5</v>
      </c>
      <c r="K348" t="n">
        <v>0</v>
      </c>
      <c r="L348" t="n">
        <v>0</v>
      </c>
      <c r="M348" t="n">
        <v>0</v>
      </c>
      <c r="N348" t="n">
        <v>0</v>
      </c>
      <c r="O348" t="n">
        <v>5</v>
      </c>
      <c r="P348" t="n">
        <v>0</v>
      </c>
      <c r="Q348" t="n">
        <v>5</v>
      </c>
      <c r="R348" s="2" t="inlineStr">
        <is>
          <t>Dvärgbägarlav
Garnlav
Granticka
Spillkråka
Talltita</t>
        </is>
      </c>
      <c r="S348">
        <f>HYPERLINK("https://klasma.github.io/Logging_2422/artfynd/A 54568-2021 artfynd.xlsx", "A 54568-2021")</f>
        <v/>
      </c>
      <c r="T348">
        <f>HYPERLINK("https://klasma.github.io/Logging_2422/kartor/A 54568-2021 karta.png", "A 54568-2021")</f>
        <v/>
      </c>
      <c r="V348">
        <f>HYPERLINK("https://klasma.github.io/Logging_2422/klagomål/A 54568-2021 FSC-klagomål.docx", "A 54568-2021")</f>
        <v/>
      </c>
      <c r="W348">
        <f>HYPERLINK("https://klasma.github.io/Logging_2422/klagomålsmail/A 54568-2021 FSC-klagomål mail.docx", "A 54568-2021")</f>
        <v/>
      </c>
      <c r="X348">
        <f>HYPERLINK("https://klasma.github.io/Logging_2422/tillsyn/A 54568-2021 tillsynsbegäran.docx", "A 54568-2021")</f>
        <v/>
      </c>
      <c r="Y348">
        <f>HYPERLINK("https://klasma.github.io/Logging_2422/tillsynsmail/A 54568-2021 tillsynsbegäran mail.docx", "A 54568-2021")</f>
        <v/>
      </c>
      <c r="Z348">
        <f>HYPERLINK("https://klasma.github.io/Logging_2422/fåglar/A 54568-2021 prioriterade fågelarter.docx", "A 54568-2021")</f>
        <v/>
      </c>
    </row>
    <row r="349" ht="15" customHeight="1">
      <c r="A349" t="inlineStr">
        <is>
          <t>A 61301-2021</t>
        </is>
      </c>
      <c r="B349" s="1" t="n">
        <v>44498.63015046297</v>
      </c>
      <c r="C349" s="1" t="n">
        <v>46145</v>
      </c>
      <c r="D349" t="inlineStr">
        <is>
          <t>VÄSTERBOTTENS LÄN</t>
        </is>
      </c>
      <c r="E349" t="inlineStr">
        <is>
          <t>ÅSELE</t>
        </is>
      </c>
      <c r="F349" t="inlineStr">
        <is>
          <t>Sveaskog</t>
        </is>
      </c>
      <c r="G349" t="n">
        <v>24.7</v>
      </c>
      <c r="H349" t="n">
        <v>0</v>
      </c>
      <c r="I349" t="n">
        <v>1</v>
      </c>
      <c r="J349" t="n">
        <v>4</v>
      </c>
      <c r="K349" t="n">
        <v>0</v>
      </c>
      <c r="L349" t="n">
        <v>0</v>
      </c>
      <c r="M349" t="n">
        <v>0</v>
      </c>
      <c r="N349" t="n">
        <v>0</v>
      </c>
      <c r="O349" t="n">
        <v>4</v>
      </c>
      <c r="P349" t="n">
        <v>0</v>
      </c>
      <c r="Q349" t="n">
        <v>5</v>
      </c>
      <c r="R349" s="2" t="inlineStr">
        <is>
          <t>Granticka
Harticka
Lunglav
Skrovellav
Stuplav</t>
        </is>
      </c>
      <c r="S349">
        <f>HYPERLINK("https://klasma.github.io/Logging_2463/artfynd/A 61301-2021 artfynd.xlsx", "A 61301-2021")</f>
        <v/>
      </c>
      <c r="T349">
        <f>HYPERLINK("https://klasma.github.io/Logging_2463/kartor/A 61301-2021 karta.png", "A 61301-2021")</f>
        <v/>
      </c>
      <c r="V349">
        <f>HYPERLINK("https://klasma.github.io/Logging_2463/klagomål/A 61301-2021 FSC-klagomål.docx", "A 61301-2021")</f>
        <v/>
      </c>
      <c r="W349">
        <f>HYPERLINK("https://klasma.github.io/Logging_2463/klagomålsmail/A 61301-2021 FSC-klagomål mail.docx", "A 61301-2021")</f>
        <v/>
      </c>
      <c r="X349">
        <f>HYPERLINK("https://klasma.github.io/Logging_2463/tillsyn/A 61301-2021 tillsynsbegäran.docx", "A 61301-2021")</f>
        <v/>
      </c>
      <c r="Y349">
        <f>HYPERLINK("https://klasma.github.io/Logging_2463/tillsynsmail/A 61301-2021 tillsynsbegäran mail.docx", "A 61301-2021")</f>
        <v/>
      </c>
    </row>
    <row r="350" ht="15" customHeight="1">
      <c r="A350" t="inlineStr">
        <is>
          <t>A 39032-2021</t>
        </is>
      </c>
      <c r="B350" s="1" t="n">
        <v>44412</v>
      </c>
      <c r="C350" s="1" t="n">
        <v>46145</v>
      </c>
      <c r="D350" t="inlineStr">
        <is>
          <t>VÄSTERBOTTENS LÄN</t>
        </is>
      </c>
      <c r="E350" t="inlineStr">
        <is>
          <t>LYCKSELE</t>
        </is>
      </c>
      <c r="F350" t="inlineStr">
        <is>
          <t>Sveaskog</t>
        </is>
      </c>
      <c r="G350" t="n">
        <v>9.300000000000001</v>
      </c>
      <c r="H350" t="n">
        <v>0</v>
      </c>
      <c r="I350" t="n">
        <v>1</v>
      </c>
      <c r="J350" t="n">
        <v>4</v>
      </c>
      <c r="K350" t="n">
        <v>0</v>
      </c>
      <c r="L350" t="n">
        <v>0</v>
      </c>
      <c r="M350" t="n">
        <v>0</v>
      </c>
      <c r="N350" t="n">
        <v>0</v>
      </c>
      <c r="O350" t="n">
        <v>4</v>
      </c>
      <c r="P350" t="n">
        <v>0</v>
      </c>
      <c r="Q350" t="n">
        <v>5</v>
      </c>
      <c r="R350" s="2" t="inlineStr">
        <is>
          <t>Dvärgbägarlav
Skrovlig taggsvamp
Talltaggsvamp
Vaddporing
Dropptaggsvamp</t>
        </is>
      </c>
      <c r="S350">
        <f>HYPERLINK("https://klasma.github.io/Logging_2481/artfynd/A 39032-2021 artfynd.xlsx", "A 39032-2021")</f>
        <v/>
      </c>
      <c r="T350">
        <f>HYPERLINK("https://klasma.github.io/Logging_2481/kartor/A 39032-2021 karta.png", "A 39032-2021")</f>
        <v/>
      </c>
      <c r="V350">
        <f>HYPERLINK("https://klasma.github.io/Logging_2481/klagomål/A 39032-2021 FSC-klagomål.docx", "A 39032-2021")</f>
        <v/>
      </c>
      <c r="W350">
        <f>HYPERLINK("https://klasma.github.io/Logging_2481/klagomålsmail/A 39032-2021 FSC-klagomål mail.docx", "A 39032-2021")</f>
        <v/>
      </c>
      <c r="X350">
        <f>HYPERLINK("https://klasma.github.io/Logging_2481/tillsyn/A 39032-2021 tillsynsbegäran.docx", "A 39032-2021")</f>
        <v/>
      </c>
      <c r="Y350">
        <f>HYPERLINK("https://klasma.github.io/Logging_2481/tillsynsmail/A 39032-2021 tillsynsbegäran mail.docx", "A 39032-2021")</f>
        <v/>
      </c>
    </row>
    <row r="351" ht="15" customHeight="1">
      <c r="A351" t="inlineStr">
        <is>
          <t>A 72326-2021</t>
        </is>
      </c>
      <c r="B351" s="1" t="n">
        <v>44545</v>
      </c>
      <c r="C351" s="1" t="n">
        <v>46145</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7976-2022</t>
        </is>
      </c>
      <c r="B352" s="1" t="n">
        <v>44609.3165162037</v>
      </c>
      <c r="C352" s="1" t="n">
        <v>46145</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46145</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11867-2022</t>
        </is>
      </c>
      <c r="B354" s="1" t="n">
        <v>44635</v>
      </c>
      <c r="C354" s="1" t="n">
        <v>46145</v>
      </c>
      <c r="D354" t="inlineStr">
        <is>
          <t>VÄSTERBOTTENS LÄN</t>
        </is>
      </c>
      <c r="E354" t="inlineStr">
        <is>
          <t>SKELLEFTEÅ</t>
        </is>
      </c>
      <c r="G354" t="n">
        <v>5</v>
      </c>
      <c r="H354" t="n">
        <v>1</v>
      </c>
      <c r="I354" t="n">
        <v>0</v>
      </c>
      <c r="J354" t="n">
        <v>4</v>
      </c>
      <c r="K354" t="n">
        <v>1</v>
      </c>
      <c r="L354" t="n">
        <v>0</v>
      </c>
      <c r="M354" t="n">
        <v>0</v>
      </c>
      <c r="N354" t="n">
        <v>0</v>
      </c>
      <c r="O354" t="n">
        <v>5</v>
      </c>
      <c r="P354" t="n">
        <v>1</v>
      </c>
      <c r="Q354" t="n">
        <v>5</v>
      </c>
      <c r="R354" s="2" t="inlineStr">
        <is>
          <t>Nordlig flatbagge
Kolflarnlav
Skrovlig flatbagge
Spillkråka
Violettgrå tagellav</t>
        </is>
      </c>
      <c r="S354">
        <f>HYPERLINK("https://klasma.github.io/Logging_2482/artfynd/A 11867-2022 artfynd.xlsx", "A 11867-2022")</f>
        <v/>
      </c>
      <c r="T354">
        <f>HYPERLINK("https://klasma.github.io/Logging_2482/kartor/A 11867-2022 karta.png", "A 11867-2022")</f>
        <v/>
      </c>
      <c r="V354">
        <f>HYPERLINK("https://klasma.github.io/Logging_2482/klagomål/A 11867-2022 FSC-klagomål.docx", "A 11867-2022")</f>
        <v/>
      </c>
      <c r="W354">
        <f>HYPERLINK("https://klasma.github.io/Logging_2482/klagomålsmail/A 11867-2022 FSC-klagomål mail.docx", "A 11867-2022")</f>
        <v/>
      </c>
      <c r="X354">
        <f>HYPERLINK("https://klasma.github.io/Logging_2482/tillsyn/A 11867-2022 tillsynsbegäran.docx", "A 11867-2022")</f>
        <v/>
      </c>
      <c r="Y354">
        <f>HYPERLINK("https://klasma.github.io/Logging_2482/tillsynsmail/A 11867-2022 tillsynsbegäran mail.docx", "A 11867-2022")</f>
        <v/>
      </c>
      <c r="Z354">
        <f>HYPERLINK("https://klasma.github.io/Logging_2482/fåglar/A 11867-2022 prioriterade fågelarter.docx", "A 11867-2022")</f>
        <v/>
      </c>
    </row>
    <row r="355" ht="15" customHeight="1">
      <c r="A355" t="inlineStr">
        <is>
          <t>A 47955-2022</t>
        </is>
      </c>
      <c r="B355" s="1" t="n">
        <v>44853</v>
      </c>
      <c r="C355" s="1" t="n">
        <v>46145</v>
      </c>
      <c r="D355" t="inlineStr">
        <is>
          <t>VÄSTERBOTTENS LÄN</t>
        </is>
      </c>
      <c r="E355" t="inlineStr">
        <is>
          <t>DOROTEA</t>
        </is>
      </c>
      <c r="G355" t="n">
        <v>16.3</v>
      </c>
      <c r="H355" t="n">
        <v>0</v>
      </c>
      <c r="I355" t="n">
        <v>0</v>
      </c>
      <c r="J355" t="n">
        <v>5</v>
      </c>
      <c r="K355" t="n">
        <v>0</v>
      </c>
      <c r="L355" t="n">
        <v>0</v>
      </c>
      <c r="M355" t="n">
        <v>0</v>
      </c>
      <c r="N355" t="n">
        <v>0</v>
      </c>
      <c r="O355" t="n">
        <v>5</v>
      </c>
      <c r="P355" t="n">
        <v>0</v>
      </c>
      <c r="Q355" t="n">
        <v>5</v>
      </c>
      <c r="R355" s="2" t="inlineStr">
        <is>
          <t>Doftskinn
Granticka
Gränsticka
Harticka
Ullticka</t>
        </is>
      </c>
      <c r="S355">
        <f>HYPERLINK("https://klasma.github.io/Logging_2425/artfynd/A 47955-2022 artfynd.xlsx", "A 47955-2022")</f>
        <v/>
      </c>
      <c r="T355">
        <f>HYPERLINK("https://klasma.github.io/Logging_2425/kartor/A 47955-2022 karta.png", "A 47955-2022")</f>
        <v/>
      </c>
      <c r="V355">
        <f>HYPERLINK("https://klasma.github.io/Logging_2425/klagomål/A 47955-2022 FSC-klagomål.docx", "A 47955-2022")</f>
        <v/>
      </c>
      <c r="W355">
        <f>HYPERLINK("https://klasma.github.io/Logging_2425/klagomålsmail/A 47955-2022 FSC-klagomål mail.docx", "A 47955-2022")</f>
        <v/>
      </c>
      <c r="X355">
        <f>HYPERLINK("https://klasma.github.io/Logging_2425/tillsyn/A 47955-2022 tillsynsbegäran.docx", "A 47955-2022")</f>
        <v/>
      </c>
      <c r="Y355">
        <f>HYPERLINK("https://klasma.github.io/Logging_2425/tillsynsmail/A 47955-2022 tillsynsbegäran mail.docx", "A 47955-2022")</f>
        <v/>
      </c>
    </row>
    <row r="356" ht="15" customHeight="1">
      <c r="A356" t="inlineStr">
        <is>
          <t>A 33941-2024</t>
        </is>
      </c>
      <c r="B356" s="1" t="n">
        <v>45523.44668981482</v>
      </c>
      <c r="C356" s="1" t="n">
        <v>46145</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36893-2025</t>
        </is>
      </c>
      <c r="B357" s="1" t="n">
        <v>45874.46988425926</v>
      </c>
      <c r="C357" s="1" t="n">
        <v>46145</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63255-2023</t>
        </is>
      </c>
      <c r="B358" s="1" t="n">
        <v>45273</v>
      </c>
      <c r="C358" s="1" t="n">
        <v>46145</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46145</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15648-2023</t>
        </is>
      </c>
      <c r="B360" s="1" t="n">
        <v>45019</v>
      </c>
      <c r="C360" s="1" t="n">
        <v>46145</v>
      </c>
      <c r="D360" t="inlineStr">
        <is>
          <t>VÄSTERBOTTENS LÄN</t>
        </is>
      </c>
      <c r="E360" t="inlineStr">
        <is>
          <t>UMEÅ</t>
        </is>
      </c>
      <c r="F360" t="inlineStr">
        <is>
          <t>Kommuner</t>
        </is>
      </c>
      <c r="G360" t="n">
        <v>6.9</v>
      </c>
      <c r="H360" t="n">
        <v>0</v>
      </c>
      <c r="I360" t="n">
        <v>1</v>
      </c>
      <c r="J360" t="n">
        <v>4</v>
      </c>
      <c r="K360" t="n">
        <v>0</v>
      </c>
      <c r="L360" t="n">
        <v>0</v>
      </c>
      <c r="M360" t="n">
        <v>0</v>
      </c>
      <c r="N360" t="n">
        <v>0</v>
      </c>
      <c r="O360" t="n">
        <v>4</v>
      </c>
      <c r="P360" t="n">
        <v>0</v>
      </c>
      <c r="Q360" t="n">
        <v>5</v>
      </c>
      <c r="R360" s="2" t="inlineStr">
        <is>
          <t>Gammelgransskål
Garnlav
Granticka
Ullticka
Bollvitmossa</t>
        </is>
      </c>
      <c r="S360">
        <f>HYPERLINK("https://klasma.github.io/Logging_2480/artfynd/A 15648-2023 artfynd.xlsx", "A 15648-2023")</f>
        <v/>
      </c>
      <c r="T360">
        <f>HYPERLINK("https://klasma.github.io/Logging_2480/kartor/A 15648-2023 karta.png", "A 15648-2023")</f>
        <v/>
      </c>
      <c r="V360">
        <f>HYPERLINK("https://klasma.github.io/Logging_2480/klagomål/A 15648-2023 FSC-klagomål.docx", "A 15648-2023")</f>
        <v/>
      </c>
      <c r="W360">
        <f>HYPERLINK("https://klasma.github.io/Logging_2480/klagomålsmail/A 15648-2023 FSC-klagomål mail.docx", "A 15648-2023")</f>
        <v/>
      </c>
      <c r="X360">
        <f>HYPERLINK("https://klasma.github.io/Logging_2480/tillsyn/A 15648-2023 tillsynsbegäran.docx", "A 15648-2023")</f>
        <v/>
      </c>
      <c r="Y360">
        <f>HYPERLINK("https://klasma.github.io/Logging_2480/tillsynsmail/A 15648-2023 tillsynsbegäran mail.docx", "A 15648-2023")</f>
        <v/>
      </c>
    </row>
    <row r="361" ht="15" customHeight="1">
      <c r="A361" t="inlineStr">
        <is>
          <t>A 52764-2024</t>
        </is>
      </c>
      <c r="B361" s="1" t="n">
        <v>45610.51162037037</v>
      </c>
      <c r="C361" s="1" t="n">
        <v>46145</v>
      </c>
      <c r="D361" t="inlineStr">
        <is>
          <t>VÄSTERBOTTENS LÄN</t>
        </is>
      </c>
      <c r="E361" t="inlineStr">
        <is>
          <t>UMEÅ</t>
        </is>
      </c>
      <c r="G361" t="n">
        <v>4.8</v>
      </c>
      <c r="H361" t="n">
        <v>1</v>
      </c>
      <c r="I361" t="n">
        <v>2</v>
      </c>
      <c r="J361" t="n">
        <v>3</v>
      </c>
      <c r="K361" t="n">
        <v>0</v>
      </c>
      <c r="L361" t="n">
        <v>0</v>
      </c>
      <c r="M361" t="n">
        <v>0</v>
      </c>
      <c r="N361" t="n">
        <v>0</v>
      </c>
      <c r="O361" t="n">
        <v>3</v>
      </c>
      <c r="P361" t="n">
        <v>0</v>
      </c>
      <c r="Q361" t="n">
        <v>5</v>
      </c>
      <c r="R361" s="2" t="inlineStr">
        <is>
          <t>Granticka
Spillkråka
Violettgrå tagellav
Trådticka
Vågbandad barkbock</t>
        </is>
      </c>
      <c r="S361">
        <f>HYPERLINK("https://klasma.github.io/Logging_2480/artfynd/A 52764-2024 artfynd.xlsx", "A 52764-2024")</f>
        <v/>
      </c>
      <c r="T361">
        <f>HYPERLINK("https://klasma.github.io/Logging_2480/kartor/A 52764-2024 karta.png", "A 52764-2024")</f>
        <v/>
      </c>
      <c r="V361">
        <f>HYPERLINK("https://klasma.github.io/Logging_2480/klagomål/A 52764-2024 FSC-klagomål.docx", "A 52764-2024")</f>
        <v/>
      </c>
      <c r="W361">
        <f>HYPERLINK("https://klasma.github.io/Logging_2480/klagomålsmail/A 52764-2024 FSC-klagomål mail.docx", "A 52764-2024")</f>
        <v/>
      </c>
      <c r="X361">
        <f>HYPERLINK("https://klasma.github.io/Logging_2480/tillsyn/A 52764-2024 tillsynsbegäran.docx", "A 52764-2024")</f>
        <v/>
      </c>
      <c r="Y361">
        <f>HYPERLINK("https://klasma.github.io/Logging_2480/tillsynsmail/A 52764-2024 tillsynsbegäran mail.docx", "A 52764-2024")</f>
        <v/>
      </c>
      <c r="Z361">
        <f>HYPERLINK("https://klasma.github.io/Logging_2480/fåglar/A 52764-2024 prioriterade fågelarter.docx", "A 52764-2024")</f>
        <v/>
      </c>
    </row>
    <row r="362" ht="15" customHeight="1">
      <c r="A362" t="inlineStr">
        <is>
          <t>A 32237-2024</t>
        </is>
      </c>
      <c r="B362" s="1" t="n">
        <v>45511.92913194445</v>
      </c>
      <c r="C362" s="1" t="n">
        <v>46145</v>
      </c>
      <c r="D362" t="inlineStr">
        <is>
          <t>VÄSTERBOTTENS LÄN</t>
        </is>
      </c>
      <c r="E362" t="inlineStr">
        <is>
          <t>NORSJÖ</t>
        </is>
      </c>
      <c r="G362" t="n">
        <v>10</v>
      </c>
      <c r="H362" t="n">
        <v>0</v>
      </c>
      <c r="I362" t="n">
        <v>1</v>
      </c>
      <c r="J362" t="n">
        <v>3</v>
      </c>
      <c r="K362" t="n">
        <v>1</v>
      </c>
      <c r="L362" t="n">
        <v>0</v>
      </c>
      <c r="M362" t="n">
        <v>0</v>
      </c>
      <c r="N362" t="n">
        <v>0</v>
      </c>
      <c r="O362" t="n">
        <v>4</v>
      </c>
      <c r="P362" t="n">
        <v>1</v>
      </c>
      <c r="Q362" t="n">
        <v>5</v>
      </c>
      <c r="R362" s="2" t="inlineStr">
        <is>
          <t>Torrmusseron
Blå taggsvamp
Motaggsvamp
Skrovlig taggsvamp
Dropptaggsvamp</t>
        </is>
      </c>
      <c r="S362">
        <f>HYPERLINK("https://klasma.github.io/Logging_2417/artfynd/A 32237-2024 artfynd.xlsx", "A 32237-2024")</f>
        <v/>
      </c>
      <c r="T362">
        <f>HYPERLINK("https://klasma.github.io/Logging_2417/kartor/A 32237-2024 karta.png", "A 32237-2024")</f>
        <v/>
      </c>
      <c r="V362">
        <f>HYPERLINK("https://klasma.github.io/Logging_2417/klagomål/A 32237-2024 FSC-klagomål.docx", "A 32237-2024")</f>
        <v/>
      </c>
      <c r="W362">
        <f>HYPERLINK("https://klasma.github.io/Logging_2417/klagomålsmail/A 32237-2024 FSC-klagomål mail.docx", "A 32237-2024")</f>
        <v/>
      </c>
      <c r="X362">
        <f>HYPERLINK("https://klasma.github.io/Logging_2417/tillsyn/A 32237-2024 tillsynsbegäran.docx", "A 32237-2024")</f>
        <v/>
      </c>
      <c r="Y362">
        <f>HYPERLINK("https://klasma.github.io/Logging_2417/tillsynsmail/A 32237-2024 tillsynsbegäran mail.docx", "A 32237-2024")</f>
        <v/>
      </c>
    </row>
    <row r="363" ht="15" customHeight="1">
      <c r="A363" t="inlineStr">
        <is>
          <t>A 20701-2023</t>
        </is>
      </c>
      <c r="B363" s="1" t="n">
        <v>45055</v>
      </c>
      <c r="C363" s="1" t="n">
        <v>46145</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46145</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52787-2023</t>
        </is>
      </c>
      <c r="B365" s="1" t="n">
        <v>45219</v>
      </c>
      <c r="C365" s="1" t="n">
        <v>46145</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45210-2025</t>
        </is>
      </c>
      <c r="B366" s="1" t="n">
        <v>45919.56964120371</v>
      </c>
      <c r="C366" s="1" t="n">
        <v>46145</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49243-2023</t>
        </is>
      </c>
      <c r="B367" s="1" t="n">
        <v>45210.65243055556</v>
      </c>
      <c r="C367" s="1" t="n">
        <v>46145</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Kötticka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42046-2023</t>
        </is>
      </c>
      <c r="B368" s="1" t="n">
        <v>45177</v>
      </c>
      <c r="C368" s="1" t="n">
        <v>46145</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55009-2022</t>
        </is>
      </c>
      <c r="B369" s="1" t="n">
        <v>44881</v>
      </c>
      <c r="C369" s="1" t="n">
        <v>46145</v>
      </c>
      <c r="D369" t="inlineStr">
        <is>
          <t>VÄSTERBOTTENS LÄN</t>
        </is>
      </c>
      <c r="E369" t="inlineStr">
        <is>
          <t>BJURHOLM</t>
        </is>
      </c>
      <c r="G369" t="n">
        <v>11.2</v>
      </c>
      <c r="H369" t="n">
        <v>0</v>
      </c>
      <c r="I369" t="n">
        <v>3</v>
      </c>
      <c r="J369" t="n">
        <v>2</v>
      </c>
      <c r="K369" t="n">
        <v>0</v>
      </c>
      <c r="L369" t="n">
        <v>0</v>
      </c>
      <c r="M369" t="n">
        <v>0</v>
      </c>
      <c r="N369" t="n">
        <v>0</v>
      </c>
      <c r="O369" t="n">
        <v>2</v>
      </c>
      <c r="P369" t="n">
        <v>0</v>
      </c>
      <c r="Q369" t="n">
        <v>5</v>
      </c>
      <c r="R369" s="2" t="inlineStr">
        <is>
          <t>Lunglav
Mörk kolflarnlav
Skinnlav
Stuplav
Vedticka</t>
        </is>
      </c>
      <c r="S369">
        <f>HYPERLINK("https://klasma.github.io/Logging_2403/artfynd/A 55009-2022 artfynd.xlsx", "A 55009-2022")</f>
        <v/>
      </c>
      <c r="T369">
        <f>HYPERLINK("https://klasma.github.io/Logging_2403/kartor/A 55009-2022 karta.png", "A 55009-2022")</f>
        <v/>
      </c>
      <c r="V369">
        <f>HYPERLINK("https://klasma.github.io/Logging_2403/klagomål/A 55009-2022 FSC-klagomål.docx", "A 55009-2022")</f>
        <v/>
      </c>
      <c r="W369">
        <f>HYPERLINK("https://klasma.github.io/Logging_2403/klagomålsmail/A 55009-2022 FSC-klagomål mail.docx", "A 55009-2022")</f>
        <v/>
      </c>
      <c r="X369">
        <f>HYPERLINK("https://klasma.github.io/Logging_2403/tillsyn/A 55009-2022 tillsynsbegäran.docx", "A 55009-2022")</f>
        <v/>
      </c>
      <c r="Y369">
        <f>HYPERLINK("https://klasma.github.io/Logging_2403/tillsynsmail/A 55009-2022 tillsynsbegäran mail.docx", "A 55009-2022")</f>
        <v/>
      </c>
    </row>
    <row r="370" ht="15" customHeight="1">
      <c r="A370" t="inlineStr">
        <is>
          <t>A 56053-2024</t>
        </is>
      </c>
      <c r="B370" s="1" t="n">
        <v>45624</v>
      </c>
      <c r="C370" s="1" t="n">
        <v>46145</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49502-2025</t>
        </is>
      </c>
      <c r="B371" s="1" t="n">
        <v>45939.36972222223</v>
      </c>
      <c r="C371" s="1" t="n">
        <v>46145</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46145</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53568-2025</t>
        </is>
      </c>
      <c r="B373" s="1" t="n">
        <v>45960.41017361111</v>
      </c>
      <c r="C373" s="1" t="n">
        <v>46145</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53928-2025</t>
        </is>
      </c>
      <c r="B374" s="1" t="n">
        <v>45961.4696412037</v>
      </c>
      <c r="C374" s="1" t="n">
        <v>46145</v>
      </c>
      <c r="D374" t="inlineStr">
        <is>
          <t>VÄSTERBOTTENS LÄN</t>
        </is>
      </c>
      <c r="E374" t="inlineStr">
        <is>
          <t>SKELLEFTEÅ</t>
        </is>
      </c>
      <c r="F374" t="inlineStr">
        <is>
          <t>Övriga Aktiebolag</t>
        </is>
      </c>
      <c r="G374" t="n">
        <v>61.3</v>
      </c>
      <c r="H374" t="n">
        <v>2</v>
      </c>
      <c r="I374" t="n">
        <v>0</v>
      </c>
      <c r="J374" t="n">
        <v>4</v>
      </c>
      <c r="K374" t="n">
        <v>0</v>
      </c>
      <c r="L374" t="n">
        <v>0</v>
      </c>
      <c r="M374" t="n">
        <v>0</v>
      </c>
      <c r="N374" t="n">
        <v>0</v>
      </c>
      <c r="O374" t="n">
        <v>4</v>
      </c>
      <c r="P374" t="n">
        <v>0</v>
      </c>
      <c r="Q374" t="n">
        <v>5</v>
      </c>
      <c r="R374" s="2" t="inlineStr">
        <is>
          <t>Garnlav
Granticka
Stjärntagging
Tretåig hackspett
Revlummer</t>
        </is>
      </c>
      <c r="S374">
        <f>HYPERLINK("https://klasma.github.io/Logging_2482/artfynd/A 53928-2025 artfynd.xlsx", "A 53928-2025")</f>
        <v/>
      </c>
      <c r="T374">
        <f>HYPERLINK("https://klasma.github.io/Logging_2482/kartor/A 53928-2025 karta.png", "A 53928-2025")</f>
        <v/>
      </c>
      <c r="V374">
        <f>HYPERLINK("https://klasma.github.io/Logging_2482/klagomål/A 53928-2025 FSC-klagomål.docx", "A 53928-2025")</f>
        <v/>
      </c>
      <c r="W374">
        <f>HYPERLINK("https://klasma.github.io/Logging_2482/klagomålsmail/A 53928-2025 FSC-klagomål mail.docx", "A 53928-2025")</f>
        <v/>
      </c>
      <c r="X374">
        <f>HYPERLINK("https://klasma.github.io/Logging_2482/tillsyn/A 53928-2025 tillsynsbegäran.docx", "A 53928-2025")</f>
        <v/>
      </c>
      <c r="Y374">
        <f>HYPERLINK("https://klasma.github.io/Logging_2482/tillsynsmail/A 53928-2025 tillsynsbegäran mail.docx", "A 53928-2025")</f>
        <v/>
      </c>
      <c r="Z374">
        <f>HYPERLINK("https://klasma.github.io/Logging_2482/fåglar/A 53928-2025 prioriterade fågelarter.docx", "A 53928-2025")</f>
        <v/>
      </c>
    </row>
    <row r="375" ht="15" customHeight="1">
      <c r="A375" t="inlineStr">
        <is>
          <t>A 59482-2025</t>
        </is>
      </c>
      <c r="B375" s="1" t="n">
        <v>45989</v>
      </c>
      <c r="C375" s="1" t="n">
        <v>46145</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46145</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55814-2023</t>
        </is>
      </c>
      <c r="B377" s="1" t="n">
        <v>45239</v>
      </c>
      <c r="C377" s="1" t="n">
        <v>46145</v>
      </c>
      <c r="D377" t="inlineStr">
        <is>
          <t>VÄSTERBOTTENS LÄN</t>
        </is>
      </c>
      <c r="E377" t="inlineStr">
        <is>
          <t>NORDMALING</t>
        </is>
      </c>
      <c r="G377" t="n">
        <v>2.7</v>
      </c>
      <c r="H377" t="n">
        <v>1</v>
      </c>
      <c r="I377" t="n">
        <v>1</v>
      </c>
      <c r="J377" t="n">
        <v>4</v>
      </c>
      <c r="K377" t="n">
        <v>0</v>
      </c>
      <c r="L377" t="n">
        <v>0</v>
      </c>
      <c r="M377" t="n">
        <v>0</v>
      </c>
      <c r="N377" t="n">
        <v>0</v>
      </c>
      <c r="O377" t="n">
        <v>4</v>
      </c>
      <c r="P377" t="n">
        <v>0</v>
      </c>
      <c r="Q377" t="n">
        <v>5</v>
      </c>
      <c r="R377" s="2" t="inlineStr">
        <is>
          <t>Garnlav
Granticka
Tretåig hackspett
Ullticka
Vågbandad barkbock</t>
        </is>
      </c>
      <c r="S377">
        <f>HYPERLINK("https://klasma.github.io/Logging_2401/artfynd/A 55814-2023 artfynd.xlsx", "A 55814-2023")</f>
        <v/>
      </c>
      <c r="T377">
        <f>HYPERLINK("https://klasma.github.io/Logging_2401/kartor/A 55814-2023 karta.png", "A 55814-2023")</f>
        <v/>
      </c>
      <c r="V377">
        <f>HYPERLINK("https://klasma.github.io/Logging_2401/klagomål/A 55814-2023 FSC-klagomål.docx", "A 55814-2023")</f>
        <v/>
      </c>
      <c r="W377">
        <f>HYPERLINK("https://klasma.github.io/Logging_2401/klagomålsmail/A 55814-2023 FSC-klagomål mail.docx", "A 55814-2023")</f>
        <v/>
      </c>
      <c r="X377">
        <f>HYPERLINK("https://klasma.github.io/Logging_2401/tillsyn/A 55814-2023 tillsynsbegäran.docx", "A 55814-2023")</f>
        <v/>
      </c>
      <c r="Y377">
        <f>HYPERLINK("https://klasma.github.io/Logging_2401/tillsynsmail/A 55814-2023 tillsynsbegäran mail.docx", "A 55814-2023")</f>
        <v/>
      </c>
      <c r="Z377">
        <f>HYPERLINK("https://klasma.github.io/Logging_2401/fåglar/A 55814-2023 prioriterade fågelarter.docx", "A 55814-2023")</f>
        <v/>
      </c>
    </row>
    <row r="378" ht="15" customHeight="1">
      <c r="A378" t="inlineStr">
        <is>
          <t>A 56412-2025</t>
        </is>
      </c>
      <c r="B378" s="1" t="n">
        <v>45975.32414351852</v>
      </c>
      <c r="C378" s="1" t="n">
        <v>46145</v>
      </c>
      <c r="D378" t="inlineStr">
        <is>
          <t>VÄSTERBOTTENS LÄN</t>
        </is>
      </c>
      <c r="E378" t="inlineStr">
        <is>
          <t>STORUMAN</t>
        </is>
      </c>
      <c r="G378" t="n">
        <v>8.4</v>
      </c>
      <c r="H378" t="n">
        <v>2</v>
      </c>
      <c r="I378" t="n">
        <v>3</v>
      </c>
      <c r="J378" t="n">
        <v>1</v>
      </c>
      <c r="K378" t="n">
        <v>0</v>
      </c>
      <c r="L378" t="n">
        <v>0</v>
      </c>
      <c r="M378" t="n">
        <v>0</v>
      </c>
      <c r="N378" t="n">
        <v>0</v>
      </c>
      <c r="O378" t="n">
        <v>1</v>
      </c>
      <c r="P378" t="n">
        <v>0</v>
      </c>
      <c r="Q378" t="n">
        <v>5</v>
      </c>
      <c r="R378" s="2" t="inlineStr">
        <is>
          <t>Tretåig hackspett
Bårdlav
Luddlav
Stuplav
Kungsfågel</t>
        </is>
      </c>
      <c r="S378">
        <f>HYPERLINK("https://klasma.github.io/Logging_2421/artfynd/A 56412-2025 artfynd.xlsx", "A 56412-2025")</f>
        <v/>
      </c>
      <c r="T378">
        <f>HYPERLINK("https://klasma.github.io/Logging_2421/kartor/A 56412-2025 karta.png", "A 56412-2025")</f>
        <v/>
      </c>
      <c r="V378">
        <f>HYPERLINK("https://klasma.github.io/Logging_2421/klagomål/A 56412-2025 FSC-klagomål.docx", "A 56412-2025")</f>
        <v/>
      </c>
      <c r="W378">
        <f>HYPERLINK("https://klasma.github.io/Logging_2421/klagomålsmail/A 56412-2025 FSC-klagomål mail.docx", "A 56412-2025")</f>
        <v/>
      </c>
      <c r="X378">
        <f>HYPERLINK("https://klasma.github.io/Logging_2421/tillsyn/A 56412-2025 tillsynsbegäran.docx", "A 56412-2025")</f>
        <v/>
      </c>
      <c r="Y378">
        <f>HYPERLINK("https://klasma.github.io/Logging_2421/tillsynsmail/A 56412-2025 tillsynsbegäran mail.docx", "A 56412-2025")</f>
        <v/>
      </c>
      <c r="Z378">
        <f>HYPERLINK("https://klasma.github.io/Logging_2421/fåglar/A 56412-2025 prioriterade fågelarter.docx", "A 56412-2025")</f>
        <v/>
      </c>
    </row>
    <row r="379" ht="15" customHeight="1">
      <c r="A379" t="inlineStr">
        <is>
          <t>A 58209-2025</t>
        </is>
      </c>
      <c r="B379" s="1" t="n">
        <v>45985.3278587963</v>
      </c>
      <c r="C379" s="1" t="n">
        <v>46145</v>
      </c>
      <c r="D379" t="inlineStr">
        <is>
          <t>VÄSTERBOTTENS LÄN</t>
        </is>
      </c>
      <c r="E379" t="inlineStr">
        <is>
          <t>LYCKSELE</t>
        </is>
      </c>
      <c r="F379" t="inlineStr">
        <is>
          <t>Sveaskog</t>
        </is>
      </c>
      <c r="G379" t="n">
        <v>8.1</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37325-2022</t>
        </is>
      </c>
      <c r="B380" s="1" t="n">
        <v>44806</v>
      </c>
      <c r="C380" s="1" t="n">
        <v>46145</v>
      </c>
      <c r="D380" t="inlineStr">
        <is>
          <t>VÄSTERBOTTENS LÄN</t>
        </is>
      </c>
      <c r="E380" t="inlineStr">
        <is>
          <t>VILHELMINA</t>
        </is>
      </c>
      <c r="F380" t="inlineStr">
        <is>
          <t>Övriga statliga verk och myndigheter</t>
        </is>
      </c>
      <c r="G380" t="n">
        <v>11</v>
      </c>
      <c r="H380" t="n">
        <v>2</v>
      </c>
      <c r="I380" t="n">
        <v>0</v>
      </c>
      <c r="J380" t="n">
        <v>4</v>
      </c>
      <c r="K380" t="n">
        <v>0</v>
      </c>
      <c r="L380" t="n">
        <v>0</v>
      </c>
      <c r="M380" t="n">
        <v>0</v>
      </c>
      <c r="N380" t="n">
        <v>0</v>
      </c>
      <c r="O380" t="n">
        <v>4</v>
      </c>
      <c r="P380" t="n">
        <v>0</v>
      </c>
      <c r="Q380" t="n">
        <v>5</v>
      </c>
      <c r="R380" s="2" t="inlineStr">
        <is>
          <t>Garnlav
Granticka
Skrovellav
Spillkråka
Lavskrika</t>
        </is>
      </c>
      <c r="S380">
        <f>HYPERLINK("https://klasma.github.io/Logging_2462/artfynd/A 37325-2022 artfynd.xlsx", "A 37325-2022")</f>
        <v/>
      </c>
      <c r="T380">
        <f>HYPERLINK("https://klasma.github.io/Logging_2462/kartor/A 37325-2022 karta.png", "A 37325-2022")</f>
        <v/>
      </c>
      <c r="V380">
        <f>HYPERLINK("https://klasma.github.io/Logging_2462/klagomål/A 37325-2022 FSC-klagomål.docx", "A 37325-2022")</f>
        <v/>
      </c>
      <c r="W380">
        <f>HYPERLINK("https://klasma.github.io/Logging_2462/klagomålsmail/A 37325-2022 FSC-klagomål mail.docx", "A 37325-2022")</f>
        <v/>
      </c>
      <c r="X380">
        <f>HYPERLINK("https://klasma.github.io/Logging_2462/tillsyn/A 37325-2022 tillsynsbegäran.docx", "A 37325-2022")</f>
        <v/>
      </c>
      <c r="Y380">
        <f>HYPERLINK("https://klasma.github.io/Logging_2462/tillsynsmail/A 37325-2022 tillsynsbegäran mail.docx", "A 37325-2022")</f>
        <v/>
      </c>
      <c r="Z380">
        <f>HYPERLINK("https://klasma.github.io/Logging_2462/fåglar/A 37325-2022 prioriterade fågelarter.docx", "A 37325-2022")</f>
        <v/>
      </c>
    </row>
    <row r="381" ht="15" customHeight="1">
      <c r="A381" t="inlineStr">
        <is>
          <t>A 55409-2024</t>
        </is>
      </c>
      <c r="B381" s="1" t="n">
        <v>45622</v>
      </c>
      <c r="C381" s="1" t="n">
        <v>46145</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18951-2023</t>
        </is>
      </c>
      <c r="B382" s="1" t="n">
        <v>45043</v>
      </c>
      <c r="C382" s="1" t="n">
        <v>46145</v>
      </c>
      <c r="D382" t="inlineStr">
        <is>
          <t>VÄSTERBOTTENS LÄN</t>
        </is>
      </c>
      <c r="E382" t="inlineStr">
        <is>
          <t>BJURHOLM</t>
        </is>
      </c>
      <c r="G382" t="n">
        <v>0.7</v>
      </c>
      <c r="H382" t="n">
        <v>0</v>
      </c>
      <c r="I382" t="n">
        <v>2</v>
      </c>
      <c r="J382" t="n">
        <v>3</v>
      </c>
      <c r="K382" t="n">
        <v>0</v>
      </c>
      <c r="L382" t="n">
        <v>0</v>
      </c>
      <c r="M382" t="n">
        <v>0</v>
      </c>
      <c r="N382" t="n">
        <v>0</v>
      </c>
      <c r="O382" t="n">
        <v>3</v>
      </c>
      <c r="P382" t="n">
        <v>0</v>
      </c>
      <c r="Q382" t="n">
        <v>5</v>
      </c>
      <c r="R382" s="2" t="inlineStr">
        <is>
          <t>Lunglav
Småflikig brosklav
Violettgrå tagellav
Stuplav
Vedticka</t>
        </is>
      </c>
      <c r="S382">
        <f>HYPERLINK("https://klasma.github.io/Logging_2403/artfynd/A 18951-2023 artfynd.xlsx", "A 18951-2023")</f>
        <v/>
      </c>
      <c r="T382">
        <f>HYPERLINK("https://klasma.github.io/Logging_2403/kartor/A 18951-2023 karta.png", "A 18951-2023")</f>
        <v/>
      </c>
      <c r="V382">
        <f>HYPERLINK("https://klasma.github.io/Logging_2403/klagomål/A 18951-2023 FSC-klagomål.docx", "A 18951-2023")</f>
        <v/>
      </c>
      <c r="W382">
        <f>HYPERLINK("https://klasma.github.io/Logging_2403/klagomålsmail/A 18951-2023 FSC-klagomål mail.docx", "A 18951-2023")</f>
        <v/>
      </c>
      <c r="X382">
        <f>HYPERLINK("https://klasma.github.io/Logging_2403/tillsyn/A 18951-2023 tillsynsbegäran.docx", "A 18951-2023")</f>
        <v/>
      </c>
      <c r="Y382">
        <f>HYPERLINK("https://klasma.github.io/Logging_2403/tillsynsmail/A 18951-2023 tillsynsbegäran mail.docx", "A 18951-2023")</f>
        <v/>
      </c>
    </row>
    <row r="383" ht="15" customHeight="1">
      <c r="A383" t="inlineStr">
        <is>
          <t>A 56000-2024</t>
        </is>
      </c>
      <c r="B383" s="1" t="n">
        <v>45623.70361111111</v>
      </c>
      <c r="C383" s="1" t="n">
        <v>46145</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32316-2022</t>
        </is>
      </c>
      <c r="B384" s="1" t="n">
        <v>44781</v>
      </c>
      <c r="C384" s="1" t="n">
        <v>46145</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34043-2024</t>
        </is>
      </c>
      <c r="B385" s="1" t="n">
        <v>45523.60096064815</v>
      </c>
      <c r="C385" s="1" t="n">
        <v>46145</v>
      </c>
      <c r="D385" t="inlineStr">
        <is>
          <t>VÄSTERBOTTENS LÄN</t>
        </is>
      </c>
      <c r="E385" t="inlineStr">
        <is>
          <t>NORSJÖ</t>
        </is>
      </c>
      <c r="F385" t="inlineStr">
        <is>
          <t>Sveaskog</t>
        </is>
      </c>
      <c r="G385" t="n">
        <v>13.6</v>
      </c>
      <c r="H385" t="n">
        <v>2</v>
      </c>
      <c r="I385" t="n">
        <v>2</v>
      </c>
      <c r="J385" t="n">
        <v>1</v>
      </c>
      <c r="K385" t="n">
        <v>1</v>
      </c>
      <c r="L385" t="n">
        <v>0</v>
      </c>
      <c r="M385" t="n">
        <v>0</v>
      </c>
      <c r="N385" t="n">
        <v>0</v>
      </c>
      <c r="O385" t="n">
        <v>2</v>
      </c>
      <c r="P385" t="n">
        <v>1</v>
      </c>
      <c r="Q385" t="n">
        <v>5</v>
      </c>
      <c r="R385" s="2" t="inlineStr">
        <is>
          <t>Goliatmusseron
Blå taggsvamp
Dropptaggsvamp
Plattlummer
Revlummer</t>
        </is>
      </c>
      <c r="S385">
        <f>HYPERLINK("https://klasma.github.io/Logging_2417/artfynd/A 34043-2024 artfynd.xlsx", "A 34043-2024")</f>
        <v/>
      </c>
      <c r="T385">
        <f>HYPERLINK("https://klasma.github.io/Logging_2417/kartor/A 34043-2024 karta.png", "A 34043-2024")</f>
        <v/>
      </c>
      <c r="V385">
        <f>HYPERLINK("https://klasma.github.io/Logging_2417/klagomål/A 34043-2024 FSC-klagomål.docx", "A 34043-2024")</f>
        <v/>
      </c>
      <c r="W385">
        <f>HYPERLINK("https://klasma.github.io/Logging_2417/klagomålsmail/A 34043-2024 FSC-klagomål mail.docx", "A 34043-2024")</f>
        <v/>
      </c>
      <c r="X385">
        <f>HYPERLINK("https://klasma.github.io/Logging_2417/tillsyn/A 34043-2024 tillsynsbegäran.docx", "A 34043-2024")</f>
        <v/>
      </c>
      <c r="Y385">
        <f>HYPERLINK("https://klasma.github.io/Logging_2417/tillsynsmail/A 34043-2024 tillsynsbegäran mail.docx", "A 34043-2024")</f>
        <v/>
      </c>
    </row>
    <row r="386" ht="15" customHeight="1">
      <c r="A386" t="inlineStr">
        <is>
          <t>A 32798-2025</t>
        </is>
      </c>
      <c r="B386" s="1" t="n">
        <v>45839</v>
      </c>
      <c r="C386" s="1" t="n">
        <v>46145</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2274-2024</t>
        </is>
      </c>
      <c r="B387" s="1" t="n">
        <v>45310</v>
      </c>
      <c r="C387" s="1" t="n">
        <v>46145</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5292-2026</t>
        </is>
      </c>
      <c r="B388" s="1" t="n">
        <v>46050.3446875</v>
      </c>
      <c r="C388" s="1" t="n">
        <v>46145</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8853-2024</t>
        </is>
      </c>
      <c r="B389" s="1" t="n">
        <v>45356</v>
      </c>
      <c r="C389" s="1" t="n">
        <v>46145</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51811-2022</t>
        </is>
      </c>
      <c r="B390" s="1" t="n">
        <v>44867</v>
      </c>
      <c r="C390" s="1" t="n">
        <v>46145</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14946-2026</t>
        </is>
      </c>
      <c r="B391" s="1" t="n">
        <v>46104.54061342592</v>
      </c>
      <c r="C391" s="1" t="n">
        <v>46145</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31524-2024</t>
        </is>
      </c>
      <c r="B392" s="1" t="n">
        <v>45505</v>
      </c>
      <c r="C392" s="1" t="n">
        <v>46145</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28831-2024</t>
        </is>
      </c>
      <c r="B393" s="1" t="n">
        <v>45478</v>
      </c>
      <c r="C393" s="1" t="n">
        <v>46145</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8655-2024</t>
        </is>
      </c>
      <c r="B394" s="1" t="n">
        <v>45356</v>
      </c>
      <c r="C394" s="1" t="n">
        <v>46145</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8562-2026</t>
        </is>
      </c>
      <c r="B395" s="1" t="n">
        <v>46065</v>
      </c>
      <c r="C395" s="1" t="n">
        <v>46145</v>
      </c>
      <c r="D395" t="inlineStr">
        <is>
          <t>VÄSTERBOTTENS LÄN</t>
        </is>
      </c>
      <c r="E395" t="inlineStr">
        <is>
          <t>VILHELMINA</t>
        </is>
      </c>
      <c r="G395" t="n">
        <v>5.7</v>
      </c>
      <c r="H395" t="n">
        <v>0</v>
      </c>
      <c r="I395" t="n">
        <v>2</v>
      </c>
      <c r="J395" t="n">
        <v>3</v>
      </c>
      <c r="K395" t="n">
        <v>0</v>
      </c>
      <c r="L395" t="n">
        <v>0</v>
      </c>
      <c r="M395" t="n">
        <v>0</v>
      </c>
      <c r="N395" t="n">
        <v>0</v>
      </c>
      <c r="O395" t="n">
        <v>3</v>
      </c>
      <c r="P395" t="n">
        <v>0</v>
      </c>
      <c r="Q395" t="n">
        <v>5</v>
      </c>
      <c r="R395" s="2" t="inlineStr">
        <is>
          <t>Garnlav
Lunglav
Skrovellav
Luddlav
Stuplav</t>
        </is>
      </c>
      <c r="S395">
        <f>HYPERLINK("https://klasma.github.io/Logging_2462/artfynd/A 8562-2026 artfynd.xlsx", "A 8562-2026")</f>
        <v/>
      </c>
      <c r="T395">
        <f>HYPERLINK("https://klasma.github.io/Logging_2462/kartor/A 8562-2026 karta.png", "A 8562-2026")</f>
        <v/>
      </c>
      <c r="V395">
        <f>HYPERLINK("https://klasma.github.io/Logging_2462/klagomål/A 8562-2026 FSC-klagomål.docx", "A 8562-2026")</f>
        <v/>
      </c>
      <c r="W395">
        <f>HYPERLINK("https://klasma.github.io/Logging_2462/klagomålsmail/A 8562-2026 FSC-klagomål mail.docx", "A 8562-2026")</f>
        <v/>
      </c>
      <c r="X395">
        <f>HYPERLINK("https://klasma.github.io/Logging_2462/tillsyn/A 8562-2026 tillsynsbegäran.docx", "A 8562-2026")</f>
        <v/>
      </c>
      <c r="Y395">
        <f>HYPERLINK("https://klasma.github.io/Logging_2462/tillsynsmail/A 8562-2026 tillsynsbegäran mail.docx", "A 8562-2026")</f>
        <v/>
      </c>
    </row>
    <row r="396" ht="15" customHeight="1">
      <c r="A396" t="inlineStr">
        <is>
          <t>A 10345-2023</t>
        </is>
      </c>
      <c r="B396" s="1" t="n">
        <v>44980</v>
      </c>
      <c r="C396" s="1" t="n">
        <v>46145</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46145</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52096-2025</t>
        </is>
      </c>
      <c r="B398" s="1" t="n">
        <v>45952.67902777778</v>
      </c>
      <c r="C398" s="1" t="n">
        <v>46145</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10364-2026</t>
        </is>
      </c>
      <c r="B399" s="1" t="n">
        <v>46076</v>
      </c>
      <c r="C399" s="1" t="n">
        <v>46145</v>
      </c>
      <c r="D399" t="inlineStr">
        <is>
          <t>VÄSTERBOTTENS LÄN</t>
        </is>
      </c>
      <c r="E399" t="inlineStr">
        <is>
          <t>VILHELMINA</t>
        </is>
      </c>
      <c r="G399" t="n">
        <v>13.3</v>
      </c>
      <c r="H399" t="n">
        <v>1</v>
      </c>
      <c r="I399" t="n">
        <v>0</v>
      </c>
      <c r="J399" t="n">
        <v>5</v>
      </c>
      <c r="K399" t="n">
        <v>0</v>
      </c>
      <c r="L399" t="n">
        <v>0</v>
      </c>
      <c r="M399" t="n">
        <v>0</v>
      </c>
      <c r="N399" t="n">
        <v>0</v>
      </c>
      <c r="O399" t="n">
        <v>5</v>
      </c>
      <c r="P399" t="n">
        <v>0</v>
      </c>
      <c r="Q399" t="n">
        <v>5</v>
      </c>
      <c r="R399" s="2" t="inlineStr">
        <is>
          <t>Gammelgransskål
Garnlav
Gränsticka
Harticka
Tretåig hackspett</t>
        </is>
      </c>
      <c r="S399">
        <f>HYPERLINK("https://klasma.github.io/Logging_2462/artfynd/A 10364-2026 artfynd.xlsx", "A 10364-2026")</f>
        <v/>
      </c>
      <c r="T399">
        <f>HYPERLINK("https://klasma.github.io/Logging_2462/kartor/A 10364-2026 karta.png", "A 10364-2026")</f>
        <v/>
      </c>
      <c r="V399">
        <f>HYPERLINK("https://klasma.github.io/Logging_2462/klagomål/A 10364-2026 FSC-klagomål.docx", "A 10364-2026")</f>
        <v/>
      </c>
      <c r="W399">
        <f>HYPERLINK("https://klasma.github.io/Logging_2462/klagomålsmail/A 10364-2026 FSC-klagomål mail.docx", "A 10364-2026")</f>
        <v/>
      </c>
      <c r="X399">
        <f>HYPERLINK("https://klasma.github.io/Logging_2462/tillsyn/A 10364-2026 tillsynsbegäran.docx", "A 10364-2026")</f>
        <v/>
      </c>
      <c r="Y399">
        <f>HYPERLINK("https://klasma.github.io/Logging_2462/tillsynsmail/A 10364-2026 tillsynsbegäran mail.docx", "A 10364-2026")</f>
        <v/>
      </c>
      <c r="Z399">
        <f>HYPERLINK("https://klasma.github.io/Logging_2462/fåglar/A 10364-2026 prioriterade fågelarter.docx", "A 10364-2026")</f>
        <v/>
      </c>
    </row>
    <row r="400" ht="15" customHeight="1">
      <c r="A400" t="inlineStr">
        <is>
          <t>A 20163-2026</t>
        </is>
      </c>
      <c r="B400" s="1" t="n">
        <v>46139.29862268519</v>
      </c>
      <c r="C400" s="1" t="n">
        <v>46145</v>
      </c>
      <c r="D400" t="inlineStr">
        <is>
          <t>VÄSTERBOTTENS LÄN</t>
        </is>
      </c>
      <c r="E400" t="inlineStr">
        <is>
          <t>NORDMALING</t>
        </is>
      </c>
      <c r="G400" t="n">
        <v>1.9</v>
      </c>
      <c r="H400" t="n">
        <v>2</v>
      </c>
      <c r="I400" t="n">
        <v>0</v>
      </c>
      <c r="J400" t="n">
        <v>5</v>
      </c>
      <c r="K400" t="n">
        <v>0</v>
      </c>
      <c r="L400" t="n">
        <v>0</v>
      </c>
      <c r="M400" t="n">
        <v>0</v>
      </c>
      <c r="N400" t="n">
        <v>0</v>
      </c>
      <c r="O400" t="n">
        <v>5</v>
      </c>
      <c r="P400" t="n">
        <v>0</v>
      </c>
      <c r="Q400" t="n">
        <v>5</v>
      </c>
      <c r="R400" s="2" t="inlineStr">
        <is>
          <t>Garnlav
Granticka
Järpe
Spillkråka
Ullticka</t>
        </is>
      </c>
      <c r="S400">
        <f>HYPERLINK("https://klasma.github.io/Logging_2401/artfynd/A 20163-2026 artfynd.xlsx", "A 20163-2026")</f>
        <v/>
      </c>
      <c r="T400">
        <f>HYPERLINK("https://klasma.github.io/Logging_2401/kartor/A 20163-2026 karta.png", "A 20163-2026")</f>
        <v/>
      </c>
      <c r="V400">
        <f>HYPERLINK("https://klasma.github.io/Logging_2401/klagomål/A 20163-2026 FSC-klagomål.docx", "A 20163-2026")</f>
        <v/>
      </c>
      <c r="W400">
        <f>HYPERLINK("https://klasma.github.io/Logging_2401/klagomålsmail/A 20163-2026 FSC-klagomål mail.docx", "A 20163-2026")</f>
        <v/>
      </c>
      <c r="X400">
        <f>HYPERLINK("https://klasma.github.io/Logging_2401/tillsyn/A 20163-2026 tillsynsbegäran.docx", "A 20163-2026")</f>
        <v/>
      </c>
      <c r="Y400">
        <f>HYPERLINK("https://klasma.github.io/Logging_2401/tillsynsmail/A 20163-2026 tillsynsbegäran mail.docx", "A 20163-2026")</f>
        <v/>
      </c>
      <c r="Z400">
        <f>HYPERLINK("https://klasma.github.io/Logging_2401/fåglar/A 20163-2026 prioriterade fågelarter.docx", "A 20163-2026")</f>
        <v/>
      </c>
    </row>
    <row r="401" ht="15" customHeight="1">
      <c r="A401" t="inlineStr">
        <is>
          <t>A 55941-2025</t>
        </is>
      </c>
      <c r="B401" s="1" t="n">
        <v>45973.45164351852</v>
      </c>
      <c r="C401" s="1" t="n">
        <v>46145</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55597-2025</t>
        </is>
      </c>
      <c r="B402" s="1" t="n">
        <v>45971.72814814815</v>
      </c>
      <c r="C402" s="1" t="n">
        <v>46145</v>
      </c>
      <c r="D402" t="inlineStr">
        <is>
          <t>VÄSTERBOTTENS LÄN</t>
        </is>
      </c>
      <c r="E402" t="inlineStr">
        <is>
          <t>VINDELN</t>
        </is>
      </c>
      <c r="G402" t="n">
        <v>9.300000000000001</v>
      </c>
      <c r="H402" t="n">
        <v>2</v>
      </c>
      <c r="I402" t="n">
        <v>0</v>
      </c>
      <c r="J402" t="n">
        <v>5</v>
      </c>
      <c r="K402" t="n">
        <v>0</v>
      </c>
      <c r="L402" t="n">
        <v>0</v>
      </c>
      <c r="M402" t="n">
        <v>0</v>
      </c>
      <c r="N402" t="n">
        <v>0</v>
      </c>
      <c r="O402" t="n">
        <v>5</v>
      </c>
      <c r="P402" t="n">
        <v>0</v>
      </c>
      <c r="Q402" t="n">
        <v>5</v>
      </c>
      <c r="R402" s="2" t="inlineStr">
        <is>
          <t>Garnlav
Harticka
Spillkråka
Tretåig hackspett
Vitgrynig nållav</t>
        </is>
      </c>
      <c r="S402">
        <f>HYPERLINK("https://klasma.github.io/Logging_2404/artfynd/A 55597-2025 artfynd.xlsx", "A 55597-2025")</f>
        <v/>
      </c>
      <c r="T402">
        <f>HYPERLINK("https://klasma.github.io/Logging_2404/kartor/A 55597-2025 karta.png", "A 55597-2025")</f>
        <v/>
      </c>
      <c r="V402">
        <f>HYPERLINK("https://klasma.github.io/Logging_2404/klagomål/A 55597-2025 FSC-klagomål.docx", "A 55597-2025")</f>
        <v/>
      </c>
      <c r="W402">
        <f>HYPERLINK("https://klasma.github.io/Logging_2404/klagomålsmail/A 55597-2025 FSC-klagomål mail.docx", "A 55597-2025")</f>
        <v/>
      </c>
      <c r="X402">
        <f>HYPERLINK("https://klasma.github.io/Logging_2404/tillsyn/A 55597-2025 tillsynsbegäran.docx", "A 55597-2025")</f>
        <v/>
      </c>
      <c r="Y402">
        <f>HYPERLINK("https://klasma.github.io/Logging_2404/tillsynsmail/A 55597-2025 tillsynsbegäran mail.docx", "A 55597-2025")</f>
        <v/>
      </c>
      <c r="Z402">
        <f>HYPERLINK("https://klasma.github.io/Logging_2404/fåglar/A 55597-2025 prioriterade fågelarter.docx", "A 55597-2025")</f>
        <v/>
      </c>
    </row>
    <row r="403" ht="15" customHeight="1">
      <c r="A403" t="inlineStr">
        <is>
          <t>A 42193-2024</t>
        </is>
      </c>
      <c r="B403" s="1" t="n">
        <v>45562.50009259259</v>
      </c>
      <c r="C403" s="1" t="n">
        <v>46145</v>
      </c>
      <c r="D403" t="inlineStr">
        <is>
          <t>VÄSTERBOTTENS LÄN</t>
        </is>
      </c>
      <c r="E403" t="inlineStr">
        <is>
          <t>UMEÅ</t>
        </is>
      </c>
      <c r="F403" t="inlineStr">
        <is>
          <t>Kommuner</t>
        </is>
      </c>
      <c r="G403" t="n">
        <v>2.2</v>
      </c>
      <c r="H403" t="n">
        <v>1</v>
      </c>
      <c r="I403" t="n">
        <v>1</v>
      </c>
      <c r="J403" t="n">
        <v>3</v>
      </c>
      <c r="K403" t="n">
        <v>1</v>
      </c>
      <c r="L403" t="n">
        <v>0</v>
      </c>
      <c r="M403" t="n">
        <v>0</v>
      </c>
      <c r="N403" t="n">
        <v>0</v>
      </c>
      <c r="O403" t="n">
        <v>4</v>
      </c>
      <c r="P403" t="n">
        <v>1</v>
      </c>
      <c r="Q403" t="n">
        <v>5</v>
      </c>
      <c r="R403" s="2" t="inlineStr">
        <is>
          <t>Smalfotad taggsvamp
Mjölsvärting
Skrovlig taggsvamp
Talltita
Dropptaggsvamp</t>
        </is>
      </c>
      <c r="S403">
        <f>HYPERLINK("https://klasma.github.io/Logging_2480/artfynd/A 42193-2024 artfynd.xlsx", "A 42193-2024")</f>
        <v/>
      </c>
      <c r="T403">
        <f>HYPERLINK("https://klasma.github.io/Logging_2480/kartor/A 42193-2024 karta.png", "A 42193-2024")</f>
        <v/>
      </c>
      <c r="V403">
        <f>HYPERLINK("https://klasma.github.io/Logging_2480/klagomål/A 42193-2024 FSC-klagomål.docx", "A 42193-2024")</f>
        <v/>
      </c>
      <c r="W403">
        <f>HYPERLINK("https://klasma.github.io/Logging_2480/klagomålsmail/A 42193-2024 FSC-klagomål mail.docx", "A 42193-2024")</f>
        <v/>
      </c>
      <c r="X403">
        <f>HYPERLINK("https://klasma.github.io/Logging_2480/tillsyn/A 42193-2024 tillsynsbegäran.docx", "A 42193-2024")</f>
        <v/>
      </c>
      <c r="Y403">
        <f>HYPERLINK("https://klasma.github.io/Logging_2480/tillsynsmail/A 42193-2024 tillsynsbegäran mail.docx", "A 42193-2024")</f>
        <v/>
      </c>
      <c r="Z403">
        <f>HYPERLINK("https://klasma.github.io/Logging_2480/fåglar/A 42193-2024 prioriterade fågelarter.docx", "A 42193-2024")</f>
        <v/>
      </c>
    </row>
    <row r="404" ht="15" customHeight="1">
      <c r="A404" t="inlineStr">
        <is>
          <t>A 2749-2026</t>
        </is>
      </c>
      <c r="B404" s="1" t="n">
        <v>46038.31931712963</v>
      </c>
      <c r="C404" s="1" t="n">
        <v>46145</v>
      </c>
      <c r="D404" t="inlineStr">
        <is>
          <t>VÄSTERBOTTENS LÄN</t>
        </is>
      </c>
      <c r="E404" t="inlineStr">
        <is>
          <t>ÅSELE</t>
        </is>
      </c>
      <c r="F404" t="inlineStr">
        <is>
          <t>Sveaskog</t>
        </is>
      </c>
      <c r="G404" t="n">
        <v>5</v>
      </c>
      <c r="H404" t="n">
        <v>0</v>
      </c>
      <c r="I404" t="n">
        <v>1</v>
      </c>
      <c r="J404" t="n">
        <v>4</v>
      </c>
      <c r="K404" t="n">
        <v>0</v>
      </c>
      <c r="L404" t="n">
        <v>0</v>
      </c>
      <c r="M404" t="n">
        <v>0</v>
      </c>
      <c r="N404" t="n">
        <v>0</v>
      </c>
      <c r="O404" t="n">
        <v>4</v>
      </c>
      <c r="P404" t="n">
        <v>0</v>
      </c>
      <c r="Q404" t="n">
        <v>5</v>
      </c>
      <c r="R404" s="2" t="inlineStr">
        <is>
          <t>Lunglav
Rosenticka
Skrovellav
Vitgrynig nållav
Trådticka</t>
        </is>
      </c>
      <c r="S404">
        <f>HYPERLINK("https://klasma.github.io/Logging_2463/artfynd/A 2749-2026 artfynd.xlsx", "A 2749-2026")</f>
        <v/>
      </c>
      <c r="T404">
        <f>HYPERLINK("https://klasma.github.io/Logging_2463/kartor/A 2749-2026 karta.png", "A 2749-2026")</f>
        <v/>
      </c>
      <c r="V404">
        <f>HYPERLINK("https://klasma.github.io/Logging_2463/klagomål/A 2749-2026 FSC-klagomål.docx", "A 2749-2026")</f>
        <v/>
      </c>
      <c r="W404">
        <f>HYPERLINK("https://klasma.github.io/Logging_2463/klagomålsmail/A 2749-2026 FSC-klagomål mail.docx", "A 2749-2026")</f>
        <v/>
      </c>
      <c r="X404">
        <f>HYPERLINK("https://klasma.github.io/Logging_2463/tillsyn/A 2749-2026 tillsynsbegäran.docx", "A 2749-2026")</f>
        <v/>
      </c>
      <c r="Y404">
        <f>HYPERLINK("https://klasma.github.io/Logging_2463/tillsynsmail/A 2749-2026 tillsynsbegäran mail.docx", "A 2749-2026")</f>
        <v/>
      </c>
    </row>
    <row r="405" ht="15" customHeight="1">
      <c r="A405" t="inlineStr">
        <is>
          <t>A 23310-2025</t>
        </is>
      </c>
      <c r="B405" s="1" t="n">
        <v>45791.60834490741</v>
      </c>
      <c r="C405" s="1" t="n">
        <v>46145</v>
      </c>
      <c r="D405" t="inlineStr">
        <is>
          <t>VÄSTERBOTTENS LÄN</t>
        </is>
      </c>
      <c r="E405" t="inlineStr">
        <is>
          <t>LYCKSELE</t>
        </is>
      </c>
      <c r="F405" t="inlineStr">
        <is>
          <t>Sveaskog</t>
        </is>
      </c>
      <c r="G405" t="n">
        <v>12</v>
      </c>
      <c r="H405" t="n">
        <v>0</v>
      </c>
      <c r="I405" t="n">
        <v>1</v>
      </c>
      <c r="J405" t="n">
        <v>4</v>
      </c>
      <c r="K405" t="n">
        <v>0</v>
      </c>
      <c r="L405" t="n">
        <v>0</v>
      </c>
      <c r="M405" t="n">
        <v>0</v>
      </c>
      <c r="N405" t="n">
        <v>0</v>
      </c>
      <c r="O405" t="n">
        <v>4</v>
      </c>
      <c r="P405" t="n">
        <v>0</v>
      </c>
      <c r="Q405" t="n">
        <v>5</v>
      </c>
      <c r="R405" s="2" t="inlineStr">
        <is>
          <t>Blå taggsvamp
Kolflarnlav
Mörk kolflarnlav
Orange taggsvamp
Dropptaggsvamp</t>
        </is>
      </c>
      <c r="S405">
        <f>HYPERLINK("https://klasma.github.io/Logging_2481/artfynd/A 23310-2025 artfynd.xlsx", "A 23310-2025")</f>
        <v/>
      </c>
      <c r="T405">
        <f>HYPERLINK("https://klasma.github.io/Logging_2481/kartor/A 23310-2025 karta.png", "A 23310-2025")</f>
        <v/>
      </c>
      <c r="V405">
        <f>HYPERLINK("https://klasma.github.io/Logging_2481/klagomål/A 23310-2025 FSC-klagomål.docx", "A 23310-2025")</f>
        <v/>
      </c>
      <c r="W405">
        <f>HYPERLINK("https://klasma.github.io/Logging_2481/klagomålsmail/A 23310-2025 FSC-klagomål mail.docx", "A 23310-2025")</f>
        <v/>
      </c>
      <c r="X405">
        <f>HYPERLINK("https://klasma.github.io/Logging_2481/tillsyn/A 23310-2025 tillsynsbegäran.docx", "A 23310-2025")</f>
        <v/>
      </c>
      <c r="Y405">
        <f>HYPERLINK("https://klasma.github.io/Logging_2481/tillsynsmail/A 23310-2025 tillsynsbegäran mail.docx", "A 23310-2025")</f>
        <v/>
      </c>
    </row>
    <row r="406" ht="15" customHeight="1">
      <c r="A406" t="inlineStr">
        <is>
          <t>A 19007-2022</t>
        </is>
      </c>
      <c r="B406" s="1" t="n">
        <v>44690</v>
      </c>
      <c r="C406" s="1" t="n">
        <v>46145</v>
      </c>
      <c r="D406" t="inlineStr">
        <is>
          <t>VÄSTERBOTTENS LÄN</t>
        </is>
      </c>
      <c r="E406" t="inlineStr">
        <is>
          <t>VINDELN</t>
        </is>
      </c>
      <c r="F406" t="inlineStr">
        <is>
          <t>SCA</t>
        </is>
      </c>
      <c r="G406" t="n">
        <v>5.1</v>
      </c>
      <c r="H406" t="n">
        <v>0</v>
      </c>
      <c r="I406" t="n">
        <v>1</v>
      </c>
      <c r="J406" t="n">
        <v>4</v>
      </c>
      <c r="K406" t="n">
        <v>0</v>
      </c>
      <c r="L406" t="n">
        <v>0</v>
      </c>
      <c r="M406" t="n">
        <v>0</v>
      </c>
      <c r="N406" t="n">
        <v>0</v>
      </c>
      <c r="O406" t="n">
        <v>4</v>
      </c>
      <c r="P406" t="n">
        <v>0</v>
      </c>
      <c r="Q406" t="n">
        <v>5</v>
      </c>
      <c r="R406" s="2" t="inlineStr">
        <is>
          <t>Blå taggsvamp
Motaggsvamp
Orange taggsvamp
Svart taggsvamp agg.
Dropptaggsvamp</t>
        </is>
      </c>
      <c r="S406">
        <f>HYPERLINK("https://klasma.github.io/Logging_2404/artfynd/A 19007-2022 artfynd.xlsx", "A 19007-2022")</f>
        <v/>
      </c>
      <c r="T406">
        <f>HYPERLINK("https://klasma.github.io/Logging_2404/kartor/A 19007-2022 karta.png", "A 19007-2022")</f>
        <v/>
      </c>
      <c r="V406">
        <f>HYPERLINK("https://klasma.github.io/Logging_2404/klagomål/A 19007-2022 FSC-klagomål.docx", "A 19007-2022")</f>
        <v/>
      </c>
      <c r="W406">
        <f>HYPERLINK("https://klasma.github.io/Logging_2404/klagomålsmail/A 19007-2022 FSC-klagomål mail.docx", "A 19007-2022")</f>
        <v/>
      </c>
      <c r="X406">
        <f>HYPERLINK("https://klasma.github.io/Logging_2404/tillsyn/A 19007-2022 tillsynsbegäran.docx", "A 19007-2022")</f>
        <v/>
      </c>
      <c r="Y406">
        <f>HYPERLINK("https://klasma.github.io/Logging_2404/tillsynsmail/A 19007-2022 tillsynsbegäran mail.docx", "A 19007-2022")</f>
        <v/>
      </c>
    </row>
    <row r="407" ht="15" customHeight="1">
      <c r="A407" t="inlineStr">
        <is>
          <t>A 896-2025</t>
        </is>
      </c>
      <c r="B407" s="1" t="n">
        <v>45665</v>
      </c>
      <c r="C407" s="1" t="n">
        <v>46145</v>
      </c>
      <c r="D407" t="inlineStr">
        <is>
          <t>VÄSTERBOTTENS LÄN</t>
        </is>
      </c>
      <c r="E407" t="inlineStr">
        <is>
          <t>VILHELMINA</t>
        </is>
      </c>
      <c r="G407" t="n">
        <v>24.8</v>
      </c>
      <c r="H407" t="n">
        <v>1</v>
      </c>
      <c r="I407" t="n">
        <v>0</v>
      </c>
      <c r="J407" t="n">
        <v>4</v>
      </c>
      <c r="K407" t="n">
        <v>1</v>
      </c>
      <c r="L407" t="n">
        <v>0</v>
      </c>
      <c r="M407" t="n">
        <v>0</v>
      </c>
      <c r="N407" t="n">
        <v>0</v>
      </c>
      <c r="O407" t="n">
        <v>5</v>
      </c>
      <c r="P407" t="n">
        <v>1</v>
      </c>
      <c r="Q407" t="n">
        <v>5</v>
      </c>
      <c r="R407" s="2" t="inlineStr">
        <is>
          <t>Rynkskinn
Garnlav
Granticka
Tretåig hackspett
Ullticka</t>
        </is>
      </c>
      <c r="S407">
        <f>HYPERLINK("https://klasma.github.io/Logging_2462/artfynd/A 896-2025 artfynd.xlsx", "A 896-2025")</f>
        <v/>
      </c>
      <c r="T407">
        <f>HYPERLINK("https://klasma.github.io/Logging_2462/kartor/A 896-2025 karta.png", "A 896-2025")</f>
        <v/>
      </c>
      <c r="V407">
        <f>HYPERLINK("https://klasma.github.io/Logging_2462/klagomål/A 896-2025 FSC-klagomål.docx", "A 896-2025")</f>
        <v/>
      </c>
      <c r="W407">
        <f>HYPERLINK("https://klasma.github.io/Logging_2462/klagomålsmail/A 896-2025 FSC-klagomål mail.docx", "A 896-2025")</f>
        <v/>
      </c>
      <c r="X407">
        <f>HYPERLINK("https://klasma.github.io/Logging_2462/tillsyn/A 896-2025 tillsynsbegäran.docx", "A 896-2025")</f>
        <v/>
      </c>
      <c r="Y407">
        <f>HYPERLINK("https://klasma.github.io/Logging_2462/tillsynsmail/A 896-2025 tillsynsbegäran mail.docx", "A 896-2025")</f>
        <v/>
      </c>
      <c r="Z407">
        <f>HYPERLINK("https://klasma.github.io/Logging_2462/fåglar/A 896-2025 prioriterade fågelarter.docx", "A 896-2025")</f>
        <v/>
      </c>
    </row>
    <row r="408" ht="15" customHeight="1">
      <c r="A408" t="inlineStr">
        <is>
          <t>A 26791-2025</t>
        </is>
      </c>
      <c r="B408" s="1" t="n">
        <v>45810</v>
      </c>
      <c r="C408" s="1" t="n">
        <v>46145</v>
      </c>
      <c r="D408" t="inlineStr">
        <is>
          <t>VÄSTERBOTTENS LÄN</t>
        </is>
      </c>
      <c r="E408" t="inlineStr">
        <is>
          <t>ÅSELE</t>
        </is>
      </c>
      <c r="F408" t="inlineStr">
        <is>
          <t>SCA</t>
        </is>
      </c>
      <c r="G408" t="n">
        <v>3.9</v>
      </c>
      <c r="H408" t="n">
        <v>1</v>
      </c>
      <c r="I408" t="n">
        <v>1</v>
      </c>
      <c r="J408" t="n">
        <v>4</v>
      </c>
      <c r="K408" t="n">
        <v>0</v>
      </c>
      <c r="L408" t="n">
        <v>0</v>
      </c>
      <c r="M408" t="n">
        <v>0</v>
      </c>
      <c r="N408" t="n">
        <v>0</v>
      </c>
      <c r="O408" t="n">
        <v>4</v>
      </c>
      <c r="P408" t="n">
        <v>0</v>
      </c>
      <c r="Q408" t="n">
        <v>5</v>
      </c>
      <c r="R408" s="2" t="inlineStr">
        <is>
          <t>Dvärgbägarlav
Garnlav
Spillkråka
Vedskivlav
Norrlandslav</t>
        </is>
      </c>
      <c r="S408">
        <f>HYPERLINK("https://klasma.github.io/Logging_2463/artfynd/A 26791-2025 artfynd.xlsx", "A 26791-2025")</f>
        <v/>
      </c>
      <c r="T408">
        <f>HYPERLINK("https://klasma.github.io/Logging_2463/kartor/A 26791-2025 karta.png", "A 26791-2025")</f>
        <v/>
      </c>
      <c r="V408">
        <f>HYPERLINK("https://klasma.github.io/Logging_2463/klagomål/A 26791-2025 FSC-klagomål.docx", "A 26791-2025")</f>
        <v/>
      </c>
      <c r="W408">
        <f>HYPERLINK("https://klasma.github.io/Logging_2463/klagomålsmail/A 26791-2025 FSC-klagomål mail.docx", "A 26791-2025")</f>
        <v/>
      </c>
      <c r="X408">
        <f>HYPERLINK("https://klasma.github.io/Logging_2463/tillsyn/A 26791-2025 tillsynsbegäran.docx", "A 26791-2025")</f>
        <v/>
      </c>
      <c r="Y408">
        <f>HYPERLINK("https://klasma.github.io/Logging_2463/tillsynsmail/A 26791-2025 tillsynsbegäran mail.docx", "A 26791-2025")</f>
        <v/>
      </c>
      <c r="Z408">
        <f>HYPERLINK("https://klasma.github.io/Logging_2463/fåglar/A 26791-2025 prioriterade fågelarter.docx", "A 26791-2025")</f>
        <v/>
      </c>
    </row>
    <row r="409" ht="15" customHeight="1">
      <c r="A409" t="inlineStr">
        <is>
          <t>A 26589-2025</t>
        </is>
      </c>
      <c r="B409" s="1" t="n">
        <v>45807.83921296296</v>
      </c>
      <c r="C409" s="1" t="n">
        <v>46145</v>
      </c>
      <c r="D409" t="inlineStr">
        <is>
          <t>VÄSTERBOTTENS LÄN</t>
        </is>
      </c>
      <c r="E409" t="inlineStr">
        <is>
          <t>SKELLEFTEÅ</t>
        </is>
      </c>
      <c r="F409" t="inlineStr">
        <is>
          <t>Sveaskog</t>
        </is>
      </c>
      <c r="G409" t="n">
        <v>19.8</v>
      </c>
      <c r="H409" t="n">
        <v>4</v>
      </c>
      <c r="I409" t="n">
        <v>2</v>
      </c>
      <c r="J409" t="n">
        <v>1</v>
      </c>
      <c r="K409" t="n">
        <v>0</v>
      </c>
      <c r="L409" t="n">
        <v>0</v>
      </c>
      <c r="M409" t="n">
        <v>0</v>
      </c>
      <c r="N409" t="n">
        <v>0</v>
      </c>
      <c r="O409" t="n">
        <v>1</v>
      </c>
      <c r="P409" t="n">
        <v>0</v>
      </c>
      <c r="Q409" t="n">
        <v>5</v>
      </c>
      <c r="R409" s="2" t="inlineStr">
        <is>
          <t>Nordfladdermus
Plattlummer
Stuplav
Fläcknycklar
Revlummer</t>
        </is>
      </c>
      <c r="S409">
        <f>HYPERLINK("https://klasma.github.io/Logging_2482/artfynd/A 26589-2025 artfynd.xlsx", "A 26589-2025")</f>
        <v/>
      </c>
      <c r="T409">
        <f>HYPERLINK("https://klasma.github.io/Logging_2482/kartor/A 26589-2025 karta.png", "A 26589-2025")</f>
        <v/>
      </c>
      <c r="V409">
        <f>HYPERLINK("https://klasma.github.io/Logging_2482/klagomål/A 26589-2025 FSC-klagomål.docx", "A 26589-2025")</f>
        <v/>
      </c>
      <c r="W409">
        <f>HYPERLINK("https://klasma.github.io/Logging_2482/klagomålsmail/A 26589-2025 FSC-klagomål mail.docx", "A 26589-2025")</f>
        <v/>
      </c>
      <c r="X409">
        <f>HYPERLINK("https://klasma.github.io/Logging_2482/tillsyn/A 26589-2025 tillsynsbegäran.docx", "A 26589-2025")</f>
        <v/>
      </c>
      <c r="Y409">
        <f>HYPERLINK("https://klasma.github.io/Logging_2482/tillsynsmail/A 26589-2025 tillsynsbegäran mail.docx", "A 26589-2025")</f>
        <v/>
      </c>
    </row>
    <row r="410" ht="15" customHeight="1">
      <c r="A410" t="inlineStr">
        <is>
          <t>A 29693-2025</t>
        </is>
      </c>
      <c r="B410" s="1" t="n">
        <v>45825.54184027778</v>
      </c>
      <c r="C410" s="1" t="n">
        <v>46145</v>
      </c>
      <c r="D410" t="inlineStr">
        <is>
          <t>VÄSTERBOTTENS LÄN</t>
        </is>
      </c>
      <c r="E410" t="inlineStr">
        <is>
          <t>SKELLEFTEÅ</t>
        </is>
      </c>
      <c r="G410" t="n">
        <v>17.8</v>
      </c>
      <c r="H410" t="n">
        <v>1</v>
      </c>
      <c r="I410" t="n">
        <v>2</v>
      </c>
      <c r="J410" t="n">
        <v>3</v>
      </c>
      <c r="K410" t="n">
        <v>0</v>
      </c>
      <c r="L410" t="n">
        <v>0</v>
      </c>
      <c r="M410" t="n">
        <v>0</v>
      </c>
      <c r="N410" t="n">
        <v>0</v>
      </c>
      <c r="O410" t="n">
        <v>3</v>
      </c>
      <c r="P410" t="n">
        <v>0</v>
      </c>
      <c r="Q410" t="n">
        <v>5</v>
      </c>
      <c r="R410" s="2" t="inlineStr">
        <is>
          <t>Garnlav
Orange taggsvamp
Talltita
Dropptaggsvamp
Nästlav</t>
        </is>
      </c>
      <c r="S410">
        <f>HYPERLINK("https://klasma.github.io/Logging_2482/artfynd/A 29693-2025 artfynd.xlsx", "A 29693-2025")</f>
        <v/>
      </c>
      <c r="T410">
        <f>HYPERLINK("https://klasma.github.io/Logging_2482/kartor/A 29693-2025 karta.png", "A 29693-2025")</f>
        <v/>
      </c>
      <c r="V410">
        <f>HYPERLINK("https://klasma.github.io/Logging_2482/klagomål/A 29693-2025 FSC-klagomål.docx", "A 29693-2025")</f>
        <v/>
      </c>
      <c r="W410">
        <f>HYPERLINK("https://klasma.github.io/Logging_2482/klagomålsmail/A 29693-2025 FSC-klagomål mail.docx", "A 29693-2025")</f>
        <v/>
      </c>
      <c r="X410">
        <f>HYPERLINK("https://klasma.github.io/Logging_2482/tillsyn/A 29693-2025 tillsynsbegäran.docx", "A 29693-2025")</f>
        <v/>
      </c>
      <c r="Y410">
        <f>HYPERLINK("https://klasma.github.io/Logging_2482/tillsynsmail/A 29693-2025 tillsynsbegäran mail.docx", "A 29693-2025")</f>
        <v/>
      </c>
      <c r="Z410">
        <f>HYPERLINK("https://klasma.github.io/Logging_2482/fåglar/A 29693-2025 prioriterade fågelarter.docx", "A 29693-2025")</f>
        <v/>
      </c>
    </row>
    <row r="411" ht="15" customHeight="1">
      <c r="A411" t="inlineStr">
        <is>
          <t>A 32739-2025</t>
        </is>
      </c>
      <c r="B411" s="1" t="n">
        <v>45839.42177083333</v>
      </c>
      <c r="C411" s="1" t="n">
        <v>46145</v>
      </c>
      <c r="D411" t="inlineStr">
        <is>
          <t>VÄSTERBOTTENS LÄN</t>
        </is>
      </c>
      <c r="E411" t="inlineStr">
        <is>
          <t>SKELLEFTEÅ</t>
        </is>
      </c>
      <c r="G411" t="n">
        <v>3.5</v>
      </c>
      <c r="H411" t="n">
        <v>2</v>
      </c>
      <c r="I411" t="n">
        <v>2</v>
      </c>
      <c r="J411" t="n">
        <v>2</v>
      </c>
      <c r="K411" t="n">
        <v>1</v>
      </c>
      <c r="L411" t="n">
        <v>0</v>
      </c>
      <c r="M411" t="n">
        <v>0</v>
      </c>
      <c r="N411" t="n">
        <v>0</v>
      </c>
      <c r="O411" t="n">
        <v>3</v>
      </c>
      <c r="P411" t="n">
        <v>1</v>
      </c>
      <c r="Q411" t="n">
        <v>5</v>
      </c>
      <c r="R411" s="2" t="inlineStr">
        <is>
          <t>Knärot
Talltita
Ullticka
Grönpyrola
Späd brosklav</t>
        </is>
      </c>
      <c r="S411">
        <f>HYPERLINK("https://klasma.github.io/Logging_2482/artfynd/A 32739-2025 artfynd.xlsx", "A 32739-2025")</f>
        <v/>
      </c>
      <c r="T411">
        <f>HYPERLINK("https://klasma.github.io/Logging_2482/kartor/A 32739-2025 karta.png", "A 32739-2025")</f>
        <v/>
      </c>
      <c r="U411">
        <f>HYPERLINK("https://klasma.github.io/Logging_2482/knärot/A 32739-2025 karta knärot.png", "A 32739-2025")</f>
        <v/>
      </c>
      <c r="V411">
        <f>HYPERLINK("https://klasma.github.io/Logging_2482/klagomål/A 32739-2025 FSC-klagomål.docx", "A 32739-2025")</f>
        <v/>
      </c>
      <c r="W411">
        <f>HYPERLINK("https://klasma.github.io/Logging_2482/klagomålsmail/A 32739-2025 FSC-klagomål mail.docx", "A 32739-2025")</f>
        <v/>
      </c>
      <c r="X411">
        <f>HYPERLINK("https://klasma.github.io/Logging_2482/tillsyn/A 32739-2025 tillsynsbegäran.docx", "A 32739-2025")</f>
        <v/>
      </c>
      <c r="Y411">
        <f>HYPERLINK("https://klasma.github.io/Logging_2482/tillsynsmail/A 32739-2025 tillsynsbegäran mail.docx", "A 32739-2025")</f>
        <v/>
      </c>
      <c r="Z411">
        <f>HYPERLINK("https://klasma.github.io/Logging_2482/fåglar/A 32739-2025 prioriterade fågelarter.docx", "A 32739-2025")</f>
        <v/>
      </c>
    </row>
    <row r="412" ht="15" customHeight="1">
      <c r="A412" t="inlineStr">
        <is>
          <t>A 21509-2025</t>
        </is>
      </c>
      <c r="B412" s="1" t="n">
        <v>45782.62307870371</v>
      </c>
      <c r="C412" s="1" t="n">
        <v>46145</v>
      </c>
      <c r="D412" t="inlineStr">
        <is>
          <t>VÄSTERBOTTENS LÄN</t>
        </is>
      </c>
      <c r="E412" t="inlineStr">
        <is>
          <t>LYCKSELE</t>
        </is>
      </c>
      <c r="F412" t="inlineStr">
        <is>
          <t>Sveaskog</t>
        </is>
      </c>
      <c r="G412" t="n">
        <v>13.3</v>
      </c>
      <c r="H412" t="n">
        <v>0</v>
      </c>
      <c r="I412" t="n">
        <v>1</v>
      </c>
      <c r="J412" t="n">
        <v>4</v>
      </c>
      <c r="K412" t="n">
        <v>0</v>
      </c>
      <c r="L412" t="n">
        <v>0</v>
      </c>
      <c r="M412" t="n">
        <v>0</v>
      </c>
      <c r="N412" t="n">
        <v>0</v>
      </c>
      <c r="O412" t="n">
        <v>4</v>
      </c>
      <c r="P412" t="n">
        <v>0</v>
      </c>
      <c r="Q412" t="n">
        <v>5</v>
      </c>
      <c r="R412" s="2" t="inlineStr">
        <is>
          <t>Blå taggsvamp
Kolflarnlav
Mörk kolflarnlav
Orange taggsvamp
Skarp dropptaggsvamp</t>
        </is>
      </c>
      <c r="S412">
        <f>HYPERLINK("https://klasma.github.io/Logging_2481/artfynd/A 21509-2025 artfynd.xlsx", "A 21509-2025")</f>
        <v/>
      </c>
      <c r="T412">
        <f>HYPERLINK("https://klasma.github.io/Logging_2481/kartor/A 21509-2025 karta.png", "A 21509-2025")</f>
        <v/>
      </c>
      <c r="V412">
        <f>HYPERLINK("https://klasma.github.io/Logging_2481/klagomål/A 21509-2025 FSC-klagomål.docx", "A 21509-2025")</f>
        <v/>
      </c>
      <c r="W412">
        <f>HYPERLINK("https://klasma.github.io/Logging_2481/klagomålsmail/A 21509-2025 FSC-klagomål mail.docx", "A 21509-2025")</f>
        <v/>
      </c>
      <c r="X412">
        <f>HYPERLINK("https://klasma.github.io/Logging_2481/tillsyn/A 21509-2025 tillsynsbegäran.docx", "A 21509-2025")</f>
        <v/>
      </c>
      <c r="Y412">
        <f>HYPERLINK("https://klasma.github.io/Logging_2481/tillsynsmail/A 21509-2025 tillsynsbegäran mail.docx", "A 21509-2025")</f>
        <v/>
      </c>
    </row>
    <row r="413" ht="15" customHeight="1">
      <c r="A413" t="inlineStr">
        <is>
          <t>A 35215-2025</t>
        </is>
      </c>
      <c r="B413" s="1" t="n">
        <v>45853.48318287037</v>
      </c>
      <c r="C413" s="1" t="n">
        <v>46145</v>
      </c>
      <c r="D413" t="inlineStr">
        <is>
          <t>VÄSTERBOTTENS LÄN</t>
        </is>
      </c>
      <c r="E413" t="inlineStr">
        <is>
          <t>LYCKSELE</t>
        </is>
      </c>
      <c r="F413" t="inlineStr">
        <is>
          <t>Sveaskog</t>
        </is>
      </c>
      <c r="G413" t="n">
        <v>18.7</v>
      </c>
      <c r="H413" t="n">
        <v>0</v>
      </c>
      <c r="I413" t="n">
        <v>3</v>
      </c>
      <c r="J413" t="n">
        <v>2</v>
      </c>
      <c r="K413" t="n">
        <v>0</v>
      </c>
      <c r="L413" t="n">
        <v>0</v>
      </c>
      <c r="M413" t="n">
        <v>0</v>
      </c>
      <c r="N413" t="n">
        <v>0</v>
      </c>
      <c r="O413" t="n">
        <v>2</v>
      </c>
      <c r="P413" t="n">
        <v>0</v>
      </c>
      <c r="Q413" t="n">
        <v>5</v>
      </c>
      <c r="R413" s="2" t="inlineStr">
        <is>
          <t>Gammelgransskål
Kolflarnlav
Dropptaggsvamp
Grönpyrola
Stuplav</t>
        </is>
      </c>
      <c r="S413">
        <f>HYPERLINK("https://klasma.github.io/Logging_2481/artfynd/A 35215-2025 artfynd.xlsx", "A 35215-2025")</f>
        <v/>
      </c>
      <c r="T413">
        <f>HYPERLINK("https://klasma.github.io/Logging_2481/kartor/A 35215-2025 karta.png", "A 35215-2025")</f>
        <v/>
      </c>
      <c r="V413">
        <f>HYPERLINK("https://klasma.github.io/Logging_2481/klagomål/A 35215-2025 FSC-klagomål.docx", "A 35215-2025")</f>
        <v/>
      </c>
      <c r="W413">
        <f>HYPERLINK("https://klasma.github.io/Logging_2481/klagomålsmail/A 35215-2025 FSC-klagomål mail.docx", "A 35215-2025")</f>
        <v/>
      </c>
      <c r="X413">
        <f>HYPERLINK("https://klasma.github.io/Logging_2481/tillsyn/A 35215-2025 tillsynsbegäran.docx", "A 35215-2025")</f>
        <v/>
      </c>
      <c r="Y413">
        <f>HYPERLINK("https://klasma.github.io/Logging_2481/tillsynsmail/A 35215-2025 tillsynsbegäran mail.docx", "A 35215-2025")</f>
        <v/>
      </c>
    </row>
    <row r="414" ht="15" customHeight="1">
      <c r="A414" t="inlineStr">
        <is>
          <t>A 35761-2025</t>
        </is>
      </c>
      <c r="B414" s="1" t="n">
        <v>45860.6172337963</v>
      </c>
      <c r="C414" s="1" t="n">
        <v>46145</v>
      </c>
      <c r="D414" t="inlineStr">
        <is>
          <t>VÄSTERBOTTENS LÄN</t>
        </is>
      </c>
      <c r="E414" t="inlineStr">
        <is>
          <t>SKELLEFTEÅ</t>
        </is>
      </c>
      <c r="F414" t="inlineStr">
        <is>
          <t>Holmen skog AB</t>
        </is>
      </c>
      <c r="G414" t="n">
        <v>8.9</v>
      </c>
      <c r="H414" t="n">
        <v>1</v>
      </c>
      <c r="I414" t="n">
        <v>2</v>
      </c>
      <c r="J414" t="n">
        <v>3</v>
      </c>
      <c r="K414" t="n">
        <v>0</v>
      </c>
      <c r="L414" t="n">
        <v>0</v>
      </c>
      <c r="M414" t="n">
        <v>0</v>
      </c>
      <c r="N414" t="n">
        <v>0</v>
      </c>
      <c r="O414" t="n">
        <v>3</v>
      </c>
      <c r="P414" t="n">
        <v>0</v>
      </c>
      <c r="Q414" t="n">
        <v>5</v>
      </c>
      <c r="R414" s="2" t="inlineStr">
        <is>
          <t>Gammelgransskål
Garnlav
Lunglav
Luddlav
Spindelblomster</t>
        </is>
      </c>
      <c r="S414">
        <f>HYPERLINK("https://klasma.github.io/Logging_2482/artfynd/A 35761-2025 artfynd.xlsx", "A 35761-2025")</f>
        <v/>
      </c>
      <c r="T414">
        <f>HYPERLINK("https://klasma.github.io/Logging_2482/kartor/A 35761-2025 karta.png", "A 35761-2025")</f>
        <v/>
      </c>
      <c r="V414">
        <f>HYPERLINK("https://klasma.github.io/Logging_2482/klagomål/A 35761-2025 FSC-klagomål.docx", "A 35761-2025")</f>
        <v/>
      </c>
      <c r="W414">
        <f>HYPERLINK("https://klasma.github.io/Logging_2482/klagomålsmail/A 35761-2025 FSC-klagomål mail.docx", "A 35761-2025")</f>
        <v/>
      </c>
      <c r="X414">
        <f>HYPERLINK("https://klasma.github.io/Logging_2482/tillsyn/A 35761-2025 tillsynsbegäran.docx", "A 35761-2025")</f>
        <v/>
      </c>
      <c r="Y414">
        <f>HYPERLINK("https://klasma.github.io/Logging_2482/tillsynsmail/A 35761-2025 tillsynsbegäran mail.docx", "A 35761-2025")</f>
        <v/>
      </c>
    </row>
    <row r="415" ht="15" customHeight="1">
      <c r="A415" t="inlineStr">
        <is>
          <t>A 39692-2024</t>
        </is>
      </c>
      <c r="B415" s="1" t="n">
        <v>45552.55893518519</v>
      </c>
      <c r="C415" s="1" t="n">
        <v>46145</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agg.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60901-2021</t>
        </is>
      </c>
      <c r="B416" s="1" t="n">
        <v>44497.4450462963</v>
      </c>
      <c r="C416" s="1" t="n">
        <v>46145</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46145</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46145</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46145</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46145</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46145</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46145</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46145</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21628-2021</t>
        </is>
      </c>
      <c r="B424" s="1" t="n">
        <v>44321.91877314815</v>
      </c>
      <c r="C424" s="1" t="n">
        <v>46145</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40760-2024</t>
        </is>
      </c>
      <c r="B425" s="1" t="n">
        <v>45558.46092592592</v>
      </c>
      <c r="C425" s="1" t="n">
        <v>46145</v>
      </c>
      <c r="D425" t="inlineStr">
        <is>
          <t>VÄSTERBOTTENS LÄN</t>
        </is>
      </c>
      <c r="E425" t="inlineStr">
        <is>
          <t>VINDELN</t>
        </is>
      </c>
      <c r="F425" t="inlineStr">
        <is>
          <t>Holmen skog AB</t>
        </is>
      </c>
      <c r="G425" t="n">
        <v>8.1</v>
      </c>
      <c r="H425" t="n">
        <v>0</v>
      </c>
      <c r="I425" t="n">
        <v>2</v>
      </c>
      <c r="J425" t="n">
        <v>2</v>
      </c>
      <c r="K425" t="n">
        <v>0</v>
      </c>
      <c r="L425" t="n">
        <v>0</v>
      </c>
      <c r="M425" t="n">
        <v>0</v>
      </c>
      <c r="N425" t="n">
        <v>0</v>
      </c>
      <c r="O425" t="n">
        <v>2</v>
      </c>
      <c r="P425" t="n">
        <v>0</v>
      </c>
      <c r="Q425" t="n">
        <v>4</v>
      </c>
      <c r="R425" s="2" t="inlineStr">
        <is>
          <t>Granticka
Ullticka
Skinnlav
Trådticka</t>
        </is>
      </c>
      <c r="S425">
        <f>HYPERLINK("https://klasma.github.io/Logging_2404/artfynd/A 40760-2024 artfynd.xlsx", "A 40760-2024")</f>
        <v/>
      </c>
      <c r="T425">
        <f>HYPERLINK("https://klasma.github.io/Logging_2404/kartor/A 40760-2024 karta.png", "A 40760-2024")</f>
        <v/>
      </c>
      <c r="V425">
        <f>HYPERLINK("https://klasma.github.io/Logging_2404/klagomål/A 40760-2024 FSC-klagomål.docx", "A 40760-2024")</f>
        <v/>
      </c>
      <c r="W425">
        <f>HYPERLINK("https://klasma.github.io/Logging_2404/klagomålsmail/A 40760-2024 FSC-klagomål mail.docx", "A 40760-2024")</f>
        <v/>
      </c>
      <c r="X425">
        <f>HYPERLINK("https://klasma.github.io/Logging_2404/tillsyn/A 40760-2024 tillsynsbegäran.docx", "A 40760-2024")</f>
        <v/>
      </c>
      <c r="Y425">
        <f>HYPERLINK("https://klasma.github.io/Logging_2404/tillsynsmail/A 40760-2024 tillsynsbegäran mail.docx", "A 40760-2024")</f>
        <v/>
      </c>
    </row>
    <row r="426" ht="15" customHeight="1">
      <c r="A426" t="inlineStr">
        <is>
          <t>A 31198-2023</t>
        </is>
      </c>
      <c r="B426" s="1" t="n">
        <v>45113</v>
      </c>
      <c r="C426" s="1" t="n">
        <v>46145</v>
      </c>
      <c r="D426" t="inlineStr">
        <is>
          <t>VÄSTERBOTTENS LÄN</t>
        </is>
      </c>
      <c r="E426" t="inlineStr">
        <is>
          <t>VILHELMINA</t>
        </is>
      </c>
      <c r="F426" t="inlineStr">
        <is>
          <t>SCA</t>
        </is>
      </c>
      <c r="G426" t="n">
        <v>4.2</v>
      </c>
      <c r="H426" t="n">
        <v>1</v>
      </c>
      <c r="I426" t="n">
        <v>0</v>
      </c>
      <c r="J426" t="n">
        <v>4</v>
      </c>
      <c r="K426" t="n">
        <v>0</v>
      </c>
      <c r="L426" t="n">
        <v>0</v>
      </c>
      <c r="M426" t="n">
        <v>0</v>
      </c>
      <c r="N426" t="n">
        <v>0</v>
      </c>
      <c r="O426" t="n">
        <v>4</v>
      </c>
      <c r="P426" t="n">
        <v>0</v>
      </c>
      <c r="Q426" t="n">
        <v>4</v>
      </c>
      <c r="R426" s="2" t="inlineStr">
        <is>
          <t>Garnlav
Knottrig blåslav
Tretåig hackspett
Vitgrynig nållav</t>
        </is>
      </c>
      <c r="S426">
        <f>HYPERLINK("https://klasma.github.io/Logging_2462/artfynd/A 31198-2023 artfynd.xlsx", "A 31198-2023")</f>
        <v/>
      </c>
      <c r="T426">
        <f>HYPERLINK("https://klasma.github.io/Logging_2462/kartor/A 31198-2023 karta.png", "A 31198-2023")</f>
        <v/>
      </c>
      <c r="V426">
        <f>HYPERLINK("https://klasma.github.io/Logging_2462/klagomål/A 31198-2023 FSC-klagomål.docx", "A 31198-2023")</f>
        <v/>
      </c>
      <c r="W426">
        <f>HYPERLINK("https://klasma.github.io/Logging_2462/klagomålsmail/A 31198-2023 FSC-klagomål mail.docx", "A 31198-2023")</f>
        <v/>
      </c>
      <c r="X426">
        <f>HYPERLINK("https://klasma.github.io/Logging_2462/tillsyn/A 31198-2023 tillsynsbegäran.docx", "A 31198-2023")</f>
        <v/>
      </c>
      <c r="Y426">
        <f>HYPERLINK("https://klasma.github.io/Logging_2462/tillsynsmail/A 31198-2023 tillsynsbegäran mail.docx", "A 31198-2023")</f>
        <v/>
      </c>
      <c r="Z426">
        <f>HYPERLINK("https://klasma.github.io/Logging_2462/fåglar/A 31198-2023 prioriterade fågelarter.docx", "A 31198-2023")</f>
        <v/>
      </c>
    </row>
    <row r="427" ht="15" customHeight="1">
      <c r="A427" t="inlineStr">
        <is>
          <t>A 5700-2023</t>
        </is>
      </c>
      <c r="B427" s="1" t="n">
        <v>44960</v>
      </c>
      <c r="C427" s="1" t="n">
        <v>46145</v>
      </c>
      <c r="D427" t="inlineStr">
        <is>
          <t>VÄSTERBOTTENS LÄN</t>
        </is>
      </c>
      <c r="E427" t="inlineStr">
        <is>
          <t>ÅSELE</t>
        </is>
      </c>
      <c r="F427" t="inlineStr">
        <is>
          <t>SCA</t>
        </is>
      </c>
      <c r="G427" t="n">
        <v>5.1</v>
      </c>
      <c r="H427" t="n">
        <v>0</v>
      </c>
      <c r="I427" t="n">
        <v>0</v>
      </c>
      <c r="J427" t="n">
        <v>4</v>
      </c>
      <c r="K427" t="n">
        <v>0</v>
      </c>
      <c r="L427" t="n">
        <v>0</v>
      </c>
      <c r="M427" t="n">
        <v>0</v>
      </c>
      <c r="N427" t="n">
        <v>0</v>
      </c>
      <c r="O427" t="n">
        <v>4</v>
      </c>
      <c r="P427" t="n">
        <v>0</v>
      </c>
      <c r="Q427" t="n">
        <v>4</v>
      </c>
      <c r="R427" s="2" t="inlineStr">
        <is>
          <t>Gammelgransskål
Garnlav
Granticka
Lunglav</t>
        </is>
      </c>
      <c r="S427">
        <f>HYPERLINK("https://klasma.github.io/Logging_2463/artfynd/A 5700-2023 artfynd.xlsx", "A 5700-2023")</f>
        <v/>
      </c>
      <c r="T427">
        <f>HYPERLINK("https://klasma.github.io/Logging_2463/kartor/A 5700-2023 karta.png", "A 5700-2023")</f>
        <v/>
      </c>
      <c r="V427">
        <f>HYPERLINK("https://klasma.github.io/Logging_2463/klagomål/A 5700-2023 FSC-klagomål.docx", "A 5700-2023")</f>
        <v/>
      </c>
      <c r="W427">
        <f>HYPERLINK("https://klasma.github.io/Logging_2463/klagomålsmail/A 5700-2023 FSC-klagomål mail.docx", "A 5700-2023")</f>
        <v/>
      </c>
      <c r="X427">
        <f>HYPERLINK("https://klasma.github.io/Logging_2463/tillsyn/A 5700-2023 tillsynsbegäran.docx", "A 5700-2023")</f>
        <v/>
      </c>
      <c r="Y427">
        <f>HYPERLINK("https://klasma.github.io/Logging_2463/tillsynsmail/A 5700-2023 tillsynsbegäran mail.docx", "A 5700-2023")</f>
        <v/>
      </c>
    </row>
    <row r="428" ht="15" customHeight="1">
      <c r="A428" t="inlineStr">
        <is>
          <t>A 58835-2021</t>
        </is>
      </c>
      <c r="B428" s="1" t="n">
        <v>44489</v>
      </c>
      <c r="C428" s="1" t="n">
        <v>46145</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49528-2022</t>
        </is>
      </c>
      <c r="B429" s="1" t="n">
        <v>44861</v>
      </c>
      <c r="C429" s="1" t="n">
        <v>46145</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57409-2021</t>
        </is>
      </c>
      <c r="B430" s="1" t="n">
        <v>44483</v>
      </c>
      <c r="C430" s="1" t="n">
        <v>46145</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66443-2021</t>
        </is>
      </c>
      <c r="B431" s="1" t="n">
        <v>44518</v>
      </c>
      <c r="C431" s="1" t="n">
        <v>46145</v>
      </c>
      <c r="D431" t="inlineStr">
        <is>
          <t>VÄSTERBOTTENS LÄN</t>
        </is>
      </c>
      <c r="E431" t="inlineStr">
        <is>
          <t>SORSELE</t>
        </is>
      </c>
      <c r="G431" t="n">
        <v>15.5</v>
      </c>
      <c r="H431" t="n">
        <v>1</v>
      </c>
      <c r="I431" t="n">
        <v>0</v>
      </c>
      <c r="J431" t="n">
        <v>4</v>
      </c>
      <c r="K431" t="n">
        <v>0</v>
      </c>
      <c r="L431" t="n">
        <v>0</v>
      </c>
      <c r="M431" t="n">
        <v>0</v>
      </c>
      <c r="N431" t="n">
        <v>0</v>
      </c>
      <c r="O431" t="n">
        <v>4</v>
      </c>
      <c r="P431" t="n">
        <v>0</v>
      </c>
      <c r="Q431" t="n">
        <v>4</v>
      </c>
      <c r="R431" s="2" t="inlineStr">
        <is>
          <t>Dvärgbägarlav
Granticka
Harticka
Talltita</t>
        </is>
      </c>
      <c r="S431">
        <f>HYPERLINK("https://klasma.github.io/Logging_2422/artfynd/A 66443-2021 artfynd.xlsx", "A 66443-2021")</f>
        <v/>
      </c>
      <c r="T431">
        <f>HYPERLINK("https://klasma.github.io/Logging_2422/kartor/A 66443-2021 karta.png", "A 66443-2021")</f>
        <v/>
      </c>
      <c r="V431">
        <f>HYPERLINK("https://klasma.github.io/Logging_2422/klagomål/A 66443-2021 FSC-klagomål.docx", "A 66443-2021")</f>
        <v/>
      </c>
      <c r="W431">
        <f>HYPERLINK("https://klasma.github.io/Logging_2422/klagomålsmail/A 66443-2021 FSC-klagomål mail.docx", "A 66443-2021")</f>
        <v/>
      </c>
      <c r="X431">
        <f>HYPERLINK("https://klasma.github.io/Logging_2422/tillsyn/A 66443-2021 tillsynsbegäran.docx", "A 66443-2021")</f>
        <v/>
      </c>
      <c r="Y431">
        <f>HYPERLINK("https://klasma.github.io/Logging_2422/tillsynsmail/A 66443-2021 tillsynsbegäran mail.docx", "A 66443-2021")</f>
        <v/>
      </c>
      <c r="Z431">
        <f>HYPERLINK("https://klasma.github.io/Logging_2422/fåglar/A 66443-2021 prioriterade fågelarter.docx", "A 66443-2021")</f>
        <v/>
      </c>
    </row>
    <row r="432" ht="15" customHeight="1">
      <c r="A432" t="inlineStr">
        <is>
          <t>A 54905-2024</t>
        </is>
      </c>
      <c r="B432" s="1" t="n">
        <v>45618.66777777778</v>
      </c>
      <c r="C432" s="1" t="n">
        <v>46145</v>
      </c>
      <c r="D432" t="inlineStr">
        <is>
          <t>VÄSTERBOTTENS LÄN</t>
        </is>
      </c>
      <c r="E432" t="inlineStr">
        <is>
          <t>LYCKSELE</t>
        </is>
      </c>
      <c r="F432" t="inlineStr">
        <is>
          <t>Sveaskog</t>
        </is>
      </c>
      <c r="G432" t="n">
        <v>2.2</v>
      </c>
      <c r="H432" t="n">
        <v>0</v>
      </c>
      <c r="I432" t="n">
        <v>1</v>
      </c>
      <c r="J432" t="n">
        <v>2</v>
      </c>
      <c r="K432" t="n">
        <v>1</v>
      </c>
      <c r="L432" t="n">
        <v>0</v>
      </c>
      <c r="M432" t="n">
        <v>0</v>
      </c>
      <c r="N432" t="n">
        <v>0</v>
      </c>
      <c r="O432" t="n">
        <v>3</v>
      </c>
      <c r="P432" t="n">
        <v>1</v>
      </c>
      <c r="Q432" t="n">
        <v>4</v>
      </c>
      <c r="R432" s="2" t="inlineStr">
        <is>
          <t>Fläckporing
Garnlav
Kolflarnlav
Dropptaggsvamp</t>
        </is>
      </c>
      <c r="S432">
        <f>HYPERLINK("https://klasma.github.io/Logging_2481/artfynd/A 54905-2024 artfynd.xlsx", "A 54905-2024")</f>
        <v/>
      </c>
      <c r="T432">
        <f>HYPERLINK("https://klasma.github.io/Logging_2481/kartor/A 54905-2024 karta.png", "A 54905-2024")</f>
        <v/>
      </c>
      <c r="V432">
        <f>HYPERLINK("https://klasma.github.io/Logging_2481/klagomål/A 54905-2024 FSC-klagomål.docx", "A 54905-2024")</f>
        <v/>
      </c>
      <c r="W432">
        <f>HYPERLINK("https://klasma.github.io/Logging_2481/klagomålsmail/A 54905-2024 FSC-klagomål mail.docx", "A 54905-2024")</f>
        <v/>
      </c>
      <c r="X432">
        <f>HYPERLINK("https://klasma.github.io/Logging_2481/tillsyn/A 54905-2024 tillsynsbegäran.docx", "A 54905-2024")</f>
        <v/>
      </c>
      <c r="Y432">
        <f>HYPERLINK("https://klasma.github.io/Logging_2481/tillsynsmail/A 54905-2024 tillsynsbegäran mail.docx", "A 54905-2024")</f>
        <v/>
      </c>
    </row>
    <row r="433" ht="15" customHeight="1">
      <c r="A433" t="inlineStr">
        <is>
          <t>A 45691-2023</t>
        </is>
      </c>
      <c r="B433" s="1" t="n">
        <v>45195</v>
      </c>
      <c r="C433" s="1" t="n">
        <v>46145</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47977-2024</t>
        </is>
      </c>
      <c r="B434" s="1" t="n">
        <v>45589</v>
      </c>
      <c r="C434" s="1" t="n">
        <v>46145</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47450-2024</t>
        </is>
      </c>
      <c r="B435" s="1" t="n">
        <v>45587.53958333333</v>
      </c>
      <c r="C435" s="1" t="n">
        <v>46145</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62393-2023</t>
        </is>
      </c>
      <c r="B436" s="1" t="n">
        <v>45268</v>
      </c>
      <c r="C436" s="1" t="n">
        <v>46145</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535-2025</t>
        </is>
      </c>
      <c r="B437" s="1" t="n">
        <v>45664.51217592593</v>
      </c>
      <c r="C437" s="1" t="n">
        <v>46145</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55242-2024</t>
        </is>
      </c>
      <c r="B438" s="1" t="n">
        <v>45620</v>
      </c>
      <c r="C438" s="1" t="n">
        <v>46145</v>
      </c>
      <c r="D438" t="inlineStr">
        <is>
          <t>VÄSTERBOTTENS LÄN</t>
        </is>
      </c>
      <c r="E438" t="inlineStr">
        <is>
          <t>SKELLEFTEÅ</t>
        </is>
      </c>
      <c r="G438" t="n">
        <v>3.4</v>
      </c>
      <c r="H438" t="n">
        <v>0</v>
      </c>
      <c r="I438" t="n">
        <v>0</v>
      </c>
      <c r="J438" t="n">
        <v>3</v>
      </c>
      <c r="K438" t="n">
        <v>1</v>
      </c>
      <c r="L438" t="n">
        <v>0</v>
      </c>
      <c r="M438" t="n">
        <v>0</v>
      </c>
      <c r="N438" t="n">
        <v>0</v>
      </c>
      <c r="O438" t="n">
        <v>4</v>
      </c>
      <c r="P438" t="n">
        <v>1</v>
      </c>
      <c r="Q438" t="n">
        <v>4</v>
      </c>
      <c r="R438" s="2" t="inlineStr">
        <is>
          <t>Ostticka
Garnlav
Granticka
Ullticka</t>
        </is>
      </c>
      <c r="S438">
        <f>HYPERLINK("https://klasma.github.io/Logging_2482/artfynd/A 55242-2024 artfynd.xlsx", "A 55242-2024")</f>
        <v/>
      </c>
      <c r="T438">
        <f>HYPERLINK("https://klasma.github.io/Logging_2482/kartor/A 55242-2024 karta.png", "A 55242-2024")</f>
        <v/>
      </c>
      <c r="V438">
        <f>HYPERLINK("https://klasma.github.io/Logging_2482/klagomål/A 55242-2024 FSC-klagomål.docx", "A 55242-2024")</f>
        <v/>
      </c>
      <c r="W438">
        <f>HYPERLINK("https://klasma.github.io/Logging_2482/klagomålsmail/A 55242-2024 FSC-klagomål mail.docx", "A 55242-2024")</f>
        <v/>
      </c>
      <c r="X438">
        <f>HYPERLINK("https://klasma.github.io/Logging_2482/tillsyn/A 55242-2024 tillsynsbegäran.docx", "A 55242-2024")</f>
        <v/>
      </c>
      <c r="Y438">
        <f>HYPERLINK("https://klasma.github.io/Logging_2482/tillsynsmail/A 55242-2024 tillsynsbegäran mail.docx", "A 55242-2024")</f>
        <v/>
      </c>
    </row>
    <row r="439" ht="15" customHeight="1">
      <c r="A439" t="inlineStr">
        <is>
          <t>A 53094-2024</t>
        </is>
      </c>
      <c r="B439" s="1" t="n">
        <v>45611.53018518518</v>
      </c>
      <c r="C439" s="1" t="n">
        <v>46145</v>
      </c>
      <c r="D439" t="inlineStr">
        <is>
          <t>VÄSTERBOTTENS LÄN</t>
        </is>
      </c>
      <c r="E439" t="inlineStr">
        <is>
          <t>LYCKSELE</t>
        </is>
      </c>
      <c r="F439" t="inlineStr">
        <is>
          <t>Sveaskog</t>
        </is>
      </c>
      <c r="G439" t="n">
        <v>5.4</v>
      </c>
      <c r="H439" t="n">
        <v>0</v>
      </c>
      <c r="I439" t="n">
        <v>0</v>
      </c>
      <c r="J439" t="n">
        <v>4</v>
      </c>
      <c r="K439" t="n">
        <v>0</v>
      </c>
      <c r="L439" t="n">
        <v>0</v>
      </c>
      <c r="M439" t="n">
        <v>0</v>
      </c>
      <c r="N439" t="n">
        <v>0</v>
      </c>
      <c r="O439" t="n">
        <v>4</v>
      </c>
      <c r="P439" t="n">
        <v>0</v>
      </c>
      <c r="Q439" t="n">
        <v>4</v>
      </c>
      <c r="R439" s="2" t="inlineStr">
        <is>
          <t>Blå taggsvamp
Kolflarnlav
Lunglav
Motaggsvamp</t>
        </is>
      </c>
      <c r="S439">
        <f>HYPERLINK("https://klasma.github.io/Logging_2481/artfynd/A 53094-2024 artfynd.xlsx", "A 53094-2024")</f>
        <v/>
      </c>
      <c r="T439">
        <f>HYPERLINK("https://klasma.github.io/Logging_2481/kartor/A 53094-2024 karta.png", "A 53094-2024")</f>
        <v/>
      </c>
      <c r="V439">
        <f>HYPERLINK("https://klasma.github.io/Logging_2481/klagomål/A 53094-2024 FSC-klagomål.docx", "A 53094-2024")</f>
        <v/>
      </c>
      <c r="W439">
        <f>HYPERLINK("https://klasma.github.io/Logging_2481/klagomålsmail/A 53094-2024 FSC-klagomål mail.docx", "A 53094-2024")</f>
        <v/>
      </c>
      <c r="X439">
        <f>HYPERLINK("https://klasma.github.io/Logging_2481/tillsyn/A 53094-2024 tillsynsbegäran.docx", "A 53094-2024")</f>
        <v/>
      </c>
      <c r="Y439">
        <f>HYPERLINK("https://klasma.github.io/Logging_2481/tillsynsmail/A 53094-2024 tillsynsbegäran mail.docx", "A 53094-2024")</f>
        <v/>
      </c>
    </row>
    <row r="440" ht="15" customHeight="1">
      <c r="A440" t="inlineStr">
        <is>
          <t>A 39528-2025</t>
        </is>
      </c>
      <c r="B440" s="1" t="n">
        <v>45890.44530092592</v>
      </c>
      <c r="C440" s="1" t="n">
        <v>46145</v>
      </c>
      <c r="D440" t="inlineStr">
        <is>
          <t>VÄSTERBOTTENS LÄN</t>
        </is>
      </c>
      <c r="E440" t="inlineStr">
        <is>
          <t>LYCKSELE</t>
        </is>
      </c>
      <c r="F440" t="inlineStr">
        <is>
          <t>Sveaskog</t>
        </is>
      </c>
      <c r="G440" t="n">
        <v>24.9</v>
      </c>
      <c r="H440" t="n">
        <v>0</v>
      </c>
      <c r="I440" t="n">
        <v>1</v>
      </c>
      <c r="J440" t="n">
        <v>3</v>
      </c>
      <c r="K440" t="n">
        <v>0</v>
      </c>
      <c r="L440" t="n">
        <v>0</v>
      </c>
      <c r="M440" t="n">
        <v>0</v>
      </c>
      <c r="N440" t="n">
        <v>0</v>
      </c>
      <c r="O440" t="n">
        <v>3</v>
      </c>
      <c r="P440" t="n">
        <v>0</v>
      </c>
      <c r="Q440" t="n">
        <v>4</v>
      </c>
      <c r="R440" s="2" t="inlineStr">
        <is>
          <t>Kolflarnlav
Lunglav
Mörk kolflarnlav
Dropptaggsvamp</t>
        </is>
      </c>
      <c r="S440">
        <f>HYPERLINK("https://klasma.github.io/Logging_2481/artfynd/A 39528-2025 artfynd.xlsx", "A 39528-2025")</f>
        <v/>
      </c>
      <c r="T440">
        <f>HYPERLINK("https://klasma.github.io/Logging_2481/kartor/A 39528-2025 karta.png", "A 39528-2025")</f>
        <v/>
      </c>
      <c r="V440">
        <f>HYPERLINK("https://klasma.github.io/Logging_2481/klagomål/A 39528-2025 FSC-klagomål.docx", "A 39528-2025")</f>
        <v/>
      </c>
      <c r="W440">
        <f>HYPERLINK("https://klasma.github.io/Logging_2481/klagomålsmail/A 39528-2025 FSC-klagomål mail.docx", "A 39528-2025")</f>
        <v/>
      </c>
      <c r="X440">
        <f>HYPERLINK("https://klasma.github.io/Logging_2481/tillsyn/A 39528-2025 tillsynsbegäran.docx", "A 39528-2025")</f>
        <v/>
      </c>
      <c r="Y440">
        <f>HYPERLINK("https://klasma.github.io/Logging_2481/tillsynsmail/A 39528-2025 tillsynsbegäran mail.docx", "A 39528-2025")</f>
        <v/>
      </c>
    </row>
    <row r="441" ht="15" customHeight="1">
      <c r="A441" t="inlineStr">
        <is>
          <t>A 38654-2025</t>
        </is>
      </c>
      <c r="B441" s="1" t="n">
        <v>45884.59638888889</v>
      </c>
      <c r="C441" s="1" t="n">
        <v>46145</v>
      </c>
      <c r="D441" t="inlineStr">
        <is>
          <t>VÄSTERBOTTENS LÄN</t>
        </is>
      </c>
      <c r="E441" t="inlineStr">
        <is>
          <t>SKELLEFTEÅ</t>
        </is>
      </c>
      <c r="F441" t="inlineStr">
        <is>
          <t>Holmen skog AB</t>
        </is>
      </c>
      <c r="G441" t="n">
        <v>5.6</v>
      </c>
      <c r="H441" t="n">
        <v>3</v>
      </c>
      <c r="I441" t="n">
        <v>0</v>
      </c>
      <c r="J441" t="n">
        <v>1</v>
      </c>
      <c r="K441" t="n">
        <v>0</v>
      </c>
      <c r="L441" t="n">
        <v>0</v>
      </c>
      <c r="M441" t="n">
        <v>0</v>
      </c>
      <c r="N441" t="n">
        <v>0</v>
      </c>
      <c r="O441" t="n">
        <v>1</v>
      </c>
      <c r="P441" t="n">
        <v>0</v>
      </c>
      <c r="Q441" t="n">
        <v>4</v>
      </c>
      <c r="R441" s="2" t="inlineStr">
        <is>
          <t>Gammelgransskål
Kopparödla
Brudsporre
Nattviol</t>
        </is>
      </c>
      <c r="S441">
        <f>HYPERLINK("https://klasma.github.io/Logging_2482/artfynd/A 38654-2025 artfynd.xlsx", "A 38654-2025")</f>
        <v/>
      </c>
      <c r="T441">
        <f>HYPERLINK("https://klasma.github.io/Logging_2482/kartor/A 38654-2025 karta.png", "A 38654-2025")</f>
        <v/>
      </c>
      <c r="V441">
        <f>HYPERLINK("https://klasma.github.io/Logging_2482/klagomål/A 38654-2025 FSC-klagomål.docx", "A 38654-2025")</f>
        <v/>
      </c>
      <c r="W441">
        <f>HYPERLINK("https://klasma.github.io/Logging_2482/klagomålsmail/A 38654-2025 FSC-klagomål mail.docx", "A 38654-2025")</f>
        <v/>
      </c>
      <c r="X441">
        <f>HYPERLINK("https://klasma.github.io/Logging_2482/tillsyn/A 38654-2025 tillsynsbegäran.docx", "A 38654-2025")</f>
        <v/>
      </c>
      <c r="Y441">
        <f>HYPERLINK("https://klasma.github.io/Logging_2482/tillsynsmail/A 38654-2025 tillsynsbegäran mail.docx", "A 38654-2025")</f>
        <v/>
      </c>
    </row>
    <row r="442" ht="15" customHeight="1">
      <c r="A442" t="inlineStr">
        <is>
          <t>A 23555-2024</t>
        </is>
      </c>
      <c r="B442" s="1" t="n">
        <v>45453</v>
      </c>
      <c r="C442" s="1" t="n">
        <v>46145</v>
      </c>
      <c r="D442" t="inlineStr">
        <is>
          <t>VÄSTERBOTTENS LÄN</t>
        </is>
      </c>
      <c r="E442" t="inlineStr">
        <is>
          <t>DOROTEA</t>
        </is>
      </c>
      <c r="F442" t="inlineStr">
        <is>
          <t>SCA</t>
        </is>
      </c>
      <c r="G442" t="n">
        <v>16.3</v>
      </c>
      <c r="H442" t="n">
        <v>3</v>
      </c>
      <c r="I442" t="n">
        <v>1</v>
      </c>
      <c r="J442" t="n">
        <v>1</v>
      </c>
      <c r="K442" t="n">
        <v>0</v>
      </c>
      <c r="L442" t="n">
        <v>0</v>
      </c>
      <c r="M442" t="n">
        <v>0</v>
      </c>
      <c r="N442" t="n">
        <v>0</v>
      </c>
      <c r="O442" t="n">
        <v>1</v>
      </c>
      <c r="P442" t="n">
        <v>0</v>
      </c>
      <c r="Q442" t="n">
        <v>4</v>
      </c>
      <c r="R442" s="2" t="inlineStr">
        <is>
          <t>Garnlav
Spindelblomster
Vanlig groda
Fläcknycklar</t>
        </is>
      </c>
      <c r="S442">
        <f>HYPERLINK("https://klasma.github.io/Logging_2425/artfynd/A 23555-2024 artfynd.xlsx", "A 23555-2024")</f>
        <v/>
      </c>
      <c r="T442">
        <f>HYPERLINK("https://klasma.github.io/Logging_2425/kartor/A 23555-2024 karta.png", "A 23555-2024")</f>
        <v/>
      </c>
      <c r="V442">
        <f>HYPERLINK("https://klasma.github.io/Logging_2425/klagomål/A 23555-2024 FSC-klagomål.docx", "A 23555-2024")</f>
        <v/>
      </c>
      <c r="W442">
        <f>HYPERLINK("https://klasma.github.io/Logging_2425/klagomålsmail/A 23555-2024 FSC-klagomål mail.docx", "A 23555-2024")</f>
        <v/>
      </c>
      <c r="X442">
        <f>HYPERLINK("https://klasma.github.io/Logging_2425/tillsyn/A 23555-2024 tillsynsbegäran.docx", "A 23555-2024")</f>
        <v/>
      </c>
      <c r="Y442">
        <f>HYPERLINK("https://klasma.github.io/Logging_2425/tillsynsmail/A 23555-2024 tillsynsbegäran mail.docx", "A 23555-2024")</f>
        <v/>
      </c>
    </row>
    <row r="443" ht="15" customHeight="1">
      <c r="A443" t="inlineStr">
        <is>
          <t>A 40414-2025</t>
        </is>
      </c>
      <c r="B443" s="1" t="n">
        <v>45895.57538194444</v>
      </c>
      <c r="C443" s="1" t="n">
        <v>46145</v>
      </c>
      <c r="D443" t="inlineStr">
        <is>
          <t>VÄSTERBOTTENS LÄN</t>
        </is>
      </c>
      <c r="E443" t="inlineStr">
        <is>
          <t>SKELLEFTEÅ</t>
        </is>
      </c>
      <c r="F443" t="inlineStr">
        <is>
          <t>Holmen skog AB</t>
        </is>
      </c>
      <c r="G443" t="n">
        <v>5.1</v>
      </c>
      <c r="H443" t="n">
        <v>1</v>
      </c>
      <c r="I443" t="n">
        <v>0</v>
      </c>
      <c r="J443" t="n">
        <v>4</v>
      </c>
      <c r="K443" t="n">
        <v>0</v>
      </c>
      <c r="L443" t="n">
        <v>0</v>
      </c>
      <c r="M443" t="n">
        <v>0</v>
      </c>
      <c r="N443" t="n">
        <v>0</v>
      </c>
      <c r="O443" t="n">
        <v>4</v>
      </c>
      <c r="P443" t="n">
        <v>0</v>
      </c>
      <c r="Q443" t="n">
        <v>4</v>
      </c>
      <c r="R443" s="2" t="inlineStr">
        <is>
          <t>Gammelgransskål
Garnlav
Tallticka
Tretåig hackspett</t>
        </is>
      </c>
      <c r="S443">
        <f>HYPERLINK("https://klasma.github.io/Logging_2482/artfynd/A 40414-2025 artfynd.xlsx", "A 40414-2025")</f>
        <v/>
      </c>
      <c r="T443">
        <f>HYPERLINK("https://klasma.github.io/Logging_2482/kartor/A 40414-2025 karta.png", "A 40414-2025")</f>
        <v/>
      </c>
      <c r="V443">
        <f>HYPERLINK("https://klasma.github.io/Logging_2482/klagomål/A 40414-2025 FSC-klagomål.docx", "A 40414-2025")</f>
        <v/>
      </c>
      <c r="W443">
        <f>HYPERLINK("https://klasma.github.io/Logging_2482/klagomålsmail/A 40414-2025 FSC-klagomål mail.docx", "A 40414-2025")</f>
        <v/>
      </c>
      <c r="X443">
        <f>HYPERLINK("https://klasma.github.io/Logging_2482/tillsyn/A 40414-2025 tillsynsbegäran.docx", "A 40414-2025")</f>
        <v/>
      </c>
      <c r="Y443">
        <f>HYPERLINK("https://klasma.github.io/Logging_2482/tillsynsmail/A 40414-2025 tillsynsbegäran mail.docx", "A 40414-2025")</f>
        <v/>
      </c>
      <c r="Z443">
        <f>HYPERLINK("https://klasma.github.io/Logging_2482/fåglar/A 40414-2025 prioriterade fågelarter.docx", "A 40414-2025")</f>
        <v/>
      </c>
    </row>
    <row r="444" ht="15" customHeight="1">
      <c r="A444" t="inlineStr">
        <is>
          <t>A 43680-2025</t>
        </is>
      </c>
      <c r="B444" s="1" t="n">
        <v>45912.36884259259</v>
      </c>
      <c r="C444" s="1" t="n">
        <v>46145</v>
      </c>
      <c r="D444" t="inlineStr">
        <is>
          <t>VÄSTERBOTTENS LÄN</t>
        </is>
      </c>
      <c r="E444" t="inlineStr">
        <is>
          <t>LYCKSELE</t>
        </is>
      </c>
      <c r="F444" t="inlineStr">
        <is>
          <t>Sveaskog</t>
        </is>
      </c>
      <c r="G444" t="n">
        <v>5.3</v>
      </c>
      <c r="H444" t="n">
        <v>1</v>
      </c>
      <c r="I444" t="n">
        <v>2</v>
      </c>
      <c r="J444" t="n">
        <v>2</v>
      </c>
      <c r="K444" t="n">
        <v>0</v>
      </c>
      <c r="L444" t="n">
        <v>0</v>
      </c>
      <c r="M444" t="n">
        <v>0</v>
      </c>
      <c r="N444" t="n">
        <v>0</v>
      </c>
      <c r="O444" t="n">
        <v>2</v>
      </c>
      <c r="P444" t="n">
        <v>0</v>
      </c>
      <c r="Q444" t="n">
        <v>4</v>
      </c>
      <c r="R444" s="2" t="inlineStr">
        <is>
          <t>Garnlav
Kolflarnlav
Dropptaggsvamp
Plattlummer</t>
        </is>
      </c>
      <c r="S444">
        <f>HYPERLINK("https://klasma.github.io/Logging_2481/artfynd/A 43680-2025 artfynd.xlsx", "A 43680-2025")</f>
        <v/>
      </c>
      <c r="T444">
        <f>HYPERLINK("https://klasma.github.io/Logging_2481/kartor/A 43680-2025 karta.png", "A 43680-2025")</f>
        <v/>
      </c>
      <c r="V444">
        <f>HYPERLINK("https://klasma.github.io/Logging_2481/klagomål/A 43680-2025 FSC-klagomål.docx", "A 43680-2025")</f>
        <v/>
      </c>
      <c r="W444">
        <f>HYPERLINK("https://klasma.github.io/Logging_2481/klagomålsmail/A 43680-2025 FSC-klagomål mail.docx", "A 43680-2025")</f>
        <v/>
      </c>
      <c r="X444">
        <f>HYPERLINK("https://klasma.github.io/Logging_2481/tillsyn/A 43680-2025 tillsynsbegäran.docx", "A 43680-2025")</f>
        <v/>
      </c>
      <c r="Y444">
        <f>HYPERLINK("https://klasma.github.io/Logging_2481/tillsynsmail/A 43680-2025 tillsynsbegäran mail.docx", "A 43680-2025")</f>
        <v/>
      </c>
    </row>
    <row r="445" ht="15" customHeight="1">
      <c r="A445" t="inlineStr">
        <is>
          <t>A 43956-2025</t>
        </is>
      </c>
      <c r="B445" s="1" t="n">
        <v>45915</v>
      </c>
      <c r="C445" s="1" t="n">
        <v>46145</v>
      </c>
      <c r="D445" t="inlineStr">
        <is>
          <t>VÄSTERBOTTENS LÄN</t>
        </is>
      </c>
      <c r="E445" t="inlineStr">
        <is>
          <t>ÅSELE</t>
        </is>
      </c>
      <c r="F445" t="inlineStr">
        <is>
          <t>Kyrkan</t>
        </is>
      </c>
      <c r="G445" t="n">
        <v>9.199999999999999</v>
      </c>
      <c r="H445" t="n">
        <v>1</v>
      </c>
      <c r="I445" t="n">
        <v>2</v>
      </c>
      <c r="J445" t="n">
        <v>2</v>
      </c>
      <c r="K445" t="n">
        <v>0</v>
      </c>
      <c r="L445" t="n">
        <v>0</v>
      </c>
      <c r="M445" t="n">
        <v>0</v>
      </c>
      <c r="N445" t="n">
        <v>0</v>
      </c>
      <c r="O445" t="n">
        <v>2</v>
      </c>
      <c r="P445" t="n">
        <v>0</v>
      </c>
      <c r="Q445" t="n">
        <v>4</v>
      </c>
      <c r="R445" s="2" t="inlineStr">
        <is>
          <t>Garnlav
Kolflarnlav
Plattlummer
Stuplav</t>
        </is>
      </c>
      <c r="S445">
        <f>HYPERLINK("https://klasma.github.io/Logging_2463/artfynd/A 43956-2025 artfynd.xlsx", "A 43956-2025")</f>
        <v/>
      </c>
      <c r="T445">
        <f>HYPERLINK("https://klasma.github.io/Logging_2463/kartor/A 43956-2025 karta.png", "A 43956-2025")</f>
        <v/>
      </c>
      <c r="V445">
        <f>HYPERLINK("https://klasma.github.io/Logging_2463/klagomål/A 43956-2025 FSC-klagomål.docx", "A 43956-2025")</f>
        <v/>
      </c>
      <c r="W445">
        <f>HYPERLINK("https://klasma.github.io/Logging_2463/klagomålsmail/A 43956-2025 FSC-klagomål mail.docx", "A 43956-2025")</f>
        <v/>
      </c>
      <c r="X445">
        <f>HYPERLINK("https://klasma.github.io/Logging_2463/tillsyn/A 43956-2025 tillsynsbegäran.docx", "A 43956-2025")</f>
        <v/>
      </c>
      <c r="Y445">
        <f>HYPERLINK("https://klasma.github.io/Logging_2463/tillsynsmail/A 43956-2025 tillsynsbegäran mail.docx", "A 43956-2025")</f>
        <v/>
      </c>
    </row>
    <row r="446" ht="15" customHeight="1">
      <c r="A446" t="inlineStr">
        <is>
          <t>A 40736-2024</t>
        </is>
      </c>
      <c r="B446" s="1" t="n">
        <v>45558</v>
      </c>
      <c r="C446" s="1" t="n">
        <v>46145</v>
      </c>
      <c r="D446" t="inlineStr">
        <is>
          <t>VÄSTERBOTTENS LÄN</t>
        </is>
      </c>
      <c r="E446" t="inlineStr">
        <is>
          <t>VILHELMINA</t>
        </is>
      </c>
      <c r="F446" t="inlineStr">
        <is>
          <t>Allmännings- och besparingsskogar</t>
        </is>
      </c>
      <c r="G446" t="n">
        <v>285</v>
      </c>
      <c r="H446" t="n">
        <v>0</v>
      </c>
      <c r="I446" t="n">
        <v>0</v>
      </c>
      <c r="J446" t="n">
        <v>4</v>
      </c>
      <c r="K446" t="n">
        <v>0</v>
      </c>
      <c r="L446" t="n">
        <v>0</v>
      </c>
      <c r="M446" t="n">
        <v>0</v>
      </c>
      <c r="N446" t="n">
        <v>0</v>
      </c>
      <c r="O446" t="n">
        <v>4</v>
      </c>
      <c r="P446" t="n">
        <v>0</v>
      </c>
      <c r="Q446" t="n">
        <v>4</v>
      </c>
      <c r="R446" s="2" t="inlineStr">
        <is>
          <t>Gammelgransskål
Granticka
Knottrig blåslav
Rödbrun blekspik</t>
        </is>
      </c>
      <c r="S446">
        <f>HYPERLINK("https://klasma.github.io/Logging_2462/artfynd/A 40736-2024 artfynd.xlsx", "A 40736-2024")</f>
        <v/>
      </c>
      <c r="T446">
        <f>HYPERLINK("https://klasma.github.io/Logging_2462/kartor/A 40736-2024 karta.png", "A 40736-2024")</f>
        <v/>
      </c>
      <c r="V446">
        <f>HYPERLINK("https://klasma.github.io/Logging_2462/klagomål/A 40736-2024 FSC-klagomål.docx", "A 40736-2024")</f>
        <v/>
      </c>
      <c r="W446">
        <f>HYPERLINK("https://klasma.github.io/Logging_2462/klagomålsmail/A 40736-2024 FSC-klagomål mail.docx", "A 40736-2024")</f>
        <v/>
      </c>
      <c r="X446">
        <f>HYPERLINK("https://klasma.github.io/Logging_2462/tillsyn/A 40736-2024 tillsynsbegäran.docx", "A 40736-2024")</f>
        <v/>
      </c>
      <c r="Y446">
        <f>HYPERLINK("https://klasma.github.io/Logging_2462/tillsynsmail/A 40736-2024 tillsynsbegäran mail.docx", "A 40736-2024")</f>
        <v/>
      </c>
    </row>
    <row r="447" ht="15" customHeight="1">
      <c r="A447" t="inlineStr">
        <is>
          <t>A 45352-2025</t>
        </is>
      </c>
      <c r="B447" s="1" t="n">
        <v>45922.36203703703</v>
      </c>
      <c r="C447" s="1" t="n">
        <v>46145</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17099-2025</t>
        </is>
      </c>
      <c r="B448" s="1" t="n">
        <v>45755.65731481482</v>
      </c>
      <c r="C448" s="1" t="n">
        <v>46145</v>
      </c>
      <c r="D448" t="inlineStr">
        <is>
          <t>VÄSTERBOTTENS LÄN</t>
        </is>
      </c>
      <c r="E448" t="inlineStr">
        <is>
          <t>VINDELN</t>
        </is>
      </c>
      <c r="F448" t="inlineStr">
        <is>
          <t>SCA</t>
        </is>
      </c>
      <c r="G448" t="n">
        <v>32.8</v>
      </c>
      <c r="H448" t="n">
        <v>0</v>
      </c>
      <c r="I448" t="n">
        <v>1</v>
      </c>
      <c r="J448" t="n">
        <v>3</v>
      </c>
      <c r="K448" t="n">
        <v>0</v>
      </c>
      <c r="L448" t="n">
        <v>0</v>
      </c>
      <c r="M448" t="n">
        <v>0</v>
      </c>
      <c r="N448" t="n">
        <v>0</v>
      </c>
      <c r="O448" t="n">
        <v>3</v>
      </c>
      <c r="P448" t="n">
        <v>0</v>
      </c>
      <c r="Q448" t="n">
        <v>4</v>
      </c>
      <c r="R448" s="2" t="inlineStr">
        <is>
          <t>Garnlav
Granticka
Lunglav
Stuplav</t>
        </is>
      </c>
      <c r="S448">
        <f>HYPERLINK("https://klasma.github.io/Logging_2404/artfynd/A 17099-2025 artfynd.xlsx", "A 17099-2025")</f>
        <v/>
      </c>
      <c r="T448">
        <f>HYPERLINK("https://klasma.github.io/Logging_2404/kartor/A 17099-2025 karta.png", "A 17099-2025")</f>
        <v/>
      </c>
      <c r="V448">
        <f>HYPERLINK("https://klasma.github.io/Logging_2404/klagomål/A 17099-2025 FSC-klagomål.docx", "A 17099-2025")</f>
        <v/>
      </c>
      <c r="W448">
        <f>HYPERLINK("https://klasma.github.io/Logging_2404/klagomålsmail/A 17099-2025 FSC-klagomål mail.docx", "A 17099-2025")</f>
        <v/>
      </c>
      <c r="X448">
        <f>HYPERLINK("https://klasma.github.io/Logging_2404/tillsyn/A 17099-2025 tillsynsbegäran.docx", "A 17099-2025")</f>
        <v/>
      </c>
      <c r="Y448">
        <f>HYPERLINK("https://klasma.github.io/Logging_2404/tillsynsmail/A 17099-2025 tillsynsbegäran mail.docx", "A 17099-2025")</f>
        <v/>
      </c>
    </row>
    <row r="449" ht="15" customHeight="1">
      <c r="A449" t="inlineStr">
        <is>
          <t>A 45582-2022</t>
        </is>
      </c>
      <c r="B449" s="1" t="n">
        <v>44841</v>
      </c>
      <c r="C449" s="1" t="n">
        <v>46145</v>
      </c>
      <c r="D449" t="inlineStr">
        <is>
          <t>VÄSTERBOTTENS LÄN</t>
        </is>
      </c>
      <c r="E449" t="inlineStr">
        <is>
          <t>SORSELE</t>
        </is>
      </c>
      <c r="G449" t="n">
        <v>79.3</v>
      </c>
      <c r="H449" t="n">
        <v>0</v>
      </c>
      <c r="I449" t="n">
        <v>0</v>
      </c>
      <c r="J449" t="n">
        <v>3</v>
      </c>
      <c r="K449" t="n">
        <v>0</v>
      </c>
      <c r="L449" t="n">
        <v>1</v>
      </c>
      <c r="M449" t="n">
        <v>0</v>
      </c>
      <c r="N449" t="n">
        <v>0</v>
      </c>
      <c r="O449" t="n">
        <v>4</v>
      </c>
      <c r="P449" t="n">
        <v>1</v>
      </c>
      <c r="Q449" t="n">
        <v>4</v>
      </c>
      <c r="R449" s="2" t="inlineStr">
        <is>
          <t>Grangytterlav
Lunglav
Olivbrun gytterlav
Skrovellav</t>
        </is>
      </c>
      <c r="S449">
        <f>HYPERLINK("https://klasma.github.io/Logging_2422/artfynd/A 45582-2022 artfynd.xlsx", "A 45582-2022")</f>
        <v/>
      </c>
      <c r="T449">
        <f>HYPERLINK("https://klasma.github.io/Logging_2422/kartor/A 45582-2022 karta.png", "A 45582-2022")</f>
        <v/>
      </c>
      <c r="V449">
        <f>HYPERLINK("https://klasma.github.io/Logging_2422/klagomål/A 45582-2022 FSC-klagomål.docx", "A 45582-2022")</f>
        <v/>
      </c>
      <c r="W449">
        <f>HYPERLINK("https://klasma.github.io/Logging_2422/klagomålsmail/A 45582-2022 FSC-klagomål mail.docx", "A 45582-2022")</f>
        <v/>
      </c>
      <c r="X449">
        <f>HYPERLINK("https://klasma.github.io/Logging_2422/tillsyn/A 45582-2022 tillsynsbegäran.docx", "A 45582-2022")</f>
        <v/>
      </c>
      <c r="Y449">
        <f>HYPERLINK("https://klasma.github.io/Logging_2422/tillsynsmail/A 45582-2022 tillsynsbegäran mail.docx", "A 45582-2022")</f>
        <v/>
      </c>
    </row>
    <row r="450" ht="15" customHeight="1">
      <c r="A450" t="inlineStr">
        <is>
          <t>A 49793-2025</t>
        </is>
      </c>
      <c r="B450" s="1" t="n">
        <v>45940.40770833333</v>
      </c>
      <c r="C450" s="1" t="n">
        <v>46145</v>
      </c>
      <c r="D450" t="inlineStr">
        <is>
          <t>VÄSTERBOTTENS LÄN</t>
        </is>
      </c>
      <c r="E450" t="inlineStr">
        <is>
          <t>LYCKSELE</t>
        </is>
      </c>
      <c r="F450" t="inlineStr">
        <is>
          <t>Sveaskog</t>
        </is>
      </c>
      <c r="G450" t="n">
        <v>19.8</v>
      </c>
      <c r="H450" t="n">
        <v>0</v>
      </c>
      <c r="I450" t="n">
        <v>0</v>
      </c>
      <c r="J450" t="n">
        <v>4</v>
      </c>
      <c r="K450" t="n">
        <v>0</v>
      </c>
      <c r="L450" t="n">
        <v>0</v>
      </c>
      <c r="M450" t="n">
        <v>0</v>
      </c>
      <c r="N450" t="n">
        <v>0</v>
      </c>
      <c r="O450" t="n">
        <v>4</v>
      </c>
      <c r="P450" t="n">
        <v>0</v>
      </c>
      <c r="Q450" t="n">
        <v>4</v>
      </c>
      <c r="R450" s="2" t="inlineStr">
        <is>
          <t>Blå taggsvamp
Kolflarnlav
Mörk kolflarnlav
Orange taggsvamp</t>
        </is>
      </c>
      <c r="S450">
        <f>HYPERLINK("https://klasma.github.io/Logging_2481/artfynd/A 49793-2025 artfynd.xlsx", "A 49793-2025")</f>
        <v/>
      </c>
      <c r="T450">
        <f>HYPERLINK("https://klasma.github.io/Logging_2481/kartor/A 49793-2025 karta.png", "A 49793-2025")</f>
        <v/>
      </c>
      <c r="V450">
        <f>HYPERLINK("https://klasma.github.io/Logging_2481/klagomål/A 49793-2025 FSC-klagomål.docx", "A 49793-2025")</f>
        <v/>
      </c>
      <c r="W450">
        <f>HYPERLINK("https://klasma.github.io/Logging_2481/klagomålsmail/A 49793-2025 FSC-klagomål mail.docx", "A 49793-2025")</f>
        <v/>
      </c>
      <c r="X450">
        <f>HYPERLINK("https://klasma.github.io/Logging_2481/tillsyn/A 49793-2025 tillsynsbegäran.docx", "A 49793-2025")</f>
        <v/>
      </c>
      <c r="Y450">
        <f>HYPERLINK("https://klasma.github.io/Logging_2481/tillsynsmail/A 49793-2025 tillsynsbegäran mail.docx", "A 49793-2025")</f>
        <v/>
      </c>
    </row>
    <row r="451" ht="15" customHeight="1">
      <c r="A451" t="inlineStr">
        <is>
          <t>A 49802-2025</t>
        </is>
      </c>
      <c r="B451" s="1" t="n">
        <v>45940.41297453704</v>
      </c>
      <c r="C451" s="1" t="n">
        <v>46145</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49808-2025</t>
        </is>
      </c>
      <c r="B452" s="1" t="n">
        <v>45940.42079861111</v>
      </c>
      <c r="C452" s="1" t="n">
        <v>46145</v>
      </c>
      <c r="D452" t="inlineStr">
        <is>
          <t>VÄSTERBOTTENS LÄN</t>
        </is>
      </c>
      <c r="E452" t="inlineStr">
        <is>
          <t>LYCKSELE</t>
        </is>
      </c>
      <c r="F452" t="inlineStr">
        <is>
          <t>Sveaskog</t>
        </is>
      </c>
      <c r="G452" t="n">
        <v>11.8</v>
      </c>
      <c r="H452" t="n">
        <v>0</v>
      </c>
      <c r="I452" t="n">
        <v>0</v>
      </c>
      <c r="J452" t="n">
        <v>4</v>
      </c>
      <c r="K452" t="n">
        <v>0</v>
      </c>
      <c r="L452" t="n">
        <v>0</v>
      </c>
      <c r="M452" t="n">
        <v>0</v>
      </c>
      <c r="N452" t="n">
        <v>0</v>
      </c>
      <c r="O452" t="n">
        <v>4</v>
      </c>
      <c r="P452" t="n">
        <v>0</v>
      </c>
      <c r="Q452" t="n">
        <v>4</v>
      </c>
      <c r="R452" s="2" t="inlineStr">
        <is>
          <t>Blå taggsvamp
Kolflarnlav
Mörk kolflarnlav
Orange taggsvamp</t>
        </is>
      </c>
      <c r="S452">
        <f>HYPERLINK("https://klasma.github.io/Logging_2481/artfynd/A 49808-2025 artfynd.xlsx", "A 49808-2025")</f>
        <v/>
      </c>
      <c r="T452">
        <f>HYPERLINK("https://klasma.github.io/Logging_2481/kartor/A 49808-2025 karta.png", "A 49808-2025")</f>
        <v/>
      </c>
      <c r="V452">
        <f>HYPERLINK("https://klasma.github.io/Logging_2481/klagomål/A 49808-2025 FSC-klagomål.docx", "A 49808-2025")</f>
        <v/>
      </c>
      <c r="W452">
        <f>HYPERLINK("https://klasma.github.io/Logging_2481/klagomålsmail/A 49808-2025 FSC-klagomål mail.docx", "A 49808-2025")</f>
        <v/>
      </c>
      <c r="X452">
        <f>HYPERLINK("https://klasma.github.io/Logging_2481/tillsyn/A 49808-2025 tillsynsbegäran.docx", "A 49808-2025")</f>
        <v/>
      </c>
      <c r="Y452">
        <f>HYPERLINK("https://klasma.github.io/Logging_2481/tillsynsmail/A 49808-2025 tillsynsbegäran mail.docx", "A 49808-2025")</f>
        <v/>
      </c>
    </row>
    <row r="453" ht="15" customHeight="1">
      <c r="A453" t="inlineStr">
        <is>
          <t>A 51431-2025</t>
        </is>
      </c>
      <c r="B453" s="1" t="n">
        <v>45950.54863425926</v>
      </c>
      <c r="C453" s="1" t="n">
        <v>46145</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agg.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44382-2023</t>
        </is>
      </c>
      <c r="B454" s="1" t="n">
        <v>45188.94413194444</v>
      </c>
      <c r="C454" s="1" t="n">
        <v>46145</v>
      </c>
      <c r="D454" t="inlineStr">
        <is>
          <t>VÄSTERBOTTENS LÄN</t>
        </is>
      </c>
      <c r="E454" t="inlineStr">
        <is>
          <t>VILHELMINA</t>
        </is>
      </c>
      <c r="F454" t="inlineStr">
        <is>
          <t>SCA</t>
        </is>
      </c>
      <c r="G454" t="n">
        <v>2.8</v>
      </c>
      <c r="H454" t="n">
        <v>1</v>
      </c>
      <c r="I454" t="n">
        <v>1</v>
      </c>
      <c r="J454" t="n">
        <v>3</v>
      </c>
      <c r="K454" t="n">
        <v>0</v>
      </c>
      <c r="L454" t="n">
        <v>0</v>
      </c>
      <c r="M454" t="n">
        <v>0</v>
      </c>
      <c r="N454" t="n">
        <v>0</v>
      </c>
      <c r="O454" t="n">
        <v>3</v>
      </c>
      <c r="P454" t="n">
        <v>0</v>
      </c>
      <c r="Q454" t="n">
        <v>4</v>
      </c>
      <c r="R454" s="2" t="inlineStr">
        <is>
          <t>Garnlav
Lunglav
Talltita
Stuplav</t>
        </is>
      </c>
      <c r="S454">
        <f>HYPERLINK("https://klasma.github.io/Logging_2462/artfynd/A 44382-2023 artfynd.xlsx", "A 44382-2023")</f>
        <v/>
      </c>
      <c r="T454">
        <f>HYPERLINK("https://klasma.github.io/Logging_2462/kartor/A 44382-2023 karta.png", "A 44382-2023")</f>
        <v/>
      </c>
      <c r="V454">
        <f>HYPERLINK("https://klasma.github.io/Logging_2462/klagomål/A 44382-2023 FSC-klagomål.docx", "A 44382-2023")</f>
        <v/>
      </c>
      <c r="W454">
        <f>HYPERLINK("https://klasma.github.io/Logging_2462/klagomålsmail/A 44382-2023 FSC-klagomål mail.docx", "A 44382-2023")</f>
        <v/>
      </c>
      <c r="X454">
        <f>HYPERLINK("https://klasma.github.io/Logging_2462/tillsyn/A 44382-2023 tillsynsbegäran.docx", "A 44382-2023")</f>
        <v/>
      </c>
      <c r="Y454">
        <f>HYPERLINK("https://klasma.github.io/Logging_2462/tillsynsmail/A 44382-2023 tillsynsbegäran mail.docx", "A 44382-2023")</f>
        <v/>
      </c>
      <c r="Z454">
        <f>HYPERLINK("https://klasma.github.io/Logging_2462/fåglar/A 44382-2023 prioriterade fågelarter.docx", "A 44382-2023")</f>
        <v/>
      </c>
    </row>
    <row r="455" ht="15" customHeight="1">
      <c r="A455" t="inlineStr">
        <is>
          <t>A 57738-2021</t>
        </is>
      </c>
      <c r="B455" s="1" t="n">
        <v>44484</v>
      </c>
      <c r="C455" s="1" t="n">
        <v>46145</v>
      </c>
      <c r="D455" t="inlineStr">
        <is>
          <t>VÄSTERBOTTENS LÄN</t>
        </is>
      </c>
      <c r="E455" t="inlineStr">
        <is>
          <t>SKELLEFTEÅ</t>
        </is>
      </c>
      <c r="G455" t="n">
        <v>11.4</v>
      </c>
      <c r="H455" t="n">
        <v>2</v>
      </c>
      <c r="I455" t="n">
        <v>1</v>
      </c>
      <c r="J455" t="n">
        <v>2</v>
      </c>
      <c r="K455" t="n">
        <v>0</v>
      </c>
      <c r="L455" t="n">
        <v>0</v>
      </c>
      <c r="M455" t="n">
        <v>0</v>
      </c>
      <c r="N455" t="n">
        <v>0</v>
      </c>
      <c r="O455" t="n">
        <v>2</v>
      </c>
      <c r="P455" t="n">
        <v>0</v>
      </c>
      <c r="Q455" t="n">
        <v>4</v>
      </c>
      <c r="R455" s="2" t="inlineStr">
        <is>
          <t>Doftskinn
Talltita
Nästlav
Fläcknycklar</t>
        </is>
      </c>
      <c r="S455">
        <f>HYPERLINK("https://klasma.github.io/Logging_2482/artfynd/A 57738-2021 artfynd.xlsx", "A 57738-2021")</f>
        <v/>
      </c>
      <c r="T455">
        <f>HYPERLINK("https://klasma.github.io/Logging_2482/kartor/A 57738-2021 karta.png", "A 57738-2021")</f>
        <v/>
      </c>
      <c r="V455">
        <f>HYPERLINK("https://klasma.github.io/Logging_2482/klagomål/A 57738-2021 FSC-klagomål.docx", "A 57738-2021")</f>
        <v/>
      </c>
      <c r="W455">
        <f>HYPERLINK("https://klasma.github.io/Logging_2482/klagomålsmail/A 57738-2021 FSC-klagomål mail.docx", "A 57738-2021")</f>
        <v/>
      </c>
      <c r="X455">
        <f>HYPERLINK("https://klasma.github.io/Logging_2482/tillsyn/A 57738-2021 tillsynsbegäran.docx", "A 57738-2021")</f>
        <v/>
      </c>
      <c r="Y455">
        <f>HYPERLINK("https://klasma.github.io/Logging_2482/tillsynsmail/A 57738-2021 tillsynsbegäran mail.docx", "A 57738-2021")</f>
        <v/>
      </c>
      <c r="Z455">
        <f>HYPERLINK("https://klasma.github.io/Logging_2482/fåglar/A 57738-2021 prioriterade fågelarter.docx", "A 57738-2021")</f>
        <v/>
      </c>
    </row>
    <row r="456" ht="15" customHeight="1">
      <c r="A456" t="inlineStr">
        <is>
          <t>A 53423-2024</t>
        </is>
      </c>
      <c r="B456" s="1" t="n">
        <v>45614.51168981481</v>
      </c>
      <c r="C456" s="1" t="n">
        <v>46145</v>
      </c>
      <c r="D456" t="inlineStr">
        <is>
          <t>VÄSTERBOTTENS LÄN</t>
        </is>
      </c>
      <c r="E456" t="inlineStr">
        <is>
          <t>SKELLEFTEÅ</t>
        </is>
      </c>
      <c r="G456" t="n">
        <v>3.5</v>
      </c>
      <c r="H456" t="n">
        <v>1</v>
      </c>
      <c r="I456" t="n">
        <v>0</v>
      </c>
      <c r="J456" t="n">
        <v>4</v>
      </c>
      <c r="K456" t="n">
        <v>0</v>
      </c>
      <c r="L456" t="n">
        <v>0</v>
      </c>
      <c r="M456" t="n">
        <v>0</v>
      </c>
      <c r="N456" t="n">
        <v>0</v>
      </c>
      <c r="O456" t="n">
        <v>4</v>
      </c>
      <c r="P456" t="n">
        <v>0</v>
      </c>
      <c r="Q456" t="n">
        <v>4</v>
      </c>
      <c r="R456" s="2" t="inlineStr">
        <is>
          <t>Blanksvart spiklav
Blå taggsvamp
Garnlav
Spillkråka</t>
        </is>
      </c>
      <c r="S456">
        <f>HYPERLINK("https://klasma.github.io/Logging_2482/artfynd/A 53423-2024 artfynd.xlsx", "A 53423-2024")</f>
        <v/>
      </c>
      <c r="T456">
        <f>HYPERLINK("https://klasma.github.io/Logging_2482/kartor/A 53423-2024 karta.png", "A 53423-2024")</f>
        <v/>
      </c>
      <c r="V456">
        <f>HYPERLINK("https://klasma.github.io/Logging_2482/klagomål/A 53423-2024 FSC-klagomål.docx", "A 53423-2024")</f>
        <v/>
      </c>
      <c r="W456">
        <f>HYPERLINK("https://klasma.github.io/Logging_2482/klagomålsmail/A 53423-2024 FSC-klagomål mail.docx", "A 53423-2024")</f>
        <v/>
      </c>
      <c r="X456">
        <f>HYPERLINK("https://klasma.github.io/Logging_2482/tillsyn/A 53423-2024 tillsynsbegäran.docx", "A 53423-2024")</f>
        <v/>
      </c>
      <c r="Y456">
        <f>HYPERLINK("https://klasma.github.io/Logging_2482/tillsynsmail/A 53423-2024 tillsynsbegäran mail.docx", "A 53423-2024")</f>
        <v/>
      </c>
      <c r="Z456">
        <f>HYPERLINK("https://klasma.github.io/Logging_2482/fåglar/A 53423-2024 prioriterade fågelarter.docx", "A 53423-2024")</f>
        <v/>
      </c>
    </row>
    <row r="457" ht="15" customHeight="1">
      <c r="A457" t="inlineStr">
        <is>
          <t>A 52891-2024</t>
        </is>
      </c>
      <c r="B457" s="1" t="n">
        <v>45610.66724537037</v>
      </c>
      <c r="C457" s="1" t="n">
        <v>46145</v>
      </c>
      <c r="D457" t="inlineStr">
        <is>
          <t>VÄSTERBOTTENS LÄN</t>
        </is>
      </c>
      <c r="E457" t="inlineStr">
        <is>
          <t>LYCKSELE</t>
        </is>
      </c>
      <c r="F457" t="inlineStr">
        <is>
          <t>Holmen skog AB</t>
        </is>
      </c>
      <c r="G457" t="n">
        <v>5</v>
      </c>
      <c r="H457" t="n">
        <v>0</v>
      </c>
      <c r="I457" t="n">
        <v>1</v>
      </c>
      <c r="J457" t="n">
        <v>3</v>
      </c>
      <c r="K457" t="n">
        <v>0</v>
      </c>
      <c r="L457" t="n">
        <v>0</v>
      </c>
      <c r="M457" t="n">
        <v>0</v>
      </c>
      <c r="N457" t="n">
        <v>0</v>
      </c>
      <c r="O457" t="n">
        <v>3</v>
      </c>
      <c r="P457" t="n">
        <v>0</v>
      </c>
      <c r="Q457" t="n">
        <v>4</v>
      </c>
      <c r="R457" s="2" t="inlineStr">
        <is>
          <t>Garnlav
Granticka
Lunglav
Bårdlav</t>
        </is>
      </c>
      <c r="S457">
        <f>HYPERLINK("https://klasma.github.io/Logging_2481/artfynd/A 52891-2024 artfynd.xlsx", "A 52891-2024")</f>
        <v/>
      </c>
      <c r="T457">
        <f>HYPERLINK("https://klasma.github.io/Logging_2481/kartor/A 52891-2024 karta.png", "A 52891-2024")</f>
        <v/>
      </c>
      <c r="V457">
        <f>HYPERLINK("https://klasma.github.io/Logging_2481/klagomål/A 52891-2024 FSC-klagomål.docx", "A 52891-2024")</f>
        <v/>
      </c>
      <c r="W457">
        <f>HYPERLINK("https://klasma.github.io/Logging_2481/klagomålsmail/A 52891-2024 FSC-klagomål mail.docx", "A 52891-2024")</f>
        <v/>
      </c>
      <c r="X457">
        <f>HYPERLINK("https://klasma.github.io/Logging_2481/tillsyn/A 52891-2024 tillsynsbegäran.docx", "A 52891-2024")</f>
        <v/>
      </c>
      <c r="Y457">
        <f>HYPERLINK("https://klasma.github.io/Logging_2481/tillsynsmail/A 52891-2024 tillsynsbegäran mail.docx", "A 52891-2024")</f>
        <v/>
      </c>
    </row>
    <row r="458" ht="15" customHeight="1">
      <c r="A458" t="inlineStr">
        <is>
          <t>A 25036-2024</t>
        </is>
      </c>
      <c r="B458" s="1" t="n">
        <v>45461</v>
      </c>
      <c r="C458" s="1" t="n">
        <v>46145</v>
      </c>
      <c r="D458" t="inlineStr">
        <is>
          <t>VÄSTERBOTTENS LÄN</t>
        </is>
      </c>
      <c r="E458" t="inlineStr">
        <is>
          <t>VILHELMINA</t>
        </is>
      </c>
      <c r="F458" t="inlineStr">
        <is>
          <t>SCA</t>
        </is>
      </c>
      <c r="G458" t="n">
        <v>7</v>
      </c>
      <c r="H458" t="n">
        <v>3</v>
      </c>
      <c r="I458" t="n">
        <v>1</v>
      </c>
      <c r="J458" t="n">
        <v>1</v>
      </c>
      <c r="K458" t="n">
        <v>0</v>
      </c>
      <c r="L458" t="n">
        <v>0</v>
      </c>
      <c r="M458" t="n">
        <v>0</v>
      </c>
      <c r="N458" t="n">
        <v>0</v>
      </c>
      <c r="O458" t="n">
        <v>1</v>
      </c>
      <c r="P458" t="n">
        <v>0</v>
      </c>
      <c r="Q458" t="n">
        <v>4</v>
      </c>
      <c r="R458" s="2" t="inlineStr">
        <is>
          <t>Garnlav
Plattlummer
Tjäder
Revlummer</t>
        </is>
      </c>
      <c r="S458">
        <f>HYPERLINK("https://klasma.github.io/Logging_2462/artfynd/A 25036-2024 artfynd.xlsx", "A 25036-2024")</f>
        <v/>
      </c>
      <c r="T458">
        <f>HYPERLINK("https://klasma.github.io/Logging_2462/kartor/A 25036-2024 karta.png", "A 25036-2024")</f>
        <v/>
      </c>
      <c r="V458">
        <f>HYPERLINK("https://klasma.github.io/Logging_2462/klagomål/A 25036-2024 FSC-klagomål.docx", "A 25036-2024")</f>
        <v/>
      </c>
      <c r="W458">
        <f>HYPERLINK("https://klasma.github.io/Logging_2462/klagomålsmail/A 25036-2024 FSC-klagomål mail.docx", "A 25036-2024")</f>
        <v/>
      </c>
      <c r="X458">
        <f>HYPERLINK("https://klasma.github.io/Logging_2462/tillsyn/A 25036-2024 tillsynsbegäran.docx", "A 25036-2024")</f>
        <v/>
      </c>
      <c r="Y458">
        <f>HYPERLINK("https://klasma.github.io/Logging_2462/tillsynsmail/A 25036-2024 tillsynsbegäran mail.docx", "A 25036-2024")</f>
        <v/>
      </c>
      <c r="Z458">
        <f>HYPERLINK("https://klasma.github.io/Logging_2462/fåglar/A 25036-2024 prioriterade fågelarter.docx", "A 25036-2024")</f>
        <v/>
      </c>
    </row>
    <row r="459" ht="15" customHeight="1">
      <c r="A459" t="inlineStr">
        <is>
          <t>A 61036-2022</t>
        </is>
      </c>
      <c r="B459" s="1" t="n">
        <v>44914.92446759259</v>
      </c>
      <c r="C459" s="1" t="n">
        <v>46145</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33857-2024</t>
        </is>
      </c>
      <c r="B460" s="1" t="n">
        <v>45520.65300925926</v>
      </c>
      <c r="C460" s="1" t="n">
        <v>46145</v>
      </c>
      <c r="D460" t="inlineStr">
        <is>
          <t>VÄSTERBOTTENS LÄN</t>
        </is>
      </c>
      <c r="E460" t="inlineStr">
        <is>
          <t>STORUMAN</t>
        </is>
      </c>
      <c r="F460" t="inlineStr">
        <is>
          <t>Sveaskog</t>
        </is>
      </c>
      <c r="G460" t="n">
        <v>7.9</v>
      </c>
      <c r="H460" t="n">
        <v>1</v>
      </c>
      <c r="I460" t="n">
        <v>1</v>
      </c>
      <c r="J460" t="n">
        <v>3</v>
      </c>
      <c r="K460" t="n">
        <v>0</v>
      </c>
      <c r="L460" t="n">
        <v>0</v>
      </c>
      <c r="M460" t="n">
        <v>0</v>
      </c>
      <c r="N460" t="n">
        <v>0</v>
      </c>
      <c r="O460" t="n">
        <v>3</v>
      </c>
      <c r="P460" t="n">
        <v>0</v>
      </c>
      <c r="Q460" t="n">
        <v>4</v>
      </c>
      <c r="R460" s="2" t="inlineStr">
        <is>
          <t>Järpe
Kolflarnlav
Mörk kolflarnlav
Skinnlav</t>
        </is>
      </c>
      <c r="S460">
        <f>HYPERLINK("https://klasma.github.io/Logging_2421/artfynd/A 33857-2024 artfynd.xlsx", "A 33857-2024")</f>
        <v/>
      </c>
      <c r="T460">
        <f>HYPERLINK("https://klasma.github.io/Logging_2421/kartor/A 33857-2024 karta.png", "A 33857-2024")</f>
        <v/>
      </c>
      <c r="V460">
        <f>HYPERLINK("https://klasma.github.io/Logging_2421/klagomål/A 33857-2024 FSC-klagomål.docx", "A 33857-2024")</f>
        <v/>
      </c>
      <c r="W460">
        <f>HYPERLINK("https://klasma.github.io/Logging_2421/klagomålsmail/A 33857-2024 FSC-klagomål mail.docx", "A 33857-2024")</f>
        <v/>
      </c>
      <c r="X460">
        <f>HYPERLINK("https://klasma.github.io/Logging_2421/tillsyn/A 33857-2024 tillsynsbegäran.docx", "A 33857-2024")</f>
        <v/>
      </c>
      <c r="Y460">
        <f>HYPERLINK("https://klasma.github.io/Logging_2421/tillsynsmail/A 33857-2024 tillsynsbegäran mail.docx", "A 33857-2024")</f>
        <v/>
      </c>
      <c r="Z460">
        <f>HYPERLINK("https://klasma.github.io/Logging_2421/fåglar/A 33857-2024 prioriterade fågelarter.docx", "A 33857-2024")</f>
        <v/>
      </c>
    </row>
    <row r="461" ht="15" customHeight="1">
      <c r="A461" t="inlineStr">
        <is>
          <t>A 32211-2023</t>
        </is>
      </c>
      <c r="B461" s="1" t="n">
        <v>45119</v>
      </c>
      <c r="C461" s="1" t="n">
        <v>46145</v>
      </c>
      <c r="D461" t="inlineStr">
        <is>
          <t>VÄSTERBOTTENS LÄN</t>
        </is>
      </c>
      <c r="E461" t="inlineStr">
        <is>
          <t>ROBERTSFORS</t>
        </is>
      </c>
      <c r="F461" t="inlineStr">
        <is>
          <t>SCA</t>
        </is>
      </c>
      <c r="G461" t="n">
        <v>14.4</v>
      </c>
      <c r="H461" t="n">
        <v>1</v>
      </c>
      <c r="I461" t="n">
        <v>0</v>
      </c>
      <c r="J461" t="n">
        <v>3</v>
      </c>
      <c r="K461" t="n">
        <v>1</v>
      </c>
      <c r="L461" t="n">
        <v>0</v>
      </c>
      <c r="M461" t="n">
        <v>0</v>
      </c>
      <c r="N461" t="n">
        <v>0</v>
      </c>
      <c r="O461" t="n">
        <v>4</v>
      </c>
      <c r="P461" t="n">
        <v>1</v>
      </c>
      <c r="Q461" t="n">
        <v>4</v>
      </c>
      <c r="R461" s="2" t="inlineStr">
        <is>
          <t>Gräddporing
Granticka
Tallticka
Talltita</t>
        </is>
      </c>
      <c r="S461">
        <f>HYPERLINK("https://klasma.github.io/Logging_2409/artfynd/A 32211-2023 artfynd.xlsx", "A 32211-2023")</f>
        <v/>
      </c>
      <c r="T461">
        <f>HYPERLINK("https://klasma.github.io/Logging_2409/kartor/A 32211-2023 karta.png", "A 32211-2023")</f>
        <v/>
      </c>
      <c r="V461">
        <f>HYPERLINK("https://klasma.github.io/Logging_2409/klagomål/A 32211-2023 FSC-klagomål.docx", "A 32211-2023")</f>
        <v/>
      </c>
      <c r="W461">
        <f>HYPERLINK("https://klasma.github.io/Logging_2409/klagomålsmail/A 32211-2023 FSC-klagomål mail.docx", "A 32211-2023")</f>
        <v/>
      </c>
      <c r="X461">
        <f>HYPERLINK("https://klasma.github.io/Logging_2409/tillsyn/A 32211-2023 tillsynsbegäran.docx", "A 32211-2023")</f>
        <v/>
      </c>
      <c r="Y461">
        <f>HYPERLINK("https://klasma.github.io/Logging_2409/tillsynsmail/A 32211-2023 tillsynsbegäran mail.docx", "A 32211-2023")</f>
        <v/>
      </c>
      <c r="Z461">
        <f>HYPERLINK("https://klasma.github.io/Logging_2409/fåglar/A 32211-2023 prioriterade fågelarter.docx", "A 32211-2023")</f>
        <v/>
      </c>
    </row>
    <row r="462" ht="15" customHeight="1">
      <c r="A462" t="inlineStr">
        <is>
          <t>A 63151-2025</t>
        </is>
      </c>
      <c r="B462" s="1" t="n">
        <v>46009</v>
      </c>
      <c r="C462" s="1" t="n">
        <v>46145</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56057-2025</t>
        </is>
      </c>
      <c r="B463" s="1" t="n">
        <v>45973.63479166666</v>
      </c>
      <c r="C463" s="1" t="n">
        <v>46145</v>
      </c>
      <c r="D463" t="inlineStr">
        <is>
          <t>VÄSTERBOTTENS LÄN</t>
        </is>
      </c>
      <c r="E463" t="inlineStr">
        <is>
          <t>BJURHOLM</t>
        </is>
      </c>
      <c r="G463" t="n">
        <v>8.6</v>
      </c>
      <c r="H463" t="n">
        <v>0</v>
      </c>
      <c r="I463" t="n">
        <v>0</v>
      </c>
      <c r="J463" t="n">
        <v>4</v>
      </c>
      <c r="K463" t="n">
        <v>0</v>
      </c>
      <c r="L463" t="n">
        <v>0</v>
      </c>
      <c r="M463" t="n">
        <v>0</v>
      </c>
      <c r="N463" t="n">
        <v>0</v>
      </c>
      <c r="O463" t="n">
        <v>4</v>
      </c>
      <c r="P463" t="n">
        <v>0</v>
      </c>
      <c r="Q463" t="n">
        <v>4</v>
      </c>
      <c r="R463" s="2" t="inlineStr">
        <is>
          <t>Gammelgransskål
Garnlav
Granticka
Violettgrå tagellav</t>
        </is>
      </c>
      <c r="S463">
        <f>HYPERLINK("https://klasma.github.io/Logging_2403/artfynd/A 56057-2025 artfynd.xlsx", "A 56057-2025")</f>
        <v/>
      </c>
      <c r="T463">
        <f>HYPERLINK("https://klasma.github.io/Logging_2403/kartor/A 56057-2025 karta.png", "A 56057-2025")</f>
        <v/>
      </c>
      <c r="V463">
        <f>HYPERLINK("https://klasma.github.io/Logging_2403/klagomål/A 56057-2025 FSC-klagomål.docx", "A 56057-2025")</f>
        <v/>
      </c>
      <c r="W463">
        <f>HYPERLINK("https://klasma.github.io/Logging_2403/klagomålsmail/A 56057-2025 FSC-klagomål mail.docx", "A 56057-2025")</f>
        <v/>
      </c>
      <c r="X463">
        <f>HYPERLINK("https://klasma.github.io/Logging_2403/tillsyn/A 56057-2025 tillsynsbegäran.docx", "A 56057-2025")</f>
        <v/>
      </c>
      <c r="Y463">
        <f>HYPERLINK("https://klasma.github.io/Logging_2403/tillsynsmail/A 56057-2025 tillsynsbegäran mail.docx", "A 56057-2025")</f>
        <v/>
      </c>
    </row>
    <row r="464" ht="15" customHeight="1">
      <c r="A464" t="inlineStr">
        <is>
          <t>A 58867-2025</t>
        </is>
      </c>
      <c r="B464" s="1" t="n">
        <v>45987.45527777778</v>
      </c>
      <c r="C464" s="1" t="n">
        <v>46145</v>
      </c>
      <c r="D464" t="inlineStr">
        <is>
          <t>VÄSTERBOTTENS LÄN</t>
        </is>
      </c>
      <c r="E464" t="inlineStr">
        <is>
          <t>SKELLEFTEÅ</t>
        </is>
      </c>
      <c r="F464" t="inlineStr">
        <is>
          <t>Holmen skog AB</t>
        </is>
      </c>
      <c r="G464" t="n">
        <v>4.4</v>
      </c>
      <c r="H464" t="n">
        <v>0</v>
      </c>
      <c r="I464" t="n">
        <v>1</v>
      </c>
      <c r="J464" t="n">
        <v>3</v>
      </c>
      <c r="K464" t="n">
        <v>0</v>
      </c>
      <c r="L464" t="n">
        <v>0</v>
      </c>
      <c r="M464" t="n">
        <v>0</v>
      </c>
      <c r="N464" t="n">
        <v>0</v>
      </c>
      <c r="O464" t="n">
        <v>3</v>
      </c>
      <c r="P464" t="n">
        <v>0</v>
      </c>
      <c r="Q464" t="n">
        <v>4</v>
      </c>
      <c r="R464" s="2" t="inlineStr">
        <is>
          <t>Gammelgransskål
Garnlav
Granticka
Vedticka</t>
        </is>
      </c>
      <c r="S464">
        <f>HYPERLINK("https://klasma.github.io/Logging_2482/artfynd/A 58867-2025 artfynd.xlsx", "A 58867-2025")</f>
        <v/>
      </c>
      <c r="T464">
        <f>HYPERLINK("https://klasma.github.io/Logging_2482/kartor/A 58867-2025 karta.png", "A 58867-2025")</f>
        <v/>
      </c>
      <c r="V464">
        <f>HYPERLINK("https://klasma.github.io/Logging_2482/klagomål/A 58867-2025 FSC-klagomål.docx", "A 58867-2025")</f>
        <v/>
      </c>
      <c r="W464">
        <f>HYPERLINK("https://klasma.github.io/Logging_2482/klagomålsmail/A 58867-2025 FSC-klagomål mail.docx", "A 58867-2025")</f>
        <v/>
      </c>
      <c r="X464">
        <f>HYPERLINK("https://klasma.github.io/Logging_2482/tillsyn/A 58867-2025 tillsynsbegäran.docx", "A 58867-2025")</f>
        <v/>
      </c>
      <c r="Y464">
        <f>HYPERLINK("https://klasma.github.io/Logging_2482/tillsynsmail/A 58867-2025 tillsynsbegäran mail.docx", "A 58867-2025")</f>
        <v/>
      </c>
    </row>
    <row r="465" ht="15" customHeight="1">
      <c r="A465" t="inlineStr">
        <is>
          <t>A 51706-2024</t>
        </is>
      </c>
      <c r="B465" s="1" t="n">
        <v>45604</v>
      </c>
      <c r="C465" s="1" t="n">
        <v>46145</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50665-2023</t>
        </is>
      </c>
      <c r="B466" s="1" t="n">
        <v>45217</v>
      </c>
      <c r="C466" s="1" t="n">
        <v>46145</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29797-2025</t>
        </is>
      </c>
      <c r="B467" s="1" t="n">
        <v>45825</v>
      </c>
      <c r="C467" s="1" t="n">
        <v>46145</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46145</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37322-2022</t>
        </is>
      </c>
      <c r="B469" s="1" t="n">
        <v>44806</v>
      </c>
      <c r="C469" s="1" t="n">
        <v>46145</v>
      </c>
      <c r="D469" t="inlineStr">
        <is>
          <t>VÄSTERBOTTENS LÄN</t>
        </is>
      </c>
      <c r="E469" t="inlineStr">
        <is>
          <t>VILHELMINA</t>
        </is>
      </c>
      <c r="F469" t="inlineStr">
        <is>
          <t>Övriga statliga verk och myndigheter</t>
        </is>
      </c>
      <c r="G469" t="n">
        <v>15.4</v>
      </c>
      <c r="H469" t="n">
        <v>1</v>
      </c>
      <c r="I469" t="n">
        <v>0</v>
      </c>
      <c r="J469" t="n">
        <v>4</v>
      </c>
      <c r="K469" t="n">
        <v>0</v>
      </c>
      <c r="L469" t="n">
        <v>0</v>
      </c>
      <c r="M469" t="n">
        <v>0</v>
      </c>
      <c r="N469" t="n">
        <v>0</v>
      </c>
      <c r="O469" t="n">
        <v>4</v>
      </c>
      <c r="P469" t="n">
        <v>0</v>
      </c>
      <c r="Q469" t="n">
        <v>4</v>
      </c>
      <c r="R469" s="2" t="inlineStr">
        <is>
          <t>Garnlav
Granticka
Skrovellav
Tretåig hackspett</t>
        </is>
      </c>
      <c r="S469">
        <f>HYPERLINK("https://klasma.github.io/Logging_2462/artfynd/A 37322-2022 artfynd.xlsx", "A 37322-2022")</f>
        <v/>
      </c>
      <c r="T469">
        <f>HYPERLINK("https://klasma.github.io/Logging_2462/kartor/A 37322-2022 karta.png", "A 37322-2022")</f>
        <v/>
      </c>
      <c r="V469">
        <f>HYPERLINK("https://klasma.github.io/Logging_2462/klagomål/A 37322-2022 FSC-klagomål.docx", "A 37322-2022")</f>
        <v/>
      </c>
      <c r="W469">
        <f>HYPERLINK("https://klasma.github.io/Logging_2462/klagomålsmail/A 37322-2022 FSC-klagomål mail.docx", "A 37322-2022")</f>
        <v/>
      </c>
      <c r="X469">
        <f>HYPERLINK("https://klasma.github.io/Logging_2462/tillsyn/A 37322-2022 tillsynsbegäran.docx", "A 37322-2022")</f>
        <v/>
      </c>
      <c r="Y469">
        <f>HYPERLINK("https://klasma.github.io/Logging_2462/tillsynsmail/A 37322-2022 tillsynsbegäran mail.docx", "A 37322-2022")</f>
        <v/>
      </c>
      <c r="Z469">
        <f>HYPERLINK("https://klasma.github.io/Logging_2462/fåglar/A 37322-2022 prioriterade fågelarter.docx", "A 37322-2022")</f>
        <v/>
      </c>
    </row>
    <row r="470" ht="15" customHeight="1">
      <c r="A470" t="inlineStr">
        <is>
          <t>A 3483-2026</t>
        </is>
      </c>
      <c r="B470" s="1" t="n">
        <v>46042.55883101852</v>
      </c>
      <c r="C470" s="1" t="n">
        <v>46145</v>
      </c>
      <c r="D470" t="inlineStr">
        <is>
          <t>VÄSTERBOTTENS LÄN</t>
        </is>
      </c>
      <c r="E470" t="inlineStr">
        <is>
          <t>NORDMALING</t>
        </is>
      </c>
      <c r="G470" t="n">
        <v>0.7</v>
      </c>
      <c r="H470" t="n">
        <v>0</v>
      </c>
      <c r="I470" t="n">
        <v>0</v>
      </c>
      <c r="J470" t="n">
        <v>4</v>
      </c>
      <c r="K470" t="n">
        <v>0</v>
      </c>
      <c r="L470" t="n">
        <v>0</v>
      </c>
      <c r="M470" t="n">
        <v>0</v>
      </c>
      <c r="N470" t="n">
        <v>0</v>
      </c>
      <c r="O470" t="n">
        <v>4</v>
      </c>
      <c r="P470" t="n">
        <v>0</v>
      </c>
      <c r="Q470" t="n">
        <v>4</v>
      </c>
      <c r="R470" s="2" t="inlineStr">
        <is>
          <t>Garnlav
Granticka
Stjärntagging
Ullticka</t>
        </is>
      </c>
      <c r="S470">
        <f>HYPERLINK("https://klasma.github.io/Logging_2401/artfynd/A 3483-2026 artfynd.xlsx", "A 3483-2026")</f>
        <v/>
      </c>
      <c r="T470">
        <f>HYPERLINK("https://klasma.github.io/Logging_2401/kartor/A 3483-2026 karta.png", "A 3483-2026")</f>
        <v/>
      </c>
      <c r="V470">
        <f>HYPERLINK("https://klasma.github.io/Logging_2401/klagomål/A 3483-2026 FSC-klagomål.docx", "A 3483-2026")</f>
        <v/>
      </c>
      <c r="W470">
        <f>HYPERLINK("https://klasma.github.io/Logging_2401/klagomålsmail/A 3483-2026 FSC-klagomål mail.docx", "A 3483-2026")</f>
        <v/>
      </c>
      <c r="X470">
        <f>HYPERLINK("https://klasma.github.io/Logging_2401/tillsyn/A 3483-2026 tillsynsbegäran.docx", "A 3483-2026")</f>
        <v/>
      </c>
      <c r="Y470">
        <f>HYPERLINK("https://klasma.github.io/Logging_2401/tillsynsmail/A 3483-2026 tillsynsbegäran mail.docx", "A 3483-2026")</f>
        <v/>
      </c>
    </row>
    <row r="471" ht="15" customHeight="1">
      <c r="A471" t="inlineStr">
        <is>
          <t>A 19776-2025</t>
        </is>
      </c>
      <c r="B471" s="1" t="n">
        <v>45771.42275462963</v>
      </c>
      <c r="C471" s="1" t="n">
        <v>46145</v>
      </c>
      <c r="D471" t="inlineStr">
        <is>
          <t>VÄSTERBOTTENS LÄN</t>
        </is>
      </c>
      <c r="E471" t="inlineStr">
        <is>
          <t>VÄNNÄS</t>
        </is>
      </c>
      <c r="F471" t="inlineStr">
        <is>
          <t>Holmen skog AB</t>
        </is>
      </c>
      <c r="G471" t="n">
        <v>1.3</v>
      </c>
      <c r="H471" t="n">
        <v>1</v>
      </c>
      <c r="I471" t="n">
        <v>2</v>
      </c>
      <c r="J471" t="n">
        <v>2</v>
      </c>
      <c r="K471" t="n">
        <v>0</v>
      </c>
      <c r="L471" t="n">
        <v>0</v>
      </c>
      <c r="M471" t="n">
        <v>0</v>
      </c>
      <c r="N471" t="n">
        <v>0</v>
      </c>
      <c r="O471" t="n">
        <v>2</v>
      </c>
      <c r="P471" t="n">
        <v>0</v>
      </c>
      <c r="Q471" t="n">
        <v>4</v>
      </c>
      <c r="R471" s="2" t="inlineStr">
        <is>
          <t>Garnlav
Spillkråka
Gullgröppa
Vedticka</t>
        </is>
      </c>
      <c r="S471">
        <f>HYPERLINK("https://klasma.github.io/Logging_2460/artfynd/A 19776-2025 artfynd.xlsx", "A 19776-2025")</f>
        <v/>
      </c>
      <c r="T471">
        <f>HYPERLINK("https://klasma.github.io/Logging_2460/kartor/A 19776-2025 karta.png", "A 19776-2025")</f>
        <v/>
      </c>
      <c r="V471">
        <f>HYPERLINK("https://klasma.github.io/Logging_2460/klagomål/A 19776-2025 FSC-klagomål.docx", "A 19776-2025")</f>
        <v/>
      </c>
      <c r="W471">
        <f>HYPERLINK("https://klasma.github.io/Logging_2460/klagomålsmail/A 19776-2025 FSC-klagomål mail.docx", "A 19776-2025")</f>
        <v/>
      </c>
      <c r="X471">
        <f>HYPERLINK("https://klasma.github.io/Logging_2460/tillsyn/A 19776-2025 tillsynsbegäran.docx", "A 19776-2025")</f>
        <v/>
      </c>
      <c r="Y471">
        <f>HYPERLINK("https://klasma.github.io/Logging_2460/tillsynsmail/A 19776-2025 tillsynsbegäran mail.docx", "A 19776-2025")</f>
        <v/>
      </c>
      <c r="Z471">
        <f>HYPERLINK("https://klasma.github.io/Logging_2460/fåglar/A 19776-2025 prioriterade fågelarter.docx", "A 19776-2025")</f>
        <v/>
      </c>
    </row>
    <row r="472" ht="15" customHeight="1">
      <c r="A472" t="inlineStr">
        <is>
          <t>A 28867-2024</t>
        </is>
      </c>
      <c r="B472" s="1" t="n">
        <v>45478</v>
      </c>
      <c r="C472" s="1" t="n">
        <v>46145</v>
      </c>
      <c r="D472" t="inlineStr">
        <is>
          <t>VÄSTERBOTTENS LÄN</t>
        </is>
      </c>
      <c r="E472" t="inlineStr">
        <is>
          <t>VILHELMINA</t>
        </is>
      </c>
      <c r="F472" t="inlineStr">
        <is>
          <t>SCA</t>
        </is>
      </c>
      <c r="G472" t="n">
        <v>1</v>
      </c>
      <c r="H472" t="n">
        <v>1</v>
      </c>
      <c r="I472" t="n">
        <v>0</v>
      </c>
      <c r="J472" t="n">
        <v>4</v>
      </c>
      <c r="K472" t="n">
        <v>0</v>
      </c>
      <c r="L472" t="n">
        <v>0</v>
      </c>
      <c r="M472" t="n">
        <v>0</v>
      </c>
      <c r="N472" t="n">
        <v>0</v>
      </c>
      <c r="O472" t="n">
        <v>4</v>
      </c>
      <c r="P472" t="n">
        <v>0</v>
      </c>
      <c r="Q472" t="n">
        <v>4</v>
      </c>
      <c r="R472" s="2" t="inlineStr">
        <is>
          <t>Garnlav
Granticka
Liten svartspik
Tretåig hackspett</t>
        </is>
      </c>
      <c r="S472">
        <f>HYPERLINK("https://klasma.github.io/Logging_2462/artfynd/A 28867-2024 artfynd.xlsx", "A 28867-2024")</f>
        <v/>
      </c>
      <c r="T472">
        <f>HYPERLINK("https://klasma.github.io/Logging_2462/kartor/A 28867-2024 karta.png", "A 28867-2024")</f>
        <v/>
      </c>
      <c r="V472">
        <f>HYPERLINK("https://klasma.github.io/Logging_2462/klagomål/A 28867-2024 FSC-klagomål.docx", "A 28867-2024")</f>
        <v/>
      </c>
      <c r="W472">
        <f>HYPERLINK("https://klasma.github.io/Logging_2462/klagomålsmail/A 28867-2024 FSC-klagomål mail.docx", "A 28867-2024")</f>
        <v/>
      </c>
      <c r="X472">
        <f>HYPERLINK("https://klasma.github.io/Logging_2462/tillsyn/A 28867-2024 tillsynsbegäran.docx", "A 28867-2024")</f>
        <v/>
      </c>
      <c r="Y472">
        <f>HYPERLINK("https://klasma.github.io/Logging_2462/tillsynsmail/A 28867-2024 tillsynsbegäran mail.docx", "A 28867-2024")</f>
        <v/>
      </c>
      <c r="Z472">
        <f>HYPERLINK("https://klasma.github.io/Logging_2462/fåglar/A 28867-2024 prioriterade fågelarter.docx", "A 28867-2024")</f>
        <v/>
      </c>
    </row>
    <row r="473" ht="15" customHeight="1">
      <c r="A473" t="inlineStr">
        <is>
          <t>A 33974-2024</t>
        </is>
      </c>
      <c r="B473" s="1" t="n">
        <v>45523.49939814815</v>
      </c>
      <c r="C473" s="1" t="n">
        <v>46145</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4828-2023</t>
        </is>
      </c>
      <c r="B474" s="1" t="n">
        <v>44957</v>
      </c>
      <c r="C474" s="1" t="n">
        <v>46145</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28706-2024</t>
        </is>
      </c>
      <c r="B475" s="1" t="n">
        <v>45478</v>
      </c>
      <c r="C475" s="1" t="n">
        <v>46145</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8565-2026</t>
        </is>
      </c>
      <c r="B476" s="1" t="n">
        <v>46065</v>
      </c>
      <c r="C476" s="1" t="n">
        <v>46145</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684-2023</t>
        </is>
      </c>
      <c r="B477" s="1" t="n">
        <v>44925</v>
      </c>
      <c r="C477" s="1" t="n">
        <v>46145</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46145</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39126-2025</t>
        </is>
      </c>
      <c r="B479" s="1" t="n">
        <v>45888</v>
      </c>
      <c r="C479" s="1" t="n">
        <v>46145</v>
      </c>
      <c r="D479" t="inlineStr">
        <is>
          <t>VÄSTERBOTTENS LÄN</t>
        </is>
      </c>
      <c r="E479" t="inlineStr">
        <is>
          <t>SKELLEFTEÅ</t>
        </is>
      </c>
      <c r="F479" t="inlineStr">
        <is>
          <t>Holmen skog AB</t>
        </is>
      </c>
      <c r="G479" t="n">
        <v>1</v>
      </c>
      <c r="H479" t="n">
        <v>0</v>
      </c>
      <c r="I479" t="n">
        <v>3</v>
      </c>
      <c r="J479" t="n">
        <v>1</v>
      </c>
      <c r="K479" t="n">
        <v>0</v>
      </c>
      <c r="L479" t="n">
        <v>0</v>
      </c>
      <c r="M479" t="n">
        <v>0</v>
      </c>
      <c r="N479" t="n">
        <v>0</v>
      </c>
      <c r="O479" t="n">
        <v>1</v>
      </c>
      <c r="P479" t="n">
        <v>0</v>
      </c>
      <c r="Q479" t="n">
        <v>4</v>
      </c>
      <c r="R479" s="2" t="inlineStr">
        <is>
          <t>Gammelgransskål
Granbarkgnagare
Trådticka
Vedticka</t>
        </is>
      </c>
      <c r="S479">
        <f>HYPERLINK("https://klasma.github.io/Logging_2482/artfynd/A 39126-2025 artfynd.xlsx", "A 39126-2025")</f>
        <v/>
      </c>
      <c r="T479">
        <f>HYPERLINK("https://klasma.github.io/Logging_2482/kartor/A 39126-2025 karta.png", "A 39126-2025")</f>
        <v/>
      </c>
      <c r="U479">
        <f>HYPERLINK("https://klasma.github.io/Logging_2482/knärot/A 39126-2025 karta knärot.png", "A 39126-2025")</f>
        <v/>
      </c>
      <c r="V479">
        <f>HYPERLINK("https://klasma.github.io/Logging_2482/klagomål/A 39126-2025 FSC-klagomål.docx", "A 39126-2025")</f>
        <v/>
      </c>
      <c r="W479">
        <f>HYPERLINK("https://klasma.github.io/Logging_2482/klagomålsmail/A 39126-2025 FSC-klagomål mail.docx", "A 39126-2025")</f>
        <v/>
      </c>
      <c r="X479">
        <f>HYPERLINK("https://klasma.github.io/Logging_2482/tillsyn/A 39126-2025 tillsynsbegäran.docx", "A 39126-2025")</f>
        <v/>
      </c>
      <c r="Y479">
        <f>HYPERLINK("https://klasma.github.io/Logging_2482/tillsynsmail/A 39126-2025 tillsynsbegäran mail.docx", "A 39126-2025")</f>
        <v/>
      </c>
    </row>
    <row r="480" ht="15" customHeight="1">
      <c r="A480" t="inlineStr">
        <is>
          <t>A 39114-2025</t>
        </is>
      </c>
      <c r="B480" s="1" t="n">
        <v>45888</v>
      </c>
      <c r="C480" s="1" t="n">
        <v>46145</v>
      </c>
      <c r="D480" t="inlineStr">
        <is>
          <t>VÄSTERBOTTENS LÄN</t>
        </is>
      </c>
      <c r="E480" t="inlineStr">
        <is>
          <t>SKELLEFTEÅ</t>
        </is>
      </c>
      <c r="F480" t="inlineStr">
        <is>
          <t>Holmen skog AB</t>
        </is>
      </c>
      <c r="G480" t="n">
        <v>2.9</v>
      </c>
      <c r="H480" t="n">
        <v>2</v>
      </c>
      <c r="I480" t="n">
        <v>1</v>
      </c>
      <c r="J480" t="n">
        <v>2</v>
      </c>
      <c r="K480" t="n">
        <v>0</v>
      </c>
      <c r="L480" t="n">
        <v>0</v>
      </c>
      <c r="M480" t="n">
        <v>0</v>
      </c>
      <c r="N480" t="n">
        <v>0</v>
      </c>
      <c r="O480" t="n">
        <v>2</v>
      </c>
      <c r="P480" t="n">
        <v>0</v>
      </c>
      <c r="Q480" t="n">
        <v>4</v>
      </c>
      <c r="R480" s="2" t="inlineStr">
        <is>
          <t>Garnlav
Tretåig hackspett
Vedticka
Lavskrika</t>
        </is>
      </c>
      <c r="S480">
        <f>HYPERLINK("https://klasma.github.io/Logging_2482/artfynd/A 39114-2025 artfynd.xlsx", "A 39114-2025")</f>
        <v/>
      </c>
      <c r="T480">
        <f>HYPERLINK("https://klasma.github.io/Logging_2482/kartor/A 39114-2025 karta.png", "A 39114-2025")</f>
        <v/>
      </c>
      <c r="V480">
        <f>HYPERLINK("https://klasma.github.io/Logging_2482/klagomål/A 39114-2025 FSC-klagomål.docx", "A 39114-2025")</f>
        <v/>
      </c>
      <c r="W480">
        <f>HYPERLINK("https://klasma.github.io/Logging_2482/klagomålsmail/A 39114-2025 FSC-klagomål mail.docx", "A 39114-2025")</f>
        <v/>
      </c>
      <c r="X480">
        <f>HYPERLINK("https://klasma.github.io/Logging_2482/tillsyn/A 39114-2025 tillsynsbegäran.docx", "A 39114-2025")</f>
        <v/>
      </c>
      <c r="Y480">
        <f>HYPERLINK("https://klasma.github.io/Logging_2482/tillsynsmail/A 39114-2025 tillsynsbegäran mail.docx", "A 39114-2025")</f>
        <v/>
      </c>
      <c r="Z480">
        <f>HYPERLINK("https://klasma.github.io/Logging_2482/fåglar/A 39114-2025 prioriterade fågelarter.docx", "A 39114-2025")</f>
        <v/>
      </c>
    </row>
    <row r="481" ht="15" customHeight="1">
      <c r="A481" t="inlineStr">
        <is>
          <t>A 11826-2026</t>
        </is>
      </c>
      <c r="B481" s="1" t="n">
        <v>46085.41011574074</v>
      </c>
      <c r="C481" s="1" t="n">
        <v>46145</v>
      </c>
      <c r="D481" t="inlineStr">
        <is>
          <t>VÄSTERBOTTENS LÄN</t>
        </is>
      </c>
      <c r="E481" t="inlineStr">
        <is>
          <t>UMEÅ</t>
        </is>
      </c>
      <c r="G481" t="n">
        <v>0.6</v>
      </c>
      <c r="H481" t="n">
        <v>1</v>
      </c>
      <c r="I481" t="n">
        <v>1</v>
      </c>
      <c r="J481" t="n">
        <v>3</v>
      </c>
      <c r="K481" t="n">
        <v>0</v>
      </c>
      <c r="L481" t="n">
        <v>0</v>
      </c>
      <c r="M481" t="n">
        <v>0</v>
      </c>
      <c r="N481" t="n">
        <v>0</v>
      </c>
      <c r="O481" t="n">
        <v>3</v>
      </c>
      <c r="P481" t="n">
        <v>0</v>
      </c>
      <c r="Q481" t="n">
        <v>4</v>
      </c>
      <c r="R481" s="2" t="inlineStr">
        <is>
          <t>Granticka
Småflikig brosklav
Talltita
Thomsons trägnagare</t>
        </is>
      </c>
      <c r="S481">
        <f>HYPERLINK("https://klasma.github.io/Logging_2480/artfynd/A 11826-2026 artfynd.xlsx", "A 11826-2026")</f>
        <v/>
      </c>
      <c r="T481">
        <f>HYPERLINK("https://klasma.github.io/Logging_2480/kartor/A 11826-2026 karta.png", "A 11826-2026")</f>
        <v/>
      </c>
      <c r="V481">
        <f>HYPERLINK("https://klasma.github.io/Logging_2480/klagomål/A 11826-2026 FSC-klagomål.docx", "A 11826-2026")</f>
        <v/>
      </c>
      <c r="W481">
        <f>HYPERLINK("https://klasma.github.io/Logging_2480/klagomålsmail/A 11826-2026 FSC-klagomål mail.docx", "A 11826-2026")</f>
        <v/>
      </c>
      <c r="X481">
        <f>HYPERLINK("https://klasma.github.io/Logging_2480/tillsyn/A 11826-2026 tillsynsbegäran.docx", "A 11826-2026")</f>
        <v/>
      </c>
      <c r="Y481">
        <f>HYPERLINK("https://klasma.github.io/Logging_2480/tillsynsmail/A 11826-2026 tillsynsbegäran mail.docx", "A 11826-2026")</f>
        <v/>
      </c>
      <c r="Z481">
        <f>HYPERLINK("https://klasma.github.io/Logging_2480/fåglar/A 11826-2026 prioriterade fågelarter.docx", "A 11826-2026")</f>
        <v/>
      </c>
    </row>
    <row r="482" ht="15" customHeight="1">
      <c r="A482" t="inlineStr">
        <is>
          <t>A 19470-2026</t>
        </is>
      </c>
      <c r="B482" s="1" t="n">
        <v>46133.70490740741</v>
      </c>
      <c r="C482" s="1" t="n">
        <v>46145</v>
      </c>
      <c r="D482" t="inlineStr">
        <is>
          <t>VÄSTERBOTTENS LÄN</t>
        </is>
      </c>
      <c r="E482" t="inlineStr">
        <is>
          <t>SKELLEFTEÅ</t>
        </is>
      </c>
      <c r="G482" t="n">
        <v>12.6</v>
      </c>
      <c r="H482" t="n">
        <v>0</v>
      </c>
      <c r="I482" t="n">
        <v>1</v>
      </c>
      <c r="J482" t="n">
        <v>3</v>
      </c>
      <c r="K482" t="n">
        <v>0</v>
      </c>
      <c r="L482" t="n">
        <v>0</v>
      </c>
      <c r="M482" t="n">
        <v>0</v>
      </c>
      <c r="N482" t="n">
        <v>0</v>
      </c>
      <c r="O482" t="n">
        <v>3</v>
      </c>
      <c r="P482" t="n">
        <v>0</v>
      </c>
      <c r="Q482" t="n">
        <v>4</v>
      </c>
      <c r="R482" s="2" t="inlineStr">
        <is>
          <t>Gammelgransskål
Lunglav
Stjärntagging
Stuplav</t>
        </is>
      </c>
      <c r="S482">
        <f>HYPERLINK("https://klasma.github.io/Logging_2482/artfynd/A 19470-2026 artfynd.xlsx", "A 19470-2026")</f>
        <v/>
      </c>
      <c r="T482">
        <f>HYPERLINK("https://klasma.github.io/Logging_2482/kartor/A 19470-2026 karta.png", "A 19470-2026")</f>
        <v/>
      </c>
      <c r="V482">
        <f>HYPERLINK("https://klasma.github.io/Logging_2482/klagomål/A 19470-2026 FSC-klagomål.docx", "A 19470-2026")</f>
        <v/>
      </c>
      <c r="W482">
        <f>HYPERLINK("https://klasma.github.io/Logging_2482/klagomålsmail/A 19470-2026 FSC-klagomål mail.docx", "A 19470-2026")</f>
        <v/>
      </c>
      <c r="X482">
        <f>HYPERLINK("https://klasma.github.io/Logging_2482/tillsyn/A 19470-2026 tillsynsbegäran.docx", "A 19470-2026")</f>
        <v/>
      </c>
      <c r="Y482">
        <f>HYPERLINK("https://klasma.github.io/Logging_2482/tillsynsmail/A 19470-2026 tillsynsbegäran mail.docx", "A 19470-2026")</f>
        <v/>
      </c>
    </row>
    <row r="483" ht="15" customHeight="1">
      <c r="A483" t="inlineStr">
        <is>
          <t>A 55235-2024</t>
        </is>
      </c>
      <c r="B483" s="1" t="n">
        <v>45620</v>
      </c>
      <c r="C483" s="1" t="n">
        <v>46145</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46145</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46145</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46145</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46145</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38124-2024</t>
        </is>
      </c>
      <c r="B488" s="1" t="n">
        <v>45545</v>
      </c>
      <c r="C488" s="1" t="n">
        <v>46145</v>
      </c>
      <c r="D488" t="inlineStr">
        <is>
          <t>VÄSTERBOTTENS LÄN</t>
        </is>
      </c>
      <c r="E488" t="inlineStr">
        <is>
          <t>VILHELMINA</t>
        </is>
      </c>
      <c r="F488" t="inlineStr">
        <is>
          <t>SCA</t>
        </is>
      </c>
      <c r="G488" t="n">
        <v>3.2</v>
      </c>
      <c r="H488" t="n">
        <v>3</v>
      </c>
      <c r="I488" t="n">
        <v>0</v>
      </c>
      <c r="J488" t="n">
        <v>3</v>
      </c>
      <c r="K488" t="n">
        <v>0</v>
      </c>
      <c r="L488" t="n">
        <v>0</v>
      </c>
      <c r="M488" t="n">
        <v>0</v>
      </c>
      <c r="N488" t="n">
        <v>0</v>
      </c>
      <c r="O488" t="n">
        <v>3</v>
      </c>
      <c r="P488" t="n">
        <v>0</v>
      </c>
      <c r="Q488" t="n">
        <v>4</v>
      </c>
      <c r="R488" s="2" t="inlineStr">
        <is>
          <t>Garnlav
Spillkråka
Tretåig hackspett
Lavskrika</t>
        </is>
      </c>
      <c r="S488">
        <f>HYPERLINK("https://klasma.github.io/Logging_2462/artfynd/A 38124-2024 artfynd.xlsx", "A 38124-2024")</f>
        <v/>
      </c>
      <c r="T488">
        <f>HYPERLINK("https://klasma.github.io/Logging_2462/kartor/A 38124-2024 karta.png", "A 38124-2024")</f>
        <v/>
      </c>
      <c r="V488">
        <f>HYPERLINK("https://klasma.github.io/Logging_2462/klagomål/A 38124-2024 FSC-klagomål.docx", "A 38124-2024")</f>
        <v/>
      </c>
      <c r="W488">
        <f>HYPERLINK("https://klasma.github.io/Logging_2462/klagomålsmail/A 38124-2024 FSC-klagomål mail.docx", "A 38124-2024")</f>
        <v/>
      </c>
      <c r="X488">
        <f>HYPERLINK("https://klasma.github.io/Logging_2462/tillsyn/A 38124-2024 tillsynsbegäran.docx", "A 38124-2024")</f>
        <v/>
      </c>
      <c r="Y488">
        <f>HYPERLINK("https://klasma.github.io/Logging_2462/tillsynsmail/A 38124-2024 tillsynsbegäran mail.docx", "A 38124-2024")</f>
        <v/>
      </c>
      <c r="Z488">
        <f>HYPERLINK("https://klasma.github.io/Logging_2462/fåglar/A 38124-2024 prioriterade fågelarter.docx", "A 38124-2024")</f>
        <v/>
      </c>
    </row>
    <row r="489" ht="15" customHeight="1">
      <c r="A489" t="inlineStr">
        <is>
          <t>A 5107-2026</t>
        </is>
      </c>
      <c r="B489" s="1" t="n">
        <v>46049.5721412037</v>
      </c>
      <c r="C489" s="1" t="n">
        <v>46145</v>
      </c>
      <c r="D489" t="inlineStr">
        <is>
          <t>VÄSTERBOTTENS LÄN</t>
        </is>
      </c>
      <c r="E489" t="inlineStr">
        <is>
          <t>VINDELN</t>
        </is>
      </c>
      <c r="G489" t="n">
        <v>8.199999999999999</v>
      </c>
      <c r="H489" t="n">
        <v>1</v>
      </c>
      <c r="I489" t="n">
        <v>0</v>
      </c>
      <c r="J489" t="n">
        <v>4</v>
      </c>
      <c r="K489" t="n">
        <v>0</v>
      </c>
      <c r="L489" t="n">
        <v>0</v>
      </c>
      <c r="M489" t="n">
        <v>0</v>
      </c>
      <c r="N489" t="n">
        <v>0</v>
      </c>
      <c r="O489" t="n">
        <v>4</v>
      </c>
      <c r="P489" t="n">
        <v>0</v>
      </c>
      <c r="Q489" t="n">
        <v>4</v>
      </c>
      <c r="R489" s="2" t="inlineStr">
        <is>
          <t>Garnlav
Granticka
Harticka
Tretåig hackspett</t>
        </is>
      </c>
      <c r="S489">
        <f>HYPERLINK("https://klasma.github.io/Logging_2404/artfynd/A 5107-2026 artfynd.xlsx", "A 5107-2026")</f>
        <v/>
      </c>
      <c r="T489">
        <f>HYPERLINK("https://klasma.github.io/Logging_2404/kartor/A 5107-2026 karta.png", "A 5107-2026")</f>
        <v/>
      </c>
      <c r="V489">
        <f>HYPERLINK("https://klasma.github.io/Logging_2404/klagomål/A 5107-2026 FSC-klagomål.docx", "A 5107-2026")</f>
        <v/>
      </c>
      <c r="W489">
        <f>HYPERLINK("https://klasma.github.io/Logging_2404/klagomålsmail/A 5107-2026 FSC-klagomål mail.docx", "A 5107-2026")</f>
        <v/>
      </c>
      <c r="X489">
        <f>HYPERLINK("https://klasma.github.io/Logging_2404/tillsyn/A 5107-2026 tillsynsbegäran.docx", "A 5107-2026")</f>
        <v/>
      </c>
      <c r="Y489">
        <f>HYPERLINK("https://klasma.github.io/Logging_2404/tillsynsmail/A 5107-2026 tillsynsbegäran mail.docx", "A 5107-2026")</f>
        <v/>
      </c>
      <c r="Z489">
        <f>HYPERLINK("https://klasma.github.io/Logging_2404/fåglar/A 5107-2026 prioriterade fågelarter.docx", "A 5107-2026")</f>
        <v/>
      </c>
    </row>
    <row r="490" ht="15" customHeight="1">
      <c r="A490" t="inlineStr">
        <is>
          <t>A 62340-2021</t>
        </is>
      </c>
      <c r="B490" s="1" t="n">
        <v>44503</v>
      </c>
      <c r="C490" s="1" t="n">
        <v>46145</v>
      </c>
      <c r="D490" t="inlineStr">
        <is>
          <t>VÄSTERBOTTENS LÄN</t>
        </is>
      </c>
      <c r="E490" t="inlineStr">
        <is>
          <t>SKELLEFTEÅ</t>
        </is>
      </c>
      <c r="G490" t="n">
        <v>3.9</v>
      </c>
      <c r="H490" t="n">
        <v>0</v>
      </c>
      <c r="I490" t="n">
        <v>2</v>
      </c>
      <c r="J490" t="n">
        <v>2</v>
      </c>
      <c r="K490" t="n">
        <v>0</v>
      </c>
      <c r="L490" t="n">
        <v>0</v>
      </c>
      <c r="M490" t="n">
        <v>0</v>
      </c>
      <c r="N490" t="n">
        <v>0</v>
      </c>
      <c r="O490" t="n">
        <v>2</v>
      </c>
      <c r="P490" t="n">
        <v>0</v>
      </c>
      <c r="Q490" t="n">
        <v>4</v>
      </c>
      <c r="R490" s="2" t="inlineStr">
        <is>
          <t>Garnlav
Harticka
Dropptaggsvamp
Vedticka</t>
        </is>
      </c>
      <c r="S490">
        <f>HYPERLINK("https://klasma.github.io/Logging_2482/artfynd/A 62340-2021 artfynd.xlsx", "A 62340-2021")</f>
        <v/>
      </c>
      <c r="T490">
        <f>HYPERLINK("https://klasma.github.io/Logging_2482/kartor/A 62340-2021 karta.png", "A 62340-2021")</f>
        <v/>
      </c>
      <c r="U490">
        <f>HYPERLINK("https://klasma.github.io/Logging_2482/knärot/A 62340-2021 karta knärot.png", "A 62340-2021")</f>
        <v/>
      </c>
      <c r="V490">
        <f>HYPERLINK("https://klasma.github.io/Logging_2482/klagomål/A 62340-2021 FSC-klagomål.docx", "A 62340-2021")</f>
        <v/>
      </c>
      <c r="W490">
        <f>HYPERLINK("https://klasma.github.io/Logging_2482/klagomålsmail/A 62340-2021 FSC-klagomål mail.docx", "A 62340-2021")</f>
        <v/>
      </c>
      <c r="X490">
        <f>HYPERLINK("https://klasma.github.io/Logging_2482/tillsyn/A 62340-2021 tillsynsbegäran.docx", "A 62340-2021")</f>
        <v/>
      </c>
      <c r="Y490">
        <f>HYPERLINK("https://klasma.github.io/Logging_2482/tillsynsmail/A 62340-2021 tillsynsbegäran mail.docx", "A 62340-2021")</f>
        <v/>
      </c>
    </row>
    <row r="491" ht="15" customHeight="1">
      <c r="A491" t="inlineStr">
        <is>
          <t>A 58709-2024</t>
        </is>
      </c>
      <c r="B491" s="1" t="n">
        <v>45635</v>
      </c>
      <c r="C491" s="1" t="n">
        <v>46145</v>
      </c>
      <c r="D491" t="inlineStr">
        <is>
          <t>VÄSTERBOTTENS LÄN</t>
        </is>
      </c>
      <c r="E491" t="inlineStr">
        <is>
          <t>BJURHOLM</t>
        </is>
      </c>
      <c r="G491" t="n">
        <v>8.300000000000001</v>
      </c>
      <c r="H491" t="n">
        <v>1</v>
      </c>
      <c r="I491" t="n">
        <v>0</v>
      </c>
      <c r="J491" t="n">
        <v>3</v>
      </c>
      <c r="K491" t="n">
        <v>1</v>
      </c>
      <c r="L491" t="n">
        <v>0</v>
      </c>
      <c r="M491" t="n">
        <v>0</v>
      </c>
      <c r="N491" t="n">
        <v>0</v>
      </c>
      <c r="O491" t="n">
        <v>4</v>
      </c>
      <c r="P491" t="n">
        <v>1</v>
      </c>
      <c r="Q491" t="n">
        <v>4</v>
      </c>
      <c r="R491" s="2" t="inlineStr">
        <is>
          <t>Rynkskinn
Garnlav
Spillkråka
Ullticka</t>
        </is>
      </c>
      <c r="S491">
        <f>HYPERLINK("https://klasma.github.io/Logging_2403/artfynd/A 58709-2024 artfynd.xlsx", "A 58709-2024")</f>
        <v/>
      </c>
      <c r="T491">
        <f>HYPERLINK("https://klasma.github.io/Logging_2403/kartor/A 58709-2024 karta.png", "A 58709-2024")</f>
        <v/>
      </c>
      <c r="V491">
        <f>HYPERLINK("https://klasma.github.io/Logging_2403/klagomål/A 58709-2024 FSC-klagomål.docx", "A 58709-2024")</f>
        <v/>
      </c>
      <c r="W491">
        <f>HYPERLINK("https://klasma.github.io/Logging_2403/klagomålsmail/A 58709-2024 FSC-klagomål mail.docx", "A 58709-2024")</f>
        <v/>
      </c>
      <c r="X491">
        <f>HYPERLINK("https://klasma.github.io/Logging_2403/tillsyn/A 58709-2024 tillsynsbegäran.docx", "A 58709-2024")</f>
        <v/>
      </c>
      <c r="Y491">
        <f>HYPERLINK("https://klasma.github.io/Logging_2403/tillsynsmail/A 58709-2024 tillsynsbegäran mail.docx", "A 58709-2024")</f>
        <v/>
      </c>
      <c r="Z491">
        <f>HYPERLINK("https://klasma.github.io/Logging_2403/fåglar/A 58709-2024 prioriterade fågelarter.docx", "A 58709-2024")</f>
        <v/>
      </c>
    </row>
    <row r="492" ht="15" customHeight="1">
      <c r="A492" t="inlineStr">
        <is>
          <t>A 8621-2026</t>
        </is>
      </c>
      <c r="B492" s="1" t="n">
        <v>46066.31010416667</v>
      </c>
      <c r="C492" s="1" t="n">
        <v>46145</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33093-2025</t>
        </is>
      </c>
      <c r="B493" s="1" t="n">
        <v>45840</v>
      </c>
      <c r="C493" s="1" t="n">
        <v>46145</v>
      </c>
      <c r="D493" t="inlineStr">
        <is>
          <t>VÄSTERBOTTENS LÄN</t>
        </is>
      </c>
      <c r="E493" t="inlineStr">
        <is>
          <t>SKELLEFTEÅ</t>
        </is>
      </c>
      <c r="G493" t="n">
        <v>7.3</v>
      </c>
      <c r="H493" t="n">
        <v>2</v>
      </c>
      <c r="I493" t="n">
        <v>0</v>
      </c>
      <c r="J493" t="n">
        <v>4</v>
      </c>
      <c r="K493" t="n">
        <v>0</v>
      </c>
      <c r="L493" t="n">
        <v>0</v>
      </c>
      <c r="M493" t="n">
        <v>0</v>
      </c>
      <c r="N493" t="n">
        <v>0</v>
      </c>
      <c r="O493" t="n">
        <v>4</v>
      </c>
      <c r="P493" t="n">
        <v>0</v>
      </c>
      <c r="Q493" t="n">
        <v>4</v>
      </c>
      <c r="R493" s="2" t="inlineStr">
        <is>
          <t>Garnlav
Spillkråka
Tretåig hackspett
Violettgrå tagellav</t>
        </is>
      </c>
      <c r="S493">
        <f>HYPERLINK("https://klasma.github.io/Logging_2482/artfynd/A 33093-2025 artfynd.xlsx", "A 33093-2025")</f>
        <v/>
      </c>
      <c r="T493">
        <f>HYPERLINK("https://klasma.github.io/Logging_2482/kartor/A 33093-2025 karta.png", "A 33093-2025")</f>
        <v/>
      </c>
      <c r="V493">
        <f>HYPERLINK("https://klasma.github.io/Logging_2482/klagomål/A 33093-2025 FSC-klagomål.docx", "A 33093-2025")</f>
        <v/>
      </c>
      <c r="W493">
        <f>HYPERLINK("https://klasma.github.io/Logging_2482/klagomålsmail/A 33093-2025 FSC-klagomål mail.docx", "A 33093-2025")</f>
        <v/>
      </c>
      <c r="X493">
        <f>HYPERLINK("https://klasma.github.io/Logging_2482/tillsyn/A 33093-2025 tillsynsbegäran.docx", "A 33093-2025")</f>
        <v/>
      </c>
      <c r="Y493">
        <f>HYPERLINK("https://klasma.github.io/Logging_2482/tillsynsmail/A 33093-2025 tillsynsbegäran mail.docx", "A 33093-2025")</f>
        <v/>
      </c>
      <c r="Z493">
        <f>HYPERLINK("https://klasma.github.io/Logging_2482/fåglar/A 33093-2025 prioriterade fågelarter.docx", "A 33093-2025")</f>
        <v/>
      </c>
    </row>
    <row r="494" ht="15" customHeight="1">
      <c r="A494" t="inlineStr">
        <is>
          <t>A 49447-2022</t>
        </is>
      </c>
      <c r="B494" s="1" t="n">
        <v>44861</v>
      </c>
      <c r="C494" s="1" t="n">
        <v>46145</v>
      </c>
      <c r="D494" t="inlineStr">
        <is>
          <t>VÄSTERBOTTENS LÄN</t>
        </is>
      </c>
      <c r="E494" t="inlineStr">
        <is>
          <t>UMEÅ</t>
        </is>
      </c>
      <c r="F494" t="inlineStr">
        <is>
          <t>Holmen skog AB</t>
        </is>
      </c>
      <c r="G494" t="n">
        <v>1.5</v>
      </c>
      <c r="H494" t="n">
        <v>0</v>
      </c>
      <c r="I494" t="n">
        <v>0</v>
      </c>
      <c r="J494" t="n">
        <v>4</v>
      </c>
      <c r="K494" t="n">
        <v>0</v>
      </c>
      <c r="L494" t="n">
        <v>0</v>
      </c>
      <c r="M494" t="n">
        <v>0</v>
      </c>
      <c r="N494" t="n">
        <v>0</v>
      </c>
      <c r="O494" t="n">
        <v>4</v>
      </c>
      <c r="P494" t="n">
        <v>0</v>
      </c>
      <c r="Q494" t="n">
        <v>4</v>
      </c>
      <c r="R494" s="2" t="inlineStr">
        <is>
          <t>Apelsinticka
Garnlav
Orange taggsvamp
Ullticka</t>
        </is>
      </c>
      <c r="S494">
        <f>HYPERLINK("https://klasma.github.io/Logging_2480/artfynd/A 49447-2022 artfynd.xlsx", "A 49447-2022")</f>
        <v/>
      </c>
      <c r="T494">
        <f>HYPERLINK("https://klasma.github.io/Logging_2480/kartor/A 49447-2022 karta.png", "A 49447-2022")</f>
        <v/>
      </c>
      <c r="V494">
        <f>HYPERLINK("https://klasma.github.io/Logging_2480/klagomål/A 49447-2022 FSC-klagomål.docx", "A 49447-2022")</f>
        <v/>
      </c>
      <c r="W494">
        <f>HYPERLINK("https://klasma.github.io/Logging_2480/klagomålsmail/A 49447-2022 FSC-klagomål mail.docx", "A 49447-2022")</f>
        <v/>
      </c>
      <c r="X494">
        <f>HYPERLINK("https://klasma.github.io/Logging_2480/tillsyn/A 49447-2022 tillsynsbegäran.docx", "A 49447-2022")</f>
        <v/>
      </c>
      <c r="Y494">
        <f>HYPERLINK("https://klasma.github.io/Logging_2480/tillsynsmail/A 49447-2022 tillsynsbegäran mail.docx", "A 49447-2022")</f>
        <v/>
      </c>
    </row>
    <row r="495" ht="15" customHeight="1">
      <c r="A495" t="inlineStr">
        <is>
          <t>A 13034-2024</t>
        </is>
      </c>
      <c r="B495" s="1" t="n">
        <v>45385</v>
      </c>
      <c r="C495" s="1" t="n">
        <v>46145</v>
      </c>
      <c r="D495" t="inlineStr">
        <is>
          <t>VÄSTERBOTTENS LÄN</t>
        </is>
      </c>
      <c r="E495" t="inlineStr">
        <is>
          <t>VINDELN</t>
        </is>
      </c>
      <c r="G495" t="n">
        <v>11.7</v>
      </c>
      <c r="H495" t="n">
        <v>1</v>
      </c>
      <c r="I495" t="n">
        <v>1</v>
      </c>
      <c r="J495" t="n">
        <v>3</v>
      </c>
      <c r="K495" t="n">
        <v>0</v>
      </c>
      <c r="L495" t="n">
        <v>0</v>
      </c>
      <c r="M495" t="n">
        <v>0</v>
      </c>
      <c r="N495" t="n">
        <v>0</v>
      </c>
      <c r="O495" t="n">
        <v>3</v>
      </c>
      <c r="P495" t="n">
        <v>0</v>
      </c>
      <c r="Q495" t="n">
        <v>4</v>
      </c>
      <c r="R495" s="2" t="inlineStr">
        <is>
          <t>Granticka
Spillkråka
Ullticka
Stor aspticka</t>
        </is>
      </c>
      <c r="S495">
        <f>HYPERLINK("https://klasma.github.io/Logging_2404/artfynd/A 13034-2024 artfynd.xlsx", "A 13034-2024")</f>
        <v/>
      </c>
      <c r="T495">
        <f>HYPERLINK("https://klasma.github.io/Logging_2404/kartor/A 13034-2024 karta.png", "A 13034-2024")</f>
        <v/>
      </c>
      <c r="V495">
        <f>HYPERLINK("https://klasma.github.io/Logging_2404/klagomål/A 13034-2024 FSC-klagomål.docx", "A 13034-2024")</f>
        <v/>
      </c>
      <c r="W495">
        <f>HYPERLINK("https://klasma.github.io/Logging_2404/klagomålsmail/A 13034-2024 FSC-klagomål mail.docx", "A 13034-2024")</f>
        <v/>
      </c>
      <c r="X495">
        <f>HYPERLINK("https://klasma.github.io/Logging_2404/tillsyn/A 13034-2024 tillsynsbegäran.docx", "A 13034-2024")</f>
        <v/>
      </c>
      <c r="Y495">
        <f>HYPERLINK("https://klasma.github.io/Logging_2404/tillsynsmail/A 13034-2024 tillsynsbegäran mail.docx", "A 13034-2024")</f>
        <v/>
      </c>
      <c r="Z495">
        <f>HYPERLINK("https://klasma.github.io/Logging_2404/fåglar/A 13034-2024 prioriterade fågelarter.docx", "A 13034-2024")</f>
        <v/>
      </c>
    </row>
    <row r="496" ht="15" customHeight="1">
      <c r="A496" t="inlineStr">
        <is>
          <t>A 56462-2024</t>
        </is>
      </c>
      <c r="B496" s="1" t="n">
        <v>45625</v>
      </c>
      <c r="C496" s="1" t="n">
        <v>46145</v>
      </c>
      <c r="D496" t="inlineStr">
        <is>
          <t>VÄSTERBOTTENS LÄN</t>
        </is>
      </c>
      <c r="E496" t="inlineStr">
        <is>
          <t>SKELLEFTEÅ</t>
        </is>
      </c>
      <c r="F496" t="inlineStr">
        <is>
          <t>Holmen skog AB</t>
        </is>
      </c>
      <c r="G496" t="n">
        <v>44.8</v>
      </c>
      <c r="H496" t="n">
        <v>0</v>
      </c>
      <c r="I496" t="n">
        <v>0</v>
      </c>
      <c r="J496" t="n">
        <v>3</v>
      </c>
      <c r="K496" t="n">
        <v>0</v>
      </c>
      <c r="L496" t="n">
        <v>1</v>
      </c>
      <c r="M496" t="n">
        <v>0</v>
      </c>
      <c r="N496" t="n">
        <v>0</v>
      </c>
      <c r="O496" t="n">
        <v>4</v>
      </c>
      <c r="P496" t="n">
        <v>1</v>
      </c>
      <c r="Q496" t="n">
        <v>4</v>
      </c>
      <c r="R496" s="2" t="inlineStr">
        <is>
          <t>Större svartbagge
Korthornad ögonbagge
Rödhalsad vedsvampbagge
Svart ögonknäppare</t>
        </is>
      </c>
      <c r="S496">
        <f>HYPERLINK("https://klasma.github.io/Logging_2482/artfynd/A 56462-2024 artfynd.xlsx", "A 56462-2024")</f>
        <v/>
      </c>
      <c r="T496">
        <f>HYPERLINK("https://klasma.github.io/Logging_2482/kartor/A 56462-2024 karta.png", "A 56462-2024")</f>
        <v/>
      </c>
      <c r="V496">
        <f>HYPERLINK("https://klasma.github.io/Logging_2482/klagomål/A 56462-2024 FSC-klagomål.docx", "A 56462-2024")</f>
        <v/>
      </c>
      <c r="W496">
        <f>HYPERLINK("https://klasma.github.io/Logging_2482/klagomålsmail/A 56462-2024 FSC-klagomål mail.docx", "A 56462-2024")</f>
        <v/>
      </c>
      <c r="X496">
        <f>HYPERLINK("https://klasma.github.io/Logging_2482/tillsyn/A 56462-2024 tillsynsbegäran.docx", "A 56462-2024")</f>
        <v/>
      </c>
      <c r="Y496">
        <f>HYPERLINK("https://klasma.github.io/Logging_2482/tillsynsmail/A 56462-2024 tillsynsbegäran mail.docx", "A 56462-2024")</f>
        <v/>
      </c>
    </row>
    <row r="497" ht="15" customHeight="1">
      <c r="A497" t="inlineStr">
        <is>
          <t>A 12971-2025</t>
        </is>
      </c>
      <c r="B497" s="1" t="n">
        <v>45734</v>
      </c>
      <c r="C497" s="1" t="n">
        <v>46145</v>
      </c>
      <c r="D497" t="inlineStr">
        <is>
          <t>VÄSTERBOTTENS LÄN</t>
        </is>
      </c>
      <c r="E497" t="inlineStr">
        <is>
          <t>UMEÅ</t>
        </is>
      </c>
      <c r="G497" t="n">
        <v>4.1</v>
      </c>
      <c r="H497" t="n">
        <v>0</v>
      </c>
      <c r="I497" t="n">
        <v>1</v>
      </c>
      <c r="J497" t="n">
        <v>3</v>
      </c>
      <c r="K497" t="n">
        <v>0</v>
      </c>
      <c r="L497" t="n">
        <v>0</v>
      </c>
      <c r="M497" t="n">
        <v>0</v>
      </c>
      <c r="N497" t="n">
        <v>0</v>
      </c>
      <c r="O497" t="n">
        <v>3</v>
      </c>
      <c r="P497" t="n">
        <v>0</v>
      </c>
      <c r="Q497" t="n">
        <v>4</v>
      </c>
      <c r="R497" s="2" t="inlineStr">
        <is>
          <t>Granticka
Ullticka
Violmussling
Jättesvampmal</t>
        </is>
      </c>
      <c r="S497">
        <f>HYPERLINK("https://klasma.github.io/Logging_2480/artfynd/A 12971-2025 artfynd.xlsx", "A 12971-2025")</f>
        <v/>
      </c>
      <c r="T497">
        <f>HYPERLINK("https://klasma.github.io/Logging_2480/kartor/A 12971-2025 karta.png", "A 12971-2025")</f>
        <v/>
      </c>
      <c r="V497">
        <f>HYPERLINK("https://klasma.github.io/Logging_2480/klagomål/A 12971-2025 FSC-klagomål.docx", "A 12971-2025")</f>
        <v/>
      </c>
      <c r="W497">
        <f>HYPERLINK("https://klasma.github.io/Logging_2480/klagomålsmail/A 12971-2025 FSC-klagomål mail.docx", "A 12971-2025")</f>
        <v/>
      </c>
      <c r="X497">
        <f>HYPERLINK("https://klasma.github.io/Logging_2480/tillsyn/A 12971-2025 tillsynsbegäran.docx", "A 12971-2025")</f>
        <v/>
      </c>
      <c r="Y497">
        <f>HYPERLINK("https://klasma.github.io/Logging_2480/tillsynsmail/A 12971-2025 tillsynsbegäran mail.docx", "A 12971-2025")</f>
        <v/>
      </c>
    </row>
    <row r="498" ht="15" customHeight="1">
      <c r="A498" t="inlineStr">
        <is>
          <t>A 46092-2023</t>
        </is>
      </c>
      <c r="B498" s="1" t="n">
        <v>45190</v>
      </c>
      <c r="C498" s="1" t="n">
        <v>46145</v>
      </c>
      <c r="D498" t="inlineStr">
        <is>
          <t>VÄSTERBOTTENS LÄN</t>
        </is>
      </c>
      <c r="E498" t="inlineStr">
        <is>
          <t>SKELLEFTEÅ</t>
        </is>
      </c>
      <c r="G498" t="n">
        <v>8.699999999999999</v>
      </c>
      <c r="H498" t="n">
        <v>0</v>
      </c>
      <c r="I498" t="n">
        <v>3</v>
      </c>
      <c r="J498" t="n">
        <v>1</v>
      </c>
      <c r="K498" t="n">
        <v>0</v>
      </c>
      <c r="L498" t="n">
        <v>0</v>
      </c>
      <c r="M498" t="n">
        <v>0</v>
      </c>
      <c r="N498" t="n">
        <v>0</v>
      </c>
      <c r="O498" t="n">
        <v>1</v>
      </c>
      <c r="P498" t="n">
        <v>0</v>
      </c>
      <c r="Q498" t="n">
        <v>4</v>
      </c>
      <c r="R498" s="2" t="inlineStr">
        <is>
          <t>Violettgrå tagellav
Luddlav
Skinnlav
Stuplav</t>
        </is>
      </c>
      <c r="S498">
        <f>HYPERLINK("https://klasma.github.io/Logging_2482/artfynd/A 46092-2023 artfynd.xlsx", "A 46092-2023")</f>
        <v/>
      </c>
      <c r="T498">
        <f>HYPERLINK("https://klasma.github.io/Logging_2482/kartor/A 46092-2023 karta.png", "A 46092-2023")</f>
        <v/>
      </c>
      <c r="V498">
        <f>HYPERLINK("https://klasma.github.io/Logging_2482/klagomål/A 46092-2023 FSC-klagomål.docx", "A 46092-2023")</f>
        <v/>
      </c>
      <c r="W498">
        <f>HYPERLINK("https://klasma.github.io/Logging_2482/klagomålsmail/A 46092-2023 FSC-klagomål mail.docx", "A 46092-2023")</f>
        <v/>
      </c>
      <c r="X498">
        <f>HYPERLINK("https://klasma.github.io/Logging_2482/tillsyn/A 46092-2023 tillsynsbegäran.docx", "A 46092-2023")</f>
        <v/>
      </c>
      <c r="Y498">
        <f>HYPERLINK("https://klasma.github.io/Logging_2482/tillsynsmail/A 46092-2023 tillsynsbegäran mail.docx", "A 46092-2023")</f>
        <v/>
      </c>
    </row>
    <row r="499" ht="15" customHeight="1">
      <c r="A499" t="inlineStr">
        <is>
          <t>A 21711-2025</t>
        </is>
      </c>
      <c r="B499" s="1" t="n">
        <v>45783</v>
      </c>
      <c r="C499" s="1" t="n">
        <v>46145</v>
      </c>
      <c r="D499" t="inlineStr">
        <is>
          <t>VÄSTERBOTTENS LÄN</t>
        </is>
      </c>
      <c r="E499" t="inlineStr">
        <is>
          <t>VÄNNÄS</t>
        </is>
      </c>
      <c r="F499" t="inlineStr">
        <is>
          <t>Holmen skog AB</t>
        </is>
      </c>
      <c r="G499" t="n">
        <v>3.7</v>
      </c>
      <c r="H499" t="n">
        <v>1</v>
      </c>
      <c r="I499" t="n">
        <v>1</v>
      </c>
      <c r="J499" t="n">
        <v>3</v>
      </c>
      <c r="K499" t="n">
        <v>0</v>
      </c>
      <c r="L499" t="n">
        <v>0</v>
      </c>
      <c r="M499" t="n">
        <v>0</v>
      </c>
      <c r="N499" t="n">
        <v>0</v>
      </c>
      <c r="O499" t="n">
        <v>3</v>
      </c>
      <c r="P499" t="n">
        <v>0</v>
      </c>
      <c r="Q499" t="n">
        <v>4</v>
      </c>
      <c r="R499" s="2" t="inlineStr">
        <is>
          <t>Garnlav
Spillkråka
Ullticka
Vedticka</t>
        </is>
      </c>
      <c r="S499">
        <f>HYPERLINK("https://klasma.github.io/Logging_2460/artfynd/A 21711-2025 artfynd.xlsx", "A 21711-2025")</f>
        <v/>
      </c>
      <c r="T499">
        <f>HYPERLINK("https://klasma.github.io/Logging_2460/kartor/A 21711-2025 karta.png", "A 21711-2025")</f>
        <v/>
      </c>
      <c r="V499">
        <f>HYPERLINK("https://klasma.github.io/Logging_2460/klagomål/A 21711-2025 FSC-klagomål.docx", "A 21711-2025")</f>
        <v/>
      </c>
      <c r="W499">
        <f>HYPERLINK("https://klasma.github.io/Logging_2460/klagomålsmail/A 21711-2025 FSC-klagomål mail.docx", "A 21711-2025")</f>
        <v/>
      </c>
      <c r="X499">
        <f>HYPERLINK("https://klasma.github.io/Logging_2460/tillsyn/A 21711-2025 tillsynsbegäran.docx", "A 21711-2025")</f>
        <v/>
      </c>
      <c r="Y499">
        <f>HYPERLINK("https://klasma.github.io/Logging_2460/tillsynsmail/A 21711-2025 tillsynsbegäran mail.docx", "A 21711-2025")</f>
        <v/>
      </c>
      <c r="Z499">
        <f>HYPERLINK("https://klasma.github.io/Logging_2460/fåglar/A 21711-2025 prioriterade fågelarter.docx", "A 21711-2025")</f>
        <v/>
      </c>
    </row>
    <row r="500" ht="15" customHeight="1">
      <c r="A500" t="inlineStr">
        <is>
          <t>A 25188-2025</t>
        </is>
      </c>
      <c r="B500" s="1" t="n">
        <v>45800</v>
      </c>
      <c r="C500" s="1" t="n">
        <v>46145</v>
      </c>
      <c r="D500" t="inlineStr">
        <is>
          <t>VÄSTERBOTTENS LÄN</t>
        </is>
      </c>
      <c r="E500" t="inlineStr">
        <is>
          <t>NORDMALING</t>
        </is>
      </c>
      <c r="G500" t="n">
        <v>1.6</v>
      </c>
      <c r="H500" t="n">
        <v>1</v>
      </c>
      <c r="I500" t="n">
        <v>1</v>
      </c>
      <c r="J500" t="n">
        <v>3</v>
      </c>
      <c r="K500" t="n">
        <v>0</v>
      </c>
      <c r="L500" t="n">
        <v>0</v>
      </c>
      <c r="M500" t="n">
        <v>0</v>
      </c>
      <c r="N500" t="n">
        <v>0</v>
      </c>
      <c r="O500" t="n">
        <v>3</v>
      </c>
      <c r="P500" t="n">
        <v>0</v>
      </c>
      <c r="Q500" t="n">
        <v>4</v>
      </c>
      <c r="R500" s="2" t="inlineStr">
        <is>
          <t>Lunglav
Talltita
Ullticka
Stuplav</t>
        </is>
      </c>
      <c r="S500">
        <f>HYPERLINK("https://klasma.github.io/Logging_2401/artfynd/A 25188-2025 artfynd.xlsx", "A 25188-2025")</f>
        <v/>
      </c>
      <c r="T500">
        <f>HYPERLINK("https://klasma.github.io/Logging_2401/kartor/A 25188-2025 karta.png", "A 25188-2025")</f>
        <v/>
      </c>
      <c r="V500">
        <f>HYPERLINK("https://klasma.github.io/Logging_2401/klagomål/A 25188-2025 FSC-klagomål.docx", "A 25188-2025")</f>
        <v/>
      </c>
      <c r="W500">
        <f>HYPERLINK("https://klasma.github.io/Logging_2401/klagomålsmail/A 25188-2025 FSC-klagomål mail.docx", "A 25188-2025")</f>
        <v/>
      </c>
      <c r="X500">
        <f>HYPERLINK("https://klasma.github.io/Logging_2401/tillsyn/A 25188-2025 tillsynsbegäran.docx", "A 25188-2025")</f>
        <v/>
      </c>
      <c r="Y500">
        <f>HYPERLINK("https://klasma.github.io/Logging_2401/tillsynsmail/A 25188-2025 tillsynsbegäran mail.docx", "A 25188-2025")</f>
        <v/>
      </c>
      <c r="Z500">
        <f>HYPERLINK("https://klasma.github.io/Logging_2401/fåglar/A 25188-2025 prioriterade fågelarter.docx", "A 25188-2025")</f>
        <v/>
      </c>
    </row>
    <row r="501" ht="15" customHeight="1">
      <c r="A501" t="inlineStr">
        <is>
          <t>A 25176-2025</t>
        </is>
      </c>
      <c r="B501" s="1" t="n">
        <v>45800.44840277778</v>
      </c>
      <c r="C501" s="1" t="n">
        <v>46145</v>
      </c>
      <c r="D501" t="inlineStr">
        <is>
          <t>VÄSTERBOTTENS LÄN</t>
        </is>
      </c>
      <c r="E501" t="inlineStr">
        <is>
          <t>VILHELMINA</t>
        </is>
      </c>
      <c r="F501" t="inlineStr">
        <is>
          <t>SCA</t>
        </is>
      </c>
      <c r="G501" t="n">
        <v>3.5</v>
      </c>
      <c r="H501" t="n">
        <v>2</v>
      </c>
      <c r="I501" t="n">
        <v>0</v>
      </c>
      <c r="J501" t="n">
        <v>3</v>
      </c>
      <c r="K501" t="n">
        <v>0</v>
      </c>
      <c r="L501" t="n">
        <v>0</v>
      </c>
      <c r="M501" t="n">
        <v>0</v>
      </c>
      <c r="N501" t="n">
        <v>0</v>
      </c>
      <c r="O501" t="n">
        <v>3</v>
      </c>
      <c r="P501" t="n">
        <v>0</v>
      </c>
      <c r="Q501" t="n">
        <v>4</v>
      </c>
      <c r="R501" s="2" t="inlineStr">
        <is>
          <t>Gammelgransskål
Garnlav
Tretåig hackspett
Revlummer</t>
        </is>
      </c>
      <c r="S501">
        <f>HYPERLINK("https://klasma.github.io/Logging_2462/artfynd/A 25176-2025 artfynd.xlsx", "A 25176-2025")</f>
        <v/>
      </c>
      <c r="T501">
        <f>HYPERLINK("https://klasma.github.io/Logging_2462/kartor/A 25176-2025 karta.png", "A 25176-2025")</f>
        <v/>
      </c>
      <c r="V501">
        <f>HYPERLINK("https://klasma.github.io/Logging_2462/klagomål/A 25176-2025 FSC-klagomål.docx", "A 25176-2025")</f>
        <v/>
      </c>
      <c r="W501">
        <f>HYPERLINK("https://klasma.github.io/Logging_2462/klagomålsmail/A 25176-2025 FSC-klagomål mail.docx", "A 25176-2025")</f>
        <v/>
      </c>
      <c r="X501">
        <f>HYPERLINK("https://klasma.github.io/Logging_2462/tillsyn/A 25176-2025 tillsynsbegäran.docx", "A 25176-2025")</f>
        <v/>
      </c>
      <c r="Y501">
        <f>HYPERLINK("https://klasma.github.io/Logging_2462/tillsynsmail/A 25176-2025 tillsynsbegäran mail.docx", "A 25176-2025")</f>
        <v/>
      </c>
      <c r="Z501">
        <f>HYPERLINK("https://klasma.github.io/Logging_2462/fåglar/A 25176-2025 prioriterade fågelarter.docx", "A 25176-2025")</f>
        <v/>
      </c>
    </row>
    <row r="502" ht="15" customHeight="1">
      <c r="A502" t="inlineStr">
        <is>
          <t>A 26484-2025</t>
        </is>
      </c>
      <c r="B502" s="1" t="n">
        <v>45807.47395833334</v>
      </c>
      <c r="C502" s="1" t="n">
        <v>46145</v>
      </c>
      <c r="D502" t="inlineStr">
        <is>
          <t>VÄSTERBOTTENS LÄN</t>
        </is>
      </c>
      <c r="E502" t="inlineStr">
        <is>
          <t>UMEÅ</t>
        </is>
      </c>
      <c r="G502" t="n">
        <v>5</v>
      </c>
      <c r="H502" t="n">
        <v>2</v>
      </c>
      <c r="I502" t="n">
        <v>2</v>
      </c>
      <c r="J502" t="n">
        <v>1</v>
      </c>
      <c r="K502" t="n">
        <v>0</v>
      </c>
      <c r="L502" t="n">
        <v>0</v>
      </c>
      <c r="M502" t="n">
        <v>0</v>
      </c>
      <c r="N502" t="n">
        <v>0</v>
      </c>
      <c r="O502" t="n">
        <v>1</v>
      </c>
      <c r="P502" t="n">
        <v>0</v>
      </c>
      <c r="Q502" t="n">
        <v>4</v>
      </c>
      <c r="R502" s="2" t="inlineStr">
        <is>
          <t>Garnlav
Spindelblomster
Vedticka
Fläcknycklar</t>
        </is>
      </c>
      <c r="S502">
        <f>HYPERLINK("https://klasma.github.io/Logging_2480/artfynd/A 26484-2025 artfynd.xlsx", "A 26484-2025")</f>
        <v/>
      </c>
      <c r="T502">
        <f>HYPERLINK("https://klasma.github.io/Logging_2480/kartor/A 26484-2025 karta.png", "A 26484-2025")</f>
        <v/>
      </c>
      <c r="V502">
        <f>HYPERLINK("https://klasma.github.io/Logging_2480/klagomål/A 26484-2025 FSC-klagomål.docx", "A 26484-2025")</f>
        <v/>
      </c>
      <c r="W502">
        <f>HYPERLINK("https://klasma.github.io/Logging_2480/klagomålsmail/A 26484-2025 FSC-klagomål mail.docx", "A 26484-2025")</f>
        <v/>
      </c>
      <c r="X502">
        <f>HYPERLINK("https://klasma.github.io/Logging_2480/tillsyn/A 26484-2025 tillsynsbegäran.docx", "A 26484-2025")</f>
        <v/>
      </c>
      <c r="Y502">
        <f>HYPERLINK("https://klasma.github.io/Logging_2480/tillsynsmail/A 26484-2025 tillsynsbegäran mail.docx", "A 26484-2025")</f>
        <v/>
      </c>
    </row>
    <row r="503" ht="15" customHeight="1">
      <c r="A503" t="inlineStr">
        <is>
          <t>A 26793-2025</t>
        </is>
      </c>
      <c r="B503" s="1" t="n">
        <v>45810</v>
      </c>
      <c r="C503" s="1" t="n">
        <v>46145</v>
      </c>
      <c r="D503" t="inlineStr">
        <is>
          <t>VÄSTERBOTTENS LÄN</t>
        </is>
      </c>
      <c r="E503" t="inlineStr">
        <is>
          <t>ÅSELE</t>
        </is>
      </c>
      <c r="F503" t="inlineStr">
        <is>
          <t>SCA</t>
        </is>
      </c>
      <c r="G503" t="n">
        <v>5</v>
      </c>
      <c r="H503" t="n">
        <v>0</v>
      </c>
      <c r="I503" t="n">
        <v>0</v>
      </c>
      <c r="J503" t="n">
        <v>4</v>
      </c>
      <c r="K503" t="n">
        <v>0</v>
      </c>
      <c r="L503" t="n">
        <v>0</v>
      </c>
      <c r="M503" t="n">
        <v>0</v>
      </c>
      <c r="N503" t="n">
        <v>0</v>
      </c>
      <c r="O503" t="n">
        <v>4</v>
      </c>
      <c r="P503" t="n">
        <v>0</v>
      </c>
      <c r="Q503" t="n">
        <v>4</v>
      </c>
      <c r="R503" s="2" t="inlineStr">
        <is>
          <t>Dvärgbägarlav
Garnlav
Mörk kolflarnlav
Vedskivlav</t>
        </is>
      </c>
      <c r="S503">
        <f>HYPERLINK("https://klasma.github.io/Logging_2463/artfynd/A 26793-2025 artfynd.xlsx", "A 26793-2025")</f>
        <v/>
      </c>
      <c r="T503">
        <f>HYPERLINK("https://klasma.github.io/Logging_2463/kartor/A 26793-2025 karta.png", "A 26793-2025")</f>
        <v/>
      </c>
      <c r="V503">
        <f>HYPERLINK("https://klasma.github.io/Logging_2463/klagomål/A 26793-2025 FSC-klagomål.docx", "A 26793-2025")</f>
        <v/>
      </c>
      <c r="W503">
        <f>HYPERLINK("https://klasma.github.io/Logging_2463/klagomålsmail/A 26793-2025 FSC-klagomål mail.docx", "A 26793-2025")</f>
        <v/>
      </c>
      <c r="X503">
        <f>HYPERLINK("https://klasma.github.io/Logging_2463/tillsyn/A 26793-2025 tillsynsbegäran.docx", "A 26793-2025")</f>
        <v/>
      </c>
      <c r="Y503">
        <f>HYPERLINK("https://klasma.github.io/Logging_2463/tillsynsmail/A 26793-2025 tillsynsbegäran mail.docx", "A 26793-2025")</f>
        <v/>
      </c>
    </row>
    <row r="504" ht="15" customHeight="1">
      <c r="A504" t="inlineStr">
        <is>
          <t>A 26673-2025</t>
        </is>
      </c>
      <c r="B504" s="1" t="n">
        <v>45810.42046296296</v>
      </c>
      <c r="C504" s="1" t="n">
        <v>46145</v>
      </c>
      <c r="D504" t="inlineStr">
        <is>
          <t>VÄSTERBOTTENS LÄN</t>
        </is>
      </c>
      <c r="E504" t="inlineStr">
        <is>
          <t>ROBERTSFORS</t>
        </is>
      </c>
      <c r="F504" t="inlineStr">
        <is>
          <t>Holmen skog AB</t>
        </is>
      </c>
      <c r="G504" t="n">
        <v>2.1</v>
      </c>
      <c r="H504" t="n">
        <v>3</v>
      </c>
      <c r="I504" t="n">
        <v>0</v>
      </c>
      <c r="J504" t="n">
        <v>2</v>
      </c>
      <c r="K504" t="n">
        <v>0</v>
      </c>
      <c r="L504" t="n">
        <v>0</v>
      </c>
      <c r="M504" t="n">
        <v>0</v>
      </c>
      <c r="N504" t="n">
        <v>0</v>
      </c>
      <c r="O504" t="n">
        <v>2</v>
      </c>
      <c r="P504" t="n">
        <v>0</v>
      </c>
      <c r="Q504" t="n">
        <v>4</v>
      </c>
      <c r="R504" s="2" t="inlineStr">
        <is>
          <t>Granticka
Svartvit flugsnappare
Fläcknycklar
Revlummer</t>
        </is>
      </c>
      <c r="S504">
        <f>HYPERLINK("https://klasma.github.io/Logging_2409/artfynd/A 26673-2025 artfynd.xlsx", "A 26673-2025")</f>
        <v/>
      </c>
      <c r="T504">
        <f>HYPERLINK("https://klasma.github.io/Logging_2409/kartor/A 26673-2025 karta.png", "A 26673-2025")</f>
        <v/>
      </c>
      <c r="V504">
        <f>HYPERLINK("https://klasma.github.io/Logging_2409/klagomål/A 26673-2025 FSC-klagomål.docx", "A 26673-2025")</f>
        <v/>
      </c>
      <c r="W504">
        <f>HYPERLINK("https://klasma.github.io/Logging_2409/klagomålsmail/A 26673-2025 FSC-klagomål mail.docx", "A 26673-2025")</f>
        <v/>
      </c>
      <c r="X504">
        <f>HYPERLINK("https://klasma.github.io/Logging_2409/tillsyn/A 26673-2025 tillsynsbegäran.docx", "A 26673-2025")</f>
        <v/>
      </c>
      <c r="Y504">
        <f>HYPERLINK("https://klasma.github.io/Logging_2409/tillsynsmail/A 26673-2025 tillsynsbegäran mail.docx", "A 26673-2025")</f>
        <v/>
      </c>
      <c r="Z504">
        <f>HYPERLINK("https://klasma.github.io/Logging_2409/fåglar/A 26673-2025 prioriterade fågelarter.docx", "A 26673-2025")</f>
        <v/>
      </c>
    </row>
    <row r="505" ht="15" customHeight="1">
      <c r="A505" t="inlineStr">
        <is>
          <t>A 27068-2025</t>
        </is>
      </c>
      <c r="B505" s="1" t="n">
        <v>45811.63672453703</v>
      </c>
      <c r="C505" s="1" t="n">
        <v>46145</v>
      </c>
      <c r="D505" t="inlineStr">
        <is>
          <t>VÄSTERBOTTENS LÄN</t>
        </is>
      </c>
      <c r="E505" t="inlineStr">
        <is>
          <t>LYCKSELE</t>
        </is>
      </c>
      <c r="F505" t="inlineStr">
        <is>
          <t>Sveaskog</t>
        </is>
      </c>
      <c r="G505" t="n">
        <v>3.3</v>
      </c>
      <c r="H505" t="n">
        <v>0</v>
      </c>
      <c r="I505" t="n">
        <v>1</v>
      </c>
      <c r="J505" t="n">
        <v>3</v>
      </c>
      <c r="K505" t="n">
        <v>0</v>
      </c>
      <c r="L505" t="n">
        <v>0</v>
      </c>
      <c r="M505" t="n">
        <v>0</v>
      </c>
      <c r="N505" t="n">
        <v>0</v>
      </c>
      <c r="O505" t="n">
        <v>3</v>
      </c>
      <c r="P505" t="n">
        <v>0</v>
      </c>
      <c r="Q505" t="n">
        <v>4</v>
      </c>
      <c r="R505" s="2" t="inlineStr">
        <is>
          <t>Blå taggsvamp
Kolflarnlav
Motaggsvamp
Dropptaggsvamp</t>
        </is>
      </c>
      <c r="S505">
        <f>HYPERLINK("https://klasma.github.io/Logging_2481/artfynd/A 27068-2025 artfynd.xlsx", "A 27068-2025")</f>
        <v/>
      </c>
      <c r="T505">
        <f>HYPERLINK("https://klasma.github.io/Logging_2481/kartor/A 27068-2025 karta.png", "A 27068-2025")</f>
        <v/>
      </c>
      <c r="V505">
        <f>HYPERLINK("https://klasma.github.io/Logging_2481/klagomål/A 27068-2025 FSC-klagomål.docx", "A 27068-2025")</f>
        <v/>
      </c>
      <c r="W505">
        <f>HYPERLINK("https://klasma.github.io/Logging_2481/klagomålsmail/A 27068-2025 FSC-klagomål mail.docx", "A 27068-2025")</f>
        <v/>
      </c>
      <c r="X505">
        <f>HYPERLINK("https://klasma.github.io/Logging_2481/tillsyn/A 27068-2025 tillsynsbegäran.docx", "A 27068-2025")</f>
        <v/>
      </c>
      <c r="Y505">
        <f>HYPERLINK("https://klasma.github.io/Logging_2481/tillsynsmail/A 27068-2025 tillsynsbegäran mail.docx", "A 27068-2025")</f>
        <v/>
      </c>
    </row>
    <row r="506" ht="15" customHeight="1">
      <c r="A506" t="inlineStr">
        <is>
          <t>A 29995-2025</t>
        </is>
      </c>
      <c r="B506" s="1" t="n">
        <v>45826</v>
      </c>
      <c r="C506" s="1" t="n">
        <v>46145</v>
      </c>
      <c r="D506" t="inlineStr">
        <is>
          <t>VÄSTERBOTTENS LÄN</t>
        </is>
      </c>
      <c r="E506" t="inlineStr">
        <is>
          <t>ÅSELE</t>
        </is>
      </c>
      <c r="F506" t="inlineStr">
        <is>
          <t>Sveaskog</t>
        </is>
      </c>
      <c r="G506" t="n">
        <v>9.800000000000001</v>
      </c>
      <c r="H506" t="n">
        <v>0</v>
      </c>
      <c r="I506" t="n">
        <v>2</v>
      </c>
      <c r="J506" t="n">
        <v>2</v>
      </c>
      <c r="K506" t="n">
        <v>0</v>
      </c>
      <c r="L506" t="n">
        <v>0</v>
      </c>
      <c r="M506" t="n">
        <v>0</v>
      </c>
      <c r="N506" t="n">
        <v>0</v>
      </c>
      <c r="O506" t="n">
        <v>2</v>
      </c>
      <c r="P506" t="n">
        <v>0</v>
      </c>
      <c r="Q506" t="n">
        <v>4</v>
      </c>
      <c r="R506" s="2" t="inlineStr">
        <is>
          <t>Lunglav
Skrovellav
Bårdlav
Luddlav</t>
        </is>
      </c>
      <c r="S506">
        <f>HYPERLINK("https://klasma.github.io/Logging_2463/artfynd/A 29995-2025 artfynd.xlsx", "A 29995-2025")</f>
        <v/>
      </c>
      <c r="T506">
        <f>HYPERLINK("https://klasma.github.io/Logging_2463/kartor/A 29995-2025 karta.png", "A 29995-2025")</f>
        <v/>
      </c>
      <c r="V506">
        <f>HYPERLINK("https://klasma.github.io/Logging_2463/klagomål/A 29995-2025 FSC-klagomål.docx", "A 29995-2025")</f>
        <v/>
      </c>
      <c r="W506">
        <f>HYPERLINK("https://klasma.github.io/Logging_2463/klagomålsmail/A 29995-2025 FSC-klagomål mail.docx", "A 29995-2025")</f>
        <v/>
      </c>
      <c r="X506">
        <f>HYPERLINK("https://klasma.github.io/Logging_2463/tillsyn/A 29995-2025 tillsynsbegäran.docx", "A 29995-2025")</f>
        <v/>
      </c>
      <c r="Y506">
        <f>HYPERLINK("https://klasma.github.io/Logging_2463/tillsynsmail/A 29995-2025 tillsynsbegäran mail.docx", "A 29995-2025")</f>
        <v/>
      </c>
    </row>
    <row r="507" ht="15" customHeight="1">
      <c r="A507" t="inlineStr">
        <is>
          <t>A 30414-2025</t>
        </is>
      </c>
      <c r="B507" s="1" t="n">
        <v>45827.604375</v>
      </c>
      <c r="C507" s="1" t="n">
        <v>46145</v>
      </c>
      <c r="D507" t="inlineStr">
        <is>
          <t>VÄSTERBOTTENS LÄN</t>
        </is>
      </c>
      <c r="E507" t="inlineStr">
        <is>
          <t>LYCKSELE</t>
        </is>
      </c>
      <c r="F507" t="inlineStr">
        <is>
          <t>Sveaskog</t>
        </is>
      </c>
      <c r="G507" t="n">
        <v>17</v>
      </c>
      <c r="H507" t="n">
        <v>0</v>
      </c>
      <c r="I507" t="n">
        <v>2</v>
      </c>
      <c r="J507" t="n">
        <v>2</v>
      </c>
      <c r="K507" t="n">
        <v>0</v>
      </c>
      <c r="L507" t="n">
        <v>0</v>
      </c>
      <c r="M507" t="n">
        <v>0</v>
      </c>
      <c r="N507" t="n">
        <v>0</v>
      </c>
      <c r="O507" t="n">
        <v>2</v>
      </c>
      <c r="P507" t="n">
        <v>0</v>
      </c>
      <c r="Q507" t="n">
        <v>4</v>
      </c>
      <c r="R507" s="2" t="inlineStr">
        <is>
          <t>Lunglav
Skrovellav
Skinnlav
Stor aspticka</t>
        </is>
      </c>
      <c r="S507">
        <f>HYPERLINK("https://klasma.github.io/Logging_2481/artfynd/A 30414-2025 artfynd.xlsx", "A 30414-2025")</f>
        <v/>
      </c>
      <c r="T507">
        <f>HYPERLINK("https://klasma.github.io/Logging_2481/kartor/A 30414-2025 karta.png", "A 30414-2025")</f>
        <v/>
      </c>
      <c r="V507">
        <f>HYPERLINK("https://klasma.github.io/Logging_2481/klagomål/A 30414-2025 FSC-klagomål.docx", "A 30414-2025")</f>
        <v/>
      </c>
      <c r="W507">
        <f>HYPERLINK("https://klasma.github.io/Logging_2481/klagomålsmail/A 30414-2025 FSC-klagomål mail.docx", "A 30414-2025")</f>
        <v/>
      </c>
      <c r="X507">
        <f>HYPERLINK("https://klasma.github.io/Logging_2481/tillsyn/A 30414-2025 tillsynsbegäran.docx", "A 30414-2025")</f>
        <v/>
      </c>
      <c r="Y507">
        <f>HYPERLINK("https://klasma.github.io/Logging_2481/tillsynsmail/A 30414-2025 tillsynsbegäran mail.docx", "A 30414-2025")</f>
        <v/>
      </c>
    </row>
    <row r="508" ht="15" customHeight="1">
      <c r="A508" t="inlineStr">
        <is>
          <t>A 30316-2025</t>
        </is>
      </c>
      <c r="B508" s="1" t="n">
        <v>45827</v>
      </c>
      <c r="C508" s="1" t="n">
        <v>46145</v>
      </c>
      <c r="D508" t="inlineStr">
        <is>
          <t>VÄSTERBOTTENS LÄN</t>
        </is>
      </c>
      <c r="E508" t="inlineStr">
        <is>
          <t>ÅSELE</t>
        </is>
      </c>
      <c r="F508" t="inlineStr">
        <is>
          <t>SCA</t>
        </is>
      </c>
      <c r="G508" t="n">
        <v>2</v>
      </c>
      <c r="H508" t="n">
        <v>0</v>
      </c>
      <c r="I508" t="n">
        <v>2</v>
      </c>
      <c r="J508" t="n">
        <v>2</v>
      </c>
      <c r="K508" t="n">
        <v>0</v>
      </c>
      <c r="L508" t="n">
        <v>0</v>
      </c>
      <c r="M508" t="n">
        <v>0</v>
      </c>
      <c r="N508" t="n">
        <v>0</v>
      </c>
      <c r="O508" t="n">
        <v>2</v>
      </c>
      <c r="P508" t="n">
        <v>0</v>
      </c>
      <c r="Q508" t="n">
        <v>4</v>
      </c>
      <c r="R508" s="2" t="inlineStr">
        <is>
          <t>Garnlav
Ullticka
Vedticka
Vågbandad barkbock</t>
        </is>
      </c>
      <c r="S508">
        <f>HYPERLINK("https://klasma.github.io/Logging_2463/artfynd/A 30316-2025 artfynd.xlsx", "A 30316-2025")</f>
        <v/>
      </c>
      <c r="T508">
        <f>HYPERLINK("https://klasma.github.io/Logging_2463/kartor/A 30316-2025 karta.png", "A 30316-2025")</f>
        <v/>
      </c>
      <c r="V508">
        <f>HYPERLINK("https://klasma.github.io/Logging_2463/klagomål/A 30316-2025 FSC-klagomål.docx", "A 30316-2025")</f>
        <v/>
      </c>
      <c r="W508">
        <f>HYPERLINK("https://klasma.github.io/Logging_2463/klagomålsmail/A 30316-2025 FSC-klagomål mail.docx", "A 30316-2025")</f>
        <v/>
      </c>
      <c r="X508">
        <f>HYPERLINK("https://klasma.github.io/Logging_2463/tillsyn/A 30316-2025 tillsynsbegäran.docx", "A 30316-2025")</f>
        <v/>
      </c>
      <c r="Y508">
        <f>HYPERLINK("https://klasma.github.io/Logging_2463/tillsynsmail/A 30316-2025 tillsynsbegäran mail.docx", "A 30316-2025")</f>
        <v/>
      </c>
    </row>
    <row r="509" ht="15" customHeight="1">
      <c r="A509" t="inlineStr">
        <is>
          <t>A 34723-2025</t>
        </is>
      </c>
      <c r="B509" s="1" t="n">
        <v>45848.54172453703</v>
      </c>
      <c r="C509" s="1" t="n">
        <v>46145</v>
      </c>
      <c r="D509" t="inlineStr">
        <is>
          <t>VÄSTERBOTTENS LÄN</t>
        </is>
      </c>
      <c r="E509" t="inlineStr">
        <is>
          <t>ROBERTSFORS</t>
        </is>
      </c>
      <c r="F509" t="inlineStr">
        <is>
          <t>Holmen skog AB</t>
        </is>
      </c>
      <c r="G509" t="n">
        <v>16.3</v>
      </c>
      <c r="H509" t="n">
        <v>2</v>
      </c>
      <c r="I509" t="n">
        <v>2</v>
      </c>
      <c r="J509" t="n">
        <v>1</v>
      </c>
      <c r="K509" t="n">
        <v>0</v>
      </c>
      <c r="L509" t="n">
        <v>0</v>
      </c>
      <c r="M509" t="n">
        <v>0</v>
      </c>
      <c r="N509" t="n">
        <v>0</v>
      </c>
      <c r="O509" t="n">
        <v>1</v>
      </c>
      <c r="P509" t="n">
        <v>0</v>
      </c>
      <c r="Q509" t="n">
        <v>4</v>
      </c>
      <c r="R509" s="2" t="inlineStr">
        <is>
          <t>Ullticka
Spindelblomster
Vedticka
Lavskrika</t>
        </is>
      </c>
      <c r="S509">
        <f>HYPERLINK("https://klasma.github.io/Logging_2409/artfynd/A 34723-2025 artfynd.xlsx", "A 34723-2025")</f>
        <v/>
      </c>
      <c r="T509">
        <f>HYPERLINK("https://klasma.github.io/Logging_2409/kartor/A 34723-2025 karta.png", "A 34723-2025")</f>
        <v/>
      </c>
      <c r="V509">
        <f>HYPERLINK("https://klasma.github.io/Logging_2409/klagomål/A 34723-2025 FSC-klagomål.docx", "A 34723-2025")</f>
        <v/>
      </c>
      <c r="W509">
        <f>HYPERLINK("https://klasma.github.io/Logging_2409/klagomålsmail/A 34723-2025 FSC-klagomål mail.docx", "A 34723-2025")</f>
        <v/>
      </c>
      <c r="X509">
        <f>HYPERLINK("https://klasma.github.io/Logging_2409/tillsyn/A 34723-2025 tillsynsbegäran.docx", "A 34723-2025")</f>
        <v/>
      </c>
      <c r="Y509">
        <f>HYPERLINK("https://klasma.github.io/Logging_2409/tillsynsmail/A 34723-2025 tillsynsbegäran mail.docx", "A 34723-2025")</f>
        <v/>
      </c>
      <c r="Z509">
        <f>HYPERLINK("https://klasma.github.io/Logging_2409/fåglar/A 34723-2025 prioriterade fågelarter.docx", "A 34723-2025")</f>
        <v/>
      </c>
    </row>
    <row r="510" ht="15" customHeight="1">
      <c r="A510" t="inlineStr">
        <is>
          <t>A 34749-2025</t>
        </is>
      </c>
      <c r="B510" s="1" t="n">
        <v>45848.61557870371</v>
      </c>
      <c r="C510" s="1" t="n">
        <v>46145</v>
      </c>
      <c r="D510" t="inlineStr">
        <is>
          <t>VÄSTERBOTTENS LÄN</t>
        </is>
      </c>
      <c r="E510" t="inlineStr">
        <is>
          <t>DOROTEA</t>
        </is>
      </c>
      <c r="F510" t="inlineStr">
        <is>
          <t>SCA</t>
        </is>
      </c>
      <c r="G510" t="n">
        <v>4.5</v>
      </c>
      <c r="H510" t="n">
        <v>0</v>
      </c>
      <c r="I510" t="n">
        <v>2</v>
      </c>
      <c r="J510" t="n">
        <v>2</v>
      </c>
      <c r="K510" t="n">
        <v>0</v>
      </c>
      <c r="L510" t="n">
        <v>0</v>
      </c>
      <c r="M510" t="n">
        <v>0</v>
      </c>
      <c r="N510" t="n">
        <v>0</v>
      </c>
      <c r="O510" t="n">
        <v>2</v>
      </c>
      <c r="P510" t="n">
        <v>0</v>
      </c>
      <c r="Q510" t="n">
        <v>4</v>
      </c>
      <c r="R510" s="2" t="inlineStr">
        <is>
          <t>Gammelgransskål
Granticka
Gytterlav
Luddlav</t>
        </is>
      </c>
      <c r="S510">
        <f>HYPERLINK("https://klasma.github.io/Logging_2425/artfynd/A 34749-2025 artfynd.xlsx", "A 34749-2025")</f>
        <v/>
      </c>
      <c r="T510">
        <f>HYPERLINK("https://klasma.github.io/Logging_2425/kartor/A 34749-2025 karta.png", "A 34749-2025")</f>
        <v/>
      </c>
      <c r="V510">
        <f>HYPERLINK("https://klasma.github.io/Logging_2425/klagomål/A 34749-2025 FSC-klagomål.docx", "A 34749-2025")</f>
        <v/>
      </c>
      <c r="W510">
        <f>HYPERLINK("https://klasma.github.io/Logging_2425/klagomålsmail/A 34749-2025 FSC-klagomål mail.docx", "A 34749-2025")</f>
        <v/>
      </c>
      <c r="X510">
        <f>HYPERLINK("https://klasma.github.io/Logging_2425/tillsyn/A 34749-2025 tillsynsbegäran.docx", "A 34749-2025")</f>
        <v/>
      </c>
      <c r="Y510">
        <f>HYPERLINK("https://klasma.github.io/Logging_2425/tillsynsmail/A 34749-2025 tillsynsbegäran mail.docx", "A 34749-2025")</f>
        <v/>
      </c>
    </row>
    <row r="511" ht="15" customHeight="1">
      <c r="A511" t="inlineStr">
        <is>
          <t>A 35164-2025</t>
        </is>
      </c>
      <c r="B511" s="1" t="n">
        <v>45852</v>
      </c>
      <c r="C511" s="1" t="n">
        <v>46145</v>
      </c>
      <c r="D511" t="inlineStr">
        <is>
          <t>VÄSTERBOTTENS LÄN</t>
        </is>
      </c>
      <c r="E511" t="inlineStr">
        <is>
          <t>SKELLEFTEÅ</t>
        </is>
      </c>
      <c r="G511" t="n">
        <v>2.1</v>
      </c>
      <c r="H511" t="n">
        <v>0</v>
      </c>
      <c r="I511" t="n">
        <v>0</v>
      </c>
      <c r="J511" t="n">
        <v>4</v>
      </c>
      <c r="K511" t="n">
        <v>0</v>
      </c>
      <c r="L511" t="n">
        <v>0</v>
      </c>
      <c r="M511" t="n">
        <v>0</v>
      </c>
      <c r="N511" t="n">
        <v>0</v>
      </c>
      <c r="O511" t="n">
        <v>4</v>
      </c>
      <c r="P511" t="n">
        <v>0</v>
      </c>
      <c r="Q511" t="n">
        <v>4</v>
      </c>
      <c r="R511" s="2" t="inlineStr">
        <is>
          <t>Granticka
Harticka
Kilporing
Rosenticka</t>
        </is>
      </c>
      <c r="S511">
        <f>HYPERLINK("https://klasma.github.io/Logging_2482/artfynd/A 35164-2025 artfynd.xlsx", "A 35164-2025")</f>
        <v/>
      </c>
      <c r="T511">
        <f>HYPERLINK("https://klasma.github.io/Logging_2482/kartor/A 35164-2025 karta.png", "A 35164-2025")</f>
        <v/>
      </c>
      <c r="V511">
        <f>HYPERLINK("https://klasma.github.io/Logging_2482/klagomål/A 35164-2025 FSC-klagomål.docx", "A 35164-2025")</f>
        <v/>
      </c>
      <c r="W511">
        <f>HYPERLINK("https://klasma.github.io/Logging_2482/klagomålsmail/A 35164-2025 FSC-klagomål mail.docx", "A 35164-2025")</f>
        <v/>
      </c>
      <c r="X511">
        <f>HYPERLINK("https://klasma.github.io/Logging_2482/tillsyn/A 35164-2025 tillsynsbegäran.docx", "A 35164-2025")</f>
        <v/>
      </c>
      <c r="Y511">
        <f>HYPERLINK("https://klasma.github.io/Logging_2482/tillsynsmail/A 35164-2025 tillsynsbegäran mail.docx", "A 35164-2025")</f>
        <v/>
      </c>
    </row>
    <row r="512" ht="15" customHeight="1">
      <c r="A512" t="inlineStr">
        <is>
          <t>A 33586-2024</t>
        </is>
      </c>
      <c r="B512" s="1" t="n">
        <v>45520.34674768519</v>
      </c>
      <c r="C512" s="1" t="n">
        <v>46145</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55825-2024</t>
        </is>
      </c>
      <c r="B513" s="1" t="n">
        <v>45623.47923611111</v>
      </c>
      <c r="C513" s="1" t="n">
        <v>46145</v>
      </c>
      <c r="D513" t="inlineStr">
        <is>
          <t>VÄSTERBOTTENS LÄN</t>
        </is>
      </c>
      <c r="E513" t="inlineStr">
        <is>
          <t>LYCKSELE</t>
        </is>
      </c>
      <c r="G513" t="n">
        <v>7.1</v>
      </c>
      <c r="H513" t="n">
        <v>3</v>
      </c>
      <c r="I513" t="n">
        <v>0</v>
      </c>
      <c r="J513" t="n">
        <v>3</v>
      </c>
      <c r="K513" t="n">
        <v>0</v>
      </c>
      <c r="L513" t="n">
        <v>0</v>
      </c>
      <c r="M513" t="n">
        <v>0</v>
      </c>
      <c r="N513" t="n">
        <v>0</v>
      </c>
      <c r="O513" t="n">
        <v>3</v>
      </c>
      <c r="P513" t="n">
        <v>0</v>
      </c>
      <c r="Q513" t="n">
        <v>4</v>
      </c>
      <c r="R513" s="2" t="inlineStr">
        <is>
          <t>Kolflarnlav
Spillkråka
Tretåig hackspett
Revlummer</t>
        </is>
      </c>
      <c r="S513">
        <f>HYPERLINK("https://klasma.github.io/Logging_2481/artfynd/A 55825-2024 artfynd.xlsx", "A 55825-2024")</f>
        <v/>
      </c>
      <c r="T513">
        <f>HYPERLINK("https://klasma.github.io/Logging_2481/kartor/A 55825-2024 karta.png", "A 55825-2024")</f>
        <v/>
      </c>
      <c r="V513">
        <f>HYPERLINK("https://klasma.github.io/Logging_2481/klagomål/A 55825-2024 FSC-klagomål.docx", "A 55825-2024")</f>
        <v/>
      </c>
      <c r="W513">
        <f>HYPERLINK("https://klasma.github.io/Logging_2481/klagomålsmail/A 55825-2024 FSC-klagomål mail.docx", "A 55825-2024")</f>
        <v/>
      </c>
      <c r="X513">
        <f>HYPERLINK("https://klasma.github.io/Logging_2481/tillsyn/A 55825-2024 tillsynsbegäran.docx", "A 55825-2024")</f>
        <v/>
      </c>
      <c r="Y513">
        <f>HYPERLINK("https://klasma.github.io/Logging_2481/tillsynsmail/A 55825-2024 tillsynsbegäran mail.docx", "A 55825-2024")</f>
        <v/>
      </c>
      <c r="Z513">
        <f>HYPERLINK("https://klasma.github.io/Logging_2481/fåglar/A 55825-2024 prioriterade fågelarter.docx", "A 55825-2024")</f>
        <v/>
      </c>
    </row>
    <row r="514" ht="15" customHeight="1">
      <c r="A514" t="inlineStr">
        <is>
          <t>A 36587-2025</t>
        </is>
      </c>
      <c r="B514" s="1" t="n">
        <v>45870.455625</v>
      </c>
      <c r="C514" s="1" t="n">
        <v>46145</v>
      </c>
      <c r="D514" t="inlineStr">
        <is>
          <t>VÄSTERBOTTENS LÄN</t>
        </is>
      </c>
      <c r="E514" t="inlineStr">
        <is>
          <t>STORUMAN</t>
        </is>
      </c>
      <c r="G514" t="n">
        <v>13.7</v>
      </c>
      <c r="H514" t="n">
        <v>1</v>
      </c>
      <c r="I514" t="n">
        <v>1</v>
      </c>
      <c r="J514" t="n">
        <v>2</v>
      </c>
      <c r="K514" t="n">
        <v>1</v>
      </c>
      <c r="L514" t="n">
        <v>0</v>
      </c>
      <c r="M514" t="n">
        <v>0</v>
      </c>
      <c r="N514" t="n">
        <v>0</v>
      </c>
      <c r="O514" t="n">
        <v>3</v>
      </c>
      <c r="P514" t="n">
        <v>1</v>
      </c>
      <c r="Q514" t="n">
        <v>4</v>
      </c>
      <c r="R514" s="2" t="inlineStr">
        <is>
          <t>Smalfotad taggsvamp
Skrovlig taggsvamp
Tretåig hackspett
Dropptaggsvamp</t>
        </is>
      </c>
      <c r="S514">
        <f>HYPERLINK("https://klasma.github.io/Logging_2421/artfynd/A 36587-2025 artfynd.xlsx", "A 36587-2025")</f>
        <v/>
      </c>
      <c r="T514">
        <f>HYPERLINK("https://klasma.github.io/Logging_2421/kartor/A 36587-2025 karta.png", "A 36587-2025")</f>
        <v/>
      </c>
      <c r="V514">
        <f>HYPERLINK("https://klasma.github.io/Logging_2421/klagomål/A 36587-2025 FSC-klagomål.docx", "A 36587-2025")</f>
        <v/>
      </c>
      <c r="W514">
        <f>HYPERLINK("https://klasma.github.io/Logging_2421/klagomålsmail/A 36587-2025 FSC-klagomål mail.docx", "A 36587-2025")</f>
        <v/>
      </c>
      <c r="X514">
        <f>HYPERLINK("https://klasma.github.io/Logging_2421/tillsyn/A 36587-2025 tillsynsbegäran.docx", "A 36587-2025")</f>
        <v/>
      </c>
      <c r="Y514">
        <f>HYPERLINK("https://klasma.github.io/Logging_2421/tillsynsmail/A 36587-2025 tillsynsbegäran mail.docx", "A 36587-2025")</f>
        <v/>
      </c>
      <c r="Z514">
        <f>HYPERLINK("https://klasma.github.io/Logging_2421/fåglar/A 36587-2025 prioriterade fågelarter.docx", "A 36587-2025")</f>
        <v/>
      </c>
    </row>
    <row r="515" ht="15" customHeight="1">
      <c r="A515" t="inlineStr">
        <is>
          <t>A 40209-2021</t>
        </is>
      </c>
      <c r="B515" s="1" t="n">
        <v>44418</v>
      </c>
      <c r="C515" s="1" t="n">
        <v>46145</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46145</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46145</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46145</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46145</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46145</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22626-2021</t>
        </is>
      </c>
      <c r="B521" s="1" t="n">
        <v>44326</v>
      </c>
      <c r="C521" s="1" t="n">
        <v>46145</v>
      </c>
      <c r="D521" t="inlineStr">
        <is>
          <t>VÄSTERBOTTENS LÄN</t>
        </is>
      </c>
      <c r="E521" t="inlineStr">
        <is>
          <t>SKELLEFTEÅ</t>
        </is>
      </c>
      <c r="G521" t="n">
        <v>8.4</v>
      </c>
      <c r="H521" t="n">
        <v>0</v>
      </c>
      <c r="I521" t="n">
        <v>0</v>
      </c>
      <c r="J521" t="n">
        <v>1</v>
      </c>
      <c r="K521" t="n">
        <v>2</v>
      </c>
      <c r="L521" t="n">
        <v>0</v>
      </c>
      <c r="M521" t="n">
        <v>0</v>
      </c>
      <c r="N521" t="n">
        <v>0</v>
      </c>
      <c r="O521" t="n">
        <v>3</v>
      </c>
      <c r="P521" t="n">
        <v>2</v>
      </c>
      <c r="Q521" t="n">
        <v>3</v>
      </c>
      <c r="R521" s="2" t="inlineStr">
        <is>
          <t>Laxporing
Ulltickeporing
Fyrflikig jordstjärna</t>
        </is>
      </c>
      <c r="S521">
        <f>HYPERLINK("https://klasma.github.io/Logging_2482/artfynd/A 22626-2021 artfynd.xlsx", "A 22626-2021")</f>
        <v/>
      </c>
      <c r="T521">
        <f>HYPERLINK("https://klasma.github.io/Logging_2482/kartor/A 22626-2021 karta.png", "A 22626-2021")</f>
        <v/>
      </c>
      <c r="V521">
        <f>HYPERLINK("https://klasma.github.io/Logging_2482/klagomål/A 22626-2021 FSC-klagomål.docx", "A 22626-2021")</f>
        <v/>
      </c>
      <c r="W521">
        <f>HYPERLINK("https://klasma.github.io/Logging_2482/klagomålsmail/A 22626-2021 FSC-klagomål mail.docx", "A 22626-2021")</f>
        <v/>
      </c>
      <c r="X521">
        <f>HYPERLINK("https://klasma.github.io/Logging_2482/tillsyn/A 22626-2021 tillsynsbegäran.docx", "A 22626-2021")</f>
        <v/>
      </c>
      <c r="Y521">
        <f>HYPERLINK("https://klasma.github.io/Logging_2482/tillsynsmail/A 22626-2021 tillsynsbegäran mail.docx", "A 22626-2021")</f>
        <v/>
      </c>
    </row>
    <row r="522" ht="15" customHeight="1">
      <c r="A522" t="inlineStr">
        <is>
          <t>A 25503-2022</t>
        </is>
      </c>
      <c r="B522" s="1" t="n">
        <v>44732</v>
      </c>
      <c r="C522" s="1" t="n">
        <v>46145</v>
      </c>
      <c r="D522" t="inlineStr">
        <is>
          <t>VÄSTERBOTTENS LÄN</t>
        </is>
      </c>
      <c r="E522" t="inlineStr">
        <is>
          <t>VILHELMINA</t>
        </is>
      </c>
      <c r="G522" t="n">
        <v>1.9</v>
      </c>
      <c r="H522" t="n">
        <v>0</v>
      </c>
      <c r="I522" t="n">
        <v>3</v>
      </c>
      <c r="J522" t="n">
        <v>0</v>
      </c>
      <c r="K522" t="n">
        <v>0</v>
      </c>
      <c r="L522" t="n">
        <v>0</v>
      </c>
      <c r="M522" t="n">
        <v>0</v>
      </c>
      <c r="N522" t="n">
        <v>0</v>
      </c>
      <c r="O522" t="n">
        <v>0</v>
      </c>
      <c r="P522" t="n">
        <v>0</v>
      </c>
      <c r="Q522" t="n">
        <v>3</v>
      </c>
      <c r="R522" s="2" t="inlineStr">
        <is>
          <t>Gulnål
Skinnlav
Stuplav</t>
        </is>
      </c>
      <c r="S522">
        <f>HYPERLINK("https://klasma.github.io/Logging_2462/artfynd/A 25503-2022 artfynd.xlsx", "A 25503-2022")</f>
        <v/>
      </c>
      <c r="T522">
        <f>HYPERLINK("https://klasma.github.io/Logging_2462/kartor/A 25503-2022 karta.png", "A 25503-2022")</f>
        <v/>
      </c>
      <c r="V522">
        <f>HYPERLINK("https://klasma.github.io/Logging_2462/klagomål/A 25503-2022 FSC-klagomål.docx", "A 25503-2022")</f>
        <v/>
      </c>
      <c r="W522">
        <f>HYPERLINK("https://klasma.github.io/Logging_2462/klagomålsmail/A 25503-2022 FSC-klagomål mail.docx", "A 25503-2022")</f>
        <v/>
      </c>
      <c r="X522">
        <f>HYPERLINK("https://klasma.github.io/Logging_2462/tillsyn/A 25503-2022 tillsynsbegäran.docx", "A 25503-2022")</f>
        <v/>
      </c>
      <c r="Y522">
        <f>HYPERLINK("https://klasma.github.io/Logging_2462/tillsynsmail/A 25503-2022 tillsynsbegäran mail.docx", "A 25503-2022")</f>
        <v/>
      </c>
    </row>
    <row r="523" ht="15" customHeight="1">
      <c r="A523" t="inlineStr">
        <is>
          <t>A 40652-2021</t>
        </is>
      </c>
      <c r="B523" s="1" t="n">
        <v>44420</v>
      </c>
      <c r="C523" s="1" t="n">
        <v>46145</v>
      </c>
      <c r="D523" t="inlineStr">
        <is>
          <t>VÄSTERBOTTENS LÄN</t>
        </is>
      </c>
      <c r="E523" t="inlineStr">
        <is>
          <t>STORUMAN</t>
        </is>
      </c>
      <c r="G523" t="n">
        <v>10</v>
      </c>
      <c r="H523" t="n">
        <v>3</v>
      </c>
      <c r="I523" t="n">
        <v>0</v>
      </c>
      <c r="J523" t="n">
        <v>1</v>
      </c>
      <c r="K523" t="n">
        <v>1</v>
      </c>
      <c r="L523" t="n">
        <v>0</v>
      </c>
      <c r="M523" t="n">
        <v>0</v>
      </c>
      <c r="N523" t="n">
        <v>0</v>
      </c>
      <c r="O523" t="n">
        <v>2</v>
      </c>
      <c r="P523" t="n">
        <v>1</v>
      </c>
      <c r="Q523" t="n">
        <v>3</v>
      </c>
      <c r="R523" s="2" t="inlineStr">
        <is>
          <t>Knärot
Tretåig hackspett
Lavskrika</t>
        </is>
      </c>
      <c r="S523">
        <f>HYPERLINK("https://klasma.github.io/Logging_2421/artfynd/A 40652-2021 artfynd.xlsx", "A 40652-2021")</f>
        <v/>
      </c>
      <c r="T523">
        <f>HYPERLINK("https://klasma.github.io/Logging_2421/kartor/A 40652-2021 karta.png", "A 40652-2021")</f>
        <v/>
      </c>
      <c r="U523">
        <f>HYPERLINK("https://klasma.github.io/Logging_2421/knärot/A 40652-2021 karta knärot.png", "A 40652-2021")</f>
        <v/>
      </c>
      <c r="V523">
        <f>HYPERLINK("https://klasma.github.io/Logging_2421/klagomål/A 40652-2021 FSC-klagomål.docx", "A 40652-2021")</f>
        <v/>
      </c>
      <c r="W523">
        <f>HYPERLINK("https://klasma.github.io/Logging_2421/klagomålsmail/A 40652-2021 FSC-klagomål mail.docx", "A 40652-2021")</f>
        <v/>
      </c>
      <c r="X523">
        <f>HYPERLINK("https://klasma.github.io/Logging_2421/tillsyn/A 40652-2021 tillsynsbegäran.docx", "A 40652-2021")</f>
        <v/>
      </c>
      <c r="Y523">
        <f>HYPERLINK("https://klasma.github.io/Logging_2421/tillsynsmail/A 40652-2021 tillsynsbegäran mail.docx", "A 40652-2021")</f>
        <v/>
      </c>
      <c r="Z523">
        <f>HYPERLINK("https://klasma.github.io/Logging_2421/fåglar/A 40652-2021 prioriterade fågelarter.docx", "A 40652-2021")</f>
        <v/>
      </c>
    </row>
    <row r="524" ht="15" customHeight="1">
      <c r="A524" t="inlineStr">
        <is>
          <t>A 57802-2023</t>
        </is>
      </c>
      <c r="B524" s="1" t="n">
        <v>45246</v>
      </c>
      <c r="C524" s="1" t="n">
        <v>46145</v>
      </c>
      <c r="D524" t="inlineStr">
        <is>
          <t>VÄSTERBOTTENS LÄN</t>
        </is>
      </c>
      <c r="E524" t="inlineStr">
        <is>
          <t>BJURHOLM</t>
        </is>
      </c>
      <c r="F524" t="inlineStr">
        <is>
          <t>SCA</t>
        </is>
      </c>
      <c r="G524" t="n">
        <v>14</v>
      </c>
      <c r="H524" t="n">
        <v>1</v>
      </c>
      <c r="I524" t="n">
        <v>0</v>
      </c>
      <c r="J524" t="n">
        <v>2</v>
      </c>
      <c r="K524" t="n">
        <v>0</v>
      </c>
      <c r="L524" t="n">
        <v>0</v>
      </c>
      <c r="M524" t="n">
        <v>0</v>
      </c>
      <c r="N524" t="n">
        <v>0</v>
      </c>
      <c r="O524" t="n">
        <v>2</v>
      </c>
      <c r="P524" t="n">
        <v>0</v>
      </c>
      <c r="Q524" t="n">
        <v>3</v>
      </c>
      <c r="R524" s="2" t="inlineStr">
        <is>
          <t>Dvärgbägarlav
Granticka
Fläcknycklar</t>
        </is>
      </c>
      <c r="S524">
        <f>HYPERLINK("https://klasma.github.io/Logging_2403/artfynd/A 57802-2023 artfynd.xlsx", "A 57802-2023")</f>
        <v/>
      </c>
      <c r="T524">
        <f>HYPERLINK("https://klasma.github.io/Logging_2403/kartor/A 57802-2023 karta.png", "A 57802-2023")</f>
        <v/>
      </c>
      <c r="V524">
        <f>HYPERLINK("https://klasma.github.io/Logging_2403/klagomål/A 57802-2023 FSC-klagomål.docx", "A 57802-2023")</f>
        <v/>
      </c>
      <c r="W524">
        <f>HYPERLINK("https://klasma.github.io/Logging_2403/klagomålsmail/A 57802-2023 FSC-klagomål mail.docx", "A 57802-2023")</f>
        <v/>
      </c>
      <c r="X524">
        <f>HYPERLINK("https://klasma.github.io/Logging_2403/tillsyn/A 57802-2023 tillsynsbegäran.docx", "A 57802-2023")</f>
        <v/>
      </c>
      <c r="Y524">
        <f>HYPERLINK("https://klasma.github.io/Logging_2403/tillsynsmail/A 57802-2023 tillsynsbegäran mail.docx", "A 57802-2023")</f>
        <v/>
      </c>
    </row>
    <row r="525" ht="15" customHeight="1">
      <c r="A525" t="inlineStr">
        <is>
          <t>A 60880-2023</t>
        </is>
      </c>
      <c r="B525" s="1" t="n">
        <v>45259</v>
      </c>
      <c r="C525" s="1" t="n">
        <v>46145</v>
      </c>
      <c r="D525" t="inlineStr">
        <is>
          <t>VÄSTERBOTTENS LÄN</t>
        </is>
      </c>
      <c r="E525" t="inlineStr">
        <is>
          <t>STORUMAN</t>
        </is>
      </c>
      <c r="G525" t="n">
        <v>2.2</v>
      </c>
      <c r="H525" t="n">
        <v>3</v>
      </c>
      <c r="I525" t="n">
        <v>0</v>
      </c>
      <c r="J525" t="n">
        <v>2</v>
      </c>
      <c r="K525" t="n">
        <v>1</v>
      </c>
      <c r="L525" t="n">
        <v>0</v>
      </c>
      <c r="M525" t="n">
        <v>0</v>
      </c>
      <c r="N525" t="n">
        <v>0</v>
      </c>
      <c r="O525" t="n">
        <v>3</v>
      </c>
      <c r="P525" t="n">
        <v>1</v>
      </c>
      <c r="Q525" t="n">
        <v>3</v>
      </c>
      <c r="R525" s="2" t="inlineStr">
        <is>
          <t>Knärot
Spillkråka
Tretåig hackspett</t>
        </is>
      </c>
      <c r="S525">
        <f>HYPERLINK("https://klasma.github.io/Logging_2421/artfynd/A 60880-2023 artfynd.xlsx", "A 60880-2023")</f>
        <v/>
      </c>
      <c r="T525">
        <f>HYPERLINK("https://klasma.github.io/Logging_2421/kartor/A 60880-2023 karta.png", "A 60880-2023")</f>
        <v/>
      </c>
      <c r="U525">
        <f>HYPERLINK("https://klasma.github.io/Logging_2421/knärot/A 60880-2023 karta knärot.png", "A 60880-2023")</f>
        <v/>
      </c>
      <c r="V525">
        <f>HYPERLINK("https://klasma.github.io/Logging_2421/klagomål/A 60880-2023 FSC-klagomål.docx", "A 60880-2023")</f>
        <v/>
      </c>
      <c r="W525">
        <f>HYPERLINK("https://klasma.github.io/Logging_2421/klagomålsmail/A 60880-2023 FSC-klagomål mail.docx", "A 60880-2023")</f>
        <v/>
      </c>
      <c r="X525">
        <f>HYPERLINK("https://klasma.github.io/Logging_2421/tillsyn/A 60880-2023 tillsynsbegäran.docx", "A 60880-2023")</f>
        <v/>
      </c>
      <c r="Y525">
        <f>HYPERLINK("https://klasma.github.io/Logging_2421/tillsynsmail/A 60880-2023 tillsynsbegäran mail.docx", "A 60880-2023")</f>
        <v/>
      </c>
      <c r="Z525">
        <f>HYPERLINK("https://klasma.github.io/Logging_2421/fåglar/A 60880-2023 prioriterade fågelarter.docx", "A 60880-2023")</f>
        <v/>
      </c>
    </row>
    <row r="526" ht="15" customHeight="1">
      <c r="A526" t="inlineStr">
        <is>
          <t>A 60434-2022</t>
        </is>
      </c>
      <c r="B526" s="1" t="n">
        <v>44911</v>
      </c>
      <c r="C526" s="1" t="n">
        <v>46145</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54780-2024</t>
        </is>
      </c>
      <c r="B527" s="1" t="n">
        <v>45618</v>
      </c>
      <c r="C527" s="1" t="n">
        <v>46145</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54802-2024</t>
        </is>
      </c>
      <c r="B528" s="1" t="n">
        <v>45618.50975694445</v>
      </c>
      <c r="C528" s="1" t="n">
        <v>46145</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60422-2024</t>
        </is>
      </c>
      <c r="B529" s="1" t="n">
        <v>45643.54054398148</v>
      </c>
      <c r="C529" s="1" t="n">
        <v>46145</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60422-2024 artfynd.xlsx", "A 60422-2024")</f>
        <v/>
      </c>
      <c r="T529">
        <f>HYPERLINK("https://klasma.github.io/Logging_2481/kartor/A 60422-2024 karta.png", "A 60422-2024")</f>
        <v/>
      </c>
      <c r="V529">
        <f>HYPERLINK("https://klasma.github.io/Logging_2481/klagomål/A 60422-2024 FSC-klagomål.docx", "A 60422-2024")</f>
        <v/>
      </c>
      <c r="W529">
        <f>HYPERLINK("https://klasma.github.io/Logging_2481/klagomålsmail/A 60422-2024 FSC-klagomål mail.docx", "A 60422-2024")</f>
        <v/>
      </c>
      <c r="X529">
        <f>HYPERLINK("https://klasma.github.io/Logging_2481/tillsyn/A 60422-2024 tillsynsbegäran.docx", "A 60422-2024")</f>
        <v/>
      </c>
      <c r="Y529">
        <f>HYPERLINK("https://klasma.github.io/Logging_2481/tillsynsmail/A 60422-2024 tillsynsbegäran mail.docx", "A 60422-2024")</f>
        <v/>
      </c>
    </row>
    <row r="530" ht="15" customHeight="1">
      <c r="A530" t="inlineStr">
        <is>
          <t>A 56435-2023</t>
        </is>
      </c>
      <c r="B530" s="1" t="n">
        <v>45243</v>
      </c>
      <c r="C530" s="1" t="n">
        <v>46145</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30021-2025</t>
        </is>
      </c>
      <c r="B531" s="1" t="n">
        <v>45826.55575231482</v>
      </c>
      <c r="C531" s="1" t="n">
        <v>46145</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52738-2023</t>
        </is>
      </c>
      <c r="B532" s="1" t="n">
        <v>45225</v>
      </c>
      <c r="C532" s="1" t="n">
        <v>46145</v>
      </c>
      <c r="D532" t="inlineStr">
        <is>
          <t>VÄSTERBOTTENS LÄN</t>
        </is>
      </c>
      <c r="E532" t="inlineStr">
        <is>
          <t>DOROTEA</t>
        </is>
      </c>
      <c r="F532" t="inlineStr">
        <is>
          <t>SCA</t>
        </is>
      </c>
      <c r="G532" t="n">
        <v>8.800000000000001</v>
      </c>
      <c r="H532" t="n">
        <v>2</v>
      </c>
      <c r="I532" t="n">
        <v>1</v>
      </c>
      <c r="J532" t="n">
        <v>0</v>
      </c>
      <c r="K532" t="n">
        <v>1</v>
      </c>
      <c r="L532" t="n">
        <v>0</v>
      </c>
      <c r="M532" t="n">
        <v>0</v>
      </c>
      <c r="N532" t="n">
        <v>0</v>
      </c>
      <c r="O532" t="n">
        <v>1</v>
      </c>
      <c r="P532" t="n">
        <v>1</v>
      </c>
      <c r="Q532" t="n">
        <v>3</v>
      </c>
      <c r="R532" s="2" t="inlineStr">
        <is>
          <t>Doftticka
Trådticka
Tjäder</t>
        </is>
      </c>
      <c r="S532">
        <f>HYPERLINK("https://klasma.github.io/Logging_2425/artfynd/A 52738-2023 artfynd.xlsx", "A 52738-2023")</f>
        <v/>
      </c>
      <c r="T532">
        <f>HYPERLINK("https://klasma.github.io/Logging_2425/kartor/A 52738-2023 karta.png", "A 52738-2023")</f>
        <v/>
      </c>
      <c r="V532">
        <f>HYPERLINK("https://klasma.github.io/Logging_2425/klagomål/A 52738-2023 FSC-klagomål.docx", "A 52738-2023")</f>
        <v/>
      </c>
      <c r="W532">
        <f>HYPERLINK("https://klasma.github.io/Logging_2425/klagomålsmail/A 52738-2023 FSC-klagomål mail.docx", "A 52738-2023")</f>
        <v/>
      </c>
      <c r="X532">
        <f>HYPERLINK("https://klasma.github.io/Logging_2425/tillsyn/A 52738-2023 tillsynsbegäran.docx", "A 52738-2023")</f>
        <v/>
      </c>
      <c r="Y532">
        <f>HYPERLINK("https://klasma.github.io/Logging_2425/tillsynsmail/A 52738-2023 tillsynsbegäran mail.docx", "A 52738-2023")</f>
        <v/>
      </c>
      <c r="Z532">
        <f>HYPERLINK("https://klasma.github.io/Logging_2425/fåglar/A 52738-2023 prioriterade fågelarter.docx", "A 52738-2023")</f>
        <v/>
      </c>
    </row>
    <row r="533" ht="15" customHeight="1">
      <c r="A533" t="inlineStr">
        <is>
          <t>A 38401-2025</t>
        </is>
      </c>
      <c r="B533" s="1" t="n">
        <v>45883.58827546296</v>
      </c>
      <c r="C533" s="1" t="n">
        <v>46145</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55641-2024</t>
        </is>
      </c>
      <c r="B534" s="1" t="n">
        <v>45622.61625</v>
      </c>
      <c r="C534" s="1" t="n">
        <v>46145</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53238-2024</t>
        </is>
      </c>
      <c r="B535" s="1" t="n">
        <v>45613</v>
      </c>
      <c r="C535" s="1" t="n">
        <v>46145</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38916-2025</t>
        </is>
      </c>
      <c r="B536" s="1" t="n">
        <v>45887.62298611111</v>
      </c>
      <c r="C536" s="1" t="n">
        <v>46145</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53115-2024</t>
        </is>
      </c>
      <c r="B537" s="1" t="n">
        <v>45611.5784375</v>
      </c>
      <c r="C537" s="1" t="n">
        <v>46145</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6054-2025</t>
        </is>
      </c>
      <c r="B538" s="1" t="n">
        <v>45695</v>
      </c>
      <c r="C538" s="1" t="n">
        <v>46145</v>
      </c>
      <c r="D538" t="inlineStr">
        <is>
          <t>VÄSTERBOTTENS LÄN</t>
        </is>
      </c>
      <c r="E538" t="inlineStr">
        <is>
          <t>UMEÅ</t>
        </is>
      </c>
      <c r="G538" t="n">
        <v>5.4</v>
      </c>
      <c r="H538" t="n">
        <v>1</v>
      </c>
      <c r="I538" t="n">
        <v>0</v>
      </c>
      <c r="J538" t="n">
        <v>3</v>
      </c>
      <c r="K538" t="n">
        <v>0</v>
      </c>
      <c r="L538" t="n">
        <v>0</v>
      </c>
      <c r="M538" t="n">
        <v>0</v>
      </c>
      <c r="N538" t="n">
        <v>0</v>
      </c>
      <c r="O538" t="n">
        <v>3</v>
      </c>
      <c r="P538" t="n">
        <v>0</v>
      </c>
      <c r="Q538" t="n">
        <v>3</v>
      </c>
      <c r="R538" s="2" t="inlineStr">
        <is>
          <t>Harticka
Lundsångare
Svart taggsvamp agg.</t>
        </is>
      </c>
      <c r="S538">
        <f>HYPERLINK("https://klasma.github.io/Logging_2480/artfynd/A 6054-2025 artfynd.xlsx", "A 6054-2025")</f>
        <v/>
      </c>
      <c r="T538">
        <f>HYPERLINK("https://klasma.github.io/Logging_2480/kartor/A 6054-2025 karta.png", "A 6054-2025")</f>
        <v/>
      </c>
      <c r="V538">
        <f>HYPERLINK("https://klasma.github.io/Logging_2480/klagomål/A 6054-2025 FSC-klagomål.docx", "A 6054-2025")</f>
        <v/>
      </c>
      <c r="W538">
        <f>HYPERLINK("https://klasma.github.io/Logging_2480/klagomålsmail/A 6054-2025 FSC-klagomål mail.docx", "A 6054-2025")</f>
        <v/>
      </c>
      <c r="X538">
        <f>HYPERLINK("https://klasma.github.io/Logging_2480/tillsyn/A 6054-2025 tillsynsbegäran.docx", "A 6054-2025")</f>
        <v/>
      </c>
      <c r="Y538">
        <f>HYPERLINK("https://klasma.github.io/Logging_2480/tillsynsmail/A 6054-2025 tillsynsbegäran mail.docx", "A 6054-2025")</f>
        <v/>
      </c>
      <c r="Z538">
        <f>HYPERLINK("https://klasma.github.io/Logging_2480/fåglar/A 6054-2025 prioriterade fågelarter.docx", "A 6054-2025")</f>
        <v/>
      </c>
    </row>
    <row r="539" ht="15" customHeight="1">
      <c r="A539" t="inlineStr">
        <is>
          <t>A 29917-2025</t>
        </is>
      </c>
      <c r="B539" s="1" t="n">
        <v>45826.41837962963</v>
      </c>
      <c r="C539" s="1" t="n">
        <v>46145</v>
      </c>
      <c r="D539" t="inlineStr">
        <is>
          <t>VÄSTERBOTTENS LÄN</t>
        </is>
      </c>
      <c r="E539" t="inlineStr">
        <is>
          <t>UMEÅ</t>
        </is>
      </c>
      <c r="G539" t="n">
        <v>7.7</v>
      </c>
      <c r="H539" t="n">
        <v>0</v>
      </c>
      <c r="I539" t="n">
        <v>1</v>
      </c>
      <c r="J539" t="n">
        <v>2</v>
      </c>
      <c r="K539" t="n">
        <v>0</v>
      </c>
      <c r="L539" t="n">
        <v>0</v>
      </c>
      <c r="M539" t="n">
        <v>0</v>
      </c>
      <c r="N539" t="n">
        <v>0</v>
      </c>
      <c r="O539" t="n">
        <v>2</v>
      </c>
      <c r="P539" t="n">
        <v>0</v>
      </c>
      <c r="Q539" t="n">
        <v>3</v>
      </c>
      <c r="R539" s="2" t="inlineStr">
        <is>
          <t>Granticka
Skogshare
Trådticka</t>
        </is>
      </c>
      <c r="S539">
        <f>HYPERLINK("https://klasma.github.io/Logging_2480/artfynd/A 29917-2025 artfynd.xlsx", "A 29917-2025")</f>
        <v/>
      </c>
      <c r="T539">
        <f>HYPERLINK("https://klasma.github.io/Logging_2480/kartor/A 29917-2025 karta.png", "A 29917-2025")</f>
        <v/>
      </c>
      <c r="V539">
        <f>HYPERLINK("https://klasma.github.io/Logging_2480/klagomål/A 29917-2025 FSC-klagomål.docx", "A 29917-2025")</f>
        <v/>
      </c>
      <c r="W539">
        <f>HYPERLINK("https://klasma.github.io/Logging_2480/klagomålsmail/A 29917-2025 FSC-klagomål mail.docx", "A 29917-2025")</f>
        <v/>
      </c>
      <c r="X539">
        <f>HYPERLINK("https://klasma.github.io/Logging_2480/tillsyn/A 29917-2025 tillsynsbegäran.docx", "A 29917-2025")</f>
        <v/>
      </c>
      <c r="Y539">
        <f>HYPERLINK("https://klasma.github.io/Logging_2480/tillsynsmail/A 29917-2025 tillsynsbegäran mail.docx", "A 29917-2025")</f>
        <v/>
      </c>
    </row>
    <row r="540" ht="15" customHeight="1">
      <c r="A540" t="inlineStr">
        <is>
          <t>A 47327-2024</t>
        </is>
      </c>
      <c r="B540" s="1" t="n">
        <v>45587.38496527778</v>
      </c>
      <c r="C540" s="1" t="n">
        <v>46145</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46145</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18360-2023</t>
        </is>
      </c>
      <c r="B542" s="1" t="n">
        <v>45041</v>
      </c>
      <c r="C542" s="1" t="n">
        <v>46145</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43726-2025</t>
        </is>
      </c>
      <c r="B543" s="1" t="n">
        <v>45912.4291087963</v>
      </c>
      <c r="C543" s="1" t="n">
        <v>46145</v>
      </c>
      <c r="D543" t="inlineStr">
        <is>
          <t>VÄSTERBOTTENS LÄN</t>
        </is>
      </c>
      <c r="E543" t="inlineStr">
        <is>
          <t>LYCKSELE</t>
        </is>
      </c>
      <c r="F543" t="inlineStr">
        <is>
          <t>Sveaskog</t>
        </is>
      </c>
      <c r="G543" t="n">
        <v>10.1</v>
      </c>
      <c r="H543" t="n">
        <v>1</v>
      </c>
      <c r="I543" t="n">
        <v>0</v>
      </c>
      <c r="J543" t="n">
        <v>2</v>
      </c>
      <c r="K543" t="n">
        <v>1</v>
      </c>
      <c r="L543" t="n">
        <v>0</v>
      </c>
      <c r="M543" t="n">
        <v>0</v>
      </c>
      <c r="N543" t="n">
        <v>0</v>
      </c>
      <c r="O543" t="n">
        <v>3</v>
      </c>
      <c r="P543" t="n">
        <v>1</v>
      </c>
      <c r="Q543" t="n">
        <v>3</v>
      </c>
      <c r="R543" s="2" t="inlineStr">
        <is>
          <t>Doftticka
Kolflarnlav
Lunglav</t>
        </is>
      </c>
      <c r="S543">
        <f>HYPERLINK("https://klasma.github.io/Logging_2481/artfynd/A 43726-2025 artfynd.xlsx", "A 43726-2025")</f>
        <v/>
      </c>
      <c r="T543">
        <f>HYPERLINK("https://klasma.github.io/Logging_2481/kartor/A 43726-2025 karta.png", "A 43726-2025")</f>
        <v/>
      </c>
      <c r="V543">
        <f>HYPERLINK("https://klasma.github.io/Logging_2481/klagomål/A 43726-2025 FSC-klagomål.docx", "A 43726-2025")</f>
        <v/>
      </c>
      <c r="W543">
        <f>HYPERLINK("https://klasma.github.io/Logging_2481/klagomålsmail/A 43726-2025 FSC-klagomål mail.docx", "A 43726-2025")</f>
        <v/>
      </c>
      <c r="X543">
        <f>HYPERLINK("https://klasma.github.io/Logging_2481/tillsyn/A 43726-2025 tillsynsbegäran.docx", "A 43726-2025")</f>
        <v/>
      </c>
      <c r="Y543">
        <f>HYPERLINK("https://klasma.github.io/Logging_2481/tillsynsmail/A 43726-2025 tillsynsbegäran mail.docx", "A 43726-2025")</f>
        <v/>
      </c>
    </row>
    <row r="544" ht="15" customHeight="1">
      <c r="A544" t="inlineStr">
        <is>
          <t>A 4962-2025</t>
        </is>
      </c>
      <c r="B544" s="1" t="n">
        <v>45690.38700231481</v>
      </c>
      <c r="C544" s="1" t="n">
        <v>46145</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44084-2025</t>
        </is>
      </c>
      <c r="B545" s="1" t="n">
        <v>45915.55431712963</v>
      </c>
      <c r="C545" s="1" t="n">
        <v>46145</v>
      </c>
      <c r="D545" t="inlineStr">
        <is>
          <t>VÄSTERBOTTENS LÄN</t>
        </is>
      </c>
      <c r="E545" t="inlineStr">
        <is>
          <t>ROBERTSFORS</t>
        </is>
      </c>
      <c r="G545" t="n">
        <v>4.4</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44084-2025 artfynd.xlsx", "A 44084-2025")</f>
        <v/>
      </c>
      <c r="T545">
        <f>HYPERLINK("https://klasma.github.io/Logging_2409/kartor/A 44084-2025 karta.png", "A 44084-2025")</f>
        <v/>
      </c>
      <c r="V545">
        <f>HYPERLINK("https://klasma.github.io/Logging_2409/klagomål/A 44084-2025 FSC-klagomål.docx", "A 44084-2025")</f>
        <v/>
      </c>
      <c r="W545">
        <f>HYPERLINK("https://klasma.github.io/Logging_2409/klagomålsmail/A 44084-2025 FSC-klagomål mail.docx", "A 44084-2025")</f>
        <v/>
      </c>
      <c r="X545">
        <f>HYPERLINK("https://klasma.github.io/Logging_2409/tillsyn/A 44084-2025 tillsynsbegäran.docx", "A 44084-2025")</f>
        <v/>
      </c>
      <c r="Y545">
        <f>HYPERLINK("https://klasma.github.io/Logging_2409/tillsynsmail/A 44084-2025 tillsynsbegäran mail.docx", "A 44084-2025")</f>
        <v/>
      </c>
      <c r="Z545">
        <f>HYPERLINK("https://klasma.github.io/Logging_2409/fåglar/A 44084-2025 prioriterade fågelarter.docx", "A 44084-2025")</f>
        <v/>
      </c>
    </row>
    <row r="546" ht="15" customHeight="1">
      <c r="A546" t="inlineStr">
        <is>
          <t>A 42063-2024</t>
        </is>
      </c>
      <c r="B546" s="1" t="n">
        <v>45561</v>
      </c>
      <c r="C546" s="1" t="n">
        <v>46145</v>
      </c>
      <c r="D546" t="inlineStr">
        <is>
          <t>VÄSTERBOTTENS LÄN</t>
        </is>
      </c>
      <c r="E546" t="inlineStr">
        <is>
          <t>VILHELMINA</t>
        </is>
      </c>
      <c r="G546" t="n">
        <v>7.4</v>
      </c>
      <c r="H546" t="n">
        <v>0</v>
      </c>
      <c r="I546" t="n">
        <v>1</v>
      </c>
      <c r="J546" t="n">
        <v>2</v>
      </c>
      <c r="K546" t="n">
        <v>0</v>
      </c>
      <c r="L546" t="n">
        <v>0</v>
      </c>
      <c r="M546" t="n">
        <v>0</v>
      </c>
      <c r="N546" t="n">
        <v>0</v>
      </c>
      <c r="O546" t="n">
        <v>2</v>
      </c>
      <c r="P546" t="n">
        <v>0</v>
      </c>
      <c r="Q546" t="n">
        <v>3</v>
      </c>
      <c r="R546" s="2" t="inlineStr">
        <is>
          <t>Garnlav
Skrovellav
Luddlav</t>
        </is>
      </c>
      <c r="S546">
        <f>HYPERLINK("https://klasma.github.io/Logging_2462/artfynd/A 42063-2024 artfynd.xlsx", "A 42063-2024")</f>
        <v/>
      </c>
      <c r="T546">
        <f>HYPERLINK("https://klasma.github.io/Logging_2462/kartor/A 42063-2024 karta.png", "A 42063-2024")</f>
        <v/>
      </c>
      <c r="V546">
        <f>HYPERLINK("https://klasma.github.io/Logging_2462/klagomål/A 42063-2024 FSC-klagomål.docx", "A 42063-2024")</f>
        <v/>
      </c>
      <c r="W546">
        <f>HYPERLINK("https://klasma.github.io/Logging_2462/klagomålsmail/A 42063-2024 FSC-klagomål mail.docx", "A 42063-2024")</f>
        <v/>
      </c>
      <c r="X546">
        <f>HYPERLINK("https://klasma.github.io/Logging_2462/tillsyn/A 42063-2024 tillsynsbegäran.docx", "A 42063-2024")</f>
        <v/>
      </c>
      <c r="Y546">
        <f>HYPERLINK("https://klasma.github.io/Logging_2462/tillsynsmail/A 42063-2024 tillsynsbegäran mail.docx", "A 42063-2024")</f>
        <v/>
      </c>
    </row>
    <row r="547" ht="15" customHeight="1">
      <c r="A547" t="inlineStr">
        <is>
          <t>A 47036-2025</t>
        </is>
      </c>
      <c r="B547" s="1" t="n">
        <v>45929.594375</v>
      </c>
      <c r="C547" s="1" t="n">
        <v>46145</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46145</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58525-2023</t>
        </is>
      </c>
      <c r="B549" s="1" t="n">
        <v>45251.38579861111</v>
      </c>
      <c r="C549" s="1" t="n">
        <v>46145</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11190-2025</t>
        </is>
      </c>
      <c r="B550" s="1" t="n">
        <v>45725</v>
      </c>
      <c r="C550" s="1" t="n">
        <v>46145</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46145</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45409-2024</t>
        </is>
      </c>
      <c r="B552" s="1" t="n">
        <v>45576.58877314815</v>
      </c>
      <c r="C552" s="1" t="n">
        <v>46145</v>
      </c>
      <c r="D552" t="inlineStr">
        <is>
          <t>VÄSTERBOTTENS LÄN</t>
        </is>
      </c>
      <c r="E552" t="inlineStr">
        <is>
          <t>MALÅ</t>
        </is>
      </c>
      <c r="F552" t="inlineStr">
        <is>
          <t>Sveaskog</t>
        </is>
      </c>
      <c r="G552" t="n">
        <v>17.5</v>
      </c>
      <c r="H552" t="n">
        <v>0</v>
      </c>
      <c r="I552" t="n">
        <v>2</v>
      </c>
      <c r="J552" t="n">
        <v>0</v>
      </c>
      <c r="K552" t="n">
        <v>1</v>
      </c>
      <c r="L552" t="n">
        <v>0</v>
      </c>
      <c r="M552" t="n">
        <v>0</v>
      </c>
      <c r="N552" t="n">
        <v>0</v>
      </c>
      <c r="O552" t="n">
        <v>1</v>
      </c>
      <c r="P552" t="n">
        <v>1</v>
      </c>
      <c r="Q552" t="n">
        <v>3</v>
      </c>
      <c r="R552" s="2" t="inlineStr">
        <is>
          <t>Tajgaskinn
Bronshjon
Dropptaggsvamp</t>
        </is>
      </c>
      <c r="S552">
        <f>HYPERLINK("https://klasma.github.io/Logging_2418/artfynd/A 45409-2024 artfynd.xlsx", "A 45409-2024")</f>
        <v/>
      </c>
      <c r="T552">
        <f>HYPERLINK("https://klasma.github.io/Logging_2418/kartor/A 45409-2024 karta.png", "A 45409-2024")</f>
        <v/>
      </c>
      <c r="V552">
        <f>HYPERLINK("https://klasma.github.io/Logging_2418/klagomål/A 45409-2024 FSC-klagomål.docx", "A 45409-2024")</f>
        <v/>
      </c>
      <c r="W552">
        <f>HYPERLINK("https://klasma.github.io/Logging_2418/klagomålsmail/A 45409-2024 FSC-klagomål mail.docx", "A 45409-2024")</f>
        <v/>
      </c>
      <c r="X552">
        <f>HYPERLINK("https://klasma.github.io/Logging_2418/tillsyn/A 45409-2024 tillsynsbegäran.docx", "A 45409-2024")</f>
        <v/>
      </c>
      <c r="Y552">
        <f>HYPERLINK("https://klasma.github.io/Logging_2418/tillsynsmail/A 45409-2024 tillsynsbegäran mail.docx", "A 45409-2024")</f>
        <v/>
      </c>
    </row>
    <row r="553" ht="15" customHeight="1">
      <c r="A553" t="inlineStr">
        <is>
          <t>A 44074-2023</t>
        </is>
      </c>
      <c r="B553" s="1" t="n">
        <v>45188</v>
      </c>
      <c r="C553" s="1" t="n">
        <v>46145</v>
      </c>
      <c r="D553" t="inlineStr">
        <is>
          <t>VÄSTERBOTTENS LÄN</t>
        </is>
      </c>
      <c r="E553" t="inlineStr">
        <is>
          <t>STORUMAN</t>
        </is>
      </c>
      <c r="G553" t="n">
        <v>5.3</v>
      </c>
      <c r="H553" t="n">
        <v>0</v>
      </c>
      <c r="I553" t="n">
        <v>3</v>
      </c>
      <c r="J553" t="n">
        <v>0</v>
      </c>
      <c r="K553" t="n">
        <v>0</v>
      </c>
      <c r="L553" t="n">
        <v>0</v>
      </c>
      <c r="M553" t="n">
        <v>0</v>
      </c>
      <c r="N553" t="n">
        <v>0</v>
      </c>
      <c r="O553" t="n">
        <v>0</v>
      </c>
      <c r="P553" t="n">
        <v>0</v>
      </c>
      <c r="Q553" t="n">
        <v>3</v>
      </c>
      <c r="R553" s="2" t="inlineStr">
        <is>
          <t>Stor aspticka
Svart trolldruva
Tibast</t>
        </is>
      </c>
      <c r="S553">
        <f>HYPERLINK("https://klasma.github.io/Logging_2421/artfynd/A 44074-2023 artfynd.xlsx", "A 44074-2023")</f>
        <v/>
      </c>
      <c r="T553">
        <f>HYPERLINK("https://klasma.github.io/Logging_2421/kartor/A 44074-2023 karta.png", "A 44074-2023")</f>
        <v/>
      </c>
      <c r="V553">
        <f>HYPERLINK("https://klasma.github.io/Logging_2421/klagomål/A 44074-2023 FSC-klagomål.docx", "A 44074-2023")</f>
        <v/>
      </c>
      <c r="W553">
        <f>HYPERLINK("https://klasma.github.io/Logging_2421/klagomålsmail/A 44074-2023 FSC-klagomål mail.docx", "A 44074-2023")</f>
        <v/>
      </c>
      <c r="X553">
        <f>HYPERLINK("https://klasma.github.io/Logging_2421/tillsyn/A 44074-2023 tillsynsbegäran.docx", "A 44074-2023")</f>
        <v/>
      </c>
      <c r="Y553">
        <f>HYPERLINK("https://klasma.github.io/Logging_2421/tillsynsmail/A 44074-2023 tillsynsbegäran mail.docx", "A 44074-2023")</f>
        <v/>
      </c>
    </row>
    <row r="554" ht="15" customHeight="1">
      <c r="A554" t="inlineStr">
        <is>
          <t>A 53808-2023</t>
        </is>
      </c>
      <c r="B554" s="1" t="n">
        <v>45231</v>
      </c>
      <c r="C554" s="1" t="n">
        <v>46145</v>
      </c>
      <c r="D554" t="inlineStr">
        <is>
          <t>VÄSTERBOTTENS LÄN</t>
        </is>
      </c>
      <c r="E554" t="inlineStr">
        <is>
          <t>LYCKSELE</t>
        </is>
      </c>
      <c r="F554" t="inlineStr">
        <is>
          <t>Sveaskog</t>
        </is>
      </c>
      <c r="G554" t="n">
        <v>1.8</v>
      </c>
      <c r="H554" t="n">
        <v>0</v>
      </c>
      <c r="I554" t="n">
        <v>2</v>
      </c>
      <c r="J554" t="n">
        <v>1</v>
      </c>
      <c r="K554" t="n">
        <v>0</v>
      </c>
      <c r="L554" t="n">
        <v>0</v>
      </c>
      <c r="M554" t="n">
        <v>0</v>
      </c>
      <c r="N554" t="n">
        <v>0</v>
      </c>
      <c r="O554" t="n">
        <v>1</v>
      </c>
      <c r="P554" t="n">
        <v>0</v>
      </c>
      <c r="Q554" t="n">
        <v>3</v>
      </c>
      <c r="R554" s="2" t="inlineStr">
        <is>
          <t>Vedflamlav
Brandticka
Gullgröppa</t>
        </is>
      </c>
      <c r="S554">
        <f>HYPERLINK("https://klasma.github.io/Logging_2481/artfynd/A 53808-2023 artfynd.xlsx", "A 53808-2023")</f>
        <v/>
      </c>
      <c r="T554">
        <f>HYPERLINK("https://klasma.github.io/Logging_2481/kartor/A 53808-2023 karta.png", "A 53808-2023")</f>
        <v/>
      </c>
      <c r="V554">
        <f>HYPERLINK("https://klasma.github.io/Logging_2481/klagomål/A 53808-2023 FSC-klagomål.docx", "A 53808-2023")</f>
        <v/>
      </c>
      <c r="W554">
        <f>HYPERLINK("https://klasma.github.io/Logging_2481/klagomålsmail/A 53808-2023 FSC-klagomål mail.docx", "A 53808-2023")</f>
        <v/>
      </c>
      <c r="X554">
        <f>HYPERLINK("https://klasma.github.io/Logging_2481/tillsyn/A 53808-2023 tillsynsbegäran.docx", "A 53808-2023")</f>
        <v/>
      </c>
      <c r="Y554">
        <f>HYPERLINK("https://klasma.github.io/Logging_2481/tillsynsmail/A 53808-2023 tillsynsbegäran mail.docx", "A 53808-2023")</f>
        <v/>
      </c>
    </row>
    <row r="555" ht="15" customHeight="1">
      <c r="A555" t="inlineStr">
        <is>
          <t>A 65240-2023</t>
        </is>
      </c>
      <c r="B555" s="1" t="n">
        <v>45289</v>
      </c>
      <c r="C555" s="1" t="n">
        <v>46145</v>
      </c>
      <c r="D555" t="inlineStr">
        <is>
          <t>VÄSTERBOTTENS LÄN</t>
        </is>
      </c>
      <c r="E555" t="inlineStr">
        <is>
          <t>NORSJÖ</t>
        </is>
      </c>
      <c r="G555" t="n">
        <v>4.8</v>
      </c>
      <c r="H555" t="n">
        <v>1</v>
      </c>
      <c r="I555" t="n">
        <v>0</v>
      </c>
      <c r="J555" t="n">
        <v>3</v>
      </c>
      <c r="K555" t="n">
        <v>0</v>
      </c>
      <c r="L555" t="n">
        <v>0</v>
      </c>
      <c r="M555" t="n">
        <v>0</v>
      </c>
      <c r="N555" t="n">
        <v>0</v>
      </c>
      <c r="O555" t="n">
        <v>3</v>
      </c>
      <c r="P555" t="n">
        <v>0</v>
      </c>
      <c r="Q555" t="n">
        <v>3</v>
      </c>
      <c r="R555" s="2" t="inlineStr">
        <is>
          <t>Granticka
Spillkråka
Ullticka</t>
        </is>
      </c>
      <c r="S555">
        <f>HYPERLINK("https://klasma.github.io/Logging_2417/artfynd/A 65240-2023 artfynd.xlsx", "A 65240-2023")</f>
        <v/>
      </c>
      <c r="T555">
        <f>HYPERLINK("https://klasma.github.io/Logging_2417/kartor/A 65240-2023 karta.png", "A 65240-2023")</f>
        <v/>
      </c>
      <c r="V555">
        <f>HYPERLINK("https://klasma.github.io/Logging_2417/klagomål/A 65240-2023 FSC-klagomål.docx", "A 65240-2023")</f>
        <v/>
      </c>
      <c r="W555">
        <f>HYPERLINK("https://klasma.github.io/Logging_2417/klagomålsmail/A 65240-2023 FSC-klagomål mail.docx", "A 65240-2023")</f>
        <v/>
      </c>
      <c r="X555">
        <f>HYPERLINK("https://klasma.github.io/Logging_2417/tillsyn/A 65240-2023 tillsynsbegäran.docx", "A 65240-2023")</f>
        <v/>
      </c>
      <c r="Y555">
        <f>HYPERLINK("https://klasma.github.io/Logging_2417/tillsynsmail/A 65240-2023 tillsynsbegäran mail.docx", "A 65240-2023")</f>
        <v/>
      </c>
      <c r="Z555">
        <f>HYPERLINK("https://klasma.github.io/Logging_2417/fåglar/A 65240-2023 prioriterade fågelarter.docx", "A 65240-2023")</f>
        <v/>
      </c>
    </row>
    <row r="556" ht="15" customHeight="1">
      <c r="A556" t="inlineStr">
        <is>
          <t>A 38534-2024</t>
        </is>
      </c>
      <c r="B556" s="1" t="n">
        <v>45546</v>
      </c>
      <c r="C556" s="1" t="n">
        <v>46145</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53897-2025</t>
        </is>
      </c>
      <c r="B557" s="1" t="n">
        <v>45961.42766203704</v>
      </c>
      <c r="C557" s="1" t="n">
        <v>46145</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56618-2024</t>
        </is>
      </c>
      <c r="B558" s="1" t="n">
        <v>45625</v>
      </c>
      <c r="C558" s="1" t="n">
        <v>46145</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55024-2025</t>
        </is>
      </c>
      <c r="B559" s="1" t="n">
        <v>45967.63331018519</v>
      </c>
      <c r="C559" s="1" t="n">
        <v>46145</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57388-2025</t>
        </is>
      </c>
      <c r="B560" s="1" t="n">
        <v>45980.41665509259</v>
      </c>
      <c r="C560" s="1" t="n">
        <v>46145</v>
      </c>
      <c r="D560" t="inlineStr">
        <is>
          <t>VÄSTERBOTTENS LÄN</t>
        </is>
      </c>
      <c r="E560" t="inlineStr">
        <is>
          <t>SKELLEFTEÅ</t>
        </is>
      </c>
      <c r="F560" t="inlineStr">
        <is>
          <t>Sveaskog</t>
        </is>
      </c>
      <c r="G560" t="n">
        <v>6.6</v>
      </c>
      <c r="H560" t="n">
        <v>0</v>
      </c>
      <c r="I560" t="n">
        <v>1</v>
      </c>
      <c r="J560" t="n">
        <v>2</v>
      </c>
      <c r="K560" t="n">
        <v>0</v>
      </c>
      <c r="L560" t="n">
        <v>0</v>
      </c>
      <c r="M560" t="n">
        <v>0</v>
      </c>
      <c r="N560" t="n">
        <v>0</v>
      </c>
      <c r="O560" t="n">
        <v>2</v>
      </c>
      <c r="P560" t="n">
        <v>0</v>
      </c>
      <c r="Q560" t="n">
        <v>3</v>
      </c>
      <c r="R560" s="2" t="inlineStr">
        <is>
          <t>Gammelgransskål
Granticka
Vedticka</t>
        </is>
      </c>
      <c r="S560">
        <f>HYPERLINK("https://klasma.github.io/Logging_2482/artfynd/A 57388-2025 artfynd.xlsx", "A 57388-2025")</f>
        <v/>
      </c>
      <c r="T560">
        <f>HYPERLINK("https://klasma.github.io/Logging_2482/kartor/A 57388-2025 karta.png", "A 57388-2025")</f>
        <v/>
      </c>
      <c r="V560">
        <f>HYPERLINK("https://klasma.github.io/Logging_2482/klagomål/A 57388-2025 FSC-klagomål.docx", "A 57388-2025")</f>
        <v/>
      </c>
      <c r="W560">
        <f>HYPERLINK("https://klasma.github.io/Logging_2482/klagomålsmail/A 57388-2025 FSC-klagomål mail.docx", "A 57388-2025")</f>
        <v/>
      </c>
      <c r="X560">
        <f>HYPERLINK("https://klasma.github.io/Logging_2482/tillsyn/A 57388-2025 tillsynsbegäran.docx", "A 57388-2025")</f>
        <v/>
      </c>
      <c r="Y560">
        <f>HYPERLINK("https://klasma.github.io/Logging_2482/tillsynsmail/A 57388-2025 tillsynsbegäran mail.docx", "A 57388-2025")</f>
        <v/>
      </c>
    </row>
    <row r="561" ht="15" customHeight="1">
      <c r="A561" t="inlineStr">
        <is>
          <t>A 57233-2025</t>
        </is>
      </c>
      <c r="B561" s="1" t="n">
        <v>45979.6204050926</v>
      </c>
      <c r="C561" s="1" t="n">
        <v>46145</v>
      </c>
      <c r="D561" t="inlineStr">
        <is>
          <t>VÄSTERBOTTENS LÄN</t>
        </is>
      </c>
      <c r="E561" t="inlineStr">
        <is>
          <t>STORUMAN</t>
        </is>
      </c>
      <c r="F561" t="inlineStr">
        <is>
          <t>Sveaskog</t>
        </is>
      </c>
      <c r="G561" t="n">
        <v>15.3</v>
      </c>
      <c r="H561" t="n">
        <v>1</v>
      </c>
      <c r="I561" t="n">
        <v>1</v>
      </c>
      <c r="J561" t="n">
        <v>1</v>
      </c>
      <c r="K561" t="n">
        <v>0</v>
      </c>
      <c r="L561" t="n">
        <v>0</v>
      </c>
      <c r="M561" t="n">
        <v>0</v>
      </c>
      <c r="N561" t="n">
        <v>0</v>
      </c>
      <c r="O561" t="n">
        <v>1</v>
      </c>
      <c r="P561" t="n">
        <v>0</v>
      </c>
      <c r="Q561" t="n">
        <v>3</v>
      </c>
      <c r="R561" s="2" t="inlineStr">
        <is>
          <t>Garnlav
Stuplav
Lavskrika</t>
        </is>
      </c>
      <c r="S561">
        <f>HYPERLINK("https://klasma.github.io/Logging_2421/artfynd/A 57233-2025 artfynd.xlsx", "A 57233-2025")</f>
        <v/>
      </c>
      <c r="T561">
        <f>HYPERLINK("https://klasma.github.io/Logging_2421/kartor/A 57233-2025 karta.png", "A 57233-2025")</f>
        <v/>
      </c>
      <c r="V561">
        <f>HYPERLINK("https://klasma.github.io/Logging_2421/klagomål/A 57233-2025 FSC-klagomål.docx", "A 57233-2025")</f>
        <v/>
      </c>
      <c r="W561">
        <f>HYPERLINK("https://klasma.github.io/Logging_2421/klagomålsmail/A 57233-2025 FSC-klagomål mail.docx", "A 57233-2025")</f>
        <v/>
      </c>
      <c r="X561">
        <f>HYPERLINK("https://klasma.github.io/Logging_2421/tillsyn/A 57233-2025 tillsynsbegäran.docx", "A 57233-2025")</f>
        <v/>
      </c>
      <c r="Y561">
        <f>HYPERLINK("https://klasma.github.io/Logging_2421/tillsynsmail/A 57233-2025 tillsynsbegäran mail.docx", "A 57233-2025")</f>
        <v/>
      </c>
      <c r="Z561">
        <f>HYPERLINK("https://klasma.github.io/Logging_2421/fåglar/A 57233-2025 prioriterade fågelarter.docx", "A 57233-2025")</f>
        <v/>
      </c>
    </row>
    <row r="562" ht="15" customHeight="1">
      <c r="A562" t="inlineStr">
        <is>
          <t>A 57776-2025</t>
        </is>
      </c>
      <c r="B562" s="1" t="n">
        <v>45981.56534722223</v>
      </c>
      <c r="C562" s="1" t="n">
        <v>46145</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57783-2025</t>
        </is>
      </c>
      <c r="B563" s="1" t="n">
        <v>45981.57350694444</v>
      </c>
      <c r="C563" s="1" t="n">
        <v>46145</v>
      </c>
      <c r="D563" t="inlineStr">
        <is>
          <t>VÄSTERBOTTENS LÄN</t>
        </is>
      </c>
      <c r="E563" t="inlineStr">
        <is>
          <t>DOROTEA</t>
        </is>
      </c>
      <c r="F563" t="inlineStr">
        <is>
          <t>SCA</t>
        </is>
      </c>
      <c r="G563" t="n">
        <v>8.5</v>
      </c>
      <c r="H563" t="n">
        <v>1</v>
      </c>
      <c r="I563" t="n">
        <v>0</v>
      </c>
      <c r="J563" t="n">
        <v>2</v>
      </c>
      <c r="K563" t="n">
        <v>1</v>
      </c>
      <c r="L563" t="n">
        <v>0</v>
      </c>
      <c r="M563" t="n">
        <v>0</v>
      </c>
      <c r="N563" t="n">
        <v>0</v>
      </c>
      <c r="O563" t="n">
        <v>3</v>
      </c>
      <c r="P563" t="n">
        <v>1</v>
      </c>
      <c r="Q563" t="n">
        <v>3</v>
      </c>
      <c r="R563" s="2" t="inlineStr">
        <is>
          <t>Aspgelélav
Gammelgransskål
Tretåig hackspett</t>
        </is>
      </c>
      <c r="S563">
        <f>HYPERLINK("https://klasma.github.io/Logging_2425/artfynd/A 57783-2025 artfynd.xlsx", "A 57783-2025")</f>
        <v/>
      </c>
      <c r="T563">
        <f>HYPERLINK("https://klasma.github.io/Logging_2425/kartor/A 57783-2025 karta.png", "A 57783-2025")</f>
        <v/>
      </c>
      <c r="V563">
        <f>HYPERLINK("https://klasma.github.io/Logging_2425/klagomål/A 57783-2025 FSC-klagomål.docx", "A 57783-2025")</f>
        <v/>
      </c>
      <c r="W563">
        <f>HYPERLINK("https://klasma.github.io/Logging_2425/klagomålsmail/A 57783-2025 FSC-klagomål mail.docx", "A 57783-2025")</f>
        <v/>
      </c>
      <c r="X563">
        <f>HYPERLINK("https://klasma.github.io/Logging_2425/tillsyn/A 57783-2025 tillsynsbegäran.docx", "A 57783-2025")</f>
        <v/>
      </c>
      <c r="Y563">
        <f>HYPERLINK("https://klasma.github.io/Logging_2425/tillsynsmail/A 57783-2025 tillsynsbegäran mail.docx", "A 57783-2025")</f>
        <v/>
      </c>
      <c r="Z563">
        <f>HYPERLINK("https://klasma.github.io/Logging_2425/fåglar/A 57783-2025 prioriterade fågelarter.docx", "A 57783-2025")</f>
        <v/>
      </c>
    </row>
    <row r="564" ht="15" customHeight="1">
      <c r="A564" t="inlineStr">
        <is>
          <t>A 57758-2025</t>
        </is>
      </c>
      <c r="B564" s="1" t="n">
        <v>45981.55208333334</v>
      </c>
      <c r="C564" s="1" t="n">
        <v>46145</v>
      </c>
      <c r="D564" t="inlineStr">
        <is>
          <t>VÄSTERBOTTENS LÄN</t>
        </is>
      </c>
      <c r="E564" t="inlineStr">
        <is>
          <t>NORSJÖ</t>
        </is>
      </c>
      <c r="F564" t="inlineStr">
        <is>
          <t>Sveaskog</t>
        </is>
      </c>
      <c r="G564" t="n">
        <v>6.9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57758-2025 artfynd.xlsx", "A 57758-2025")</f>
        <v/>
      </c>
      <c r="T564">
        <f>HYPERLINK("https://klasma.github.io/Logging_2417/kartor/A 57758-2025 karta.png", "A 57758-2025")</f>
        <v/>
      </c>
      <c r="V564">
        <f>HYPERLINK("https://klasma.github.io/Logging_2417/klagomål/A 57758-2025 FSC-klagomål.docx", "A 57758-2025")</f>
        <v/>
      </c>
      <c r="W564">
        <f>HYPERLINK("https://klasma.github.io/Logging_2417/klagomålsmail/A 57758-2025 FSC-klagomål mail.docx", "A 57758-2025")</f>
        <v/>
      </c>
      <c r="X564">
        <f>HYPERLINK("https://klasma.github.io/Logging_2417/tillsyn/A 57758-2025 tillsynsbegäran.docx", "A 57758-2025")</f>
        <v/>
      </c>
      <c r="Y564">
        <f>HYPERLINK("https://klasma.github.io/Logging_2417/tillsynsmail/A 57758-2025 tillsynsbegäran mail.docx", "A 57758-2025")</f>
        <v/>
      </c>
    </row>
    <row r="565" ht="15" customHeight="1">
      <c r="A565" t="inlineStr">
        <is>
          <t>A 57759-2025</t>
        </is>
      </c>
      <c r="B565" s="1" t="n">
        <v>45981.55298611111</v>
      </c>
      <c r="C565" s="1" t="n">
        <v>46145</v>
      </c>
      <c r="D565" t="inlineStr">
        <is>
          <t>VÄSTERBOTTENS LÄN</t>
        </is>
      </c>
      <c r="E565" t="inlineStr">
        <is>
          <t>NORSJÖ</t>
        </is>
      </c>
      <c r="F565" t="inlineStr">
        <is>
          <t>Sveaskog</t>
        </is>
      </c>
      <c r="G565" t="n">
        <v>11</v>
      </c>
      <c r="H565" t="n">
        <v>1</v>
      </c>
      <c r="I565" t="n">
        <v>1</v>
      </c>
      <c r="J565" t="n">
        <v>2</v>
      </c>
      <c r="K565" t="n">
        <v>0</v>
      </c>
      <c r="L565" t="n">
        <v>0</v>
      </c>
      <c r="M565" t="n">
        <v>0</v>
      </c>
      <c r="N565" t="n">
        <v>0</v>
      </c>
      <c r="O565" t="n">
        <v>2</v>
      </c>
      <c r="P565" t="n">
        <v>0</v>
      </c>
      <c r="Q565" t="n">
        <v>3</v>
      </c>
      <c r="R565" s="2" t="inlineStr">
        <is>
          <t>Kolflarnlav
Mörk kolflarnlav
Plattlummer</t>
        </is>
      </c>
      <c r="S565">
        <f>HYPERLINK("https://klasma.github.io/Logging_2417/artfynd/A 57759-2025 artfynd.xlsx", "A 57759-2025")</f>
        <v/>
      </c>
      <c r="T565">
        <f>HYPERLINK("https://klasma.github.io/Logging_2417/kartor/A 57759-2025 karta.png", "A 57759-2025")</f>
        <v/>
      </c>
      <c r="V565">
        <f>HYPERLINK("https://klasma.github.io/Logging_2417/klagomål/A 57759-2025 FSC-klagomål.docx", "A 57759-2025")</f>
        <v/>
      </c>
      <c r="W565">
        <f>HYPERLINK("https://klasma.github.io/Logging_2417/klagomålsmail/A 57759-2025 FSC-klagomål mail.docx", "A 57759-2025")</f>
        <v/>
      </c>
      <c r="X565">
        <f>HYPERLINK("https://klasma.github.io/Logging_2417/tillsyn/A 57759-2025 tillsynsbegäran.docx", "A 57759-2025")</f>
        <v/>
      </c>
      <c r="Y565">
        <f>HYPERLINK("https://klasma.github.io/Logging_2417/tillsynsmail/A 57759-2025 tillsynsbegäran mail.docx", "A 57759-2025")</f>
        <v/>
      </c>
    </row>
    <row r="566" ht="15" customHeight="1">
      <c r="A566" t="inlineStr">
        <is>
          <t>A 59076-2025</t>
        </is>
      </c>
      <c r="B566" s="1" t="n">
        <v>45988.42956018518</v>
      </c>
      <c r="C566" s="1" t="n">
        <v>46145</v>
      </c>
      <c r="D566" t="inlineStr">
        <is>
          <t>VÄSTERBOTTENS LÄN</t>
        </is>
      </c>
      <c r="E566" t="inlineStr">
        <is>
          <t>SKELLEFTEÅ</t>
        </is>
      </c>
      <c r="G566" t="n">
        <v>5.1</v>
      </c>
      <c r="H566" t="n">
        <v>0</v>
      </c>
      <c r="I566" t="n">
        <v>2</v>
      </c>
      <c r="J566" t="n">
        <v>1</v>
      </c>
      <c r="K566" t="n">
        <v>0</v>
      </c>
      <c r="L566" t="n">
        <v>0</v>
      </c>
      <c r="M566" t="n">
        <v>0</v>
      </c>
      <c r="N566" t="n">
        <v>0</v>
      </c>
      <c r="O566" t="n">
        <v>1</v>
      </c>
      <c r="P566" t="n">
        <v>0</v>
      </c>
      <c r="Q566" t="n">
        <v>3</v>
      </c>
      <c r="R566" s="2" t="inlineStr">
        <is>
          <t>Ullticka
Bårdlav
Stuplav</t>
        </is>
      </c>
      <c r="S566">
        <f>HYPERLINK("https://klasma.github.io/Logging_2482/artfynd/A 59076-2025 artfynd.xlsx", "A 59076-2025")</f>
        <v/>
      </c>
      <c r="T566">
        <f>HYPERLINK("https://klasma.github.io/Logging_2482/kartor/A 59076-2025 karta.png", "A 59076-2025")</f>
        <v/>
      </c>
      <c r="V566">
        <f>HYPERLINK("https://klasma.github.io/Logging_2482/klagomål/A 59076-2025 FSC-klagomål.docx", "A 59076-2025")</f>
        <v/>
      </c>
      <c r="W566">
        <f>HYPERLINK("https://klasma.github.io/Logging_2482/klagomålsmail/A 59076-2025 FSC-klagomål mail.docx", "A 59076-2025")</f>
        <v/>
      </c>
      <c r="X566">
        <f>HYPERLINK("https://klasma.github.io/Logging_2482/tillsyn/A 59076-2025 tillsynsbegäran.docx", "A 59076-2025")</f>
        <v/>
      </c>
      <c r="Y566">
        <f>HYPERLINK("https://klasma.github.io/Logging_2482/tillsynsmail/A 59076-2025 tillsynsbegäran mail.docx", "A 59076-2025")</f>
        <v/>
      </c>
    </row>
    <row r="567" ht="15" customHeight="1">
      <c r="A567" t="inlineStr">
        <is>
          <t>A 6922-2025</t>
        </is>
      </c>
      <c r="B567" s="1" t="n">
        <v>45701</v>
      </c>
      <c r="C567" s="1" t="n">
        <v>46145</v>
      </c>
      <c r="D567" t="inlineStr">
        <is>
          <t>VÄSTERBOTTENS LÄN</t>
        </is>
      </c>
      <c r="E567" t="inlineStr">
        <is>
          <t>NORDMALING</t>
        </is>
      </c>
      <c r="F567" t="inlineStr">
        <is>
          <t>SCA</t>
        </is>
      </c>
      <c r="G567" t="n">
        <v>9.699999999999999</v>
      </c>
      <c r="H567" t="n">
        <v>0</v>
      </c>
      <c r="I567" t="n">
        <v>0</v>
      </c>
      <c r="J567" t="n">
        <v>3</v>
      </c>
      <c r="K567" t="n">
        <v>0</v>
      </c>
      <c r="L567" t="n">
        <v>0</v>
      </c>
      <c r="M567" t="n">
        <v>0</v>
      </c>
      <c r="N567" t="n">
        <v>0</v>
      </c>
      <c r="O567" t="n">
        <v>3</v>
      </c>
      <c r="P567" t="n">
        <v>0</v>
      </c>
      <c r="Q567" t="n">
        <v>3</v>
      </c>
      <c r="R567" s="2" t="inlineStr">
        <is>
          <t>Doftskinn
Garnlav
Violettgrå tagellav</t>
        </is>
      </c>
      <c r="S567">
        <f>HYPERLINK("https://klasma.github.io/Logging_2401/artfynd/A 6922-2025 artfynd.xlsx", "A 6922-2025")</f>
        <v/>
      </c>
      <c r="T567">
        <f>HYPERLINK("https://klasma.github.io/Logging_2401/kartor/A 6922-2025 karta.png", "A 6922-2025")</f>
        <v/>
      </c>
      <c r="V567">
        <f>HYPERLINK("https://klasma.github.io/Logging_2401/klagomål/A 6922-2025 FSC-klagomål.docx", "A 6922-2025")</f>
        <v/>
      </c>
      <c r="W567">
        <f>HYPERLINK("https://klasma.github.io/Logging_2401/klagomålsmail/A 6922-2025 FSC-klagomål mail.docx", "A 6922-2025")</f>
        <v/>
      </c>
      <c r="X567">
        <f>HYPERLINK("https://klasma.github.io/Logging_2401/tillsyn/A 6922-2025 tillsynsbegäran.docx", "A 6922-2025")</f>
        <v/>
      </c>
      <c r="Y567">
        <f>HYPERLINK("https://klasma.github.io/Logging_2401/tillsynsmail/A 6922-2025 tillsynsbegäran mail.docx", "A 6922-2025")</f>
        <v/>
      </c>
    </row>
    <row r="568" ht="15" customHeight="1">
      <c r="A568" t="inlineStr">
        <is>
          <t>A 60564-2025</t>
        </is>
      </c>
      <c r="B568" s="1" t="n">
        <v>45994</v>
      </c>
      <c r="C568" s="1" t="n">
        <v>46145</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61101-2025</t>
        </is>
      </c>
      <c r="B569" s="1" t="n">
        <v>46000.44283564815</v>
      </c>
      <c r="C569" s="1" t="n">
        <v>46145</v>
      </c>
      <c r="D569" t="inlineStr">
        <is>
          <t>VÄSTERBOTTENS LÄN</t>
        </is>
      </c>
      <c r="E569" t="inlineStr">
        <is>
          <t>SKELLEFTEÅ</t>
        </is>
      </c>
      <c r="F569" t="inlineStr">
        <is>
          <t>Holmen skog AB</t>
        </is>
      </c>
      <c r="G569" t="n">
        <v>13.7</v>
      </c>
      <c r="H569" t="n">
        <v>0</v>
      </c>
      <c r="I569" t="n">
        <v>1</v>
      </c>
      <c r="J569" t="n">
        <v>2</v>
      </c>
      <c r="K569" t="n">
        <v>0</v>
      </c>
      <c r="L569" t="n">
        <v>0</v>
      </c>
      <c r="M569" t="n">
        <v>0</v>
      </c>
      <c r="N569" t="n">
        <v>0</v>
      </c>
      <c r="O569" t="n">
        <v>2</v>
      </c>
      <c r="P569" t="n">
        <v>0</v>
      </c>
      <c r="Q569" t="n">
        <v>3</v>
      </c>
      <c r="R569" s="2" t="inlineStr">
        <is>
          <t>Lunglav
Ullticka
Stuplav</t>
        </is>
      </c>
      <c r="S569">
        <f>HYPERLINK("https://klasma.github.io/Logging_2482/artfynd/A 61101-2025 artfynd.xlsx", "A 61101-2025")</f>
        <v/>
      </c>
      <c r="T569">
        <f>HYPERLINK("https://klasma.github.io/Logging_2482/kartor/A 61101-2025 karta.png", "A 61101-2025")</f>
        <v/>
      </c>
      <c r="V569">
        <f>HYPERLINK("https://klasma.github.io/Logging_2482/klagomål/A 61101-2025 FSC-klagomål.docx", "A 61101-2025")</f>
        <v/>
      </c>
      <c r="W569">
        <f>HYPERLINK("https://klasma.github.io/Logging_2482/klagomålsmail/A 61101-2025 FSC-klagomål mail.docx", "A 61101-2025")</f>
        <v/>
      </c>
      <c r="X569">
        <f>HYPERLINK("https://klasma.github.io/Logging_2482/tillsyn/A 61101-2025 tillsynsbegäran.docx", "A 61101-2025")</f>
        <v/>
      </c>
      <c r="Y569">
        <f>HYPERLINK("https://klasma.github.io/Logging_2482/tillsynsmail/A 61101-2025 tillsynsbegäran mail.docx", "A 61101-2025")</f>
        <v/>
      </c>
    </row>
    <row r="570" ht="15" customHeight="1">
      <c r="A570" t="inlineStr">
        <is>
          <t>A 37889-2023</t>
        </is>
      </c>
      <c r="B570" s="1" t="n">
        <v>45160</v>
      </c>
      <c r="C570" s="1" t="n">
        <v>46145</v>
      </c>
      <c r="D570" t="inlineStr">
        <is>
          <t>VÄSTERBOTTENS LÄN</t>
        </is>
      </c>
      <c r="E570" t="inlineStr">
        <is>
          <t>UMEÅ</t>
        </is>
      </c>
      <c r="F570" t="inlineStr">
        <is>
          <t>Holmen skog AB</t>
        </is>
      </c>
      <c r="G570" t="n">
        <v>1.7</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HYPERLINK("https://klasma.github.io/Logging_2480/artfynd/A 37889-2023 artfynd.xlsx", "A 37889-2023")</f>
        <v/>
      </c>
      <c r="T570">
        <f>HYPERLINK("https://klasma.github.io/Logging_2480/kartor/A 37889-2023 karta.png", "A 37889-2023")</f>
        <v/>
      </c>
      <c r="V570">
        <f>HYPERLINK("https://klasma.github.io/Logging_2480/klagomål/A 37889-2023 FSC-klagomål.docx", "A 37889-2023")</f>
        <v/>
      </c>
      <c r="W570">
        <f>HYPERLINK("https://klasma.github.io/Logging_2480/klagomålsmail/A 37889-2023 FSC-klagomål mail.docx", "A 37889-2023")</f>
        <v/>
      </c>
      <c r="X570">
        <f>HYPERLINK("https://klasma.github.io/Logging_2480/tillsyn/A 37889-2023 tillsynsbegäran.docx", "A 37889-2023")</f>
        <v/>
      </c>
      <c r="Y570">
        <f>HYPERLINK("https://klasma.github.io/Logging_2480/tillsynsmail/A 37889-2023 tillsynsbegäran mail.docx", "A 37889-2023")</f>
        <v/>
      </c>
    </row>
    <row r="571" ht="15" customHeight="1">
      <c r="A571" t="inlineStr">
        <is>
          <t>A 3933-2025</t>
        </is>
      </c>
      <c r="B571" s="1" t="n">
        <v>45684.45954861111</v>
      </c>
      <c r="C571" s="1" t="n">
        <v>46145</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29616-2023</t>
        </is>
      </c>
      <c r="B572" s="1" t="n">
        <v>45106</v>
      </c>
      <c r="C572" s="1" t="n">
        <v>46145</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16463-2025</t>
        </is>
      </c>
      <c r="B573" s="1" t="n">
        <v>45751</v>
      </c>
      <c r="C573" s="1" t="n">
        <v>46145</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62416-2025</t>
        </is>
      </c>
      <c r="B574" s="1" t="n">
        <v>46007.44545138889</v>
      </c>
      <c r="C574" s="1" t="n">
        <v>46145</v>
      </c>
      <c r="D574" t="inlineStr">
        <is>
          <t>VÄSTERBOTTENS LÄN</t>
        </is>
      </c>
      <c r="E574" t="inlineStr">
        <is>
          <t>VÄNNÄS</t>
        </is>
      </c>
      <c r="G574" t="n">
        <v>2.9</v>
      </c>
      <c r="H574" t="n">
        <v>1</v>
      </c>
      <c r="I574" t="n">
        <v>1</v>
      </c>
      <c r="J574" t="n">
        <v>2</v>
      </c>
      <c r="K574" t="n">
        <v>0</v>
      </c>
      <c r="L574" t="n">
        <v>0</v>
      </c>
      <c r="M574" t="n">
        <v>0</v>
      </c>
      <c r="N574" t="n">
        <v>0</v>
      </c>
      <c r="O574" t="n">
        <v>2</v>
      </c>
      <c r="P574" t="n">
        <v>0</v>
      </c>
      <c r="Q574" t="n">
        <v>3</v>
      </c>
      <c r="R574" s="2" t="inlineStr">
        <is>
          <t>Garnlav
Spillkråka
Vågbandad barkbock</t>
        </is>
      </c>
      <c r="S574">
        <f>HYPERLINK("https://klasma.github.io/Logging_2460/artfynd/A 62416-2025 artfynd.xlsx", "A 62416-2025")</f>
        <v/>
      </c>
      <c r="T574">
        <f>HYPERLINK("https://klasma.github.io/Logging_2460/kartor/A 62416-2025 karta.png", "A 62416-2025")</f>
        <v/>
      </c>
      <c r="V574">
        <f>HYPERLINK("https://klasma.github.io/Logging_2460/klagomål/A 62416-2025 FSC-klagomål.docx", "A 62416-2025")</f>
        <v/>
      </c>
      <c r="W574">
        <f>HYPERLINK("https://klasma.github.io/Logging_2460/klagomålsmail/A 62416-2025 FSC-klagomål mail.docx", "A 62416-2025")</f>
        <v/>
      </c>
      <c r="X574">
        <f>HYPERLINK("https://klasma.github.io/Logging_2460/tillsyn/A 62416-2025 tillsynsbegäran.docx", "A 62416-2025")</f>
        <v/>
      </c>
      <c r="Y574">
        <f>HYPERLINK("https://klasma.github.io/Logging_2460/tillsynsmail/A 62416-2025 tillsynsbegäran mail.docx", "A 62416-2025")</f>
        <v/>
      </c>
      <c r="Z574">
        <f>HYPERLINK("https://klasma.github.io/Logging_2460/fåglar/A 62416-2025 prioriterade fågelarter.docx", "A 62416-2025")</f>
        <v/>
      </c>
    </row>
    <row r="575" ht="15" customHeight="1">
      <c r="A575" t="inlineStr">
        <is>
          <t>A 55046-2024</t>
        </is>
      </c>
      <c r="B575" s="1" t="n">
        <v>45618</v>
      </c>
      <c r="C575" s="1" t="n">
        <v>46145</v>
      </c>
      <c r="D575" t="inlineStr">
        <is>
          <t>VÄSTERBOTTENS LÄN</t>
        </is>
      </c>
      <c r="E575" t="inlineStr">
        <is>
          <t>LYCKSELE</t>
        </is>
      </c>
      <c r="G575" t="n">
        <v>2.4</v>
      </c>
      <c r="H575" t="n">
        <v>1</v>
      </c>
      <c r="I575" t="n">
        <v>0</v>
      </c>
      <c r="J575" t="n">
        <v>3</v>
      </c>
      <c r="K575" t="n">
        <v>0</v>
      </c>
      <c r="L575" t="n">
        <v>0</v>
      </c>
      <c r="M575" t="n">
        <v>0</v>
      </c>
      <c r="N575" t="n">
        <v>0</v>
      </c>
      <c r="O575" t="n">
        <v>3</v>
      </c>
      <c r="P575" t="n">
        <v>0</v>
      </c>
      <c r="Q575" t="n">
        <v>3</v>
      </c>
      <c r="R575" s="2" t="inlineStr">
        <is>
          <t>Gammelgransskål
Tretåig hackspett
Vitgrynig nållav</t>
        </is>
      </c>
      <c r="S575">
        <f>HYPERLINK("https://klasma.github.io/Logging_2481/artfynd/A 55046-2024 artfynd.xlsx", "A 55046-2024")</f>
        <v/>
      </c>
      <c r="T575">
        <f>HYPERLINK("https://klasma.github.io/Logging_2481/kartor/A 55046-2024 karta.png", "A 55046-2024")</f>
        <v/>
      </c>
      <c r="V575">
        <f>HYPERLINK("https://klasma.github.io/Logging_2481/klagomål/A 55046-2024 FSC-klagomål.docx", "A 55046-2024")</f>
        <v/>
      </c>
      <c r="W575">
        <f>HYPERLINK("https://klasma.github.io/Logging_2481/klagomålsmail/A 55046-2024 FSC-klagomål mail.docx", "A 55046-2024")</f>
        <v/>
      </c>
      <c r="X575">
        <f>HYPERLINK("https://klasma.github.io/Logging_2481/tillsyn/A 55046-2024 tillsynsbegäran.docx", "A 55046-2024")</f>
        <v/>
      </c>
      <c r="Y575">
        <f>HYPERLINK("https://klasma.github.io/Logging_2481/tillsynsmail/A 55046-2024 tillsynsbegäran mail.docx", "A 55046-2024")</f>
        <v/>
      </c>
      <c r="Z575">
        <f>HYPERLINK("https://klasma.github.io/Logging_2481/fåglar/A 55046-2024 prioriterade fågelarter.docx", "A 55046-2024")</f>
        <v/>
      </c>
    </row>
    <row r="576" ht="15" customHeight="1">
      <c r="A576" t="inlineStr">
        <is>
          <t>A 20379-2025</t>
        </is>
      </c>
      <c r="B576" s="1" t="n">
        <v>45775.42733796296</v>
      </c>
      <c r="C576" s="1" t="n">
        <v>46145</v>
      </c>
      <c r="D576" t="inlineStr">
        <is>
          <t>VÄSTERBOTTENS LÄN</t>
        </is>
      </c>
      <c r="E576" t="inlineStr">
        <is>
          <t>SKELLEFTEÅ</t>
        </is>
      </c>
      <c r="G576" t="n">
        <v>3.3</v>
      </c>
      <c r="H576" t="n">
        <v>0</v>
      </c>
      <c r="I576" t="n">
        <v>0</v>
      </c>
      <c r="J576" t="n">
        <v>3</v>
      </c>
      <c r="K576" t="n">
        <v>0</v>
      </c>
      <c r="L576" t="n">
        <v>0</v>
      </c>
      <c r="M576" t="n">
        <v>0</v>
      </c>
      <c r="N576" t="n">
        <v>0</v>
      </c>
      <c r="O576" t="n">
        <v>3</v>
      </c>
      <c r="P576" t="n">
        <v>0</v>
      </c>
      <c r="Q576" t="n">
        <v>3</v>
      </c>
      <c r="R576" s="2" t="inlineStr">
        <is>
          <t>Granticka
Orange taggsvamp
Violettgrå tagellav</t>
        </is>
      </c>
      <c r="S576">
        <f>HYPERLINK("https://klasma.github.io/Logging_2482/artfynd/A 20379-2025 artfynd.xlsx", "A 20379-2025")</f>
        <v/>
      </c>
      <c r="T576">
        <f>HYPERLINK("https://klasma.github.io/Logging_2482/kartor/A 20379-2025 karta.png", "A 20379-2025")</f>
        <v/>
      </c>
      <c r="V576">
        <f>HYPERLINK("https://klasma.github.io/Logging_2482/klagomål/A 20379-2025 FSC-klagomål.docx", "A 20379-2025")</f>
        <v/>
      </c>
      <c r="W576">
        <f>HYPERLINK("https://klasma.github.io/Logging_2482/klagomålsmail/A 20379-2025 FSC-klagomål mail.docx", "A 20379-2025")</f>
        <v/>
      </c>
      <c r="X576">
        <f>HYPERLINK("https://klasma.github.io/Logging_2482/tillsyn/A 20379-2025 tillsynsbegäran.docx", "A 20379-2025")</f>
        <v/>
      </c>
      <c r="Y576">
        <f>HYPERLINK("https://klasma.github.io/Logging_2482/tillsynsmail/A 20379-2025 tillsynsbegäran mail.docx", "A 20379-2025")</f>
        <v/>
      </c>
    </row>
    <row r="577" ht="15" customHeight="1">
      <c r="A577" t="inlineStr">
        <is>
          <t>A 29725-2021</t>
        </is>
      </c>
      <c r="B577" s="1" t="n">
        <v>44362.44362268518</v>
      </c>
      <c r="C577" s="1" t="n">
        <v>46145</v>
      </c>
      <c r="D577" t="inlineStr">
        <is>
          <t>VÄSTERBOTTENS LÄN</t>
        </is>
      </c>
      <c r="E577" t="inlineStr">
        <is>
          <t>SKELLEFTEÅ</t>
        </is>
      </c>
      <c r="F577" t="inlineStr">
        <is>
          <t>Holmen skog AB</t>
        </is>
      </c>
      <c r="G577" t="n">
        <v>10.7</v>
      </c>
      <c r="H577" t="n">
        <v>1</v>
      </c>
      <c r="I577" t="n">
        <v>0</v>
      </c>
      <c r="J577" t="n">
        <v>2</v>
      </c>
      <c r="K577" t="n">
        <v>0</v>
      </c>
      <c r="L577" t="n">
        <v>0</v>
      </c>
      <c r="M577" t="n">
        <v>0</v>
      </c>
      <c r="N577" t="n">
        <v>0</v>
      </c>
      <c r="O577" t="n">
        <v>2</v>
      </c>
      <c r="P577" t="n">
        <v>0</v>
      </c>
      <c r="Q577" t="n">
        <v>3</v>
      </c>
      <c r="R577" s="2" t="inlineStr">
        <is>
          <t>Gammelgransskål
Garnlav
Orre</t>
        </is>
      </c>
      <c r="S577">
        <f>HYPERLINK("https://klasma.github.io/Logging_2482/artfynd/A 29725-2021 artfynd.xlsx", "A 29725-2021")</f>
        <v/>
      </c>
      <c r="T577">
        <f>HYPERLINK("https://klasma.github.io/Logging_2482/kartor/A 29725-2021 karta.png", "A 29725-2021")</f>
        <v/>
      </c>
      <c r="V577">
        <f>HYPERLINK("https://klasma.github.io/Logging_2482/klagomål/A 29725-2021 FSC-klagomål.docx", "A 29725-2021")</f>
        <v/>
      </c>
      <c r="W577">
        <f>HYPERLINK("https://klasma.github.io/Logging_2482/klagomålsmail/A 29725-2021 FSC-klagomål mail.docx", "A 29725-2021")</f>
        <v/>
      </c>
      <c r="X577">
        <f>HYPERLINK("https://klasma.github.io/Logging_2482/tillsyn/A 29725-2021 tillsynsbegäran.docx", "A 29725-2021")</f>
        <v/>
      </c>
      <c r="Y577">
        <f>HYPERLINK("https://klasma.github.io/Logging_2482/tillsynsmail/A 29725-2021 tillsynsbegäran mail.docx", "A 29725-2021")</f>
        <v/>
      </c>
      <c r="Z577">
        <f>HYPERLINK("https://klasma.github.io/Logging_2482/fåglar/A 29725-2021 prioriterade fågelarter.docx", "A 29725-2021")</f>
        <v/>
      </c>
    </row>
    <row r="578" ht="15" customHeight="1">
      <c r="A578" t="inlineStr">
        <is>
          <t>A 1408-2026</t>
        </is>
      </c>
      <c r="B578" s="1" t="n">
        <v>46031.65877314815</v>
      </c>
      <c r="C578" s="1" t="n">
        <v>46145</v>
      </c>
      <c r="D578" t="inlineStr">
        <is>
          <t>VÄSTERBOTTENS LÄN</t>
        </is>
      </c>
      <c r="E578" t="inlineStr">
        <is>
          <t>VÄNNÄS</t>
        </is>
      </c>
      <c r="G578" t="n">
        <v>5.4</v>
      </c>
      <c r="H578" t="n">
        <v>0</v>
      </c>
      <c r="I578" t="n">
        <v>0</v>
      </c>
      <c r="J578" t="n">
        <v>3</v>
      </c>
      <c r="K578" t="n">
        <v>0</v>
      </c>
      <c r="L578" t="n">
        <v>0</v>
      </c>
      <c r="M578" t="n">
        <v>0</v>
      </c>
      <c r="N578" t="n">
        <v>0</v>
      </c>
      <c r="O578" t="n">
        <v>3</v>
      </c>
      <c r="P578" t="n">
        <v>0</v>
      </c>
      <c r="Q578" t="n">
        <v>3</v>
      </c>
      <c r="R578" s="2" t="inlineStr">
        <is>
          <t>Blå taggsvamp
Garnlav
Violettgrå tagellav</t>
        </is>
      </c>
      <c r="S578">
        <f>HYPERLINK("https://klasma.github.io/Logging_2460/artfynd/A 1408-2026 artfynd.xlsx", "A 1408-2026")</f>
        <v/>
      </c>
      <c r="T578">
        <f>HYPERLINK("https://klasma.github.io/Logging_2460/kartor/A 1408-2026 karta.png", "A 1408-2026")</f>
        <v/>
      </c>
      <c r="V578">
        <f>HYPERLINK("https://klasma.github.io/Logging_2460/klagomål/A 1408-2026 FSC-klagomål.docx", "A 1408-2026")</f>
        <v/>
      </c>
      <c r="W578">
        <f>HYPERLINK("https://klasma.github.io/Logging_2460/klagomålsmail/A 1408-2026 FSC-klagomål mail.docx", "A 1408-2026")</f>
        <v/>
      </c>
      <c r="X578">
        <f>HYPERLINK("https://klasma.github.io/Logging_2460/tillsyn/A 1408-2026 tillsynsbegäran.docx", "A 1408-2026")</f>
        <v/>
      </c>
      <c r="Y578">
        <f>HYPERLINK("https://klasma.github.io/Logging_2460/tillsynsmail/A 1408-2026 tillsynsbegäran mail.docx", "A 1408-2026")</f>
        <v/>
      </c>
    </row>
    <row r="579" ht="15" customHeight="1">
      <c r="A579" t="inlineStr">
        <is>
          <t>A 1762-2026</t>
        </is>
      </c>
      <c r="B579" s="1" t="n">
        <v>46034.67745370371</v>
      </c>
      <c r="C579" s="1" t="n">
        <v>46145</v>
      </c>
      <c r="D579" t="inlineStr">
        <is>
          <t>VÄSTERBOTTENS LÄN</t>
        </is>
      </c>
      <c r="E579" t="inlineStr">
        <is>
          <t>SKELLEFTEÅ</t>
        </is>
      </c>
      <c r="G579" t="n">
        <v>9.9</v>
      </c>
      <c r="H579" t="n">
        <v>2</v>
      </c>
      <c r="I579" t="n">
        <v>0</v>
      </c>
      <c r="J579" t="n">
        <v>1</v>
      </c>
      <c r="K579" t="n">
        <v>0</v>
      </c>
      <c r="L579" t="n">
        <v>0</v>
      </c>
      <c r="M579" t="n">
        <v>0</v>
      </c>
      <c r="N579" t="n">
        <v>0</v>
      </c>
      <c r="O579" t="n">
        <v>1</v>
      </c>
      <c r="P579" t="n">
        <v>0</v>
      </c>
      <c r="Q579" t="n">
        <v>3</v>
      </c>
      <c r="R579" s="2" t="inlineStr">
        <is>
          <t>Motaggsvamp
Fläcknycklar
Revlummer</t>
        </is>
      </c>
      <c r="S579">
        <f>HYPERLINK("https://klasma.github.io/Logging_2482/artfynd/A 1762-2026 artfynd.xlsx", "A 1762-2026")</f>
        <v/>
      </c>
      <c r="T579">
        <f>HYPERLINK("https://klasma.github.io/Logging_2482/kartor/A 1762-2026 karta.png", "A 1762-2026")</f>
        <v/>
      </c>
      <c r="V579">
        <f>HYPERLINK("https://klasma.github.io/Logging_2482/klagomål/A 1762-2026 FSC-klagomål.docx", "A 1762-2026")</f>
        <v/>
      </c>
      <c r="W579">
        <f>HYPERLINK("https://klasma.github.io/Logging_2482/klagomålsmail/A 1762-2026 FSC-klagomål mail.docx", "A 1762-2026")</f>
        <v/>
      </c>
      <c r="X579">
        <f>HYPERLINK("https://klasma.github.io/Logging_2482/tillsyn/A 1762-2026 tillsynsbegäran.docx", "A 1762-2026")</f>
        <v/>
      </c>
      <c r="Y579">
        <f>HYPERLINK("https://klasma.github.io/Logging_2482/tillsynsmail/A 1762-2026 tillsynsbegäran mail.docx", "A 1762-2026")</f>
        <v/>
      </c>
    </row>
    <row r="580" ht="15" customHeight="1">
      <c r="A580" t="inlineStr">
        <is>
          <t>A 59276-2024</t>
        </is>
      </c>
      <c r="B580" s="1" t="n">
        <v>45637.62774305556</v>
      </c>
      <c r="C580" s="1" t="n">
        <v>46145</v>
      </c>
      <c r="D580" t="inlineStr">
        <is>
          <t>VÄSTERBOTTENS LÄN</t>
        </is>
      </c>
      <c r="E580" t="inlineStr">
        <is>
          <t>LYCKSELE</t>
        </is>
      </c>
      <c r="F580" t="inlineStr">
        <is>
          <t>Sveaskog</t>
        </is>
      </c>
      <c r="G580" t="n">
        <v>12</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HYPERLINK("https://klasma.github.io/Logging_2481/artfynd/A 59276-2024 artfynd.xlsx", "A 59276-2024")</f>
        <v/>
      </c>
      <c r="T580">
        <f>HYPERLINK("https://klasma.github.io/Logging_2481/kartor/A 59276-2024 karta.png", "A 59276-2024")</f>
        <v/>
      </c>
      <c r="V580">
        <f>HYPERLINK("https://klasma.github.io/Logging_2481/klagomål/A 59276-2024 FSC-klagomål.docx", "A 59276-2024")</f>
        <v/>
      </c>
      <c r="W580">
        <f>HYPERLINK("https://klasma.github.io/Logging_2481/klagomålsmail/A 59276-2024 FSC-klagomål mail.docx", "A 59276-2024")</f>
        <v/>
      </c>
      <c r="X580">
        <f>HYPERLINK("https://klasma.github.io/Logging_2481/tillsyn/A 59276-2024 tillsynsbegäran.docx", "A 59276-2024")</f>
        <v/>
      </c>
      <c r="Y580">
        <f>HYPERLINK("https://klasma.github.io/Logging_2481/tillsynsmail/A 59276-2024 tillsynsbegäran mail.docx", "A 59276-2024")</f>
        <v/>
      </c>
    </row>
    <row r="581" ht="15" customHeight="1">
      <c r="A581" t="inlineStr">
        <is>
          <t>A 60313-2022</t>
        </is>
      </c>
      <c r="B581" s="1" t="n">
        <v>44910</v>
      </c>
      <c r="C581" s="1" t="n">
        <v>46145</v>
      </c>
      <c r="D581" t="inlineStr">
        <is>
          <t>VÄSTERBOTTENS LÄN</t>
        </is>
      </c>
      <c r="E581" t="inlineStr">
        <is>
          <t>VINDELN</t>
        </is>
      </c>
      <c r="F581" t="inlineStr">
        <is>
          <t>Sveaskog</t>
        </is>
      </c>
      <c r="G581" t="n">
        <v>5.2</v>
      </c>
      <c r="H581" t="n">
        <v>1</v>
      </c>
      <c r="I581" t="n">
        <v>1</v>
      </c>
      <c r="J581" t="n">
        <v>1</v>
      </c>
      <c r="K581" t="n">
        <v>0</v>
      </c>
      <c r="L581" t="n">
        <v>0</v>
      </c>
      <c r="M581" t="n">
        <v>0</v>
      </c>
      <c r="N581" t="n">
        <v>0</v>
      </c>
      <c r="O581" t="n">
        <v>1</v>
      </c>
      <c r="P581" t="n">
        <v>0</v>
      </c>
      <c r="Q581" t="n">
        <v>3</v>
      </c>
      <c r="R581" s="2" t="inlineStr">
        <is>
          <t>Kolflarnlav
Skarp dropptaggsvamp
Lavskrika</t>
        </is>
      </c>
      <c r="S581">
        <f>HYPERLINK("https://klasma.github.io/Logging_2404/artfynd/A 60313-2022 artfynd.xlsx", "A 60313-2022")</f>
        <v/>
      </c>
      <c r="T581">
        <f>HYPERLINK("https://klasma.github.io/Logging_2404/kartor/A 60313-2022 karta.png", "A 60313-2022")</f>
        <v/>
      </c>
      <c r="V581">
        <f>HYPERLINK("https://klasma.github.io/Logging_2404/klagomål/A 60313-2022 FSC-klagomål.docx", "A 60313-2022")</f>
        <v/>
      </c>
      <c r="W581">
        <f>HYPERLINK("https://klasma.github.io/Logging_2404/klagomålsmail/A 60313-2022 FSC-klagomål mail.docx", "A 60313-2022")</f>
        <v/>
      </c>
      <c r="X581">
        <f>HYPERLINK("https://klasma.github.io/Logging_2404/tillsyn/A 60313-2022 tillsynsbegäran.docx", "A 60313-2022")</f>
        <v/>
      </c>
      <c r="Y581">
        <f>HYPERLINK("https://klasma.github.io/Logging_2404/tillsynsmail/A 60313-2022 tillsynsbegäran mail.docx", "A 60313-2022")</f>
        <v/>
      </c>
      <c r="Z581">
        <f>HYPERLINK("https://klasma.github.io/Logging_2404/fåglar/A 60313-2022 prioriterade fågelarter.docx", "A 60313-2022")</f>
        <v/>
      </c>
    </row>
    <row r="582" ht="15" customHeight="1">
      <c r="A582" t="inlineStr">
        <is>
          <t>A 41099-2023</t>
        </is>
      </c>
      <c r="B582" s="1" t="n">
        <v>45173.68905092592</v>
      </c>
      <c r="C582" s="1" t="n">
        <v>46145</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2761-2026</t>
        </is>
      </c>
      <c r="B583" s="1" t="n">
        <v>46038.34517361111</v>
      </c>
      <c r="C583" s="1" t="n">
        <v>46145</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2761-2026 artfynd.xlsx", "A 2761-2026")</f>
        <v/>
      </c>
      <c r="T583">
        <f>HYPERLINK("https://klasma.github.io/Logging_2463/kartor/A 2761-2026 karta.png", "A 2761-2026")</f>
        <v/>
      </c>
      <c r="V583">
        <f>HYPERLINK("https://klasma.github.io/Logging_2463/klagomål/A 2761-2026 FSC-klagomål.docx", "A 2761-2026")</f>
        <v/>
      </c>
      <c r="W583">
        <f>HYPERLINK("https://klasma.github.io/Logging_2463/klagomålsmail/A 2761-2026 FSC-klagomål mail.docx", "A 2761-2026")</f>
        <v/>
      </c>
      <c r="X583">
        <f>HYPERLINK("https://klasma.github.io/Logging_2463/tillsyn/A 2761-2026 tillsynsbegäran.docx", "A 2761-2026")</f>
        <v/>
      </c>
      <c r="Y583">
        <f>HYPERLINK("https://klasma.github.io/Logging_2463/tillsynsmail/A 2761-2026 tillsynsbegäran mail.docx", "A 2761-2026")</f>
        <v/>
      </c>
      <c r="Z583">
        <f>HYPERLINK("https://klasma.github.io/Logging_2463/fåglar/A 2761-2026 prioriterade fågelarter.docx", "A 2761-2026")</f>
        <v/>
      </c>
    </row>
    <row r="584" ht="15" customHeight="1">
      <c r="A584" t="inlineStr">
        <is>
          <t>A 679-2024</t>
        </is>
      </c>
      <c r="B584" s="1" t="n">
        <v>45300</v>
      </c>
      <c r="C584" s="1" t="n">
        <v>46145</v>
      </c>
      <c r="D584" t="inlineStr">
        <is>
          <t>VÄSTERBOTTENS LÄN</t>
        </is>
      </c>
      <c r="E584" t="inlineStr">
        <is>
          <t>LYCKSELE</t>
        </is>
      </c>
      <c r="G584" t="n">
        <v>11.3</v>
      </c>
      <c r="H584" t="n">
        <v>0</v>
      </c>
      <c r="I584" t="n">
        <v>1</v>
      </c>
      <c r="J584" t="n">
        <v>2</v>
      </c>
      <c r="K584" t="n">
        <v>0</v>
      </c>
      <c r="L584" t="n">
        <v>0</v>
      </c>
      <c r="M584" t="n">
        <v>0</v>
      </c>
      <c r="N584" t="n">
        <v>0</v>
      </c>
      <c r="O584" t="n">
        <v>2</v>
      </c>
      <c r="P584" t="n">
        <v>0</v>
      </c>
      <c r="Q584" t="n">
        <v>3</v>
      </c>
      <c r="R584" s="2" t="inlineStr">
        <is>
          <t>Garnlav
Skrovellav
Luddlav</t>
        </is>
      </c>
      <c r="S584">
        <f>HYPERLINK("https://klasma.github.io/Logging_2481/artfynd/A 679-2024 artfynd.xlsx", "A 679-2024")</f>
        <v/>
      </c>
      <c r="T584">
        <f>HYPERLINK("https://klasma.github.io/Logging_2481/kartor/A 679-2024 karta.png", "A 679-2024")</f>
        <v/>
      </c>
      <c r="V584">
        <f>HYPERLINK("https://klasma.github.io/Logging_2481/klagomål/A 679-2024 FSC-klagomål.docx", "A 679-2024")</f>
        <v/>
      </c>
      <c r="W584">
        <f>HYPERLINK("https://klasma.github.io/Logging_2481/klagomålsmail/A 679-2024 FSC-klagomål mail.docx", "A 679-2024")</f>
        <v/>
      </c>
      <c r="X584">
        <f>HYPERLINK("https://klasma.github.io/Logging_2481/tillsyn/A 679-2024 tillsynsbegäran.docx", "A 679-2024")</f>
        <v/>
      </c>
      <c r="Y584">
        <f>HYPERLINK("https://klasma.github.io/Logging_2481/tillsynsmail/A 679-2024 tillsynsbegäran mail.docx", "A 679-2024")</f>
        <v/>
      </c>
    </row>
    <row r="585" ht="15" customHeight="1">
      <c r="A585" t="inlineStr">
        <is>
          <t>A 47496-2023</t>
        </is>
      </c>
      <c r="B585" s="1" t="n">
        <v>45202</v>
      </c>
      <c r="C585" s="1" t="n">
        <v>46145</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41412-2022</t>
        </is>
      </c>
      <c r="B586" s="1" t="n">
        <v>44826</v>
      </c>
      <c r="C586" s="1" t="n">
        <v>46145</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5957-2026</t>
        </is>
      </c>
      <c r="B587" s="1" t="n">
        <v>46052.50188657407</v>
      </c>
      <c r="C587" s="1" t="n">
        <v>46145</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41646-2024</t>
        </is>
      </c>
      <c r="B588" s="1" t="n">
        <v>45560</v>
      </c>
      <c r="C588" s="1" t="n">
        <v>46145</v>
      </c>
      <c r="D588" t="inlineStr">
        <is>
          <t>VÄSTERBOTTENS LÄN</t>
        </is>
      </c>
      <c r="E588" t="inlineStr">
        <is>
          <t>VILHELMINA</t>
        </is>
      </c>
      <c r="F588" t="inlineStr">
        <is>
          <t>SCA</t>
        </is>
      </c>
      <c r="G588" t="n">
        <v>4.8</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HYPERLINK("https://klasma.github.io/Logging_2462/artfynd/A 41646-2024 artfynd.xlsx", "A 41646-2024")</f>
        <v/>
      </c>
      <c r="T588">
        <f>HYPERLINK("https://klasma.github.io/Logging_2462/kartor/A 41646-2024 karta.png", "A 41646-2024")</f>
        <v/>
      </c>
      <c r="V588">
        <f>HYPERLINK("https://klasma.github.io/Logging_2462/klagomål/A 41646-2024 FSC-klagomål.docx", "A 41646-2024")</f>
        <v/>
      </c>
      <c r="W588">
        <f>HYPERLINK("https://klasma.github.io/Logging_2462/klagomålsmail/A 41646-2024 FSC-klagomål mail.docx", "A 41646-2024")</f>
        <v/>
      </c>
      <c r="X588">
        <f>HYPERLINK("https://klasma.github.io/Logging_2462/tillsyn/A 41646-2024 tillsynsbegäran.docx", "A 41646-2024")</f>
        <v/>
      </c>
      <c r="Y588">
        <f>HYPERLINK("https://klasma.github.io/Logging_2462/tillsynsmail/A 41646-2024 tillsynsbegäran mail.docx", "A 41646-2024")</f>
        <v/>
      </c>
      <c r="Z588">
        <f>HYPERLINK("https://klasma.github.io/Logging_2462/fåglar/A 41646-2024 prioriterade fågelarter.docx", "A 41646-2024")</f>
        <v/>
      </c>
    </row>
    <row r="589" ht="15" customHeight="1">
      <c r="A589" t="inlineStr">
        <is>
          <t>A 7807-2026</t>
        </is>
      </c>
      <c r="B589" s="1" t="n">
        <v>46062.60943287037</v>
      </c>
      <c r="C589" s="1" t="n">
        <v>46145</v>
      </c>
      <c r="D589" t="inlineStr">
        <is>
          <t>VÄSTERBOTTENS LÄN</t>
        </is>
      </c>
      <c r="E589" t="inlineStr">
        <is>
          <t>VILHELMINA</t>
        </is>
      </c>
      <c r="G589" t="n">
        <v>9.5</v>
      </c>
      <c r="H589" t="n">
        <v>1</v>
      </c>
      <c r="I589" t="n">
        <v>0</v>
      </c>
      <c r="J589" t="n">
        <v>2</v>
      </c>
      <c r="K589" t="n">
        <v>1</v>
      </c>
      <c r="L589" t="n">
        <v>0</v>
      </c>
      <c r="M589" t="n">
        <v>0</v>
      </c>
      <c r="N589" t="n">
        <v>0</v>
      </c>
      <c r="O589" t="n">
        <v>3</v>
      </c>
      <c r="P589" t="n">
        <v>1</v>
      </c>
      <c r="Q589" t="n">
        <v>3</v>
      </c>
      <c r="R589" s="2" t="inlineStr">
        <is>
          <t>Rynkskinn
Garnlav
Videsparv</t>
        </is>
      </c>
      <c r="S589">
        <f>HYPERLINK("https://klasma.github.io/Logging_2462/artfynd/A 7807-2026 artfynd.xlsx", "A 7807-2026")</f>
        <v/>
      </c>
      <c r="T589">
        <f>HYPERLINK("https://klasma.github.io/Logging_2462/kartor/A 7807-2026 karta.png", "A 7807-2026")</f>
        <v/>
      </c>
      <c r="V589">
        <f>HYPERLINK("https://klasma.github.io/Logging_2462/klagomål/A 7807-2026 FSC-klagomål.docx", "A 7807-2026")</f>
        <v/>
      </c>
      <c r="W589">
        <f>HYPERLINK("https://klasma.github.io/Logging_2462/klagomålsmail/A 7807-2026 FSC-klagomål mail.docx", "A 7807-2026")</f>
        <v/>
      </c>
      <c r="X589">
        <f>HYPERLINK("https://klasma.github.io/Logging_2462/tillsyn/A 7807-2026 tillsynsbegäran.docx", "A 7807-2026")</f>
        <v/>
      </c>
      <c r="Y589">
        <f>HYPERLINK("https://klasma.github.io/Logging_2462/tillsynsmail/A 7807-2026 tillsynsbegäran mail.docx", "A 7807-2026")</f>
        <v/>
      </c>
      <c r="Z589">
        <f>HYPERLINK("https://klasma.github.io/Logging_2462/fåglar/A 7807-2026 prioriterade fågelarter.docx", "A 7807-2026")</f>
        <v/>
      </c>
    </row>
    <row r="590" ht="15" customHeight="1">
      <c r="A590" t="inlineStr">
        <is>
          <t>A 42687-2022</t>
        </is>
      </c>
      <c r="B590" s="1" t="n">
        <v>44831</v>
      </c>
      <c r="C590" s="1" t="n">
        <v>46145</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61824-2022</t>
        </is>
      </c>
      <c r="B591" s="1" t="n">
        <v>44917</v>
      </c>
      <c r="C591" s="1" t="n">
        <v>46145</v>
      </c>
      <c r="D591" t="inlineStr">
        <is>
          <t>VÄSTERBOTTENS LÄN</t>
        </is>
      </c>
      <c r="E591" t="inlineStr">
        <is>
          <t>VINDELN</t>
        </is>
      </c>
      <c r="G591" t="n">
        <v>4.1</v>
      </c>
      <c r="H591" t="n">
        <v>0</v>
      </c>
      <c r="I591" t="n">
        <v>1</v>
      </c>
      <c r="J591" t="n">
        <v>1</v>
      </c>
      <c r="K591" t="n">
        <v>1</v>
      </c>
      <c r="L591" t="n">
        <v>0</v>
      </c>
      <c r="M591" t="n">
        <v>0</v>
      </c>
      <c r="N591" t="n">
        <v>0</v>
      </c>
      <c r="O591" t="n">
        <v>2</v>
      </c>
      <c r="P591" t="n">
        <v>1</v>
      </c>
      <c r="Q591" t="n">
        <v>3</v>
      </c>
      <c r="R591" s="2" t="inlineStr">
        <is>
          <t>Tallgråticka
Talltaggsvamp
Mindre märgborre</t>
        </is>
      </c>
      <c r="S591">
        <f>HYPERLINK("https://klasma.github.io/Logging_2404/artfynd/A 61824-2022 artfynd.xlsx", "A 61824-2022")</f>
        <v/>
      </c>
      <c r="T591">
        <f>HYPERLINK("https://klasma.github.io/Logging_2404/kartor/A 61824-2022 karta.png", "A 61824-2022")</f>
        <v/>
      </c>
      <c r="V591">
        <f>HYPERLINK("https://klasma.github.io/Logging_2404/klagomål/A 61824-2022 FSC-klagomål.docx", "A 61824-2022")</f>
        <v/>
      </c>
      <c r="W591">
        <f>HYPERLINK("https://klasma.github.io/Logging_2404/klagomålsmail/A 61824-2022 FSC-klagomål mail.docx", "A 61824-2022")</f>
        <v/>
      </c>
      <c r="X591">
        <f>HYPERLINK("https://klasma.github.io/Logging_2404/tillsyn/A 61824-2022 tillsynsbegäran.docx", "A 61824-2022")</f>
        <v/>
      </c>
      <c r="Y591">
        <f>HYPERLINK("https://klasma.github.io/Logging_2404/tillsynsmail/A 61824-2022 tillsynsbegäran mail.docx", "A 61824-2022")</f>
        <v/>
      </c>
    </row>
    <row r="592" ht="15" customHeight="1">
      <c r="A592" t="inlineStr">
        <is>
          <t>A 3412-2022</t>
        </is>
      </c>
      <c r="B592" s="1" t="n">
        <v>44585</v>
      </c>
      <c r="C592" s="1" t="n">
        <v>46145</v>
      </c>
      <c r="D592" t="inlineStr">
        <is>
          <t>VÄSTERBOTTENS LÄN</t>
        </is>
      </c>
      <c r="E592" t="inlineStr">
        <is>
          <t>STORUMAN</t>
        </is>
      </c>
      <c r="G592" t="n">
        <v>0.7</v>
      </c>
      <c r="H592" t="n">
        <v>2</v>
      </c>
      <c r="I592" t="n">
        <v>1</v>
      </c>
      <c r="J592" t="n">
        <v>1</v>
      </c>
      <c r="K592" t="n">
        <v>0</v>
      </c>
      <c r="L592" t="n">
        <v>0</v>
      </c>
      <c r="M592" t="n">
        <v>0</v>
      </c>
      <c r="N592" t="n">
        <v>0</v>
      </c>
      <c r="O592" t="n">
        <v>1</v>
      </c>
      <c r="P592" t="n">
        <v>0</v>
      </c>
      <c r="Q592" t="n">
        <v>3</v>
      </c>
      <c r="R592" s="2" t="inlineStr">
        <is>
          <t>Garnlav
Spindelblomster
Skogsrör</t>
        </is>
      </c>
      <c r="S592">
        <f>HYPERLINK("https://klasma.github.io/Logging_2421/artfynd/A 3412-2022 artfynd.xlsx", "A 3412-2022")</f>
        <v/>
      </c>
      <c r="T592">
        <f>HYPERLINK("https://klasma.github.io/Logging_2421/kartor/A 3412-2022 karta.png", "A 3412-2022")</f>
        <v/>
      </c>
      <c r="V592">
        <f>HYPERLINK("https://klasma.github.io/Logging_2421/klagomål/A 3412-2022 FSC-klagomål.docx", "A 3412-2022")</f>
        <v/>
      </c>
      <c r="W592">
        <f>HYPERLINK("https://klasma.github.io/Logging_2421/klagomålsmail/A 3412-2022 FSC-klagomål mail.docx", "A 3412-2022")</f>
        <v/>
      </c>
      <c r="X592">
        <f>HYPERLINK("https://klasma.github.io/Logging_2421/tillsyn/A 3412-2022 tillsynsbegäran.docx", "A 3412-2022")</f>
        <v/>
      </c>
      <c r="Y592">
        <f>HYPERLINK("https://klasma.github.io/Logging_2421/tillsynsmail/A 3412-2022 tillsynsbegäran mail.docx", "A 3412-2022")</f>
        <v/>
      </c>
    </row>
    <row r="593" ht="15" customHeight="1">
      <c r="A593" t="inlineStr">
        <is>
          <t>A 60450-2022</t>
        </is>
      </c>
      <c r="B593" s="1" t="n">
        <v>44904</v>
      </c>
      <c r="C593" s="1" t="n">
        <v>46145</v>
      </c>
      <c r="D593" t="inlineStr">
        <is>
          <t>VÄSTERBOTTENS LÄN</t>
        </is>
      </c>
      <c r="E593" t="inlineStr">
        <is>
          <t>NORDMALING</t>
        </is>
      </c>
      <c r="G593" t="n">
        <v>3.3</v>
      </c>
      <c r="H593" t="n">
        <v>0</v>
      </c>
      <c r="I593" t="n">
        <v>0</v>
      </c>
      <c r="J593" t="n">
        <v>2</v>
      </c>
      <c r="K593" t="n">
        <v>1</v>
      </c>
      <c r="L593" t="n">
        <v>0</v>
      </c>
      <c r="M593" t="n">
        <v>0</v>
      </c>
      <c r="N593" t="n">
        <v>0</v>
      </c>
      <c r="O593" t="n">
        <v>3</v>
      </c>
      <c r="P593" t="n">
        <v>1</v>
      </c>
      <c r="Q593" t="n">
        <v>3</v>
      </c>
      <c r="R593" s="2" t="inlineStr">
        <is>
          <t>Rynkskinn
Lunglav
Ullticka</t>
        </is>
      </c>
      <c r="S593">
        <f>HYPERLINK("https://klasma.github.io/Logging_2401/artfynd/A 60450-2022 artfynd.xlsx", "A 60450-2022")</f>
        <v/>
      </c>
      <c r="T593">
        <f>HYPERLINK("https://klasma.github.io/Logging_2401/kartor/A 60450-2022 karta.png", "A 60450-2022")</f>
        <v/>
      </c>
      <c r="V593">
        <f>HYPERLINK("https://klasma.github.io/Logging_2401/klagomål/A 60450-2022 FSC-klagomål.docx", "A 60450-2022")</f>
        <v/>
      </c>
      <c r="W593">
        <f>HYPERLINK("https://klasma.github.io/Logging_2401/klagomålsmail/A 60450-2022 FSC-klagomål mail.docx", "A 60450-2022")</f>
        <v/>
      </c>
      <c r="X593">
        <f>HYPERLINK("https://klasma.github.io/Logging_2401/tillsyn/A 60450-2022 tillsynsbegäran.docx", "A 60450-2022")</f>
        <v/>
      </c>
      <c r="Y593">
        <f>HYPERLINK("https://klasma.github.io/Logging_2401/tillsynsmail/A 60450-2022 tillsynsbegäran mail.docx", "A 60450-2022")</f>
        <v/>
      </c>
    </row>
    <row r="594" ht="15" customHeight="1">
      <c r="A594" t="inlineStr">
        <is>
          <t>A 28708-2024</t>
        </is>
      </c>
      <c r="B594" s="1" t="n">
        <v>45478</v>
      </c>
      <c r="C594" s="1" t="n">
        <v>46145</v>
      </c>
      <c r="D594" t="inlineStr">
        <is>
          <t>VÄSTERBOTTENS LÄN</t>
        </is>
      </c>
      <c r="E594" t="inlineStr">
        <is>
          <t>VINDELN</t>
        </is>
      </c>
      <c r="F594" t="inlineStr">
        <is>
          <t>Holmen skog AB</t>
        </is>
      </c>
      <c r="G594" t="n">
        <v>2</v>
      </c>
      <c r="H594" t="n">
        <v>1</v>
      </c>
      <c r="I594" t="n">
        <v>0</v>
      </c>
      <c r="J594" t="n">
        <v>3</v>
      </c>
      <c r="K594" t="n">
        <v>0</v>
      </c>
      <c r="L594" t="n">
        <v>0</v>
      </c>
      <c r="M594" t="n">
        <v>0</v>
      </c>
      <c r="N594" t="n">
        <v>0</v>
      </c>
      <c r="O594" t="n">
        <v>3</v>
      </c>
      <c r="P594" t="n">
        <v>0</v>
      </c>
      <c r="Q594" t="n">
        <v>3</v>
      </c>
      <c r="R594" s="2" t="inlineStr">
        <is>
          <t>Garnlav
Tretåig hackspett
Ullticka</t>
        </is>
      </c>
      <c r="S594">
        <f>HYPERLINK("https://klasma.github.io/Logging_2404/artfynd/A 28708-2024 artfynd.xlsx", "A 28708-2024")</f>
        <v/>
      </c>
      <c r="T594">
        <f>HYPERLINK("https://klasma.github.io/Logging_2404/kartor/A 28708-2024 karta.png", "A 28708-2024")</f>
        <v/>
      </c>
      <c r="V594">
        <f>HYPERLINK("https://klasma.github.io/Logging_2404/klagomål/A 28708-2024 FSC-klagomål.docx", "A 28708-2024")</f>
        <v/>
      </c>
      <c r="W594">
        <f>HYPERLINK("https://klasma.github.io/Logging_2404/klagomålsmail/A 28708-2024 FSC-klagomål mail.docx", "A 28708-2024")</f>
        <v/>
      </c>
      <c r="X594">
        <f>HYPERLINK("https://klasma.github.io/Logging_2404/tillsyn/A 28708-2024 tillsynsbegäran.docx", "A 28708-2024")</f>
        <v/>
      </c>
      <c r="Y594">
        <f>HYPERLINK("https://klasma.github.io/Logging_2404/tillsynsmail/A 28708-2024 tillsynsbegäran mail.docx", "A 28708-2024")</f>
        <v/>
      </c>
      <c r="Z594">
        <f>HYPERLINK("https://klasma.github.io/Logging_2404/fåglar/A 28708-2024 prioriterade fågelarter.docx", "A 28708-2024")</f>
        <v/>
      </c>
    </row>
    <row r="595" ht="15" customHeight="1">
      <c r="A595" t="inlineStr">
        <is>
          <t>A 28826-2024</t>
        </is>
      </c>
      <c r="B595" s="1" t="n">
        <v>45478</v>
      </c>
      <c r="C595" s="1" t="n">
        <v>46145</v>
      </c>
      <c r="D595" t="inlineStr">
        <is>
          <t>VÄSTERBOTTENS LÄN</t>
        </is>
      </c>
      <c r="E595" t="inlineStr">
        <is>
          <t>VINDELN</t>
        </is>
      </c>
      <c r="F595" t="inlineStr">
        <is>
          <t>Holmen skog AB</t>
        </is>
      </c>
      <c r="G595" t="n">
        <v>4</v>
      </c>
      <c r="H595" t="n">
        <v>1</v>
      </c>
      <c r="I595" t="n">
        <v>1</v>
      </c>
      <c r="J595" t="n">
        <v>2</v>
      </c>
      <c r="K595" t="n">
        <v>0</v>
      </c>
      <c r="L595" t="n">
        <v>0</v>
      </c>
      <c r="M595" t="n">
        <v>0</v>
      </c>
      <c r="N595" t="n">
        <v>0</v>
      </c>
      <c r="O595" t="n">
        <v>2</v>
      </c>
      <c r="P595" t="n">
        <v>0</v>
      </c>
      <c r="Q595" t="n">
        <v>3</v>
      </c>
      <c r="R595" s="2" t="inlineStr">
        <is>
          <t>Granticka
Spillkråka
Vedticka</t>
        </is>
      </c>
      <c r="S595">
        <f>HYPERLINK("https://klasma.github.io/Logging_2404/artfynd/A 28826-2024 artfynd.xlsx", "A 28826-2024")</f>
        <v/>
      </c>
      <c r="T595">
        <f>HYPERLINK("https://klasma.github.io/Logging_2404/kartor/A 28826-2024 karta.png", "A 28826-2024")</f>
        <v/>
      </c>
      <c r="U595">
        <f>HYPERLINK("https://klasma.github.io/Logging_2404/knärot/A 28826-2024 karta knärot.png", "A 28826-2024")</f>
        <v/>
      </c>
      <c r="V595">
        <f>HYPERLINK("https://klasma.github.io/Logging_2404/klagomål/A 28826-2024 FSC-klagomål.docx", "A 28826-2024")</f>
        <v/>
      </c>
      <c r="W595">
        <f>HYPERLINK("https://klasma.github.io/Logging_2404/klagomålsmail/A 28826-2024 FSC-klagomål mail.docx", "A 28826-2024")</f>
        <v/>
      </c>
      <c r="X595">
        <f>HYPERLINK("https://klasma.github.io/Logging_2404/tillsyn/A 28826-2024 tillsynsbegäran.docx", "A 28826-2024")</f>
        <v/>
      </c>
      <c r="Y595">
        <f>HYPERLINK("https://klasma.github.io/Logging_2404/tillsynsmail/A 28826-2024 tillsynsbegäran mail.docx", "A 28826-2024")</f>
        <v/>
      </c>
      <c r="Z595">
        <f>HYPERLINK("https://klasma.github.io/Logging_2404/fåglar/A 28826-2024 prioriterade fågelarter.docx", "A 28826-2024")</f>
        <v/>
      </c>
    </row>
    <row r="596" ht="15" customHeight="1">
      <c r="A596" t="inlineStr">
        <is>
          <t>A 62595-2023</t>
        </is>
      </c>
      <c r="B596" s="1" t="n">
        <v>45267</v>
      </c>
      <c r="C596" s="1" t="n">
        <v>46145</v>
      </c>
      <c r="D596" t="inlineStr">
        <is>
          <t>VÄSTERBOTTENS LÄN</t>
        </is>
      </c>
      <c r="E596" t="inlineStr">
        <is>
          <t>SKELLEFTEÅ</t>
        </is>
      </c>
      <c r="G596" t="n">
        <v>4.6</v>
      </c>
      <c r="H596" t="n">
        <v>2</v>
      </c>
      <c r="I596" t="n">
        <v>1</v>
      </c>
      <c r="J596" t="n">
        <v>1</v>
      </c>
      <c r="K596" t="n">
        <v>0</v>
      </c>
      <c r="L596" t="n">
        <v>0</v>
      </c>
      <c r="M596" t="n">
        <v>0</v>
      </c>
      <c r="N596" t="n">
        <v>0</v>
      </c>
      <c r="O596" t="n">
        <v>1</v>
      </c>
      <c r="P596" t="n">
        <v>0</v>
      </c>
      <c r="Q596" t="n">
        <v>3</v>
      </c>
      <c r="R596" s="2" t="inlineStr">
        <is>
          <t>Spillkråka
Vedticka
Fläcknycklar</t>
        </is>
      </c>
      <c r="S596">
        <f>HYPERLINK("https://klasma.github.io/Logging_2482/artfynd/A 62595-2023 artfynd.xlsx", "A 62595-2023")</f>
        <v/>
      </c>
      <c r="T596">
        <f>HYPERLINK("https://klasma.github.io/Logging_2482/kartor/A 62595-2023 karta.png", "A 62595-2023")</f>
        <v/>
      </c>
      <c r="V596">
        <f>HYPERLINK("https://klasma.github.io/Logging_2482/klagomål/A 62595-2023 FSC-klagomål.docx", "A 62595-2023")</f>
        <v/>
      </c>
      <c r="W596">
        <f>HYPERLINK("https://klasma.github.io/Logging_2482/klagomålsmail/A 62595-2023 FSC-klagomål mail.docx", "A 62595-2023")</f>
        <v/>
      </c>
      <c r="X596">
        <f>HYPERLINK("https://klasma.github.io/Logging_2482/tillsyn/A 62595-2023 tillsynsbegäran.docx", "A 62595-2023")</f>
        <v/>
      </c>
      <c r="Y596">
        <f>HYPERLINK("https://klasma.github.io/Logging_2482/tillsynsmail/A 62595-2023 tillsynsbegäran mail.docx", "A 62595-2023")</f>
        <v/>
      </c>
      <c r="Z596">
        <f>HYPERLINK("https://klasma.github.io/Logging_2482/fåglar/A 62595-2023 prioriterade fågelarter.docx", "A 62595-2023")</f>
        <v/>
      </c>
    </row>
    <row r="597" ht="15" customHeight="1">
      <c r="A597" t="inlineStr">
        <is>
          <t>A 2639-2026</t>
        </is>
      </c>
      <c r="B597" s="1" t="n">
        <v>46037.61684027778</v>
      </c>
      <c r="C597" s="1" t="n">
        <v>46145</v>
      </c>
      <c r="D597" t="inlineStr">
        <is>
          <t>VÄSTERBOTTENS LÄN</t>
        </is>
      </c>
      <c r="E597" t="inlineStr">
        <is>
          <t>ROBERTSFORS</t>
        </is>
      </c>
      <c r="G597" t="n">
        <v>4.5</v>
      </c>
      <c r="H597" t="n">
        <v>1</v>
      </c>
      <c r="I597" t="n">
        <v>0</v>
      </c>
      <c r="J597" t="n">
        <v>3</v>
      </c>
      <c r="K597" t="n">
        <v>0</v>
      </c>
      <c r="L597" t="n">
        <v>0</v>
      </c>
      <c r="M597" t="n">
        <v>0</v>
      </c>
      <c r="N597" t="n">
        <v>0</v>
      </c>
      <c r="O597" t="n">
        <v>3</v>
      </c>
      <c r="P597" t="n">
        <v>0</v>
      </c>
      <c r="Q597" t="n">
        <v>3</v>
      </c>
      <c r="R597" s="2" t="inlineStr">
        <is>
          <t>Garnlav
Tretåig hackspett
Ullticka</t>
        </is>
      </c>
      <c r="S597">
        <f>HYPERLINK("https://klasma.github.io/Logging_2409/artfynd/A 2639-2026 artfynd.xlsx", "A 2639-2026")</f>
        <v/>
      </c>
      <c r="T597">
        <f>HYPERLINK("https://klasma.github.io/Logging_2409/kartor/A 2639-2026 karta.png", "A 2639-2026")</f>
        <v/>
      </c>
      <c r="V597">
        <f>HYPERLINK("https://klasma.github.io/Logging_2409/klagomål/A 2639-2026 FSC-klagomål.docx", "A 2639-2026")</f>
        <v/>
      </c>
      <c r="W597">
        <f>HYPERLINK("https://klasma.github.io/Logging_2409/klagomålsmail/A 2639-2026 FSC-klagomål mail.docx", "A 2639-2026")</f>
        <v/>
      </c>
      <c r="X597">
        <f>HYPERLINK("https://klasma.github.io/Logging_2409/tillsyn/A 2639-2026 tillsynsbegäran.docx", "A 2639-2026")</f>
        <v/>
      </c>
      <c r="Y597">
        <f>HYPERLINK("https://klasma.github.io/Logging_2409/tillsynsmail/A 2639-2026 tillsynsbegäran mail.docx", "A 2639-2026")</f>
        <v/>
      </c>
      <c r="Z597">
        <f>HYPERLINK("https://klasma.github.io/Logging_2409/fåglar/A 2639-2026 prioriterade fågelarter.docx", "A 2639-2026")</f>
        <v/>
      </c>
    </row>
    <row r="598" ht="15" customHeight="1">
      <c r="A598" t="inlineStr">
        <is>
          <t>A 33858-2024</t>
        </is>
      </c>
      <c r="B598" s="1" t="n">
        <v>45520</v>
      </c>
      <c r="C598" s="1" t="n">
        <v>46145</v>
      </c>
      <c r="D598" t="inlineStr">
        <is>
          <t>VÄSTERBOTTENS LÄN</t>
        </is>
      </c>
      <c r="E598" t="inlineStr">
        <is>
          <t>SKELLEFTEÅ</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Dropptaggsvamp</t>
        </is>
      </c>
      <c r="S598">
        <f>HYPERLINK("https://klasma.github.io/Logging_2482/artfynd/A 33858-2024 artfynd.xlsx", "A 33858-2024")</f>
        <v/>
      </c>
      <c r="T598">
        <f>HYPERLINK("https://klasma.github.io/Logging_2482/kartor/A 33858-2024 karta.png", "A 33858-2024")</f>
        <v/>
      </c>
      <c r="V598">
        <f>HYPERLINK("https://klasma.github.io/Logging_2482/klagomål/A 33858-2024 FSC-klagomål.docx", "A 33858-2024")</f>
        <v/>
      </c>
      <c r="W598">
        <f>HYPERLINK("https://klasma.github.io/Logging_2482/klagomålsmail/A 33858-2024 FSC-klagomål mail.docx", "A 33858-2024")</f>
        <v/>
      </c>
      <c r="X598">
        <f>HYPERLINK("https://klasma.github.io/Logging_2482/tillsyn/A 33858-2024 tillsynsbegäran.docx", "A 33858-2024")</f>
        <v/>
      </c>
      <c r="Y598">
        <f>HYPERLINK("https://klasma.github.io/Logging_2482/tillsynsmail/A 33858-2024 tillsynsbegäran mail.docx", "A 33858-2024")</f>
        <v/>
      </c>
    </row>
    <row r="599" ht="15" customHeight="1">
      <c r="A599" t="inlineStr">
        <is>
          <t>A 54319-2025</t>
        </is>
      </c>
      <c r="B599" s="1" t="n">
        <v>45965</v>
      </c>
      <c r="C599" s="1" t="n">
        <v>46145</v>
      </c>
      <c r="D599" t="inlineStr">
        <is>
          <t>VÄSTERBOTTENS LÄN</t>
        </is>
      </c>
      <c r="E599" t="inlineStr">
        <is>
          <t>UMEÅ</t>
        </is>
      </c>
      <c r="G599" t="n">
        <v>6.6</v>
      </c>
      <c r="H599" t="n">
        <v>1</v>
      </c>
      <c r="I599" t="n">
        <v>0</v>
      </c>
      <c r="J599" t="n">
        <v>2</v>
      </c>
      <c r="K599" t="n">
        <v>1</v>
      </c>
      <c r="L599" t="n">
        <v>0</v>
      </c>
      <c r="M599" t="n">
        <v>0</v>
      </c>
      <c r="N599" t="n">
        <v>0</v>
      </c>
      <c r="O599" t="n">
        <v>3</v>
      </c>
      <c r="P599" t="n">
        <v>1</v>
      </c>
      <c r="Q599" t="n">
        <v>3</v>
      </c>
      <c r="R599" s="2" t="inlineStr">
        <is>
          <t>Knärot
Garnlav
Ullticka</t>
        </is>
      </c>
      <c r="S599">
        <f>HYPERLINK("https://klasma.github.io/Logging_2480/artfynd/A 54319-2025 artfynd.xlsx", "A 54319-2025")</f>
        <v/>
      </c>
      <c r="T599">
        <f>HYPERLINK("https://klasma.github.io/Logging_2480/kartor/A 54319-2025 karta.png", "A 54319-2025")</f>
        <v/>
      </c>
      <c r="U599">
        <f>HYPERLINK("https://klasma.github.io/Logging_2480/knärot/A 54319-2025 karta knärot.png", "A 54319-2025")</f>
        <v/>
      </c>
      <c r="V599">
        <f>HYPERLINK("https://klasma.github.io/Logging_2480/klagomål/A 54319-2025 FSC-klagomål.docx", "A 54319-2025")</f>
        <v/>
      </c>
      <c r="W599">
        <f>HYPERLINK("https://klasma.github.io/Logging_2480/klagomålsmail/A 54319-2025 FSC-klagomål mail.docx", "A 54319-2025")</f>
        <v/>
      </c>
      <c r="X599">
        <f>HYPERLINK("https://klasma.github.io/Logging_2480/tillsyn/A 54319-2025 tillsynsbegäran.docx", "A 54319-2025")</f>
        <v/>
      </c>
      <c r="Y599">
        <f>HYPERLINK("https://klasma.github.io/Logging_2480/tillsynsmail/A 54319-2025 tillsynsbegäran mail.docx", "A 54319-2025")</f>
        <v/>
      </c>
    </row>
    <row r="600" ht="15" customHeight="1">
      <c r="A600" t="inlineStr">
        <is>
          <t>A 14520-2024</t>
        </is>
      </c>
      <c r="B600" s="1" t="n">
        <v>45394</v>
      </c>
      <c r="C600" s="1" t="n">
        <v>46145</v>
      </c>
      <c r="D600" t="inlineStr">
        <is>
          <t>VÄSTERBOTTENS LÄN</t>
        </is>
      </c>
      <c r="E600" t="inlineStr">
        <is>
          <t>SORSELE</t>
        </is>
      </c>
      <c r="F600" t="inlineStr">
        <is>
          <t>Sveaskog</t>
        </is>
      </c>
      <c r="G600" t="n">
        <v>10</v>
      </c>
      <c r="H600" t="n">
        <v>1</v>
      </c>
      <c r="I600" t="n">
        <v>1</v>
      </c>
      <c r="J600" t="n">
        <v>2</v>
      </c>
      <c r="K600" t="n">
        <v>0</v>
      </c>
      <c r="L600" t="n">
        <v>0</v>
      </c>
      <c r="M600" t="n">
        <v>0</v>
      </c>
      <c r="N600" t="n">
        <v>0</v>
      </c>
      <c r="O600" t="n">
        <v>2</v>
      </c>
      <c r="P600" t="n">
        <v>0</v>
      </c>
      <c r="Q600" t="n">
        <v>3</v>
      </c>
      <c r="R600" s="2" t="inlineStr">
        <is>
          <t>Skrovellav
Talltita
Stuplav</t>
        </is>
      </c>
      <c r="S600">
        <f>HYPERLINK("https://klasma.github.io/Logging_2422/artfynd/A 14520-2024 artfynd.xlsx", "A 14520-2024")</f>
        <v/>
      </c>
      <c r="T600">
        <f>HYPERLINK("https://klasma.github.io/Logging_2422/kartor/A 14520-2024 karta.png", "A 14520-2024")</f>
        <v/>
      </c>
      <c r="V600">
        <f>HYPERLINK("https://klasma.github.io/Logging_2422/klagomål/A 14520-2024 FSC-klagomål.docx", "A 14520-2024")</f>
        <v/>
      </c>
      <c r="W600">
        <f>HYPERLINK("https://klasma.github.io/Logging_2422/klagomålsmail/A 14520-2024 FSC-klagomål mail.docx", "A 14520-2024")</f>
        <v/>
      </c>
      <c r="X600">
        <f>HYPERLINK("https://klasma.github.io/Logging_2422/tillsyn/A 14520-2024 tillsynsbegäran.docx", "A 14520-2024")</f>
        <v/>
      </c>
      <c r="Y600">
        <f>HYPERLINK("https://klasma.github.io/Logging_2422/tillsynsmail/A 14520-2024 tillsynsbegäran mail.docx", "A 14520-2024")</f>
        <v/>
      </c>
      <c r="Z600">
        <f>HYPERLINK("https://klasma.github.io/Logging_2422/fåglar/A 14520-2024 prioriterade fågelarter.docx", "A 14520-2024")</f>
        <v/>
      </c>
    </row>
    <row r="601" ht="15" customHeight="1">
      <c r="A601" t="inlineStr">
        <is>
          <t>A 10475-2026</t>
        </is>
      </c>
      <c r="B601" s="1" t="n">
        <v>46077.4840625</v>
      </c>
      <c r="C601" s="1" t="n">
        <v>46145</v>
      </c>
      <c r="D601" t="inlineStr">
        <is>
          <t>VÄSTERBOTTENS LÄN</t>
        </is>
      </c>
      <c r="E601" t="inlineStr">
        <is>
          <t>VÄNNÄS</t>
        </is>
      </c>
      <c r="G601" t="n">
        <v>10.4</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HYPERLINK("https://klasma.github.io/Logging_2460/artfynd/A 10475-2026 artfynd.xlsx", "A 10475-2026")</f>
        <v/>
      </c>
      <c r="T601">
        <f>HYPERLINK("https://klasma.github.io/Logging_2460/kartor/A 10475-2026 karta.png", "A 10475-2026")</f>
        <v/>
      </c>
      <c r="U601">
        <f>HYPERLINK("https://klasma.github.io/Logging_2460/knärot/A 10475-2026 karta knärot.png", "A 10475-2026")</f>
        <v/>
      </c>
      <c r="V601">
        <f>HYPERLINK("https://klasma.github.io/Logging_2460/klagomål/A 10475-2026 FSC-klagomål.docx", "A 10475-2026")</f>
        <v/>
      </c>
      <c r="W601">
        <f>HYPERLINK("https://klasma.github.io/Logging_2460/klagomålsmail/A 10475-2026 FSC-klagomål mail.docx", "A 10475-2026")</f>
        <v/>
      </c>
      <c r="X601">
        <f>HYPERLINK("https://klasma.github.io/Logging_2460/tillsyn/A 10475-2026 tillsynsbegäran.docx", "A 10475-2026")</f>
        <v/>
      </c>
      <c r="Y601">
        <f>HYPERLINK("https://klasma.github.io/Logging_2460/tillsynsmail/A 10475-2026 tillsynsbegäran mail.docx", "A 10475-2026")</f>
        <v/>
      </c>
      <c r="Z601">
        <f>HYPERLINK("https://klasma.github.io/Logging_2460/fåglar/A 10475-2026 prioriterade fågelarter.docx", "A 10475-2026")</f>
        <v/>
      </c>
    </row>
    <row r="602" ht="15" customHeight="1">
      <c r="A602" t="inlineStr">
        <is>
          <t>A 21672-2023</t>
        </is>
      </c>
      <c r="B602" s="1" t="n">
        <v>45063</v>
      </c>
      <c r="C602" s="1" t="n">
        <v>46145</v>
      </c>
      <c r="D602" t="inlineStr">
        <is>
          <t>VÄSTERBOTTENS LÄN</t>
        </is>
      </c>
      <c r="E602" t="inlineStr">
        <is>
          <t>DOROTEA</t>
        </is>
      </c>
      <c r="F602" t="inlineStr">
        <is>
          <t>SCA</t>
        </is>
      </c>
      <c r="G602" t="n">
        <v>7.4</v>
      </c>
      <c r="H602" t="n">
        <v>0</v>
      </c>
      <c r="I602" t="n">
        <v>0</v>
      </c>
      <c r="J602" t="n">
        <v>3</v>
      </c>
      <c r="K602" t="n">
        <v>0</v>
      </c>
      <c r="L602" t="n">
        <v>0</v>
      </c>
      <c r="M602" t="n">
        <v>0</v>
      </c>
      <c r="N602" t="n">
        <v>0</v>
      </c>
      <c r="O602" t="n">
        <v>3</v>
      </c>
      <c r="P602" t="n">
        <v>0</v>
      </c>
      <c r="Q602" t="n">
        <v>3</v>
      </c>
      <c r="R602" s="2" t="inlineStr">
        <is>
          <t>Doftskinn
Skrovellav
Ullticka</t>
        </is>
      </c>
      <c r="S602">
        <f>HYPERLINK("https://klasma.github.io/Logging_2425/artfynd/A 21672-2023 artfynd.xlsx", "A 21672-2023")</f>
        <v/>
      </c>
      <c r="T602">
        <f>HYPERLINK("https://klasma.github.io/Logging_2425/kartor/A 21672-2023 karta.png", "A 21672-2023")</f>
        <v/>
      </c>
      <c r="V602">
        <f>HYPERLINK("https://klasma.github.io/Logging_2425/klagomål/A 21672-2023 FSC-klagomål.docx", "A 21672-2023")</f>
        <v/>
      </c>
      <c r="W602">
        <f>HYPERLINK("https://klasma.github.io/Logging_2425/klagomålsmail/A 21672-2023 FSC-klagomål mail.docx", "A 21672-2023")</f>
        <v/>
      </c>
      <c r="X602">
        <f>HYPERLINK("https://klasma.github.io/Logging_2425/tillsyn/A 21672-2023 tillsynsbegäran.docx", "A 21672-2023")</f>
        <v/>
      </c>
      <c r="Y602">
        <f>HYPERLINK("https://klasma.github.io/Logging_2425/tillsynsmail/A 21672-2023 tillsynsbegäran mail.docx", "A 21672-2023")</f>
        <v/>
      </c>
    </row>
    <row r="603" ht="15" customHeight="1">
      <c r="A603" t="inlineStr">
        <is>
          <t>A 65382-2021</t>
        </is>
      </c>
      <c r="B603" s="1" t="n">
        <v>44515</v>
      </c>
      <c r="C603" s="1" t="n">
        <v>46145</v>
      </c>
      <c r="D603" t="inlineStr">
        <is>
          <t>VÄSTERBOTTENS LÄN</t>
        </is>
      </c>
      <c r="E603" t="inlineStr">
        <is>
          <t>VILHELMINA</t>
        </is>
      </c>
      <c r="G603" t="n">
        <v>10.7</v>
      </c>
      <c r="H603" t="n">
        <v>0</v>
      </c>
      <c r="I603" t="n">
        <v>0</v>
      </c>
      <c r="J603" t="n">
        <v>2</v>
      </c>
      <c r="K603" t="n">
        <v>1</v>
      </c>
      <c r="L603" t="n">
        <v>0</v>
      </c>
      <c r="M603" t="n">
        <v>0</v>
      </c>
      <c r="N603" t="n">
        <v>0</v>
      </c>
      <c r="O603" t="n">
        <v>3</v>
      </c>
      <c r="P603" t="n">
        <v>1</v>
      </c>
      <c r="Q603" t="n">
        <v>3</v>
      </c>
      <c r="R603" s="2" t="inlineStr">
        <is>
          <t>Rynkskinn
Lunglav
Rosenticka</t>
        </is>
      </c>
      <c r="S603">
        <f>HYPERLINK("https://klasma.github.io/Logging_2462/artfynd/A 65382-2021 artfynd.xlsx", "A 65382-2021")</f>
        <v/>
      </c>
      <c r="T603">
        <f>HYPERLINK("https://klasma.github.io/Logging_2462/kartor/A 65382-2021 karta.png", "A 65382-2021")</f>
        <v/>
      </c>
      <c r="V603">
        <f>HYPERLINK("https://klasma.github.io/Logging_2462/klagomål/A 65382-2021 FSC-klagomål.docx", "A 65382-2021")</f>
        <v/>
      </c>
      <c r="W603">
        <f>HYPERLINK("https://klasma.github.io/Logging_2462/klagomålsmail/A 65382-2021 FSC-klagomål mail.docx", "A 65382-2021")</f>
        <v/>
      </c>
      <c r="X603">
        <f>HYPERLINK("https://klasma.github.io/Logging_2462/tillsyn/A 65382-2021 tillsynsbegäran.docx", "A 65382-2021")</f>
        <v/>
      </c>
      <c r="Y603">
        <f>HYPERLINK("https://klasma.github.io/Logging_2462/tillsynsmail/A 65382-2021 tillsynsbegäran mail.docx", "A 65382-2021")</f>
        <v/>
      </c>
    </row>
    <row r="604" ht="15" customHeight="1">
      <c r="A604" t="inlineStr">
        <is>
          <t>A 258-2026</t>
        </is>
      </c>
      <c r="B604" s="1" t="n">
        <v>46027.43534722222</v>
      </c>
      <c r="C604" s="1" t="n">
        <v>46145</v>
      </c>
      <c r="D604" t="inlineStr">
        <is>
          <t>VÄSTERBOTTENS LÄN</t>
        </is>
      </c>
      <c r="E604" t="inlineStr">
        <is>
          <t>UMEÅ</t>
        </is>
      </c>
      <c r="G604" t="n">
        <v>3.2</v>
      </c>
      <c r="H604" t="n">
        <v>2</v>
      </c>
      <c r="I604" t="n">
        <v>0</v>
      </c>
      <c r="J604" t="n">
        <v>3</v>
      </c>
      <c r="K604" t="n">
        <v>0</v>
      </c>
      <c r="L604" t="n">
        <v>0</v>
      </c>
      <c r="M604" t="n">
        <v>0</v>
      </c>
      <c r="N604" t="n">
        <v>0</v>
      </c>
      <c r="O604" t="n">
        <v>3</v>
      </c>
      <c r="P604" t="n">
        <v>0</v>
      </c>
      <c r="Q604" t="n">
        <v>3</v>
      </c>
      <c r="R604" s="2" t="inlineStr">
        <is>
          <t>Granticka
Talltita
Tretåig hackspett</t>
        </is>
      </c>
      <c r="S604">
        <f>HYPERLINK("https://klasma.github.io/Logging_2480/artfynd/A 258-2026 artfynd.xlsx", "A 258-2026")</f>
        <v/>
      </c>
      <c r="T604">
        <f>HYPERLINK("https://klasma.github.io/Logging_2480/kartor/A 258-2026 karta.png", "A 258-2026")</f>
        <v/>
      </c>
      <c r="V604">
        <f>HYPERLINK("https://klasma.github.io/Logging_2480/klagomål/A 258-2026 FSC-klagomål.docx", "A 258-2026")</f>
        <v/>
      </c>
      <c r="W604">
        <f>HYPERLINK("https://klasma.github.io/Logging_2480/klagomålsmail/A 258-2026 FSC-klagomål mail.docx", "A 258-2026")</f>
        <v/>
      </c>
      <c r="X604">
        <f>HYPERLINK("https://klasma.github.io/Logging_2480/tillsyn/A 258-2026 tillsynsbegäran.docx", "A 258-2026")</f>
        <v/>
      </c>
      <c r="Y604">
        <f>HYPERLINK("https://klasma.github.io/Logging_2480/tillsynsmail/A 258-2026 tillsynsbegäran mail.docx", "A 258-2026")</f>
        <v/>
      </c>
      <c r="Z604">
        <f>HYPERLINK("https://klasma.github.io/Logging_2480/fåglar/A 258-2026 prioriterade fågelarter.docx", "A 258-2026")</f>
        <v/>
      </c>
    </row>
    <row r="605" ht="15" customHeight="1">
      <c r="A605" t="inlineStr">
        <is>
          <t>A 38123-2024</t>
        </is>
      </c>
      <c r="B605" s="1" t="n">
        <v>45545</v>
      </c>
      <c r="C605" s="1" t="n">
        <v>46145</v>
      </c>
      <c r="D605" t="inlineStr">
        <is>
          <t>VÄSTERBOTTENS LÄN</t>
        </is>
      </c>
      <c r="E605" t="inlineStr">
        <is>
          <t>VILHELMINA</t>
        </is>
      </c>
      <c r="F605" t="inlineStr">
        <is>
          <t>SCA</t>
        </is>
      </c>
      <c r="G605" t="n">
        <v>4.8</v>
      </c>
      <c r="H605" t="n">
        <v>2</v>
      </c>
      <c r="I605" t="n">
        <v>0</v>
      </c>
      <c r="J605" t="n">
        <v>3</v>
      </c>
      <c r="K605" t="n">
        <v>0</v>
      </c>
      <c r="L605" t="n">
        <v>0</v>
      </c>
      <c r="M605" t="n">
        <v>0</v>
      </c>
      <c r="N605" t="n">
        <v>0</v>
      </c>
      <c r="O605" t="n">
        <v>3</v>
      </c>
      <c r="P605" t="n">
        <v>0</v>
      </c>
      <c r="Q605" t="n">
        <v>3</v>
      </c>
      <c r="R605" s="2" t="inlineStr">
        <is>
          <t>Garnlav
Spillkråka
Tretåig hackspett</t>
        </is>
      </c>
      <c r="S605">
        <f>HYPERLINK("https://klasma.github.io/Logging_2462/artfynd/A 38123-2024 artfynd.xlsx", "A 38123-2024")</f>
        <v/>
      </c>
      <c r="T605">
        <f>HYPERLINK("https://klasma.github.io/Logging_2462/kartor/A 38123-2024 karta.png", "A 38123-2024")</f>
        <v/>
      </c>
      <c r="V605">
        <f>HYPERLINK("https://klasma.github.io/Logging_2462/klagomål/A 38123-2024 FSC-klagomål.docx", "A 38123-2024")</f>
        <v/>
      </c>
      <c r="W605">
        <f>HYPERLINK("https://klasma.github.io/Logging_2462/klagomålsmail/A 38123-2024 FSC-klagomål mail.docx", "A 38123-2024")</f>
        <v/>
      </c>
      <c r="X605">
        <f>HYPERLINK("https://klasma.github.io/Logging_2462/tillsyn/A 38123-2024 tillsynsbegäran.docx", "A 38123-2024")</f>
        <v/>
      </c>
      <c r="Y605">
        <f>HYPERLINK("https://klasma.github.io/Logging_2462/tillsynsmail/A 38123-2024 tillsynsbegäran mail.docx", "A 38123-2024")</f>
        <v/>
      </c>
      <c r="Z605">
        <f>HYPERLINK("https://klasma.github.io/Logging_2462/fåglar/A 38123-2024 prioriterade fågelarter.docx", "A 38123-2024")</f>
        <v/>
      </c>
    </row>
    <row r="606" ht="15" customHeight="1">
      <c r="A606" t="inlineStr">
        <is>
          <t>A 22838-2025</t>
        </is>
      </c>
      <c r="B606" s="1" t="n">
        <v>45790.28381944444</v>
      </c>
      <c r="C606" s="1" t="n">
        <v>46145</v>
      </c>
      <c r="D606" t="inlineStr">
        <is>
          <t>VÄSTERBOTTENS LÄN</t>
        </is>
      </c>
      <c r="E606" t="inlineStr">
        <is>
          <t>SKELLEFTEÅ</t>
        </is>
      </c>
      <c r="G606" t="n">
        <v>8.300000000000001</v>
      </c>
      <c r="H606" t="n">
        <v>3</v>
      </c>
      <c r="I606" t="n">
        <v>0</v>
      </c>
      <c r="J606" t="n">
        <v>2</v>
      </c>
      <c r="K606" t="n">
        <v>1</v>
      </c>
      <c r="L606" t="n">
        <v>0</v>
      </c>
      <c r="M606" t="n">
        <v>0</v>
      </c>
      <c r="N606" t="n">
        <v>0</v>
      </c>
      <c r="O606" t="n">
        <v>3</v>
      </c>
      <c r="P606" t="n">
        <v>1</v>
      </c>
      <c r="Q606" t="n">
        <v>3</v>
      </c>
      <c r="R606" s="2" t="inlineStr">
        <is>
          <t>Knärot
Spillkråka
Tretåig hackspett</t>
        </is>
      </c>
      <c r="S606">
        <f>HYPERLINK("https://klasma.github.io/Logging_2482/artfynd/A 22838-2025 artfynd.xlsx", "A 22838-2025")</f>
        <v/>
      </c>
      <c r="T606">
        <f>HYPERLINK("https://klasma.github.io/Logging_2482/kartor/A 22838-2025 karta.png", "A 22838-2025")</f>
        <v/>
      </c>
      <c r="U606">
        <f>HYPERLINK("https://klasma.github.io/Logging_2482/knärot/A 22838-2025 karta knärot.png", "A 22838-2025")</f>
        <v/>
      </c>
      <c r="V606">
        <f>HYPERLINK("https://klasma.github.io/Logging_2482/klagomål/A 22838-2025 FSC-klagomål.docx", "A 22838-2025")</f>
        <v/>
      </c>
      <c r="W606">
        <f>HYPERLINK("https://klasma.github.io/Logging_2482/klagomålsmail/A 22838-2025 FSC-klagomål mail.docx", "A 22838-2025")</f>
        <v/>
      </c>
      <c r="X606">
        <f>HYPERLINK("https://klasma.github.io/Logging_2482/tillsyn/A 22838-2025 tillsynsbegäran.docx", "A 22838-2025")</f>
        <v/>
      </c>
      <c r="Y606">
        <f>HYPERLINK("https://klasma.github.io/Logging_2482/tillsynsmail/A 22838-2025 tillsynsbegäran mail.docx", "A 22838-2025")</f>
        <v/>
      </c>
      <c r="Z606">
        <f>HYPERLINK("https://klasma.github.io/Logging_2482/fåglar/A 22838-2025 prioriterade fågelarter.docx", "A 22838-2025")</f>
        <v/>
      </c>
    </row>
    <row r="607" ht="15" customHeight="1">
      <c r="A607" t="inlineStr">
        <is>
          <t>A 40987-2022</t>
        </is>
      </c>
      <c r="B607" s="1" t="n">
        <v>44823</v>
      </c>
      <c r="C607" s="1" t="n">
        <v>46145</v>
      </c>
      <c r="D607" t="inlineStr">
        <is>
          <t>VÄSTERBOTTENS LÄN</t>
        </is>
      </c>
      <c r="E607" t="inlineStr">
        <is>
          <t>SKELLEFTEÅ</t>
        </is>
      </c>
      <c r="G607" t="n">
        <v>7.1</v>
      </c>
      <c r="H607" t="n">
        <v>0</v>
      </c>
      <c r="I607" t="n">
        <v>2</v>
      </c>
      <c r="J607" t="n">
        <v>1</v>
      </c>
      <c r="K607" t="n">
        <v>0</v>
      </c>
      <c r="L607" t="n">
        <v>0</v>
      </c>
      <c r="M607" t="n">
        <v>0</v>
      </c>
      <c r="N607" t="n">
        <v>0</v>
      </c>
      <c r="O607" t="n">
        <v>1</v>
      </c>
      <c r="P607" t="n">
        <v>0</v>
      </c>
      <c r="Q607" t="n">
        <v>3</v>
      </c>
      <c r="R607" s="2" t="inlineStr">
        <is>
          <t>Blå taggsvamp
Bårdlav
Norrlandslav</t>
        </is>
      </c>
      <c r="S607">
        <f>HYPERLINK("https://klasma.github.io/Logging_2482/artfynd/A 40987-2022 artfynd.xlsx", "A 40987-2022")</f>
        <v/>
      </c>
      <c r="T607">
        <f>HYPERLINK("https://klasma.github.io/Logging_2482/kartor/A 40987-2022 karta.png", "A 40987-2022")</f>
        <v/>
      </c>
      <c r="V607">
        <f>HYPERLINK("https://klasma.github.io/Logging_2482/klagomål/A 40987-2022 FSC-klagomål.docx", "A 40987-2022")</f>
        <v/>
      </c>
      <c r="W607">
        <f>HYPERLINK("https://klasma.github.io/Logging_2482/klagomålsmail/A 40987-2022 FSC-klagomål mail.docx", "A 40987-2022")</f>
        <v/>
      </c>
      <c r="X607">
        <f>HYPERLINK("https://klasma.github.io/Logging_2482/tillsyn/A 40987-2022 tillsynsbegäran.docx", "A 40987-2022")</f>
        <v/>
      </c>
      <c r="Y607">
        <f>HYPERLINK("https://klasma.github.io/Logging_2482/tillsynsmail/A 40987-2022 tillsynsbegäran mail.docx", "A 40987-2022")</f>
        <v/>
      </c>
    </row>
    <row r="608" ht="15" customHeight="1">
      <c r="A608" t="inlineStr">
        <is>
          <t>A 54566-2024</t>
        </is>
      </c>
      <c r="B608" s="1" t="n">
        <v>45617.63777777777</v>
      </c>
      <c r="C608" s="1" t="n">
        <v>46145</v>
      </c>
      <c r="D608" t="inlineStr">
        <is>
          <t>VÄSTERBOTTENS LÄN</t>
        </is>
      </c>
      <c r="E608" t="inlineStr">
        <is>
          <t>LYCKSELE</t>
        </is>
      </c>
      <c r="F608" t="inlineStr">
        <is>
          <t>Sveaskog</t>
        </is>
      </c>
      <c r="G608" t="n">
        <v>6.7</v>
      </c>
      <c r="H608" t="n">
        <v>0</v>
      </c>
      <c r="I608" t="n">
        <v>2</v>
      </c>
      <c r="J608" t="n">
        <v>1</v>
      </c>
      <c r="K608" t="n">
        <v>0</v>
      </c>
      <c r="L608" t="n">
        <v>0</v>
      </c>
      <c r="M608" t="n">
        <v>0</v>
      </c>
      <c r="N608" t="n">
        <v>0</v>
      </c>
      <c r="O608" t="n">
        <v>1</v>
      </c>
      <c r="P608" t="n">
        <v>0</v>
      </c>
      <c r="Q608" t="n">
        <v>3</v>
      </c>
      <c r="R608" s="2" t="inlineStr">
        <is>
          <t>Orange taggsvamp
Dropptaggsvamp
Vedticka</t>
        </is>
      </c>
      <c r="S608">
        <f>HYPERLINK("https://klasma.github.io/Logging_2481/artfynd/A 54566-2024 artfynd.xlsx", "A 54566-2024")</f>
        <v/>
      </c>
      <c r="T608">
        <f>HYPERLINK("https://klasma.github.io/Logging_2481/kartor/A 54566-2024 karta.png", "A 54566-2024")</f>
        <v/>
      </c>
      <c r="V608">
        <f>HYPERLINK("https://klasma.github.io/Logging_2481/klagomål/A 54566-2024 FSC-klagomål.docx", "A 54566-2024")</f>
        <v/>
      </c>
      <c r="W608">
        <f>HYPERLINK("https://klasma.github.io/Logging_2481/klagomålsmail/A 54566-2024 FSC-klagomål mail.docx", "A 54566-2024")</f>
        <v/>
      </c>
      <c r="X608">
        <f>HYPERLINK("https://klasma.github.io/Logging_2481/tillsyn/A 54566-2024 tillsynsbegäran.docx", "A 54566-2024")</f>
        <v/>
      </c>
      <c r="Y608">
        <f>HYPERLINK("https://klasma.github.io/Logging_2481/tillsynsmail/A 54566-2024 tillsynsbegäran mail.docx", "A 54566-2024")</f>
        <v/>
      </c>
    </row>
    <row r="609" ht="15" customHeight="1">
      <c r="A609" t="inlineStr">
        <is>
          <t>A 8477-2026</t>
        </is>
      </c>
      <c r="B609" s="1" t="n">
        <v>46065.45789351852</v>
      </c>
      <c r="C609" s="1" t="n">
        <v>46145</v>
      </c>
      <c r="D609" t="inlineStr">
        <is>
          <t>VÄSTERBOTTENS LÄN</t>
        </is>
      </c>
      <c r="E609" t="inlineStr">
        <is>
          <t>ROBERTSFORS</t>
        </is>
      </c>
      <c r="G609" t="n">
        <v>4.7</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HYPERLINK("https://klasma.github.io/Logging_2409/artfynd/A 8477-2026 artfynd.xlsx", "A 8477-2026")</f>
        <v/>
      </c>
      <c r="T609">
        <f>HYPERLINK("https://klasma.github.io/Logging_2409/kartor/A 8477-2026 karta.png", "A 8477-2026")</f>
        <v/>
      </c>
      <c r="V609">
        <f>HYPERLINK("https://klasma.github.io/Logging_2409/klagomål/A 8477-2026 FSC-klagomål.docx", "A 8477-2026")</f>
        <v/>
      </c>
      <c r="W609">
        <f>HYPERLINK("https://klasma.github.io/Logging_2409/klagomålsmail/A 8477-2026 FSC-klagomål mail.docx", "A 8477-2026")</f>
        <v/>
      </c>
      <c r="X609">
        <f>HYPERLINK("https://klasma.github.io/Logging_2409/tillsyn/A 8477-2026 tillsynsbegäran.docx", "A 8477-2026")</f>
        <v/>
      </c>
      <c r="Y609">
        <f>HYPERLINK("https://klasma.github.io/Logging_2409/tillsynsmail/A 8477-2026 tillsynsbegäran mail.docx", "A 8477-2026")</f>
        <v/>
      </c>
      <c r="Z609">
        <f>HYPERLINK("https://klasma.github.io/Logging_2409/fåglar/A 8477-2026 prioriterade fågelarter.docx", "A 8477-2026")</f>
        <v/>
      </c>
    </row>
    <row r="610" ht="15" customHeight="1">
      <c r="A610" t="inlineStr">
        <is>
          <t>A 251-2026</t>
        </is>
      </c>
      <c r="B610" s="1" t="n">
        <v>46027.41774305556</v>
      </c>
      <c r="C610" s="1" t="n">
        <v>46145</v>
      </c>
      <c r="D610" t="inlineStr">
        <is>
          <t>VÄSTERBOTTENS LÄN</t>
        </is>
      </c>
      <c r="E610" t="inlineStr">
        <is>
          <t>UMEÅ</t>
        </is>
      </c>
      <c r="G610" t="n">
        <v>2.5</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HYPERLINK("https://klasma.github.io/Logging_2480/artfynd/A 251-2026 artfynd.xlsx", "A 251-2026")</f>
        <v/>
      </c>
      <c r="T610">
        <f>HYPERLINK("https://klasma.github.io/Logging_2480/kartor/A 251-2026 karta.png", "A 251-2026")</f>
        <v/>
      </c>
      <c r="V610">
        <f>HYPERLINK("https://klasma.github.io/Logging_2480/klagomål/A 251-2026 FSC-klagomål.docx", "A 251-2026")</f>
        <v/>
      </c>
      <c r="W610">
        <f>HYPERLINK("https://klasma.github.io/Logging_2480/klagomålsmail/A 251-2026 FSC-klagomål mail.docx", "A 251-2026")</f>
        <v/>
      </c>
      <c r="X610">
        <f>HYPERLINK("https://klasma.github.io/Logging_2480/tillsyn/A 251-2026 tillsynsbegäran.docx", "A 251-2026")</f>
        <v/>
      </c>
      <c r="Y610">
        <f>HYPERLINK("https://klasma.github.io/Logging_2480/tillsynsmail/A 251-2026 tillsynsbegäran mail.docx", "A 251-2026")</f>
        <v/>
      </c>
      <c r="Z610">
        <f>HYPERLINK("https://klasma.github.io/Logging_2480/fåglar/A 251-2026 prioriterade fågelarter.docx", "A 251-2026")</f>
        <v/>
      </c>
    </row>
    <row r="611" ht="15" customHeight="1">
      <c r="A611" t="inlineStr">
        <is>
          <t>A 12572-2026</t>
        </is>
      </c>
      <c r="B611" s="1" t="n">
        <v>46090.66416666667</v>
      </c>
      <c r="C611" s="1" t="n">
        <v>46145</v>
      </c>
      <c r="D611" t="inlineStr">
        <is>
          <t>VÄSTERBOTTENS LÄN</t>
        </is>
      </c>
      <c r="E611" t="inlineStr">
        <is>
          <t>SKELLEFTEÅ</t>
        </is>
      </c>
      <c r="G611" t="n">
        <v>1.9</v>
      </c>
      <c r="H611" t="n">
        <v>1</v>
      </c>
      <c r="I611" t="n">
        <v>0</v>
      </c>
      <c r="J611" t="n">
        <v>3</v>
      </c>
      <c r="K611" t="n">
        <v>0</v>
      </c>
      <c r="L611" t="n">
        <v>0</v>
      </c>
      <c r="M611" t="n">
        <v>0</v>
      </c>
      <c r="N611" t="n">
        <v>0</v>
      </c>
      <c r="O611" t="n">
        <v>3</v>
      </c>
      <c r="P611" t="n">
        <v>0</v>
      </c>
      <c r="Q611" t="n">
        <v>3</v>
      </c>
      <c r="R611" s="2" t="inlineStr">
        <is>
          <t>Garnlav
Tretåig hackspett
Violettgrå tagellav</t>
        </is>
      </c>
      <c r="S611">
        <f>HYPERLINK("https://klasma.github.io/Logging_2482/artfynd/A 12572-2026 artfynd.xlsx", "A 12572-2026")</f>
        <v/>
      </c>
      <c r="T611">
        <f>HYPERLINK("https://klasma.github.io/Logging_2482/kartor/A 12572-2026 karta.png", "A 12572-2026")</f>
        <v/>
      </c>
      <c r="U611">
        <f>HYPERLINK("https://klasma.github.io/Logging_2482/knärot/A 12572-2026 karta knärot.png", "A 12572-2026")</f>
        <v/>
      </c>
      <c r="V611">
        <f>HYPERLINK("https://klasma.github.io/Logging_2482/klagomål/A 12572-2026 FSC-klagomål.docx", "A 12572-2026")</f>
        <v/>
      </c>
      <c r="W611">
        <f>HYPERLINK("https://klasma.github.io/Logging_2482/klagomålsmail/A 12572-2026 FSC-klagomål mail.docx", "A 12572-2026")</f>
        <v/>
      </c>
      <c r="X611">
        <f>HYPERLINK("https://klasma.github.io/Logging_2482/tillsyn/A 12572-2026 tillsynsbegäran.docx", "A 12572-2026")</f>
        <v/>
      </c>
      <c r="Y611">
        <f>HYPERLINK("https://klasma.github.io/Logging_2482/tillsynsmail/A 12572-2026 tillsynsbegäran mail.docx", "A 12572-2026")</f>
        <v/>
      </c>
      <c r="Z611">
        <f>HYPERLINK("https://klasma.github.io/Logging_2482/fåglar/A 12572-2026 prioriterade fågelarter.docx", "A 12572-2026")</f>
        <v/>
      </c>
    </row>
    <row r="612" ht="15" customHeight="1">
      <c r="A612" t="inlineStr">
        <is>
          <t>A 9157-2023</t>
        </is>
      </c>
      <c r="B612" s="1" t="n">
        <v>44972</v>
      </c>
      <c r="C612" s="1" t="n">
        <v>46145</v>
      </c>
      <c r="D612" t="inlineStr">
        <is>
          <t>VÄSTERBOTTENS LÄN</t>
        </is>
      </c>
      <c r="E612" t="inlineStr">
        <is>
          <t>VILHELMINA</t>
        </is>
      </c>
      <c r="F612" t="inlineStr">
        <is>
          <t>Allmännings- och besparingsskogar</t>
        </is>
      </c>
      <c r="G612" t="n">
        <v>411</v>
      </c>
      <c r="H612" t="n">
        <v>0</v>
      </c>
      <c r="I612" t="n">
        <v>0</v>
      </c>
      <c r="J612" t="n">
        <v>3</v>
      </c>
      <c r="K612" t="n">
        <v>0</v>
      </c>
      <c r="L612" t="n">
        <v>0</v>
      </c>
      <c r="M612" t="n">
        <v>0</v>
      </c>
      <c r="N612" t="n">
        <v>0</v>
      </c>
      <c r="O612" t="n">
        <v>3</v>
      </c>
      <c r="P612" t="n">
        <v>0</v>
      </c>
      <c r="Q612" t="n">
        <v>3</v>
      </c>
      <c r="R612" s="2" t="inlineStr">
        <is>
          <t>Garnlav
Granticka
Harticka</t>
        </is>
      </c>
      <c r="S612">
        <f>HYPERLINK("https://klasma.github.io/Logging_2462/artfynd/A 9157-2023 artfynd.xlsx", "A 9157-2023")</f>
        <v/>
      </c>
      <c r="T612">
        <f>HYPERLINK("https://klasma.github.io/Logging_2462/kartor/A 9157-2023 karta.png", "A 9157-2023")</f>
        <v/>
      </c>
      <c r="V612">
        <f>HYPERLINK("https://klasma.github.io/Logging_2462/klagomål/A 9157-2023 FSC-klagomål.docx", "A 9157-2023")</f>
        <v/>
      </c>
      <c r="W612">
        <f>HYPERLINK("https://klasma.github.io/Logging_2462/klagomålsmail/A 9157-2023 FSC-klagomål mail.docx", "A 9157-2023")</f>
        <v/>
      </c>
      <c r="X612">
        <f>HYPERLINK("https://klasma.github.io/Logging_2462/tillsyn/A 9157-2023 tillsynsbegäran.docx", "A 9157-2023")</f>
        <v/>
      </c>
      <c r="Y612">
        <f>HYPERLINK("https://klasma.github.io/Logging_2462/tillsynsmail/A 9157-2023 tillsynsbegäran mail.docx", "A 9157-2023")</f>
        <v/>
      </c>
    </row>
    <row r="613" ht="15" customHeight="1">
      <c r="A613" t="inlineStr">
        <is>
          <t>A 14590-2026</t>
        </is>
      </c>
      <c r="B613" s="1" t="n">
        <v>46101.34583333333</v>
      </c>
      <c r="C613" s="1" t="n">
        <v>46145</v>
      </c>
      <c r="D613" t="inlineStr">
        <is>
          <t>VÄSTERBOTTENS LÄN</t>
        </is>
      </c>
      <c r="E613" t="inlineStr">
        <is>
          <t>SKELLEFTEÅ</t>
        </is>
      </c>
      <c r="F613" t="inlineStr">
        <is>
          <t>SCA</t>
        </is>
      </c>
      <c r="G613" t="n">
        <v>5</v>
      </c>
      <c r="H613" t="n">
        <v>2</v>
      </c>
      <c r="I613" t="n">
        <v>0</v>
      </c>
      <c r="J613" t="n">
        <v>3</v>
      </c>
      <c r="K613" t="n">
        <v>0</v>
      </c>
      <c r="L613" t="n">
        <v>0</v>
      </c>
      <c r="M613" t="n">
        <v>0</v>
      </c>
      <c r="N613" t="n">
        <v>0</v>
      </c>
      <c r="O613" t="n">
        <v>3</v>
      </c>
      <c r="P613" t="n">
        <v>0</v>
      </c>
      <c r="Q613" t="n">
        <v>3</v>
      </c>
      <c r="R613" s="2" t="inlineStr">
        <is>
          <t>Spillkråka
Tallticka
Tretåig hackspett</t>
        </is>
      </c>
      <c r="S613">
        <f>HYPERLINK("https://klasma.github.io/Logging_2482/artfynd/A 14590-2026 artfynd.xlsx", "A 14590-2026")</f>
        <v/>
      </c>
      <c r="T613">
        <f>HYPERLINK("https://klasma.github.io/Logging_2482/kartor/A 14590-2026 karta.png", "A 14590-2026")</f>
        <v/>
      </c>
      <c r="V613">
        <f>HYPERLINK("https://klasma.github.io/Logging_2482/klagomål/A 14590-2026 FSC-klagomål.docx", "A 14590-2026")</f>
        <v/>
      </c>
      <c r="W613">
        <f>HYPERLINK("https://klasma.github.io/Logging_2482/klagomålsmail/A 14590-2026 FSC-klagomål mail.docx", "A 14590-2026")</f>
        <v/>
      </c>
      <c r="X613">
        <f>HYPERLINK("https://klasma.github.io/Logging_2482/tillsyn/A 14590-2026 tillsynsbegäran.docx", "A 14590-2026")</f>
        <v/>
      </c>
      <c r="Y613">
        <f>HYPERLINK("https://klasma.github.io/Logging_2482/tillsynsmail/A 14590-2026 tillsynsbegäran mail.docx", "A 14590-2026")</f>
        <v/>
      </c>
      <c r="Z613">
        <f>HYPERLINK("https://klasma.github.io/Logging_2482/fåglar/A 14590-2026 prioriterade fågelarter.docx", "A 14590-2026")</f>
        <v/>
      </c>
    </row>
    <row r="614" ht="15" customHeight="1">
      <c r="A614" t="inlineStr">
        <is>
          <t>A 57357-2024</t>
        </is>
      </c>
      <c r="B614" s="1" t="n">
        <v>45629.65383101852</v>
      </c>
      <c r="C614" s="1" t="n">
        <v>46145</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46145</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22368-2025</t>
        </is>
      </c>
      <c r="B616" s="1" t="n">
        <v>45786.47642361111</v>
      </c>
      <c r="C616" s="1" t="n">
        <v>46145</v>
      </c>
      <c r="D616" t="inlineStr">
        <is>
          <t>VÄSTERBOTTENS LÄN</t>
        </is>
      </c>
      <c r="E616" t="inlineStr">
        <is>
          <t>LYCKSELE</t>
        </is>
      </c>
      <c r="F616" t="inlineStr">
        <is>
          <t>Sveaskog</t>
        </is>
      </c>
      <c r="G616" t="n">
        <v>2.9</v>
      </c>
      <c r="H616" t="n">
        <v>0</v>
      </c>
      <c r="I616" t="n">
        <v>0</v>
      </c>
      <c r="J616" t="n">
        <v>3</v>
      </c>
      <c r="K616" t="n">
        <v>0</v>
      </c>
      <c r="L616" t="n">
        <v>0</v>
      </c>
      <c r="M616" t="n">
        <v>0</v>
      </c>
      <c r="N616" t="n">
        <v>0</v>
      </c>
      <c r="O616" t="n">
        <v>3</v>
      </c>
      <c r="P616" t="n">
        <v>0</v>
      </c>
      <c r="Q616" t="n">
        <v>3</v>
      </c>
      <c r="R616" s="2" t="inlineStr">
        <is>
          <t>Blå taggsvamp
Kolflarnlav
Mörk kolflarnlav</t>
        </is>
      </c>
      <c r="S616">
        <f>HYPERLINK("https://klasma.github.io/Logging_2481/artfynd/A 22368-2025 artfynd.xlsx", "A 22368-2025")</f>
        <v/>
      </c>
      <c r="T616">
        <f>HYPERLINK("https://klasma.github.io/Logging_2481/kartor/A 22368-2025 karta.png", "A 22368-2025")</f>
        <v/>
      </c>
      <c r="V616">
        <f>HYPERLINK("https://klasma.github.io/Logging_2481/klagomål/A 22368-2025 FSC-klagomål.docx", "A 22368-2025")</f>
        <v/>
      </c>
      <c r="W616">
        <f>HYPERLINK("https://klasma.github.io/Logging_2481/klagomålsmail/A 22368-2025 FSC-klagomål mail.docx", "A 22368-2025")</f>
        <v/>
      </c>
      <c r="X616">
        <f>HYPERLINK("https://klasma.github.io/Logging_2481/tillsyn/A 22368-2025 tillsynsbegäran.docx", "A 22368-2025")</f>
        <v/>
      </c>
      <c r="Y616">
        <f>HYPERLINK("https://klasma.github.io/Logging_2481/tillsynsmail/A 22368-2025 tillsynsbegäran mail.docx", "A 22368-2025")</f>
        <v/>
      </c>
    </row>
    <row r="617" ht="15" customHeight="1">
      <c r="A617" t="inlineStr">
        <is>
          <t>A 22123-2025</t>
        </is>
      </c>
      <c r="B617" s="1" t="n">
        <v>45785.52142361111</v>
      </c>
      <c r="C617" s="1" t="n">
        <v>46145</v>
      </c>
      <c r="D617" t="inlineStr">
        <is>
          <t>VÄSTERBOTTENS LÄN</t>
        </is>
      </c>
      <c r="E617" t="inlineStr">
        <is>
          <t>LYCKSELE</t>
        </is>
      </c>
      <c r="F617" t="inlineStr">
        <is>
          <t>Sveaskog</t>
        </is>
      </c>
      <c r="G617" t="n">
        <v>11.2</v>
      </c>
      <c r="H617" t="n">
        <v>0</v>
      </c>
      <c r="I617" t="n">
        <v>1</v>
      </c>
      <c r="J617" t="n">
        <v>2</v>
      </c>
      <c r="K617" t="n">
        <v>0</v>
      </c>
      <c r="L617" t="n">
        <v>0</v>
      </c>
      <c r="M617" t="n">
        <v>0</v>
      </c>
      <c r="N617" t="n">
        <v>0</v>
      </c>
      <c r="O617" t="n">
        <v>2</v>
      </c>
      <c r="P617" t="n">
        <v>0</v>
      </c>
      <c r="Q617" t="n">
        <v>3</v>
      </c>
      <c r="R617" s="2" t="inlineStr">
        <is>
          <t>Blå taggsvamp
Kolflarnlav
Dropptaggsvamp</t>
        </is>
      </c>
      <c r="S617">
        <f>HYPERLINK("https://klasma.github.io/Logging_2481/artfynd/A 22123-2025 artfynd.xlsx", "A 22123-2025")</f>
        <v/>
      </c>
      <c r="T617">
        <f>HYPERLINK("https://klasma.github.io/Logging_2481/kartor/A 22123-2025 karta.png", "A 22123-2025")</f>
        <v/>
      </c>
      <c r="V617">
        <f>HYPERLINK("https://klasma.github.io/Logging_2481/klagomål/A 22123-2025 FSC-klagomål.docx", "A 22123-2025")</f>
        <v/>
      </c>
      <c r="W617">
        <f>HYPERLINK("https://klasma.github.io/Logging_2481/klagomålsmail/A 22123-2025 FSC-klagomål mail.docx", "A 22123-2025")</f>
        <v/>
      </c>
      <c r="X617">
        <f>HYPERLINK("https://klasma.github.io/Logging_2481/tillsyn/A 22123-2025 tillsynsbegäran.docx", "A 22123-2025")</f>
        <v/>
      </c>
      <c r="Y617">
        <f>HYPERLINK("https://klasma.github.io/Logging_2481/tillsynsmail/A 22123-2025 tillsynsbegäran mail.docx", "A 22123-2025")</f>
        <v/>
      </c>
    </row>
    <row r="618" ht="15" customHeight="1">
      <c r="A618" t="inlineStr">
        <is>
          <t>A 44152-2023</t>
        </is>
      </c>
      <c r="B618" s="1" t="n">
        <v>45188.47930555556</v>
      </c>
      <c r="C618" s="1" t="n">
        <v>46145</v>
      </c>
      <c r="D618" t="inlineStr">
        <is>
          <t>VÄSTERBOTTENS LÄN</t>
        </is>
      </c>
      <c r="E618" t="inlineStr">
        <is>
          <t>SKELLEFTEÅ</t>
        </is>
      </c>
      <c r="F618" t="inlineStr">
        <is>
          <t>Holmen skog AB</t>
        </is>
      </c>
      <c r="G618" t="n">
        <v>9.199999999999999</v>
      </c>
      <c r="H618" t="n">
        <v>1</v>
      </c>
      <c r="I618" t="n">
        <v>0</v>
      </c>
      <c r="J618" t="n">
        <v>3</v>
      </c>
      <c r="K618" t="n">
        <v>0</v>
      </c>
      <c r="L618" t="n">
        <v>0</v>
      </c>
      <c r="M618" t="n">
        <v>0</v>
      </c>
      <c r="N618" t="n">
        <v>0</v>
      </c>
      <c r="O618" t="n">
        <v>3</v>
      </c>
      <c r="P618" t="n">
        <v>0</v>
      </c>
      <c r="Q618" t="n">
        <v>3</v>
      </c>
      <c r="R618" s="2" t="inlineStr">
        <is>
          <t>Gammelgransskål
Garnlav
Videsparv</t>
        </is>
      </c>
      <c r="S618">
        <f>HYPERLINK("https://klasma.github.io/Logging_2482/artfynd/A 44152-2023 artfynd.xlsx", "A 44152-2023")</f>
        <v/>
      </c>
      <c r="T618">
        <f>HYPERLINK("https://klasma.github.io/Logging_2482/kartor/A 44152-2023 karta.png", "A 44152-2023")</f>
        <v/>
      </c>
      <c r="V618">
        <f>HYPERLINK("https://klasma.github.io/Logging_2482/klagomål/A 44152-2023 FSC-klagomål.docx", "A 44152-2023")</f>
        <v/>
      </c>
      <c r="W618">
        <f>HYPERLINK("https://klasma.github.io/Logging_2482/klagomålsmail/A 44152-2023 FSC-klagomål mail.docx", "A 44152-2023")</f>
        <v/>
      </c>
      <c r="X618">
        <f>HYPERLINK("https://klasma.github.io/Logging_2482/tillsyn/A 44152-2023 tillsynsbegäran.docx", "A 44152-2023")</f>
        <v/>
      </c>
      <c r="Y618">
        <f>HYPERLINK("https://klasma.github.io/Logging_2482/tillsynsmail/A 44152-2023 tillsynsbegäran mail.docx", "A 44152-2023")</f>
        <v/>
      </c>
      <c r="Z618">
        <f>HYPERLINK("https://klasma.github.io/Logging_2482/fåglar/A 44152-2023 prioriterade fågelarter.docx", "A 44152-2023")</f>
        <v/>
      </c>
    </row>
    <row r="619" ht="15" customHeight="1">
      <c r="A619" t="inlineStr">
        <is>
          <t>A 23299-2025</t>
        </is>
      </c>
      <c r="B619" s="1" t="n">
        <v>45791.59457175926</v>
      </c>
      <c r="C619" s="1" t="n">
        <v>46145</v>
      </c>
      <c r="D619" t="inlineStr">
        <is>
          <t>VÄSTERBOTTENS LÄN</t>
        </is>
      </c>
      <c r="E619" t="inlineStr">
        <is>
          <t>SKELLEFTEÅ</t>
        </is>
      </c>
      <c r="F619" t="inlineStr">
        <is>
          <t>Holmen skog AB</t>
        </is>
      </c>
      <c r="G619" t="n">
        <v>1.5</v>
      </c>
      <c r="H619" t="n">
        <v>1</v>
      </c>
      <c r="I619" t="n">
        <v>2</v>
      </c>
      <c r="J619" t="n">
        <v>1</v>
      </c>
      <c r="K619" t="n">
        <v>0</v>
      </c>
      <c r="L619" t="n">
        <v>0</v>
      </c>
      <c r="M619" t="n">
        <v>0</v>
      </c>
      <c r="N619" t="n">
        <v>0</v>
      </c>
      <c r="O619" t="n">
        <v>1</v>
      </c>
      <c r="P619" t="n">
        <v>0</v>
      </c>
      <c r="Q619" t="n">
        <v>3</v>
      </c>
      <c r="R619" s="2" t="inlineStr">
        <is>
          <t>Garnlav
Nästlav
Plattlummer</t>
        </is>
      </c>
      <c r="S619">
        <f>HYPERLINK("https://klasma.github.io/Logging_2482/artfynd/A 23299-2025 artfynd.xlsx", "A 23299-2025")</f>
        <v/>
      </c>
      <c r="T619">
        <f>HYPERLINK("https://klasma.github.io/Logging_2482/kartor/A 23299-2025 karta.png", "A 23299-2025")</f>
        <v/>
      </c>
      <c r="V619">
        <f>HYPERLINK("https://klasma.github.io/Logging_2482/klagomål/A 23299-2025 FSC-klagomål.docx", "A 23299-2025")</f>
        <v/>
      </c>
      <c r="W619">
        <f>HYPERLINK("https://klasma.github.io/Logging_2482/klagomålsmail/A 23299-2025 FSC-klagomål mail.docx", "A 23299-2025")</f>
        <v/>
      </c>
      <c r="X619">
        <f>HYPERLINK("https://klasma.github.io/Logging_2482/tillsyn/A 23299-2025 tillsynsbegäran.docx", "A 23299-2025")</f>
        <v/>
      </c>
      <c r="Y619">
        <f>HYPERLINK("https://klasma.github.io/Logging_2482/tillsynsmail/A 23299-2025 tillsynsbegäran mail.docx", "A 23299-2025")</f>
        <v/>
      </c>
    </row>
    <row r="620" ht="15" customHeight="1">
      <c r="A620" t="inlineStr">
        <is>
          <t>A 23725-2025</t>
        </is>
      </c>
      <c r="B620" s="1" t="n">
        <v>45793.40694444445</v>
      </c>
      <c r="C620" s="1" t="n">
        <v>46145</v>
      </c>
      <c r="D620" t="inlineStr">
        <is>
          <t>VÄSTERBOTTENS LÄN</t>
        </is>
      </c>
      <c r="E620" t="inlineStr">
        <is>
          <t>SKELLEFTEÅ</t>
        </is>
      </c>
      <c r="G620" t="n">
        <v>6.3</v>
      </c>
      <c r="H620" t="n">
        <v>2</v>
      </c>
      <c r="I620" t="n">
        <v>0</v>
      </c>
      <c r="J620" t="n">
        <v>2</v>
      </c>
      <c r="K620" t="n">
        <v>0</v>
      </c>
      <c r="L620" t="n">
        <v>0</v>
      </c>
      <c r="M620" t="n">
        <v>0</v>
      </c>
      <c r="N620" t="n">
        <v>0</v>
      </c>
      <c r="O620" t="n">
        <v>2</v>
      </c>
      <c r="P620" t="n">
        <v>0</v>
      </c>
      <c r="Q620" t="n">
        <v>3</v>
      </c>
      <c r="R620" s="2" t="inlineStr">
        <is>
          <t>Garnlav
Nordfladdermus
Fläcknycklar</t>
        </is>
      </c>
      <c r="S620">
        <f>HYPERLINK("https://klasma.github.io/Logging_2482/artfynd/A 23725-2025 artfynd.xlsx", "A 23725-2025")</f>
        <v/>
      </c>
      <c r="T620">
        <f>HYPERLINK("https://klasma.github.io/Logging_2482/kartor/A 23725-2025 karta.png", "A 23725-2025")</f>
        <v/>
      </c>
      <c r="V620">
        <f>HYPERLINK("https://klasma.github.io/Logging_2482/klagomål/A 23725-2025 FSC-klagomål.docx", "A 23725-2025")</f>
        <v/>
      </c>
      <c r="W620">
        <f>HYPERLINK("https://klasma.github.io/Logging_2482/klagomålsmail/A 23725-2025 FSC-klagomål mail.docx", "A 23725-2025")</f>
        <v/>
      </c>
      <c r="X620">
        <f>HYPERLINK("https://klasma.github.io/Logging_2482/tillsyn/A 23725-2025 tillsynsbegäran.docx", "A 23725-2025")</f>
        <v/>
      </c>
      <c r="Y620">
        <f>HYPERLINK("https://klasma.github.io/Logging_2482/tillsynsmail/A 23725-2025 tillsynsbegäran mail.docx", "A 23725-2025")</f>
        <v/>
      </c>
    </row>
    <row r="621" ht="15" customHeight="1">
      <c r="A621" t="inlineStr">
        <is>
          <t>A 26136-2025</t>
        </is>
      </c>
      <c r="B621" s="1" t="n">
        <v>45805.41388888889</v>
      </c>
      <c r="C621" s="1" t="n">
        <v>46145</v>
      </c>
      <c r="D621" t="inlineStr">
        <is>
          <t>VÄSTERBOTTENS LÄN</t>
        </is>
      </c>
      <c r="E621" t="inlineStr">
        <is>
          <t>ÅSELE</t>
        </is>
      </c>
      <c r="F621" t="inlineStr">
        <is>
          <t>Sveaskog</t>
        </is>
      </c>
      <c r="G621" t="n">
        <v>14.1</v>
      </c>
      <c r="H621" t="n">
        <v>0</v>
      </c>
      <c r="I621" t="n">
        <v>1</v>
      </c>
      <c r="J621" t="n">
        <v>2</v>
      </c>
      <c r="K621" t="n">
        <v>0</v>
      </c>
      <c r="L621" t="n">
        <v>0</v>
      </c>
      <c r="M621" t="n">
        <v>0</v>
      </c>
      <c r="N621" t="n">
        <v>0</v>
      </c>
      <c r="O621" t="n">
        <v>2</v>
      </c>
      <c r="P621" t="n">
        <v>0</v>
      </c>
      <c r="Q621" t="n">
        <v>3</v>
      </c>
      <c r="R621" s="2" t="inlineStr">
        <is>
          <t>Lunglav
Skrovellav
Bårdlav</t>
        </is>
      </c>
      <c r="S621">
        <f>HYPERLINK("https://klasma.github.io/Logging_2463/artfynd/A 26136-2025 artfynd.xlsx", "A 26136-2025")</f>
        <v/>
      </c>
      <c r="T621">
        <f>HYPERLINK("https://klasma.github.io/Logging_2463/kartor/A 26136-2025 karta.png", "A 26136-2025")</f>
        <v/>
      </c>
      <c r="V621">
        <f>HYPERLINK("https://klasma.github.io/Logging_2463/klagomål/A 26136-2025 FSC-klagomål.docx", "A 26136-2025")</f>
        <v/>
      </c>
      <c r="W621">
        <f>HYPERLINK("https://klasma.github.io/Logging_2463/klagomålsmail/A 26136-2025 FSC-klagomål mail.docx", "A 26136-2025")</f>
        <v/>
      </c>
      <c r="X621">
        <f>HYPERLINK("https://klasma.github.io/Logging_2463/tillsyn/A 26136-2025 tillsynsbegäran.docx", "A 26136-2025")</f>
        <v/>
      </c>
      <c r="Y621">
        <f>HYPERLINK("https://klasma.github.io/Logging_2463/tillsynsmail/A 26136-2025 tillsynsbegäran mail.docx", "A 26136-2025")</f>
        <v/>
      </c>
    </row>
    <row r="622" ht="15" customHeight="1">
      <c r="A622" t="inlineStr">
        <is>
          <t>A 28909-2025</t>
        </is>
      </c>
      <c r="B622" s="1" t="n">
        <v>45820.65403935185</v>
      </c>
      <c r="C622" s="1" t="n">
        <v>46145</v>
      </c>
      <c r="D622" t="inlineStr">
        <is>
          <t>VÄSTERBOTTENS LÄN</t>
        </is>
      </c>
      <c r="E622" t="inlineStr">
        <is>
          <t>DOROTEA</t>
        </is>
      </c>
      <c r="F622" t="inlineStr">
        <is>
          <t>Kyrkan</t>
        </is>
      </c>
      <c r="G622" t="n">
        <v>5.5</v>
      </c>
      <c r="H622" t="n">
        <v>1</v>
      </c>
      <c r="I622" t="n">
        <v>0</v>
      </c>
      <c r="J622" t="n">
        <v>3</v>
      </c>
      <c r="K622" t="n">
        <v>0</v>
      </c>
      <c r="L622" t="n">
        <v>0</v>
      </c>
      <c r="M622" t="n">
        <v>0</v>
      </c>
      <c r="N622" t="n">
        <v>0</v>
      </c>
      <c r="O622" t="n">
        <v>3</v>
      </c>
      <c r="P622" t="n">
        <v>0</v>
      </c>
      <c r="Q622" t="n">
        <v>3</v>
      </c>
      <c r="R622" s="2" t="inlineStr">
        <is>
          <t>Kolflarnlav
Mörk kolflarnlav
Tretåig hackspett</t>
        </is>
      </c>
      <c r="S622">
        <f>HYPERLINK("https://klasma.github.io/Logging_2425/artfynd/A 28909-2025 artfynd.xlsx", "A 28909-2025")</f>
        <v/>
      </c>
      <c r="T622">
        <f>HYPERLINK("https://klasma.github.io/Logging_2425/kartor/A 28909-2025 karta.png", "A 28909-2025")</f>
        <v/>
      </c>
      <c r="V622">
        <f>HYPERLINK("https://klasma.github.io/Logging_2425/klagomål/A 28909-2025 FSC-klagomål.docx", "A 28909-2025")</f>
        <v/>
      </c>
      <c r="W622">
        <f>HYPERLINK("https://klasma.github.io/Logging_2425/klagomålsmail/A 28909-2025 FSC-klagomål mail.docx", "A 28909-2025")</f>
        <v/>
      </c>
      <c r="X622">
        <f>HYPERLINK("https://klasma.github.io/Logging_2425/tillsyn/A 28909-2025 tillsynsbegäran.docx", "A 28909-2025")</f>
        <v/>
      </c>
      <c r="Y622">
        <f>HYPERLINK("https://klasma.github.io/Logging_2425/tillsynsmail/A 28909-2025 tillsynsbegäran mail.docx", "A 28909-2025")</f>
        <v/>
      </c>
      <c r="Z622">
        <f>HYPERLINK("https://klasma.github.io/Logging_2425/fåglar/A 28909-2025 prioriterade fågelarter.docx", "A 28909-2025")</f>
        <v/>
      </c>
    </row>
    <row r="623" ht="15" customHeight="1">
      <c r="A623" t="inlineStr">
        <is>
          <t>A 32937-2025</t>
        </is>
      </c>
      <c r="B623" s="1" t="n">
        <v>45839.67740740741</v>
      </c>
      <c r="C623" s="1" t="n">
        <v>46145</v>
      </c>
      <c r="D623" t="inlineStr">
        <is>
          <t>VÄSTERBOTTENS LÄN</t>
        </is>
      </c>
      <c r="E623" t="inlineStr">
        <is>
          <t>SKELLEFTEÅ</t>
        </is>
      </c>
      <c r="F623" t="inlineStr">
        <is>
          <t>Holmen skog AB</t>
        </is>
      </c>
      <c r="G623" t="n">
        <v>24.3</v>
      </c>
      <c r="H623" t="n">
        <v>2</v>
      </c>
      <c r="I623" t="n">
        <v>0</v>
      </c>
      <c r="J623" t="n">
        <v>3</v>
      </c>
      <c r="K623" t="n">
        <v>0</v>
      </c>
      <c r="L623" t="n">
        <v>0</v>
      </c>
      <c r="M623" t="n">
        <v>0</v>
      </c>
      <c r="N623" t="n">
        <v>0</v>
      </c>
      <c r="O623" t="n">
        <v>3</v>
      </c>
      <c r="P623" t="n">
        <v>0</v>
      </c>
      <c r="Q623" t="n">
        <v>3</v>
      </c>
      <c r="R623" s="2" t="inlineStr">
        <is>
          <t>Garnlav
Spillkråka
Talltita</t>
        </is>
      </c>
      <c r="S623">
        <f>HYPERLINK("https://klasma.github.io/Logging_2482/artfynd/A 32937-2025 artfynd.xlsx", "A 32937-2025")</f>
        <v/>
      </c>
      <c r="T623">
        <f>HYPERLINK("https://klasma.github.io/Logging_2482/kartor/A 32937-2025 karta.png", "A 32937-2025")</f>
        <v/>
      </c>
      <c r="V623">
        <f>HYPERLINK("https://klasma.github.io/Logging_2482/klagomål/A 32937-2025 FSC-klagomål.docx", "A 32937-2025")</f>
        <v/>
      </c>
      <c r="W623">
        <f>HYPERLINK("https://klasma.github.io/Logging_2482/klagomålsmail/A 32937-2025 FSC-klagomål mail.docx", "A 32937-2025")</f>
        <v/>
      </c>
      <c r="X623">
        <f>HYPERLINK("https://klasma.github.io/Logging_2482/tillsyn/A 32937-2025 tillsynsbegäran.docx", "A 32937-2025")</f>
        <v/>
      </c>
      <c r="Y623">
        <f>HYPERLINK("https://klasma.github.io/Logging_2482/tillsynsmail/A 32937-2025 tillsynsbegäran mail.docx", "A 32937-2025")</f>
        <v/>
      </c>
      <c r="Z623">
        <f>HYPERLINK("https://klasma.github.io/Logging_2482/fåglar/A 32937-2025 prioriterade fågelarter.docx", "A 32937-2025")</f>
        <v/>
      </c>
    </row>
    <row r="624" ht="15" customHeight="1">
      <c r="A624" t="inlineStr">
        <is>
          <t>A 32779-2025</t>
        </is>
      </c>
      <c r="B624" s="1" t="n">
        <v>45839.46946759259</v>
      </c>
      <c r="C624" s="1" t="n">
        <v>46145</v>
      </c>
      <c r="D624" t="inlineStr">
        <is>
          <t>VÄSTERBOTTENS LÄN</t>
        </is>
      </c>
      <c r="E624" t="inlineStr">
        <is>
          <t>VILHELMINA</t>
        </is>
      </c>
      <c r="F624" t="inlineStr">
        <is>
          <t>SCA</t>
        </is>
      </c>
      <c r="G624" t="n">
        <v>13.6</v>
      </c>
      <c r="H624" t="n">
        <v>0</v>
      </c>
      <c r="I624" t="n">
        <v>1</v>
      </c>
      <c r="J624" t="n">
        <v>2</v>
      </c>
      <c r="K624" t="n">
        <v>0</v>
      </c>
      <c r="L624" t="n">
        <v>0</v>
      </c>
      <c r="M624" t="n">
        <v>0</v>
      </c>
      <c r="N624" t="n">
        <v>0</v>
      </c>
      <c r="O624" t="n">
        <v>2</v>
      </c>
      <c r="P624" t="n">
        <v>0</v>
      </c>
      <c r="Q624" t="n">
        <v>3</v>
      </c>
      <c r="R624" s="2" t="inlineStr">
        <is>
          <t>Doftskinn
Lunglav
Stuplav</t>
        </is>
      </c>
      <c r="S624">
        <f>HYPERLINK("https://klasma.github.io/Logging_2462/artfynd/A 32779-2025 artfynd.xlsx", "A 32779-2025")</f>
        <v/>
      </c>
      <c r="T624">
        <f>HYPERLINK("https://klasma.github.io/Logging_2462/kartor/A 32779-2025 karta.png", "A 32779-2025")</f>
        <v/>
      </c>
      <c r="V624">
        <f>HYPERLINK("https://klasma.github.io/Logging_2462/klagomål/A 32779-2025 FSC-klagomål.docx", "A 32779-2025")</f>
        <v/>
      </c>
      <c r="W624">
        <f>HYPERLINK("https://klasma.github.io/Logging_2462/klagomålsmail/A 32779-2025 FSC-klagomål mail.docx", "A 32779-2025")</f>
        <v/>
      </c>
      <c r="X624">
        <f>HYPERLINK("https://klasma.github.io/Logging_2462/tillsyn/A 32779-2025 tillsynsbegäran.docx", "A 32779-2025")</f>
        <v/>
      </c>
      <c r="Y624">
        <f>HYPERLINK("https://klasma.github.io/Logging_2462/tillsynsmail/A 32779-2025 tillsynsbegäran mail.docx", "A 32779-2025")</f>
        <v/>
      </c>
    </row>
    <row r="625" ht="15" customHeight="1">
      <c r="A625" t="inlineStr">
        <is>
          <t>A 33340-2025</t>
        </is>
      </c>
      <c r="B625" s="1" t="n">
        <v>45841.36038194445</v>
      </c>
      <c r="C625" s="1" t="n">
        <v>46145</v>
      </c>
      <c r="D625" t="inlineStr">
        <is>
          <t>VÄSTERBOTTENS LÄN</t>
        </is>
      </c>
      <c r="E625" t="inlineStr">
        <is>
          <t>LYCKSELE</t>
        </is>
      </c>
      <c r="F625" t="inlineStr">
        <is>
          <t>Sveaskog</t>
        </is>
      </c>
      <c r="G625" t="n">
        <v>5.2</v>
      </c>
      <c r="H625" t="n">
        <v>0</v>
      </c>
      <c r="I625" t="n">
        <v>0</v>
      </c>
      <c r="J625" t="n">
        <v>3</v>
      </c>
      <c r="K625" t="n">
        <v>0</v>
      </c>
      <c r="L625" t="n">
        <v>0</v>
      </c>
      <c r="M625" t="n">
        <v>0</v>
      </c>
      <c r="N625" t="n">
        <v>0</v>
      </c>
      <c r="O625" t="n">
        <v>3</v>
      </c>
      <c r="P625" t="n">
        <v>0</v>
      </c>
      <c r="Q625" t="n">
        <v>3</v>
      </c>
      <c r="R625" s="2" t="inlineStr">
        <is>
          <t>Mörk kolflarnlav
Vaddporing
Vedflamlav</t>
        </is>
      </c>
      <c r="S625">
        <f>HYPERLINK("https://klasma.github.io/Logging_2481/artfynd/A 33340-2025 artfynd.xlsx", "A 33340-2025")</f>
        <v/>
      </c>
      <c r="T625">
        <f>HYPERLINK("https://klasma.github.io/Logging_2481/kartor/A 33340-2025 karta.png", "A 33340-2025")</f>
        <v/>
      </c>
      <c r="V625">
        <f>HYPERLINK("https://klasma.github.io/Logging_2481/klagomål/A 33340-2025 FSC-klagomål.docx", "A 33340-2025")</f>
        <v/>
      </c>
      <c r="W625">
        <f>HYPERLINK("https://klasma.github.io/Logging_2481/klagomålsmail/A 33340-2025 FSC-klagomål mail.docx", "A 33340-2025")</f>
        <v/>
      </c>
      <c r="X625">
        <f>HYPERLINK("https://klasma.github.io/Logging_2481/tillsyn/A 33340-2025 tillsynsbegäran.docx", "A 33340-2025")</f>
        <v/>
      </c>
      <c r="Y625">
        <f>HYPERLINK("https://klasma.github.io/Logging_2481/tillsynsmail/A 33340-2025 tillsynsbegäran mail.docx", "A 33340-2025")</f>
        <v/>
      </c>
    </row>
    <row r="626" ht="15" customHeight="1">
      <c r="A626" t="inlineStr">
        <is>
          <t>A 33347-2025</t>
        </is>
      </c>
      <c r="B626" s="1" t="n">
        <v>45841.36940972223</v>
      </c>
      <c r="C626" s="1" t="n">
        <v>46145</v>
      </c>
      <c r="D626" t="inlineStr">
        <is>
          <t>VÄSTERBOTTENS LÄN</t>
        </is>
      </c>
      <c r="E626" t="inlineStr">
        <is>
          <t>ROBERTSFORS</t>
        </is>
      </c>
      <c r="F626" t="inlineStr">
        <is>
          <t>Holmen skog AB</t>
        </is>
      </c>
      <c r="G626" t="n">
        <v>2.9</v>
      </c>
      <c r="H626" t="n">
        <v>0</v>
      </c>
      <c r="I626" t="n">
        <v>1</v>
      </c>
      <c r="J626" t="n">
        <v>2</v>
      </c>
      <c r="K626" t="n">
        <v>0</v>
      </c>
      <c r="L626" t="n">
        <v>0</v>
      </c>
      <c r="M626" t="n">
        <v>0</v>
      </c>
      <c r="N626" t="n">
        <v>0</v>
      </c>
      <c r="O626" t="n">
        <v>2</v>
      </c>
      <c r="P626" t="n">
        <v>0</v>
      </c>
      <c r="Q626" t="n">
        <v>3</v>
      </c>
      <c r="R626" s="2" t="inlineStr">
        <is>
          <t>Garnlav
Lunglav
Stuplav</t>
        </is>
      </c>
      <c r="S626">
        <f>HYPERLINK("https://klasma.github.io/Logging_2409/artfynd/A 33347-2025 artfynd.xlsx", "A 33347-2025")</f>
        <v/>
      </c>
      <c r="T626">
        <f>HYPERLINK("https://klasma.github.io/Logging_2409/kartor/A 33347-2025 karta.png", "A 33347-2025")</f>
        <v/>
      </c>
      <c r="V626">
        <f>HYPERLINK("https://klasma.github.io/Logging_2409/klagomål/A 33347-2025 FSC-klagomål.docx", "A 33347-2025")</f>
        <v/>
      </c>
      <c r="W626">
        <f>HYPERLINK("https://klasma.github.io/Logging_2409/klagomålsmail/A 33347-2025 FSC-klagomål mail.docx", "A 33347-2025")</f>
        <v/>
      </c>
      <c r="X626">
        <f>HYPERLINK("https://klasma.github.io/Logging_2409/tillsyn/A 33347-2025 tillsynsbegäran.docx", "A 33347-2025")</f>
        <v/>
      </c>
      <c r="Y626">
        <f>HYPERLINK("https://klasma.github.io/Logging_2409/tillsynsmail/A 33347-2025 tillsynsbegäran mail.docx", "A 33347-2025")</f>
        <v/>
      </c>
    </row>
    <row r="627" ht="15" customHeight="1">
      <c r="A627" t="inlineStr">
        <is>
          <t>A 34948-2025</t>
        </is>
      </c>
      <c r="B627" s="1" t="n">
        <v>45849.59368055555</v>
      </c>
      <c r="C627" s="1" t="n">
        <v>46145</v>
      </c>
      <c r="D627" t="inlineStr">
        <is>
          <t>VÄSTERBOTTENS LÄN</t>
        </is>
      </c>
      <c r="E627" t="inlineStr">
        <is>
          <t>NORSJÖ</t>
        </is>
      </c>
      <c r="F627" t="inlineStr">
        <is>
          <t>Holmen skog AB</t>
        </is>
      </c>
      <c r="G627" t="n">
        <v>4.9</v>
      </c>
      <c r="H627" t="n">
        <v>0</v>
      </c>
      <c r="I627" t="n">
        <v>0</v>
      </c>
      <c r="J627" t="n">
        <v>3</v>
      </c>
      <c r="K627" t="n">
        <v>0</v>
      </c>
      <c r="L627" t="n">
        <v>0</v>
      </c>
      <c r="M627" t="n">
        <v>0</v>
      </c>
      <c r="N627" t="n">
        <v>0</v>
      </c>
      <c r="O627" t="n">
        <v>3</v>
      </c>
      <c r="P627" t="n">
        <v>0</v>
      </c>
      <c r="Q627" t="n">
        <v>3</v>
      </c>
      <c r="R627" s="2" t="inlineStr">
        <is>
          <t>Gammelgransskål
Garnlav
Knottrig blåslav</t>
        </is>
      </c>
      <c r="S627">
        <f>HYPERLINK("https://klasma.github.io/Logging_2417/artfynd/A 34948-2025 artfynd.xlsx", "A 34948-2025")</f>
        <v/>
      </c>
      <c r="T627">
        <f>HYPERLINK("https://klasma.github.io/Logging_2417/kartor/A 34948-2025 karta.png", "A 34948-2025")</f>
        <v/>
      </c>
      <c r="V627">
        <f>HYPERLINK("https://klasma.github.io/Logging_2417/klagomål/A 34948-2025 FSC-klagomål.docx", "A 34948-2025")</f>
        <v/>
      </c>
      <c r="W627">
        <f>HYPERLINK("https://klasma.github.io/Logging_2417/klagomålsmail/A 34948-2025 FSC-klagomål mail.docx", "A 34948-2025")</f>
        <v/>
      </c>
      <c r="X627">
        <f>HYPERLINK("https://klasma.github.io/Logging_2417/tillsyn/A 34948-2025 tillsynsbegäran.docx", "A 34948-2025")</f>
        <v/>
      </c>
      <c r="Y627">
        <f>HYPERLINK("https://klasma.github.io/Logging_2417/tillsynsmail/A 34948-2025 tillsynsbegäran mail.docx", "A 34948-2025")</f>
        <v/>
      </c>
    </row>
    <row r="628" ht="15" customHeight="1">
      <c r="A628" t="inlineStr">
        <is>
          <t>A 35159-2025</t>
        </is>
      </c>
      <c r="B628" s="1" t="n">
        <v>45852</v>
      </c>
      <c r="C628" s="1" t="n">
        <v>46145</v>
      </c>
      <c r="D628" t="inlineStr">
        <is>
          <t>VÄSTERBOTTENS LÄN</t>
        </is>
      </c>
      <c r="E628" t="inlineStr">
        <is>
          <t>SKELLEFTEÅ</t>
        </is>
      </c>
      <c r="G628" t="n">
        <v>3.3</v>
      </c>
      <c r="H628" t="n">
        <v>1</v>
      </c>
      <c r="I628" t="n">
        <v>0</v>
      </c>
      <c r="J628" t="n">
        <v>2</v>
      </c>
      <c r="K628" t="n">
        <v>0</v>
      </c>
      <c r="L628" t="n">
        <v>0</v>
      </c>
      <c r="M628" t="n">
        <v>0</v>
      </c>
      <c r="N628" t="n">
        <v>0</v>
      </c>
      <c r="O628" t="n">
        <v>3</v>
      </c>
      <c r="P628" t="n">
        <v>0</v>
      </c>
      <c r="Q628" t="n">
        <v>3</v>
      </c>
      <c r="R628" s="2" t="inlineStr">
        <is>
          <t>Granticka
Talltita
Krämporing</t>
        </is>
      </c>
      <c r="S628">
        <f>HYPERLINK("https://klasma.github.io/Logging_2482/artfynd/A 35159-2025 artfynd.xlsx", "A 35159-2025")</f>
        <v/>
      </c>
      <c r="T628">
        <f>HYPERLINK("https://klasma.github.io/Logging_2482/kartor/A 35159-2025 karta.png", "A 35159-2025")</f>
        <v/>
      </c>
      <c r="V628">
        <f>HYPERLINK("https://klasma.github.io/Logging_2482/klagomål/A 35159-2025 FSC-klagomål.docx", "A 35159-2025")</f>
        <v/>
      </c>
      <c r="W628">
        <f>HYPERLINK("https://klasma.github.io/Logging_2482/klagomålsmail/A 35159-2025 FSC-klagomål mail.docx", "A 35159-2025")</f>
        <v/>
      </c>
      <c r="X628">
        <f>HYPERLINK("https://klasma.github.io/Logging_2482/tillsyn/A 35159-2025 tillsynsbegäran.docx", "A 35159-2025")</f>
        <v/>
      </c>
      <c r="Y628">
        <f>HYPERLINK("https://klasma.github.io/Logging_2482/tillsynsmail/A 35159-2025 tillsynsbegäran mail.docx", "A 35159-2025")</f>
        <v/>
      </c>
      <c r="Z628">
        <f>HYPERLINK("https://klasma.github.io/Logging_2482/fåglar/A 35159-2025 prioriterade fågelarter.docx", "A 35159-2025")</f>
        <v/>
      </c>
    </row>
    <row r="629" ht="15" customHeight="1">
      <c r="A629" t="inlineStr">
        <is>
          <t>A 14498-2022</t>
        </is>
      </c>
      <c r="B629" s="1" t="n">
        <v>44655</v>
      </c>
      <c r="C629" s="1" t="n">
        <v>46145</v>
      </c>
      <c r="D629" t="inlineStr">
        <is>
          <t>VÄSTERBOTTENS LÄN</t>
        </is>
      </c>
      <c r="E629" t="inlineStr">
        <is>
          <t>SKELLEFTEÅ</t>
        </is>
      </c>
      <c r="G629" t="n">
        <v>8.6</v>
      </c>
      <c r="H629" t="n">
        <v>0</v>
      </c>
      <c r="I629" t="n">
        <v>0</v>
      </c>
      <c r="J629" t="n">
        <v>3</v>
      </c>
      <c r="K629" t="n">
        <v>0</v>
      </c>
      <c r="L629" t="n">
        <v>0</v>
      </c>
      <c r="M629" t="n">
        <v>0</v>
      </c>
      <c r="N629" t="n">
        <v>0</v>
      </c>
      <c r="O629" t="n">
        <v>3</v>
      </c>
      <c r="P629" t="n">
        <v>0</v>
      </c>
      <c r="Q629" t="n">
        <v>3</v>
      </c>
      <c r="R629" s="2" t="inlineStr">
        <is>
          <t>Garnlav
Granticka
Ullticka</t>
        </is>
      </c>
      <c r="S629">
        <f>HYPERLINK("https://klasma.github.io/Logging_2482/artfynd/A 14498-2022 artfynd.xlsx", "A 14498-2022")</f>
        <v/>
      </c>
      <c r="T629">
        <f>HYPERLINK("https://klasma.github.io/Logging_2482/kartor/A 14498-2022 karta.png", "A 14498-2022")</f>
        <v/>
      </c>
      <c r="V629">
        <f>HYPERLINK("https://klasma.github.io/Logging_2482/klagomål/A 14498-2022 FSC-klagomål.docx", "A 14498-2022")</f>
        <v/>
      </c>
      <c r="W629">
        <f>HYPERLINK("https://klasma.github.io/Logging_2482/klagomålsmail/A 14498-2022 FSC-klagomål mail.docx", "A 14498-2022")</f>
        <v/>
      </c>
      <c r="X629">
        <f>HYPERLINK("https://klasma.github.io/Logging_2482/tillsyn/A 14498-2022 tillsynsbegäran.docx", "A 14498-2022")</f>
        <v/>
      </c>
      <c r="Y629">
        <f>HYPERLINK("https://klasma.github.io/Logging_2482/tillsynsmail/A 14498-2022 tillsynsbegäran mail.docx", "A 14498-2022")</f>
        <v/>
      </c>
    </row>
    <row r="630" ht="15" customHeight="1">
      <c r="A630" t="inlineStr">
        <is>
          <t>A 36894-2025</t>
        </is>
      </c>
      <c r="B630" s="1" t="n">
        <v>45874.4699537037</v>
      </c>
      <c r="C630" s="1" t="n">
        <v>46145</v>
      </c>
      <c r="D630" t="inlineStr">
        <is>
          <t>VÄSTERBOTTENS LÄN</t>
        </is>
      </c>
      <c r="E630" t="inlineStr">
        <is>
          <t>STORUMAN</t>
        </is>
      </c>
      <c r="G630" t="n">
        <v>12.7</v>
      </c>
      <c r="H630" t="n">
        <v>0</v>
      </c>
      <c r="I630" t="n">
        <v>0</v>
      </c>
      <c r="J630" t="n">
        <v>3</v>
      </c>
      <c r="K630" t="n">
        <v>0</v>
      </c>
      <c r="L630" t="n">
        <v>0</v>
      </c>
      <c r="M630" t="n">
        <v>0</v>
      </c>
      <c r="N630" t="n">
        <v>0</v>
      </c>
      <c r="O630" t="n">
        <v>3</v>
      </c>
      <c r="P630" t="n">
        <v>0</v>
      </c>
      <c r="Q630" t="n">
        <v>3</v>
      </c>
      <c r="R630" s="2" t="inlineStr">
        <is>
          <t>Gammelgransskål
Granticka
Gränsticka</t>
        </is>
      </c>
      <c r="S630">
        <f>HYPERLINK("https://klasma.github.io/Logging_2421/artfynd/A 36894-2025 artfynd.xlsx", "A 36894-2025")</f>
        <v/>
      </c>
      <c r="T630">
        <f>HYPERLINK("https://klasma.github.io/Logging_2421/kartor/A 36894-2025 karta.png", "A 36894-2025")</f>
        <v/>
      </c>
      <c r="V630">
        <f>HYPERLINK("https://klasma.github.io/Logging_2421/klagomål/A 36894-2025 FSC-klagomål.docx", "A 36894-2025")</f>
        <v/>
      </c>
      <c r="W630">
        <f>HYPERLINK("https://klasma.github.io/Logging_2421/klagomålsmail/A 36894-2025 FSC-klagomål mail.docx", "A 36894-2025")</f>
        <v/>
      </c>
      <c r="X630">
        <f>HYPERLINK("https://klasma.github.io/Logging_2421/tillsyn/A 36894-2025 tillsynsbegäran.docx", "A 36894-2025")</f>
        <v/>
      </c>
      <c r="Y630">
        <f>HYPERLINK("https://klasma.github.io/Logging_2421/tillsynsmail/A 36894-2025 tillsynsbegäran mail.docx", "A 36894-2025")</f>
        <v/>
      </c>
    </row>
    <row r="631" ht="15" customHeight="1">
      <c r="A631" t="inlineStr">
        <is>
          <t>A 6526-2022</t>
        </is>
      </c>
      <c r="B631" s="1" t="n">
        <v>44601</v>
      </c>
      <c r="C631" s="1" t="n">
        <v>46145</v>
      </c>
      <c r="D631" t="inlineStr">
        <is>
          <t>VÄSTERBOTTENS LÄN</t>
        </is>
      </c>
      <c r="E631" t="inlineStr">
        <is>
          <t>LYCKSELE</t>
        </is>
      </c>
      <c r="F631" t="inlineStr">
        <is>
          <t>Sveaskog</t>
        </is>
      </c>
      <c r="G631" t="n">
        <v>6.7</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HYPERLINK("https://klasma.github.io/Logging_2481/artfynd/A 6526-2022 artfynd.xlsx", "A 6526-2022")</f>
        <v/>
      </c>
      <c r="T631">
        <f>HYPERLINK("https://klasma.github.io/Logging_2481/kartor/A 6526-2022 karta.png", "A 6526-2022")</f>
        <v/>
      </c>
      <c r="V631">
        <f>HYPERLINK("https://klasma.github.io/Logging_2481/klagomål/A 6526-2022 FSC-klagomål.docx", "A 6526-2022")</f>
        <v/>
      </c>
      <c r="W631">
        <f>HYPERLINK("https://klasma.github.io/Logging_2481/klagomålsmail/A 6526-2022 FSC-klagomål mail.docx", "A 6526-2022")</f>
        <v/>
      </c>
      <c r="X631">
        <f>HYPERLINK("https://klasma.github.io/Logging_2481/tillsyn/A 6526-2022 tillsynsbegäran.docx", "A 6526-2022")</f>
        <v/>
      </c>
      <c r="Y631">
        <f>HYPERLINK("https://klasma.github.io/Logging_2481/tillsynsmail/A 6526-2022 tillsynsbegäran mail.docx", "A 6526-2022")</f>
        <v/>
      </c>
    </row>
    <row r="632" ht="15" customHeight="1">
      <c r="A632" t="inlineStr">
        <is>
          <t>A 38443-2021</t>
        </is>
      </c>
      <c r="B632" s="1" t="n">
        <v>44406</v>
      </c>
      <c r="C632" s="1" t="n">
        <v>46145</v>
      </c>
      <c r="D632" t="inlineStr">
        <is>
          <t>VÄSTERBOTTENS LÄN</t>
        </is>
      </c>
      <c r="E632" t="inlineStr">
        <is>
          <t>UMEÅ</t>
        </is>
      </c>
      <c r="F632" t="inlineStr">
        <is>
          <t>Kommuner</t>
        </is>
      </c>
      <c r="G632" t="n">
        <v>2.8</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HYPERLINK("https://klasma.github.io/Logging_2480/artfynd/A 38443-2021 artfynd.xlsx", "A 38443-2021")</f>
        <v/>
      </c>
      <c r="T632">
        <f>HYPERLINK("https://klasma.github.io/Logging_2480/kartor/A 38443-2021 karta.png", "A 38443-2021")</f>
        <v/>
      </c>
      <c r="V632">
        <f>HYPERLINK("https://klasma.github.io/Logging_2480/klagomål/A 38443-2021 FSC-klagomål.docx", "A 38443-2021")</f>
        <v/>
      </c>
      <c r="W632">
        <f>HYPERLINK("https://klasma.github.io/Logging_2480/klagomålsmail/A 38443-2021 FSC-klagomål mail.docx", "A 38443-2021")</f>
        <v/>
      </c>
      <c r="X632">
        <f>HYPERLINK("https://klasma.github.io/Logging_2480/tillsyn/A 38443-2021 tillsynsbegäran.docx", "A 38443-2021")</f>
        <v/>
      </c>
      <c r="Y632">
        <f>HYPERLINK("https://klasma.github.io/Logging_2480/tillsynsmail/A 38443-2021 tillsynsbegäran mail.docx", "A 38443-2021")</f>
        <v/>
      </c>
    </row>
    <row r="633" ht="15" customHeight="1">
      <c r="A633" t="inlineStr">
        <is>
          <t>A 58661-2021</t>
        </is>
      </c>
      <c r="B633" s="1" t="n">
        <v>44489.40372685185</v>
      </c>
      <c r="C633" s="1" t="n">
        <v>46145</v>
      </c>
      <c r="D633" t="inlineStr">
        <is>
          <t>VÄSTERBOTTENS LÄN</t>
        </is>
      </c>
      <c r="E633" t="inlineStr">
        <is>
          <t>SKELLEFTEÅ</t>
        </is>
      </c>
      <c r="F633" t="inlineStr">
        <is>
          <t>Sveaskog</t>
        </is>
      </c>
      <c r="G633" t="n">
        <v>3.2</v>
      </c>
      <c r="H633" t="n">
        <v>0</v>
      </c>
      <c r="I633" t="n">
        <v>1</v>
      </c>
      <c r="J633" t="n">
        <v>1</v>
      </c>
      <c r="K633" t="n">
        <v>0</v>
      </c>
      <c r="L633" t="n">
        <v>0</v>
      </c>
      <c r="M633" t="n">
        <v>0</v>
      </c>
      <c r="N633" t="n">
        <v>0</v>
      </c>
      <c r="O633" t="n">
        <v>1</v>
      </c>
      <c r="P633" t="n">
        <v>0</v>
      </c>
      <c r="Q633" t="n">
        <v>2</v>
      </c>
      <c r="R633" s="2" t="inlineStr">
        <is>
          <t>Vedskivlav
Bronshjon</t>
        </is>
      </c>
      <c r="S633">
        <f>HYPERLINK("https://klasma.github.io/Logging_2482/artfynd/A 58661-2021 artfynd.xlsx", "A 58661-2021")</f>
        <v/>
      </c>
      <c r="T633">
        <f>HYPERLINK("https://klasma.github.io/Logging_2482/kartor/A 58661-2021 karta.png", "A 58661-2021")</f>
        <v/>
      </c>
      <c r="V633">
        <f>HYPERLINK("https://klasma.github.io/Logging_2482/klagomål/A 58661-2021 FSC-klagomål.docx", "A 58661-2021")</f>
        <v/>
      </c>
      <c r="W633">
        <f>HYPERLINK("https://klasma.github.io/Logging_2482/klagomålsmail/A 58661-2021 FSC-klagomål mail.docx", "A 58661-2021")</f>
        <v/>
      </c>
      <c r="X633">
        <f>HYPERLINK("https://klasma.github.io/Logging_2482/tillsyn/A 58661-2021 tillsynsbegäran.docx", "A 58661-2021")</f>
        <v/>
      </c>
      <c r="Y633">
        <f>HYPERLINK("https://klasma.github.io/Logging_2482/tillsynsmail/A 58661-2021 tillsynsbegäran mail.docx", "A 58661-2021")</f>
        <v/>
      </c>
    </row>
    <row r="634" ht="15" customHeight="1">
      <c r="A634" t="inlineStr">
        <is>
          <t>A 70179-2021</t>
        </is>
      </c>
      <c r="B634" s="1" t="n">
        <v>44533.92109953704</v>
      </c>
      <c r="C634" s="1" t="n">
        <v>46145</v>
      </c>
      <c r="D634" t="inlineStr">
        <is>
          <t>VÄSTERBOTTENS LÄN</t>
        </is>
      </c>
      <c r="E634" t="inlineStr">
        <is>
          <t>LYCKSELE</t>
        </is>
      </c>
      <c r="G634" t="n">
        <v>5.2</v>
      </c>
      <c r="H634" t="n">
        <v>0</v>
      </c>
      <c r="I634" t="n">
        <v>0</v>
      </c>
      <c r="J634" t="n">
        <v>2</v>
      </c>
      <c r="K634" t="n">
        <v>0</v>
      </c>
      <c r="L634" t="n">
        <v>0</v>
      </c>
      <c r="M634" t="n">
        <v>0</v>
      </c>
      <c r="N634" t="n">
        <v>0</v>
      </c>
      <c r="O634" t="n">
        <v>2</v>
      </c>
      <c r="P634" t="n">
        <v>0</v>
      </c>
      <c r="Q634" t="n">
        <v>2</v>
      </c>
      <c r="R634" s="2" t="inlineStr">
        <is>
          <t>Blanksvart spiklav
Vedflamlav</t>
        </is>
      </c>
      <c r="S634">
        <f>HYPERLINK("https://klasma.github.io/Logging_2481/artfynd/A 70179-2021 artfynd.xlsx", "A 70179-2021")</f>
        <v/>
      </c>
      <c r="T634">
        <f>HYPERLINK("https://klasma.github.io/Logging_2481/kartor/A 70179-2021 karta.png", "A 70179-2021")</f>
        <v/>
      </c>
      <c r="V634">
        <f>HYPERLINK("https://klasma.github.io/Logging_2481/klagomål/A 70179-2021 FSC-klagomål.docx", "A 70179-2021")</f>
        <v/>
      </c>
      <c r="W634">
        <f>HYPERLINK("https://klasma.github.io/Logging_2481/klagomålsmail/A 70179-2021 FSC-klagomål mail.docx", "A 70179-2021")</f>
        <v/>
      </c>
      <c r="X634">
        <f>HYPERLINK("https://klasma.github.io/Logging_2481/tillsyn/A 70179-2021 tillsynsbegäran.docx", "A 70179-2021")</f>
        <v/>
      </c>
      <c r="Y634">
        <f>HYPERLINK("https://klasma.github.io/Logging_2481/tillsynsmail/A 70179-2021 tillsynsbegäran mail.docx", "A 70179-2021")</f>
        <v/>
      </c>
    </row>
    <row r="635" ht="15" customHeight="1">
      <c r="A635" t="inlineStr">
        <is>
          <t>A 19667-2022</t>
        </is>
      </c>
      <c r="B635" s="1" t="n">
        <v>44694</v>
      </c>
      <c r="C635" s="1" t="n">
        <v>46145</v>
      </c>
      <c r="D635" t="inlineStr">
        <is>
          <t>VÄSTERBOTTENS LÄN</t>
        </is>
      </c>
      <c r="E635" t="inlineStr">
        <is>
          <t>NORDMALING</t>
        </is>
      </c>
      <c r="G635" t="n">
        <v>4</v>
      </c>
      <c r="H635" t="n">
        <v>2</v>
      </c>
      <c r="I635" t="n">
        <v>0</v>
      </c>
      <c r="J635" t="n">
        <v>0</v>
      </c>
      <c r="K635" t="n">
        <v>0</v>
      </c>
      <c r="L635" t="n">
        <v>0</v>
      </c>
      <c r="M635" t="n">
        <v>0</v>
      </c>
      <c r="N635" t="n">
        <v>0</v>
      </c>
      <c r="O635" t="n">
        <v>0</v>
      </c>
      <c r="P635" t="n">
        <v>0</v>
      </c>
      <c r="Q635" t="n">
        <v>2</v>
      </c>
      <c r="R635" s="2" t="inlineStr">
        <is>
          <t>Mustaschfladdermus
Tajgafladdermus</t>
        </is>
      </c>
      <c r="S635">
        <f>HYPERLINK("https://klasma.github.io/Logging_2401/artfynd/A 19667-2022 artfynd.xlsx", "A 19667-2022")</f>
        <v/>
      </c>
      <c r="T635">
        <f>HYPERLINK("https://klasma.github.io/Logging_2401/kartor/A 19667-2022 karta.png", "A 19667-2022")</f>
        <v/>
      </c>
      <c r="V635">
        <f>HYPERLINK("https://klasma.github.io/Logging_2401/klagomål/A 19667-2022 FSC-klagomål.docx", "A 19667-2022")</f>
        <v/>
      </c>
      <c r="W635">
        <f>HYPERLINK("https://klasma.github.io/Logging_2401/klagomålsmail/A 19667-2022 FSC-klagomål mail.docx", "A 19667-2022")</f>
        <v/>
      </c>
      <c r="X635">
        <f>HYPERLINK("https://klasma.github.io/Logging_2401/tillsyn/A 19667-2022 tillsynsbegäran.docx", "A 19667-2022")</f>
        <v/>
      </c>
      <c r="Y635">
        <f>HYPERLINK("https://klasma.github.io/Logging_2401/tillsynsmail/A 19667-2022 tillsynsbegäran mail.docx", "A 19667-2022")</f>
        <v/>
      </c>
    </row>
    <row r="636" ht="15" customHeight="1">
      <c r="A636" t="inlineStr">
        <is>
          <t>A 29352-2021</t>
        </is>
      </c>
      <c r="B636" s="1" t="n">
        <v>44361.4578125</v>
      </c>
      <c r="C636" s="1" t="n">
        <v>46145</v>
      </c>
      <c r="D636" t="inlineStr">
        <is>
          <t>VÄSTERBOTTENS LÄN</t>
        </is>
      </c>
      <c r="E636" t="inlineStr">
        <is>
          <t>STORUMAN</t>
        </is>
      </c>
      <c r="F636" t="inlineStr">
        <is>
          <t>Sveaskog</t>
        </is>
      </c>
      <c r="G636" t="n">
        <v>5.4</v>
      </c>
      <c r="H636" t="n">
        <v>0</v>
      </c>
      <c r="I636" t="n">
        <v>1</v>
      </c>
      <c r="J636" t="n">
        <v>1</v>
      </c>
      <c r="K636" t="n">
        <v>0</v>
      </c>
      <c r="L636" t="n">
        <v>0</v>
      </c>
      <c r="M636" t="n">
        <v>0</v>
      </c>
      <c r="N636" t="n">
        <v>0</v>
      </c>
      <c r="O636" t="n">
        <v>1</v>
      </c>
      <c r="P636" t="n">
        <v>0</v>
      </c>
      <c r="Q636" t="n">
        <v>2</v>
      </c>
      <c r="R636" s="2" t="inlineStr">
        <is>
          <t>Lunglav
Stuplav</t>
        </is>
      </c>
      <c r="S636">
        <f>HYPERLINK("https://klasma.github.io/Logging_2421/artfynd/A 29352-2021 artfynd.xlsx", "A 29352-2021")</f>
        <v/>
      </c>
      <c r="T636">
        <f>HYPERLINK("https://klasma.github.io/Logging_2421/kartor/A 29352-2021 karta.png", "A 29352-2021")</f>
        <v/>
      </c>
      <c r="V636">
        <f>HYPERLINK("https://klasma.github.io/Logging_2421/klagomål/A 29352-2021 FSC-klagomål.docx", "A 29352-2021")</f>
        <v/>
      </c>
      <c r="W636">
        <f>HYPERLINK("https://klasma.github.io/Logging_2421/klagomålsmail/A 29352-2021 FSC-klagomål mail.docx", "A 29352-2021")</f>
        <v/>
      </c>
      <c r="X636">
        <f>HYPERLINK("https://klasma.github.io/Logging_2421/tillsyn/A 29352-2021 tillsynsbegäran.docx", "A 29352-2021")</f>
        <v/>
      </c>
      <c r="Y636">
        <f>HYPERLINK("https://klasma.github.io/Logging_2421/tillsynsmail/A 29352-2021 tillsynsbegäran mail.docx", "A 29352-2021")</f>
        <v/>
      </c>
    </row>
    <row r="637" ht="15" customHeight="1">
      <c r="A637" t="inlineStr">
        <is>
          <t>A 43265-2021</t>
        </is>
      </c>
      <c r="B637" s="1" t="n">
        <v>44432</v>
      </c>
      <c r="C637" s="1" t="n">
        <v>46145</v>
      </c>
      <c r="D637" t="inlineStr">
        <is>
          <t>VÄSTERBOTTENS LÄN</t>
        </is>
      </c>
      <c r="E637" t="inlineStr">
        <is>
          <t>SORSELE</t>
        </is>
      </c>
      <c r="G637" t="n">
        <v>38.3</v>
      </c>
      <c r="H637" t="n">
        <v>1</v>
      </c>
      <c r="I637" t="n">
        <v>0</v>
      </c>
      <c r="J637" t="n">
        <v>1</v>
      </c>
      <c r="K637" t="n">
        <v>0</v>
      </c>
      <c r="L637" t="n">
        <v>0</v>
      </c>
      <c r="M637" t="n">
        <v>0</v>
      </c>
      <c r="N637" t="n">
        <v>0</v>
      </c>
      <c r="O637" t="n">
        <v>1</v>
      </c>
      <c r="P637" t="n">
        <v>0</v>
      </c>
      <c r="Q637" t="n">
        <v>2</v>
      </c>
      <c r="R637" s="2" t="inlineStr">
        <is>
          <t>Garnlav
Fläcknycklar</t>
        </is>
      </c>
      <c r="S637">
        <f>HYPERLINK("https://klasma.github.io/Logging_2422/artfynd/A 43265-2021 artfynd.xlsx", "A 43265-2021")</f>
        <v/>
      </c>
      <c r="T637">
        <f>HYPERLINK("https://klasma.github.io/Logging_2422/kartor/A 43265-2021 karta.png", "A 43265-2021")</f>
        <v/>
      </c>
      <c r="V637">
        <f>HYPERLINK("https://klasma.github.io/Logging_2422/klagomål/A 43265-2021 FSC-klagomål.docx", "A 43265-2021")</f>
        <v/>
      </c>
      <c r="W637">
        <f>HYPERLINK("https://klasma.github.io/Logging_2422/klagomålsmail/A 43265-2021 FSC-klagomål mail.docx", "A 43265-2021")</f>
        <v/>
      </c>
      <c r="X637">
        <f>HYPERLINK("https://klasma.github.io/Logging_2422/tillsyn/A 43265-2021 tillsynsbegäran.docx", "A 43265-2021")</f>
        <v/>
      </c>
      <c r="Y637">
        <f>HYPERLINK("https://klasma.github.io/Logging_2422/tillsynsmail/A 43265-2021 tillsynsbegäran mail.docx", "A 43265-2021")</f>
        <v/>
      </c>
    </row>
    <row r="638" ht="15" customHeight="1">
      <c r="A638" t="inlineStr">
        <is>
          <t>A 48951-2022</t>
        </is>
      </c>
      <c r="B638" s="1" t="n">
        <v>44859.95800925926</v>
      </c>
      <c r="C638" s="1" t="n">
        <v>46145</v>
      </c>
      <c r="D638" t="inlineStr">
        <is>
          <t>VÄSTERBOTTENS LÄN</t>
        </is>
      </c>
      <c r="E638" t="inlineStr">
        <is>
          <t>NORDMALING</t>
        </is>
      </c>
      <c r="F638" t="inlineStr">
        <is>
          <t>SCA</t>
        </is>
      </c>
      <c r="G638" t="n">
        <v>2.6</v>
      </c>
      <c r="H638" t="n">
        <v>0</v>
      </c>
      <c r="I638" t="n">
        <v>0</v>
      </c>
      <c r="J638" t="n">
        <v>2</v>
      </c>
      <c r="K638" t="n">
        <v>0</v>
      </c>
      <c r="L638" t="n">
        <v>0</v>
      </c>
      <c r="M638" t="n">
        <v>0</v>
      </c>
      <c r="N638" t="n">
        <v>0</v>
      </c>
      <c r="O638" t="n">
        <v>2</v>
      </c>
      <c r="P638" t="n">
        <v>0</v>
      </c>
      <c r="Q638" t="n">
        <v>2</v>
      </c>
      <c r="R638" s="2" t="inlineStr">
        <is>
          <t>Gammelgransskål
Ullticka</t>
        </is>
      </c>
      <c r="S638">
        <f>HYPERLINK("https://klasma.github.io/Logging_2401/artfynd/A 48951-2022 artfynd.xlsx", "A 48951-2022")</f>
        <v/>
      </c>
      <c r="T638">
        <f>HYPERLINK("https://klasma.github.io/Logging_2401/kartor/A 48951-2022 karta.png", "A 48951-2022")</f>
        <v/>
      </c>
      <c r="V638">
        <f>HYPERLINK("https://klasma.github.io/Logging_2401/klagomål/A 48951-2022 FSC-klagomål.docx", "A 48951-2022")</f>
        <v/>
      </c>
      <c r="W638">
        <f>HYPERLINK("https://klasma.github.io/Logging_2401/klagomålsmail/A 48951-2022 FSC-klagomål mail.docx", "A 48951-2022")</f>
        <v/>
      </c>
      <c r="X638">
        <f>HYPERLINK("https://klasma.github.io/Logging_2401/tillsyn/A 48951-2022 tillsynsbegäran.docx", "A 48951-2022")</f>
        <v/>
      </c>
      <c r="Y638">
        <f>HYPERLINK("https://klasma.github.io/Logging_2401/tillsynsmail/A 48951-2022 tillsynsbegäran mail.docx", "A 48951-2022")</f>
        <v/>
      </c>
    </row>
    <row r="639" ht="15" customHeight="1">
      <c r="A639" t="inlineStr">
        <is>
          <t>A 49757-2022</t>
        </is>
      </c>
      <c r="B639" s="1" t="n">
        <v>44862.59038194444</v>
      </c>
      <c r="C639" s="1" t="n">
        <v>46145</v>
      </c>
      <c r="D639" t="inlineStr">
        <is>
          <t>VÄSTERBOTTENS LÄN</t>
        </is>
      </c>
      <c r="E639" t="inlineStr">
        <is>
          <t>SKELLEFTEÅ</t>
        </is>
      </c>
      <c r="F639" t="inlineStr">
        <is>
          <t>Holmen skog AB</t>
        </is>
      </c>
      <c r="G639" t="n">
        <v>4.1</v>
      </c>
      <c r="H639" t="n">
        <v>1</v>
      </c>
      <c r="I639" t="n">
        <v>0</v>
      </c>
      <c r="J639" t="n">
        <v>1</v>
      </c>
      <c r="K639" t="n">
        <v>1</v>
      </c>
      <c r="L639" t="n">
        <v>0</v>
      </c>
      <c r="M639" t="n">
        <v>0</v>
      </c>
      <c r="N639" t="n">
        <v>0</v>
      </c>
      <c r="O639" t="n">
        <v>2</v>
      </c>
      <c r="P639" t="n">
        <v>1</v>
      </c>
      <c r="Q639" t="n">
        <v>2</v>
      </c>
      <c r="R639" s="2" t="inlineStr">
        <is>
          <t>Knärot
Lunglav</t>
        </is>
      </c>
      <c r="S639">
        <f>HYPERLINK("https://klasma.github.io/Logging_2482/artfynd/A 49757-2022 artfynd.xlsx", "A 49757-2022")</f>
        <v/>
      </c>
      <c r="T639">
        <f>HYPERLINK("https://klasma.github.io/Logging_2482/kartor/A 49757-2022 karta.png", "A 49757-2022")</f>
        <v/>
      </c>
      <c r="U639">
        <f>HYPERLINK("https://klasma.github.io/Logging_2482/knärot/A 49757-2022 karta knärot.png", "A 49757-2022")</f>
        <v/>
      </c>
      <c r="V639">
        <f>HYPERLINK("https://klasma.github.io/Logging_2482/klagomål/A 49757-2022 FSC-klagomål.docx", "A 49757-2022")</f>
        <v/>
      </c>
      <c r="W639">
        <f>HYPERLINK("https://klasma.github.io/Logging_2482/klagomålsmail/A 49757-2022 FSC-klagomål mail.docx", "A 49757-2022")</f>
        <v/>
      </c>
      <c r="X639">
        <f>HYPERLINK("https://klasma.github.io/Logging_2482/tillsyn/A 49757-2022 tillsynsbegäran.docx", "A 49757-2022")</f>
        <v/>
      </c>
      <c r="Y639">
        <f>HYPERLINK("https://klasma.github.io/Logging_2482/tillsynsmail/A 49757-2022 tillsynsbegäran mail.docx", "A 49757-2022")</f>
        <v/>
      </c>
    </row>
    <row r="640" ht="15" customHeight="1">
      <c r="A640" t="inlineStr">
        <is>
          <t>A 61497-2021</t>
        </is>
      </c>
      <c r="B640" s="1" t="n">
        <v>44501</v>
      </c>
      <c r="C640" s="1" t="n">
        <v>46145</v>
      </c>
      <c r="D640" t="inlineStr">
        <is>
          <t>VÄSTERBOTTENS LÄN</t>
        </is>
      </c>
      <c r="E640" t="inlineStr">
        <is>
          <t>LYCKSELE</t>
        </is>
      </c>
      <c r="F640" t="inlineStr">
        <is>
          <t>Sveaskog</t>
        </is>
      </c>
      <c r="G640" t="n">
        <v>8</v>
      </c>
      <c r="H640" t="n">
        <v>0</v>
      </c>
      <c r="I640" t="n">
        <v>0</v>
      </c>
      <c r="J640" t="n">
        <v>2</v>
      </c>
      <c r="K640" t="n">
        <v>0</v>
      </c>
      <c r="L640" t="n">
        <v>0</v>
      </c>
      <c r="M640" t="n">
        <v>0</v>
      </c>
      <c r="N640" t="n">
        <v>0</v>
      </c>
      <c r="O640" t="n">
        <v>2</v>
      </c>
      <c r="P640" t="n">
        <v>0</v>
      </c>
      <c r="Q640" t="n">
        <v>2</v>
      </c>
      <c r="R640" s="2" t="inlineStr">
        <is>
          <t>Dvärgbägarlav
Vaddporing</t>
        </is>
      </c>
      <c r="S640">
        <f>HYPERLINK("https://klasma.github.io/Logging_2481/artfynd/A 61497-2021 artfynd.xlsx", "A 61497-2021")</f>
        <v/>
      </c>
      <c r="T640">
        <f>HYPERLINK("https://klasma.github.io/Logging_2481/kartor/A 61497-2021 karta.png", "A 61497-2021")</f>
        <v/>
      </c>
      <c r="V640">
        <f>HYPERLINK("https://klasma.github.io/Logging_2481/klagomål/A 61497-2021 FSC-klagomål.docx", "A 61497-2021")</f>
        <v/>
      </c>
      <c r="W640">
        <f>HYPERLINK("https://klasma.github.io/Logging_2481/klagomålsmail/A 61497-2021 FSC-klagomål mail.docx", "A 61497-2021")</f>
        <v/>
      </c>
      <c r="X640">
        <f>HYPERLINK("https://klasma.github.io/Logging_2481/tillsyn/A 61497-2021 tillsynsbegäran.docx", "A 61497-2021")</f>
        <v/>
      </c>
      <c r="Y640">
        <f>HYPERLINK("https://klasma.github.io/Logging_2481/tillsynsmail/A 61497-2021 tillsynsbegäran mail.docx", "A 61497-2021")</f>
        <v/>
      </c>
    </row>
    <row r="641" ht="15" customHeight="1">
      <c r="A641" t="inlineStr">
        <is>
          <t>A 25524-2022</t>
        </is>
      </c>
      <c r="B641" s="1" t="n">
        <v>44732</v>
      </c>
      <c r="C641" s="1" t="n">
        <v>46145</v>
      </c>
      <c r="D641" t="inlineStr">
        <is>
          <t>VÄSTERBOTTENS LÄN</t>
        </is>
      </c>
      <c r="E641" t="inlineStr">
        <is>
          <t>STORUMAN</t>
        </is>
      </c>
      <c r="F641" t="inlineStr">
        <is>
          <t>Sveaskog</t>
        </is>
      </c>
      <c r="G641" t="n">
        <v>3.8</v>
      </c>
      <c r="H641" t="n">
        <v>0</v>
      </c>
      <c r="I641" t="n">
        <v>0</v>
      </c>
      <c r="J641" t="n">
        <v>1</v>
      </c>
      <c r="K641" t="n">
        <v>1</v>
      </c>
      <c r="L641" t="n">
        <v>0</v>
      </c>
      <c r="M641" t="n">
        <v>0</v>
      </c>
      <c r="N641" t="n">
        <v>0</v>
      </c>
      <c r="O641" t="n">
        <v>2</v>
      </c>
      <c r="P641" t="n">
        <v>1</v>
      </c>
      <c r="Q641" t="n">
        <v>2</v>
      </c>
      <c r="R641" s="2" t="inlineStr">
        <is>
          <t>Grantickeporing
Granticka</t>
        </is>
      </c>
      <c r="S641">
        <f>HYPERLINK("https://klasma.github.io/Logging_2421/artfynd/A 25524-2022 artfynd.xlsx", "A 25524-2022")</f>
        <v/>
      </c>
      <c r="T641">
        <f>HYPERLINK("https://klasma.github.io/Logging_2421/kartor/A 25524-2022 karta.png", "A 25524-2022")</f>
        <v/>
      </c>
      <c r="V641">
        <f>HYPERLINK("https://klasma.github.io/Logging_2421/klagomål/A 25524-2022 FSC-klagomål.docx", "A 25524-2022")</f>
        <v/>
      </c>
      <c r="W641">
        <f>HYPERLINK("https://klasma.github.io/Logging_2421/klagomålsmail/A 25524-2022 FSC-klagomål mail.docx", "A 25524-2022")</f>
        <v/>
      </c>
      <c r="X641">
        <f>HYPERLINK("https://klasma.github.io/Logging_2421/tillsyn/A 25524-2022 tillsynsbegäran.docx", "A 25524-2022")</f>
        <v/>
      </c>
      <c r="Y641">
        <f>HYPERLINK("https://klasma.github.io/Logging_2421/tillsynsmail/A 25524-2022 tillsynsbegäran mail.docx", "A 25524-2022")</f>
        <v/>
      </c>
    </row>
    <row r="642" ht="15" customHeight="1">
      <c r="A642" t="inlineStr">
        <is>
          <t>A 38689-2021</t>
        </is>
      </c>
      <c r="B642" s="1" t="n">
        <v>44407</v>
      </c>
      <c r="C642" s="1" t="n">
        <v>46145</v>
      </c>
      <c r="D642" t="inlineStr">
        <is>
          <t>VÄSTERBOTTENS LÄN</t>
        </is>
      </c>
      <c r="E642" t="inlineStr">
        <is>
          <t>UMEÅ</t>
        </is>
      </c>
      <c r="F642" t="inlineStr">
        <is>
          <t>Kommuner</t>
        </is>
      </c>
      <c r="G642" t="n">
        <v>1.4</v>
      </c>
      <c r="H642" t="n">
        <v>0</v>
      </c>
      <c r="I642" t="n">
        <v>0</v>
      </c>
      <c r="J642" t="n">
        <v>2</v>
      </c>
      <c r="K642" t="n">
        <v>0</v>
      </c>
      <c r="L642" t="n">
        <v>0</v>
      </c>
      <c r="M642" t="n">
        <v>0</v>
      </c>
      <c r="N642" t="n">
        <v>0</v>
      </c>
      <c r="O642" t="n">
        <v>2</v>
      </c>
      <c r="P642" t="n">
        <v>0</v>
      </c>
      <c r="Q642" t="n">
        <v>2</v>
      </c>
      <c r="R642" s="2" t="inlineStr">
        <is>
          <t>Gulbandad brunbagge
Rödhalsad vedsvampbagge</t>
        </is>
      </c>
      <c r="S642">
        <f>HYPERLINK("https://klasma.github.io/Logging_2480/artfynd/A 38689-2021 artfynd.xlsx", "A 38689-2021")</f>
        <v/>
      </c>
      <c r="T642">
        <f>HYPERLINK("https://klasma.github.io/Logging_2480/kartor/A 38689-2021 karta.png", "A 38689-2021")</f>
        <v/>
      </c>
      <c r="V642">
        <f>HYPERLINK("https://klasma.github.io/Logging_2480/klagomål/A 38689-2021 FSC-klagomål.docx", "A 38689-2021")</f>
        <v/>
      </c>
      <c r="W642">
        <f>HYPERLINK("https://klasma.github.io/Logging_2480/klagomålsmail/A 38689-2021 FSC-klagomål mail.docx", "A 38689-2021")</f>
        <v/>
      </c>
      <c r="X642">
        <f>HYPERLINK("https://klasma.github.io/Logging_2480/tillsyn/A 38689-2021 tillsynsbegäran.docx", "A 38689-2021")</f>
        <v/>
      </c>
      <c r="Y642">
        <f>HYPERLINK("https://klasma.github.io/Logging_2480/tillsynsmail/A 38689-2021 tillsynsbegäran mail.docx", "A 38689-2021")</f>
        <v/>
      </c>
    </row>
    <row r="643" ht="15" customHeight="1">
      <c r="A643" t="inlineStr">
        <is>
          <t>A 13645-2025</t>
        </is>
      </c>
      <c r="B643" s="1" t="n">
        <v>45736.6775</v>
      </c>
      <c r="C643" s="1" t="n">
        <v>46145</v>
      </c>
      <c r="D643" t="inlineStr">
        <is>
          <t>VÄSTERBOTTENS LÄN</t>
        </is>
      </c>
      <c r="E643" t="inlineStr">
        <is>
          <t>LYCKSELE</t>
        </is>
      </c>
      <c r="F643" t="inlineStr">
        <is>
          <t>SCA</t>
        </is>
      </c>
      <c r="G643" t="n">
        <v>19.6</v>
      </c>
      <c r="H643" t="n">
        <v>1</v>
      </c>
      <c r="I643" t="n">
        <v>1</v>
      </c>
      <c r="J643" t="n">
        <v>1</v>
      </c>
      <c r="K643" t="n">
        <v>0</v>
      </c>
      <c r="L643" t="n">
        <v>0</v>
      </c>
      <c r="M643" t="n">
        <v>0</v>
      </c>
      <c r="N643" t="n">
        <v>0</v>
      </c>
      <c r="O643" t="n">
        <v>1</v>
      </c>
      <c r="P643" t="n">
        <v>0</v>
      </c>
      <c r="Q643" t="n">
        <v>2</v>
      </c>
      <c r="R643" s="2" t="inlineStr">
        <is>
          <t>Talltita
Dropptaggsvamp</t>
        </is>
      </c>
      <c r="S643">
        <f>HYPERLINK("https://klasma.github.io/Logging_2481/artfynd/A 13645-2025 artfynd.xlsx", "A 13645-2025")</f>
        <v/>
      </c>
      <c r="T643">
        <f>HYPERLINK("https://klasma.github.io/Logging_2481/kartor/A 13645-2025 karta.png", "A 13645-2025")</f>
        <v/>
      </c>
      <c r="V643">
        <f>HYPERLINK("https://klasma.github.io/Logging_2481/klagomål/A 13645-2025 FSC-klagomål.docx", "A 13645-2025")</f>
        <v/>
      </c>
      <c r="W643">
        <f>HYPERLINK("https://klasma.github.io/Logging_2481/klagomålsmail/A 13645-2025 FSC-klagomål mail.docx", "A 13645-2025")</f>
        <v/>
      </c>
      <c r="X643">
        <f>HYPERLINK("https://klasma.github.io/Logging_2481/tillsyn/A 13645-2025 tillsynsbegäran.docx", "A 13645-2025")</f>
        <v/>
      </c>
      <c r="Y643">
        <f>HYPERLINK("https://klasma.github.io/Logging_2481/tillsynsmail/A 13645-2025 tillsynsbegäran mail.docx", "A 13645-2025")</f>
        <v/>
      </c>
      <c r="Z643">
        <f>HYPERLINK("https://klasma.github.io/Logging_2481/fåglar/A 13645-2025 prioriterade fågelarter.docx", "A 13645-2025")</f>
        <v/>
      </c>
    </row>
    <row r="644" ht="15" customHeight="1">
      <c r="A644" t="inlineStr">
        <is>
          <t>A 28515-2023</t>
        </is>
      </c>
      <c r="B644" s="1" t="n">
        <v>45103</v>
      </c>
      <c r="C644" s="1" t="n">
        <v>46145</v>
      </c>
      <c r="D644" t="inlineStr">
        <is>
          <t>VÄSTERBOTTENS LÄN</t>
        </is>
      </c>
      <c r="E644" t="inlineStr">
        <is>
          <t>LYCKSELE</t>
        </is>
      </c>
      <c r="F644" t="inlineStr">
        <is>
          <t>Sveaskog</t>
        </is>
      </c>
      <c r="G644" t="n">
        <v>10</v>
      </c>
      <c r="H644" t="n">
        <v>0</v>
      </c>
      <c r="I644" t="n">
        <v>0</v>
      </c>
      <c r="J644" t="n">
        <v>2</v>
      </c>
      <c r="K644" t="n">
        <v>0</v>
      </c>
      <c r="L644" t="n">
        <v>0</v>
      </c>
      <c r="M644" t="n">
        <v>0</v>
      </c>
      <c r="N644" t="n">
        <v>0</v>
      </c>
      <c r="O644" t="n">
        <v>2</v>
      </c>
      <c r="P644" t="n">
        <v>0</v>
      </c>
      <c r="Q644" t="n">
        <v>2</v>
      </c>
      <c r="R644" s="2" t="inlineStr">
        <is>
          <t>Lunglav
Tallticka</t>
        </is>
      </c>
      <c r="S644">
        <f>HYPERLINK("https://klasma.github.io/Logging_2481/artfynd/A 28515-2023 artfynd.xlsx", "A 28515-2023")</f>
        <v/>
      </c>
      <c r="T644">
        <f>HYPERLINK("https://klasma.github.io/Logging_2481/kartor/A 28515-2023 karta.png", "A 28515-2023")</f>
        <v/>
      </c>
      <c r="V644">
        <f>HYPERLINK("https://klasma.github.io/Logging_2481/klagomål/A 28515-2023 FSC-klagomål.docx", "A 28515-2023")</f>
        <v/>
      </c>
      <c r="W644">
        <f>HYPERLINK("https://klasma.github.io/Logging_2481/klagomålsmail/A 28515-2023 FSC-klagomål mail.docx", "A 28515-2023")</f>
        <v/>
      </c>
      <c r="X644">
        <f>HYPERLINK("https://klasma.github.io/Logging_2481/tillsyn/A 28515-2023 tillsynsbegäran.docx", "A 28515-2023")</f>
        <v/>
      </c>
      <c r="Y644">
        <f>HYPERLINK("https://klasma.github.io/Logging_2481/tillsynsmail/A 28515-2023 tillsynsbegäran mail.docx", "A 28515-2023")</f>
        <v/>
      </c>
    </row>
    <row r="645" ht="15" customHeight="1">
      <c r="A645" t="inlineStr">
        <is>
          <t>A 1259-2024</t>
        </is>
      </c>
      <c r="B645" s="1" t="n">
        <v>45302</v>
      </c>
      <c r="C645" s="1" t="n">
        <v>46145</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22110-2024</t>
        </is>
      </c>
      <c r="B646" s="1" t="n">
        <v>45443</v>
      </c>
      <c r="C646" s="1" t="n">
        <v>46145</v>
      </c>
      <c r="D646" t="inlineStr">
        <is>
          <t>VÄSTERBOTTENS LÄN</t>
        </is>
      </c>
      <c r="E646" t="inlineStr">
        <is>
          <t>ÅSELE</t>
        </is>
      </c>
      <c r="F646" t="inlineStr">
        <is>
          <t>SCA</t>
        </is>
      </c>
      <c r="G646" t="n">
        <v>11.6</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22110-2024 artfynd.xlsx", "A 22110-2024")</f>
        <v/>
      </c>
      <c r="T646">
        <f>HYPERLINK("https://klasma.github.io/Logging_2463/kartor/A 22110-2024 karta.png", "A 22110-2024")</f>
        <v/>
      </c>
      <c r="V646">
        <f>HYPERLINK("https://klasma.github.io/Logging_2463/klagomål/A 22110-2024 FSC-klagomål.docx", "A 22110-2024")</f>
        <v/>
      </c>
      <c r="W646">
        <f>HYPERLINK("https://klasma.github.io/Logging_2463/klagomålsmail/A 22110-2024 FSC-klagomål mail.docx", "A 22110-2024")</f>
        <v/>
      </c>
      <c r="X646">
        <f>HYPERLINK("https://klasma.github.io/Logging_2463/tillsyn/A 22110-2024 tillsynsbegäran.docx", "A 22110-2024")</f>
        <v/>
      </c>
      <c r="Y646">
        <f>HYPERLINK("https://klasma.github.io/Logging_2463/tillsynsmail/A 22110-2024 tillsynsbegäran mail.docx", "A 22110-2024")</f>
        <v/>
      </c>
    </row>
    <row r="647" ht="15" customHeight="1">
      <c r="A647" t="inlineStr">
        <is>
          <t>A 19492-2025</t>
        </is>
      </c>
      <c r="B647" s="1" t="n">
        <v>45770.38863425926</v>
      </c>
      <c r="C647" s="1" t="n">
        <v>46145</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46145</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20111-2025</t>
        </is>
      </c>
      <c r="B649" s="1" t="n">
        <v>45772.47297453704</v>
      </c>
      <c r="C649" s="1" t="n">
        <v>46145</v>
      </c>
      <c r="D649" t="inlineStr">
        <is>
          <t>VÄSTERBOTTENS LÄN</t>
        </is>
      </c>
      <c r="E649" t="inlineStr">
        <is>
          <t>LYCKSELE</t>
        </is>
      </c>
      <c r="F649" t="inlineStr">
        <is>
          <t>Sveaskog</t>
        </is>
      </c>
      <c r="G649" t="n">
        <v>6.9</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HYPERLINK("https://klasma.github.io/Logging_2481/artfynd/A 20111-2025 artfynd.xlsx", "A 20111-2025")</f>
        <v/>
      </c>
      <c r="T649">
        <f>HYPERLINK("https://klasma.github.io/Logging_2481/kartor/A 20111-2025 karta.png", "A 20111-2025")</f>
        <v/>
      </c>
      <c r="V649">
        <f>HYPERLINK("https://klasma.github.io/Logging_2481/klagomål/A 20111-2025 FSC-klagomål.docx", "A 20111-2025")</f>
        <v/>
      </c>
      <c r="W649">
        <f>HYPERLINK("https://klasma.github.io/Logging_2481/klagomålsmail/A 20111-2025 FSC-klagomål mail.docx", "A 20111-2025")</f>
        <v/>
      </c>
      <c r="X649">
        <f>HYPERLINK("https://klasma.github.io/Logging_2481/tillsyn/A 20111-2025 tillsynsbegäran.docx", "A 20111-2025")</f>
        <v/>
      </c>
      <c r="Y649">
        <f>HYPERLINK("https://klasma.github.io/Logging_2481/tillsynsmail/A 20111-2025 tillsynsbegäran mail.docx", "A 20111-2025")</f>
        <v/>
      </c>
    </row>
    <row r="650" ht="15" customHeight="1">
      <c r="A650" t="inlineStr">
        <is>
          <t>A 25712-2024</t>
        </is>
      </c>
      <c r="B650" s="1" t="n">
        <v>45463</v>
      </c>
      <c r="C650" s="1" t="n">
        <v>46145</v>
      </c>
      <c r="D650" t="inlineStr">
        <is>
          <t>VÄSTERBOTTENS LÄN</t>
        </is>
      </c>
      <c r="E650" t="inlineStr">
        <is>
          <t>ÅSELE</t>
        </is>
      </c>
      <c r="F650" t="inlineStr">
        <is>
          <t>SCA</t>
        </is>
      </c>
      <c r="G650" t="n">
        <v>3.3</v>
      </c>
      <c r="H650" t="n">
        <v>0</v>
      </c>
      <c r="I650" t="n">
        <v>1</v>
      </c>
      <c r="J650" t="n">
        <v>1</v>
      </c>
      <c r="K650" t="n">
        <v>0</v>
      </c>
      <c r="L650" t="n">
        <v>0</v>
      </c>
      <c r="M650" t="n">
        <v>0</v>
      </c>
      <c r="N650" t="n">
        <v>0</v>
      </c>
      <c r="O650" t="n">
        <v>1</v>
      </c>
      <c r="P650" t="n">
        <v>0</v>
      </c>
      <c r="Q650" t="n">
        <v>2</v>
      </c>
      <c r="R650" s="2" t="inlineStr">
        <is>
          <t>Lunglav
Stuplav</t>
        </is>
      </c>
      <c r="S650">
        <f>HYPERLINK("https://klasma.github.io/Logging_2463/artfynd/A 25712-2024 artfynd.xlsx", "A 25712-2024")</f>
        <v/>
      </c>
      <c r="T650">
        <f>HYPERLINK("https://klasma.github.io/Logging_2463/kartor/A 25712-2024 karta.png", "A 25712-2024")</f>
        <v/>
      </c>
      <c r="V650">
        <f>HYPERLINK("https://klasma.github.io/Logging_2463/klagomål/A 25712-2024 FSC-klagomål.docx", "A 25712-2024")</f>
        <v/>
      </c>
      <c r="W650">
        <f>HYPERLINK("https://klasma.github.io/Logging_2463/klagomålsmail/A 25712-2024 FSC-klagomål mail.docx", "A 25712-2024")</f>
        <v/>
      </c>
      <c r="X650">
        <f>HYPERLINK("https://klasma.github.io/Logging_2463/tillsyn/A 25712-2024 tillsynsbegäran.docx", "A 25712-2024")</f>
        <v/>
      </c>
      <c r="Y650">
        <f>HYPERLINK("https://klasma.github.io/Logging_2463/tillsynsmail/A 25712-2024 tillsynsbegäran mail.docx", "A 25712-2024")</f>
        <v/>
      </c>
    </row>
    <row r="651" ht="15" customHeight="1">
      <c r="A651" t="inlineStr">
        <is>
          <t>A 32618-2024</t>
        </is>
      </c>
      <c r="B651" s="1" t="n">
        <v>45513.68399305556</v>
      </c>
      <c r="C651" s="1" t="n">
        <v>46145</v>
      </c>
      <c r="D651" t="inlineStr">
        <is>
          <t>VÄSTERBOTTENS LÄN</t>
        </is>
      </c>
      <c r="E651" t="inlineStr">
        <is>
          <t>NORSJÖ</t>
        </is>
      </c>
      <c r="F651" t="inlineStr">
        <is>
          <t>Holmen skog AB</t>
        </is>
      </c>
      <c r="G651" t="n">
        <v>1.3</v>
      </c>
      <c r="H651" t="n">
        <v>0</v>
      </c>
      <c r="I651" t="n">
        <v>0</v>
      </c>
      <c r="J651" t="n">
        <v>2</v>
      </c>
      <c r="K651" t="n">
        <v>0</v>
      </c>
      <c r="L651" t="n">
        <v>0</v>
      </c>
      <c r="M651" t="n">
        <v>0</v>
      </c>
      <c r="N651" t="n">
        <v>0</v>
      </c>
      <c r="O651" t="n">
        <v>2</v>
      </c>
      <c r="P651" t="n">
        <v>0</v>
      </c>
      <c r="Q651" t="n">
        <v>2</v>
      </c>
      <c r="R651" s="2" t="inlineStr">
        <is>
          <t>Gammelgransskål
Garnlav</t>
        </is>
      </c>
      <c r="S651">
        <f>HYPERLINK("https://klasma.github.io/Logging_2417/artfynd/A 32618-2024 artfynd.xlsx", "A 32618-2024")</f>
        <v/>
      </c>
      <c r="T651">
        <f>HYPERLINK("https://klasma.github.io/Logging_2417/kartor/A 32618-2024 karta.png", "A 32618-2024")</f>
        <v/>
      </c>
      <c r="V651">
        <f>HYPERLINK("https://klasma.github.io/Logging_2417/klagomål/A 32618-2024 FSC-klagomål.docx", "A 32618-2024")</f>
        <v/>
      </c>
      <c r="W651">
        <f>HYPERLINK("https://klasma.github.io/Logging_2417/klagomålsmail/A 32618-2024 FSC-klagomål mail.docx", "A 32618-2024")</f>
        <v/>
      </c>
      <c r="X651">
        <f>HYPERLINK("https://klasma.github.io/Logging_2417/tillsyn/A 32618-2024 tillsynsbegäran.docx", "A 32618-2024")</f>
        <v/>
      </c>
      <c r="Y651">
        <f>HYPERLINK("https://klasma.github.io/Logging_2417/tillsynsmail/A 32618-2024 tillsynsbegäran mail.docx", "A 32618-2024")</f>
        <v/>
      </c>
    </row>
    <row r="652" ht="15" customHeight="1">
      <c r="A652" t="inlineStr">
        <is>
          <t>A 69023-2021</t>
        </is>
      </c>
      <c r="B652" s="1" t="n">
        <v>44529</v>
      </c>
      <c r="C652" s="1" t="n">
        <v>46145</v>
      </c>
      <c r="D652" t="inlineStr">
        <is>
          <t>VÄSTERBOTTENS LÄN</t>
        </is>
      </c>
      <c r="E652" t="inlineStr">
        <is>
          <t>VILHELMINA</t>
        </is>
      </c>
      <c r="G652" t="n">
        <v>88</v>
      </c>
      <c r="H652" t="n">
        <v>0</v>
      </c>
      <c r="I652" t="n">
        <v>0</v>
      </c>
      <c r="J652" t="n">
        <v>2</v>
      </c>
      <c r="K652" t="n">
        <v>0</v>
      </c>
      <c r="L652" t="n">
        <v>0</v>
      </c>
      <c r="M652" t="n">
        <v>0</v>
      </c>
      <c r="N652" t="n">
        <v>0</v>
      </c>
      <c r="O652" t="n">
        <v>2</v>
      </c>
      <c r="P652" t="n">
        <v>0</v>
      </c>
      <c r="Q652" t="n">
        <v>2</v>
      </c>
      <c r="R652" s="2" t="inlineStr">
        <is>
          <t>Garnlav
Lunglav</t>
        </is>
      </c>
      <c r="S652">
        <f>HYPERLINK("https://klasma.github.io/Logging_2462/artfynd/A 69023-2021 artfynd.xlsx", "A 69023-2021")</f>
        <v/>
      </c>
      <c r="T652">
        <f>HYPERLINK("https://klasma.github.io/Logging_2462/kartor/A 69023-2021 karta.png", "A 69023-2021")</f>
        <v/>
      </c>
      <c r="V652">
        <f>HYPERLINK("https://klasma.github.io/Logging_2462/klagomål/A 69023-2021 FSC-klagomål.docx", "A 69023-2021")</f>
        <v/>
      </c>
      <c r="W652">
        <f>HYPERLINK("https://klasma.github.io/Logging_2462/klagomålsmail/A 69023-2021 FSC-klagomål mail.docx", "A 69023-2021")</f>
        <v/>
      </c>
      <c r="X652">
        <f>HYPERLINK("https://klasma.github.io/Logging_2462/tillsyn/A 69023-2021 tillsynsbegäran.docx", "A 69023-2021")</f>
        <v/>
      </c>
      <c r="Y652">
        <f>HYPERLINK("https://klasma.github.io/Logging_2462/tillsynsmail/A 69023-2021 tillsynsbegäran mail.docx", "A 69023-2021")</f>
        <v/>
      </c>
    </row>
    <row r="653" ht="15" customHeight="1">
      <c r="A653" t="inlineStr">
        <is>
          <t>A 55632-2023</t>
        </is>
      </c>
      <c r="B653" s="1" t="n">
        <v>45238</v>
      </c>
      <c r="C653" s="1" t="n">
        <v>46145</v>
      </c>
      <c r="D653" t="inlineStr">
        <is>
          <t>VÄSTERBOTTENS LÄN</t>
        </is>
      </c>
      <c r="E653" t="inlineStr">
        <is>
          <t>NORDMALING</t>
        </is>
      </c>
      <c r="G653" t="n">
        <v>1</v>
      </c>
      <c r="H653" t="n">
        <v>0</v>
      </c>
      <c r="I653" t="n">
        <v>1</v>
      </c>
      <c r="J653" t="n">
        <v>1</v>
      </c>
      <c r="K653" t="n">
        <v>0</v>
      </c>
      <c r="L653" t="n">
        <v>0</v>
      </c>
      <c r="M653" t="n">
        <v>0</v>
      </c>
      <c r="N653" t="n">
        <v>0</v>
      </c>
      <c r="O653" t="n">
        <v>1</v>
      </c>
      <c r="P653" t="n">
        <v>0</v>
      </c>
      <c r="Q653" t="n">
        <v>2</v>
      </c>
      <c r="R653" s="2" t="inlineStr">
        <is>
          <t>Garnlav
Skinnlav</t>
        </is>
      </c>
      <c r="S653">
        <f>HYPERLINK("https://klasma.github.io/Logging_2401/artfynd/A 55632-2023 artfynd.xlsx", "A 55632-2023")</f>
        <v/>
      </c>
      <c r="T653">
        <f>HYPERLINK("https://klasma.github.io/Logging_2401/kartor/A 55632-2023 karta.png", "A 55632-2023")</f>
        <v/>
      </c>
      <c r="V653">
        <f>HYPERLINK("https://klasma.github.io/Logging_2401/klagomål/A 55632-2023 FSC-klagomål.docx", "A 55632-2023")</f>
        <v/>
      </c>
      <c r="W653">
        <f>HYPERLINK("https://klasma.github.io/Logging_2401/klagomålsmail/A 55632-2023 FSC-klagomål mail.docx", "A 55632-2023")</f>
        <v/>
      </c>
      <c r="X653">
        <f>HYPERLINK("https://klasma.github.io/Logging_2401/tillsyn/A 55632-2023 tillsynsbegäran.docx", "A 55632-2023")</f>
        <v/>
      </c>
      <c r="Y653">
        <f>HYPERLINK("https://klasma.github.io/Logging_2401/tillsynsmail/A 55632-2023 tillsynsbegäran mail.docx", "A 55632-2023")</f>
        <v/>
      </c>
    </row>
    <row r="654" ht="15" customHeight="1">
      <c r="A654" t="inlineStr">
        <is>
          <t>A 59706-2021</t>
        </is>
      </c>
      <c r="B654" s="1" t="n">
        <v>44494</v>
      </c>
      <c r="C654" s="1" t="n">
        <v>46145</v>
      </c>
      <c r="D654" t="inlineStr">
        <is>
          <t>VÄSTERBOTTENS LÄN</t>
        </is>
      </c>
      <c r="E654" t="inlineStr">
        <is>
          <t>SKELLEFTEÅ</t>
        </is>
      </c>
      <c r="F654" t="inlineStr">
        <is>
          <t>Sveaskog</t>
        </is>
      </c>
      <c r="G654" t="n">
        <v>2.5</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HYPERLINK("https://klasma.github.io/Logging_2482/artfynd/A 59706-2021 artfynd.xlsx", "A 59706-2021")</f>
        <v/>
      </c>
      <c r="T654">
        <f>HYPERLINK("https://klasma.github.io/Logging_2482/kartor/A 59706-2021 karta.png", "A 59706-2021")</f>
        <v/>
      </c>
      <c r="V654">
        <f>HYPERLINK("https://klasma.github.io/Logging_2482/klagomål/A 59706-2021 FSC-klagomål.docx", "A 59706-2021")</f>
        <v/>
      </c>
      <c r="W654">
        <f>HYPERLINK("https://klasma.github.io/Logging_2482/klagomålsmail/A 59706-2021 FSC-klagomål mail.docx", "A 59706-2021")</f>
        <v/>
      </c>
      <c r="X654">
        <f>HYPERLINK("https://klasma.github.io/Logging_2482/tillsyn/A 59706-2021 tillsynsbegäran.docx", "A 59706-2021")</f>
        <v/>
      </c>
      <c r="Y654">
        <f>HYPERLINK("https://klasma.github.io/Logging_2482/tillsynsmail/A 59706-2021 tillsynsbegäran mail.docx", "A 59706-2021")</f>
        <v/>
      </c>
    </row>
    <row r="655" ht="15" customHeight="1">
      <c r="A655" t="inlineStr">
        <is>
          <t>A 41694-2023</t>
        </is>
      </c>
      <c r="B655" s="1" t="n">
        <v>45176</v>
      </c>
      <c r="C655" s="1" t="n">
        <v>46145</v>
      </c>
      <c r="D655" t="inlineStr">
        <is>
          <t>VÄSTERBOTTENS LÄN</t>
        </is>
      </c>
      <c r="E655" t="inlineStr">
        <is>
          <t>ÅSELE</t>
        </is>
      </c>
      <c r="F655" t="inlineStr">
        <is>
          <t>Holmen skog AB</t>
        </is>
      </c>
      <c r="G655" t="n">
        <v>10.3</v>
      </c>
      <c r="H655" t="n">
        <v>0</v>
      </c>
      <c r="I655" t="n">
        <v>0</v>
      </c>
      <c r="J655" t="n">
        <v>2</v>
      </c>
      <c r="K655" t="n">
        <v>0</v>
      </c>
      <c r="L655" t="n">
        <v>0</v>
      </c>
      <c r="M655" t="n">
        <v>0</v>
      </c>
      <c r="N655" t="n">
        <v>0</v>
      </c>
      <c r="O655" t="n">
        <v>2</v>
      </c>
      <c r="P655" t="n">
        <v>0</v>
      </c>
      <c r="Q655" t="n">
        <v>2</v>
      </c>
      <c r="R655" s="2" t="inlineStr">
        <is>
          <t>Gränsticka
Vitgrynig nållav</t>
        </is>
      </c>
      <c r="S655">
        <f>HYPERLINK("https://klasma.github.io/Logging_2463/artfynd/A 41694-2023 artfynd.xlsx", "A 41694-2023")</f>
        <v/>
      </c>
      <c r="T655">
        <f>HYPERLINK("https://klasma.github.io/Logging_2463/kartor/A 41694-2023 karta.png", "A 41694-2023")</f>
        <v/>
      </c>
      <c r="V655">
        <f>HYPERLINK("https://klasma.github.io/Logging_2463/klagomål/A 41694-2023 FSC-klagomål.docx", "A 41694-2023")</f>
        <v/>
      </c>
      <c r="W655">
        <f>HYPERLINK("https://klasma.github.io/Logging_2463/klagomålsmail/A 41694-2023 FSC-klagomål mail.docx", "A 41694-2023")</f>
        <v/>
      </c>
      <c r="X655">
        <f>HYPERLINK("https://klasma.github.io/Logging_2463/tillsyn/A 41694-2023 tillsynsbegäran.docx", "A 41694-2023")</f>
        <v/>
      </c>
      <c r="Y655">
        <f>HYPERLINK("https://klasma.github.io/Logging_2463/tillsynsmail/A 41694-2023 tillsynsbegäran mail.docx", "A 41694-2023")</f>
        <v/>
      </c>
    </row>
    <row r="656" ht="15" customHeight="1">
      <c r="A656" t="inlineStr">
        <is>
          <t>A 61172-2024</t>
        </is>
      </c>
      <c r="B656" s="1" t="n">
        <v>45645</v>
      </c>
      <c r="C656" s="1" t="n">
        <v>46145</v>
      </c>
      <c r="D656" t="inlineStr">
        <is>
          <t>VÄSTERBOTTENS LÄN</t>
        </is>
      </c>
      <c r="E656" t="inlineStr">
        <is>
          <t>BJURHOLM</t>
        </is>
      </c>
      <c r="G656" t="n">
        <v>4.6</v>
      </c>
      <c r="H656" t="n">
        <v>0</v>
      </c>
      <c r="I656" t="n">
        <v>1</v>
      </c>
      <c r="J656" t="n">
        <v>1</v>
      </c>
      <c r="K656" t="n">
        <v>0</v>
      </c>
      <c r="L656" t="n">
        <v>0</v>
      </c>
      <c r="M656" t="n">
        <v>0</v>
      </c>
      <c r="N656" t="n">
        <v>0</v>
      </c>
      <c r="O656" t="n">
        <v>1</v>
      </c>
      <c r="P656" t="n">
        <v>0</v>
      </c>
      <c r="Q656" t="n">
        <v>2</v>
      </c>
      <c r="R656" s="2" t="inlineStr">
        <is>
          <t>Lunglav
Stuplav</t>
        </is>
      </c>
      <c r="S656">
        <f>HYPERLINK("https://klasma.github.io/Logging_2403/artfynd/A 61172-2024 artfynd.xlsx", "A 61172-2024")</f>
        <v/>
      </c>
      <c r="T656">
        <f>HYPERLINK("https://klasma.github.io/Logging_2403/kartor/A 61172-2024 karta.png", "A 61172-2024")</f>
        <v/>
      </c>
      <c r="V656">
        <f>HYPERLINK("https://klasma.github.io/Logging_2403/klagomål/A 61172-2024 FSC-klagomål.docx", "A 61172-2024")</f>
        <v/>
      </c>
      <c r="W656">
        <f>HYPERLINK("https://klasma.github.io/Logging_2403/klagomålsmail/A 61172-2024 FSC-klagomål mail.docx", "A 61172-2024")</f>
        <v/>
      </c>
      <c r="X656">
        <f>HYPERLINK("https://klasma.github.io/Logging_2403/tillsyn/A 61172-2024 tillsynsbegäran.docx", "A 61172-2024")</f>
        <v/>
      </c>
      <c r="Y656">
        <f>HYPERLINK("https://klasma.github.io/Logging_2403/tillsynsmail/A 61172-2024 tillsynsbegäran mail.docx", "A 61172-2024")</f>
        <v/>
      </c>
    </row>
    <row r="657" ht="15" customHeight="1">
      <c r="A657" t="inlineStr">
        <is>
          <t>A 27295-2024</t>
        </is>
      </c>
      <c r="B657" s="1" t="n">
        <v>45471.94290509259</v>
      </c>
      <c r="C657" s="1" t="n">
        <v>46145</v>
      </c>
      <c r="D657" t="inlineStr">
        <is>
          <t>VÄSTERBOTTENS LÄN</t>
        </is>
      </c>
      <c r="E657" t="inlineStr">
        <is>
          <t>BJURHOLM</t>
        </is>
      </c>
      <c r="F657" t="inlineStr">
        <is>
          <t>SCA</t>
        </is>
      </c>
      <c r="G657" t="n">
        <v>1.9</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HYPERLINK("https://klasma.github.io/Logging_2403/artfynd/A 27295-2024 artfynd.xlsx", "A 27295-2024")</f>
        <v/>
      </c>
      <c r="T657">
        <f>HYPERLINK("https://klasma.github.io/Logging_2403/kartor/A 27295-2024 karta.png", "A 27295-2024")</f>
        <v/>
      </c>
      <c r="V657">
        <f>HYPERLINK("https://klasma.github.io/Logging_2403/klagomål/A 27295-2024 FSC-klagomål.docx", "A 27295-2024")</f>
        <v/>
      </c>
      <c r="W657">
        <f>HYPERLINK("https://klasma.github.io/Logging_2403/klagomålsmail/A 27295-2024 FSC-klagomål mail.docx", "A 27295-2024")</f>
        <v/>
      </c>
      <c r="X657">
        <f>HYPERLINK("https://klasma.github.io/Logging_2403/tillsyn/A 27295-2024 tillsynsbegäran.docx", "A 27295-2024")</f>
        <v/>
      </c>
      <c r="Y657">
        <f>HYPERLINK("https://klasma.github.io/Logging_2403/tillsynsmail/A 27295-2024 tillsynsbegäran mail.docx", "A 27295-2024")</f>
        <v/>
      </c>
    </row>
    <row r="658" ht="15" customHeight="1">
      <c r="A658" t="inlineStr">
        <is>
          <t>A 39237-2022</t>
        </is>
      </c>
      <c r="B658" s="1" t="n">
        <v>44817</v>
      </c>
      <c r="C658" s="1" t="n">
        <v>46145</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43743-2024</t>
        </is>
      </c>
      <c r="B659" s="1" t="n">
        <v>45569.66039351852</v>
      </c>
      <c r="C659" s="1" t="n">
        <v>46145</v>
      </c>
      <c r="D659" t="inlineStr">
        <is>
          <t>VÄSTERBOTTENS LÄN</t>
        </is>
      </c>
      <c r="E659" t="inlineStr">
        <is>
          <t>SKELLEFTEÅ</t>
        </is>
      </c>
      <c r="G659" t="n">
        <v>2.6</v>
      </c>
      <c r="H659" t="n">
        <v>1</v>
      </c>
      <c r="I659" t="n">
        <v>1</v>
      </c>
      <c r="J659" t="n">
        <v>0</v>
      </c>
      <c r="K659" t="n">
        <v>0</v>
      </c>
      <c r="L659" t="n">
        <v>0</v>
      </c>
      <c r="M659" t="n">
        <v>0</v>
      </c>
      <c r="N659" t="n">
        <v>0</v>
      </c>
      <c r="O659" t="n">
        <v>0</v>
      </c>
      <c r="P659" t="n">
        <v>0</v>
      </c>
      <c r="Q659" t="n">
        <v>2</v>
      </c>
      <c r="R659" s="2" t="inlineStr">
        <is>
          <t>Stuplav
Fläcknycklar</t>
        </is>
      </c>
      <c r="S659">
        <f>HYPERLINK("https://klasma.github.io/Logging_2482/artfynd/A 43743-2024 artfynd.xlsx", "A 43743-2024")</f>
        <v/>
      </c>
      <c r="T659">
        <f>HYPERLINK("https://klasma.github.io/Logging_2482/kartor/A 43743-2024 karta.png", "A 43743-2024")</f>
        <v/>
      </c>
      <c r="V659">
        <f>HYPERLINK("https://klasma.github.io/Logging_2482/klagomål/A 43743-2024 FSC-klagomål.docx", "A 43743-2024")</f>
        <v/>
      </c>
      <c r="W659">
        <f>HYPERLINK("https://klasma.github.io/Logging_2482/klagomålsmail/A 43743-2024 FSC-klagomål mail.docx", "A 43743-2024")</f>
        <v/>
      </c>
      <c r="X659">
        <f>HYPERLINK("https://klasma.github.io/Logging_2482/tillsyn/A 43743-2024 tillsynsbegäran.docx", "A 43743-2024")</f>
        <v/>
      </c>
      <c r="Y659">
        <f>HYPERLINK("https://klasma.github.io/Logging_2482/tillsynsmail/A 43743-2024 tillsynsbegäran mail.docx", "A 43743-2024")</f>
        <v/>
      </c>
    </row>
    <row r="660" ht="15" customHeight="1">
      <c r="A660" t="inlineStr">
        <is>
          <t>A 54779-2024</t>
        </is>
      </c>
      <c r="B660" s="1" t="n">
        <v>45618</v>
      </c>
      <c r="C660" s="1" t="n">
        <v>46145</v>
      </c>
      <c r="D660" t="inlineStr">
        <is>
          <t>VÄSTERBOTTENS LÄN</t>
        </is>
      </c>
      <c r="E660" t="inlineStr">
        <is>
          <t>VILHELMINA</t>
        </is>
      </c>
      <c r="F660" t="inlineStr">
        <is>
          <t>SCA</t>
        </is>
      </c>
      <c r="G660" t="n">
        <v>10.3</v>
      </c>
      <c r="H660" t="n">
        <v>0</v>
      </c>
      <c r="I660" t="n">
        <v>0</v>
      </c>
      <c r="J660" t="n">
        <v>2</v>
      </c>
      <c r="K660" t="n">
        <v>0</v>
      </c>
      <c r="L660" t="n">
        <v>0</v>
      </c>
      <c r="M660" t="n">
        <v>0</v>
      </c>
      <c r="N660" t="n">
        <v>0</v>
      </c>
      <c r="O660" t="n">
        <v>2</v>
      </c>
      <c r="P660" t="n">
        <v>0</v>
      </c>
      <c r="Q660" t="n">
        <v>2</v>
      </c>
      <c r="R660" s="2" t="inlineStr">
        <is>
          <t>Gammelgransskål
Harticka</t>
        </is>
      </c>
      <c r="S660">
        <f>HYPERLINK("https://klasma.github.io/Logging_2462/artfynd/A 54779-2024 artfynd.xlsx", "A 54779-2024")</f>
        <v/>
      </c>
      <c r="T660">
        <f>HYPERLINK("https://klasma.github.io/Logging_2462/kartor/A 54779-2024 karta.png", "A 54779-2024")</f>
        <v/>
      </c>
      <c r="V660">
        <f>HYPERLINK("https://klasma.github.io/Logging_2462/klagomål/A 54779-2024 FSC-klagomål.docx", "A 54779-2024")</f>
        <v/>
      </c>
      <c r="W660">
        <f>HYPERLINK("https://klasma.github.io/Logging_2462/klagomålsmail/A 54779-2024 FSC-klagomål mail.docx", "A 54779-2024")</f>
        <v/>
      </c>
      <c r="X660">
        <f>HYPERLINK("https://klasma.github.io/Logging_2462/tillsyn/A 54779-2024 tillsynsbegäran.docx", "A 54779-2024")</f>
        <v/>
      </c>
      <c r="Y660">
        <f>HYPERLINK("https://klasma.github.io/Logging_2462/tillsynsmail/A 54779-2024 tillsynsbegäran mail.docx", "A 54779-2024")</f>
        <v/>
      </c>
    </row>
    <row r="661" ht="15" customHeight="1">
      <c r="A661" t="inlineStr">
        <is>
          <t>A 46391-2024</t>
        </is>
      </c>
      <c r="B661" s="1" t="n">
        <v>45582</v>
      </c>
      <c r="C661" s="1" t="n">
        <v>46145</v>
      </c>
      <c r="D661" t="inlineStr">
        <is>
          <t>VÄSTERBOTTENS LÄN</t>
        </is>
      </c>
      <c r="E661" t="inlineStr">
        <is>
          <t>VILHELMINA</t>
        </is>
      </c>
      <c r="F661" t="inlineStr">
        <is>
          <t>SCA</t>
        </is>
      </c>
      <c r="G661" t="n">
        <v>23.4</v>
      </c>
      <c r="H661" t="n">
        <v>0</v>
      </c>
      <c r="I661" t="n">
        <v>0</v>
      </c>
      <c r="J661" t="n">
        <v>2</v>
      </c>
      <c r="K661" t="n">
        <v>0</v>
      </c>
      <c r="L661" t="n">
        <v>0</v>
      </c>
      <c r="M661" t="n">
        <v>0</v>
      </c>
      <c r="N661" t="n">
        <v>0</v>
      </c>
      <c r="O661" t="n">
        <v>2</v>
      </c>
      <c r="P661" t="n">
        <v>0</v>
      </c>
      <c r="Q661" t="n">
        <v>2</v>
      </c>
      <c r="R661" s="2" t="inlineStr">
        <is>
          <t>Granticka
Gränsticka</t>
        </is>
      </c>
      <c r="S661">
        <f>HYPERLINK("https://klasma.github.io/Logging_2462/artfynd/A 46391-2024 artfynd.xlsx", "A 46391-2024")</f>
        <v/>
      </c>
      <c r="T661">
        <f>HYPERLINK("https://klasma.github.io/Logging_2462/kartor/A 46391-2024 karta.png", "A 46391-2024")</f>
        <v/>
      </c>
      <c r="V661">
        <f>HYPERLINK("https://klasma.github.io/Logging_2462/klagomål/A 46391-2024 FSC-klagomål.docx", "A 46391-2024")</f>
        <v/>
      </c>
      <c r="W661">
        <f>HYPERLINK("https://klasma.github.io/Logging_2462/klagomålsmail/A 46391-2024 FSC-klagomål mail.docx", "A 46391-2024")</f>
        <v/>
      </c>
      <c r="X661">
        <f>HYPERLINK("https://klasma.github.io/Logging_2462/tillsyn/A 46391-2024 tillsynsbegäran.docx", "A 46391-2024")</f>
        <v/>
      </c>
      <c r="Y661">
        <f>HYPERLINK("https://klasma.github.io/Logging_2462/tillsynsmail/A 46391-2024 tillsynsbegäran mail.docx", "A 46391-2024")</f>
        <v/>
      </c>
    </row>
    <row r="662" ht="15" customHeight="1">
      <c r="A662" t="inlineStr">
        <is>
          <t>A 49136-2024</t>
        </is>
      </c>
      <c r="B662" s="1" t="n">
        <v>45594.70607638889</v>
      </c>
      <c r="C662" s="1" t="n">
        <v>46145</v>
      </c>
      <c r="D662" t="inlineStr">
        <is>
          <t>VÄSTERBOTTENS LÄN</t>
        </is>
      </c>
      <c r="E662" t="inlineStr">
        <is>
          <t>UMEÅ</t>
        </is>
      </c>
      <c r="G662" t="n">
        <v>2.7</v>
      </c>
      <c r="H662" t="n">
        <v>0</v>
      </c>
      <c r="I662" t="n">
        <v>0</v>
      </c>
      <c r="J662" t="n">
        <v>2</v>
      </c>
      <c r="K662" t="n">
        <v>0</v>
      </c>
      <c r="L662" t="n">
        <v>0</v>
      </c>
      <c r="M662" t="n">
        <v>0</v>
      </c>
      <c r="N662" t="n">
        <v>0</v>
      </c>
      <c r="O662" t="n">
        <v>2</v>
      </c>
      <c r="P662" t="n">
        <v>0</v>
      </c>
      <c r="Q662" t="n">
        <v>2</v>
      </c>
      <c r="R662" s="2" t="inlineStr">
        <is>
          <t>Garnlav
Lunglav</t>
        </is>
      </c>
      <c r="S662">
        <f>HYPERLINK("https://klasma.github.io/Logging_2480/artfynd/A 49136-2024 artfynd.xlsx", "A 49136-2024")</f>
        <v/>
      </c>
      <c r="T662">
        <f>HYPERLINK("https://klasma.github.io/Logging_2480/kartor/A 49136-2024 karta.png", "A 49136-2024")</f>
        <v/>
      </c>
      <c r="V662">
        <f>HYPERLINK("https://klasma.github.io/Logging_2480/klagomål/A 49136-2024 FSC-klagomål.docx", "A 49136-2024")</f>
        <v/>
      </c>
      <c r="W662">
        <f>HYPERLINK("https://klasma.github.io/Logging_2480/klagomålsmail/A 49136-2024 FSC-klagomål mail.docx", "A 49136-2024")</f>
        <v/>
      </c>
      <c r="X662">
        <f>HYPERLINK("https://klasma.github.io/Logging_2480/tillsyn/A 49136-2024 tillsynsbegäran.docx", "A 49136-2024")</f>
        <v/>
      </c>
      <c r="Y662">
        <f>HYPERLINK("https://klasma.github.io/Logging_2480/tillsynsmail/A 49136-2024 tillsynsbegäran mail.docx", "A 49136-2024")</f>
        <v/>
      </c>
    </row>
    <row r="663" ht="15" customHeight="1">
      <c r="A663" t="inlineStr">
        <is>
          <t>A 9771-2022</t>
        </is>
      </c>
      <c r="B663" s="1" t="n">
        <v>44619</v>
      </c>
      <c r="C663" s="1" t="n">
        <v>46145</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58624-2022</t>
        </is>
      </c>
      <c r="B664" s="1" t="n">
        <v>44902</v>
      </c>
      <c r="C664" s="1" t="n">
        <v>46145</v>
      </c>
      <c r="D664" t="inlineStr">
        <is>
          <t>VÄSTERBOTTENS LÄN</t>
        </is>
      </c>
      <c r="E664" t="inlineStr">
        <is>
          <t>LYCKSELE</t>
        </is>
      </c>
      <c r="F664" t="inlineStr">
        <is>
          <t>Sveaskog</t>
        </is>
      </c>
      <c r="G664" t="n">
        <v>3.2</v>
      </c>
      <c r="H664" t="n">
        <v>0</v>
      </c>
      <c r="I664" t="n">
        <v>0</v>
      </c>
      <c r="J664" t="n">
        <v>2</v>
      </c>
      <c r="K664" t="n">
        <v>0</v>
      </c>
      <c r="L664" t="n">
        <v>0</v>
      </c>
      <c r="M664" t="n">
        <v>0</v>
      </c>
      <c r="N664" t="n">
        <v>0</v>
      </c>
      <c r="O664" t="n">
        <v>2</v>
      </c>
      <c r="P664" t="n">
        <v>0</v>
      </c>
      <c r="Q664" t="n">
        <v>2</v>
      </c>
      <c r="R664" s="2" t="inlineStr">
        <is>
          <t>Blanksvart spiklav
Vedflamlav</t>
        </is>
      </c>
      <c r="S664">
        <f>HYPERLINK("https://klasma.github.io/Logging_2481/artfynd/A 58624-2022 artfynd.xlsx", "A 58624-2022")</f>
        <v/>
      </c>
      <c r="T664">
        <f>HYPERLINK("https://klasma.github.io/Logging_2481/kartor/A 58624-2022 karta.png", "A 58624-2022")</f>
        <v/>
      </c>
      <c r="V664">
        <f>HYPERLINK("https://klasma.github.io/Logging_2481/klagomål/A 58624-2022 FSC-klagomål.docx", "A 58624-2022")</f>
        <v/>
      </c>
      <c r="W664">
        <f>HYPERLINK("https://klasma.github.io/Logging_2481/klagomålsmail/A 58624-2022 FSC-klagomål mail.docx", "A 58624-2022")</f>
        <v/>
      </c>
      <c r="X664">
        <f>HYPERLINK("https://klasma.github.io/Logging_2481/tillsyn/A 58624-2022 tillsynsbegäran.docx", "A 58624-2022")</f>
        <v/>
      </c>
      <c r="Y664">
        <f>HYPERLINK("https://klasma.github.io/Logging_2481/tillsynsmail/A 58624-2022 tillsynsbegäran mail.docx", "A 58624-2022")</f>
        <v/>
      </c>
    </row>
    <row r="665" ht="15" customHeight="1">
      <c r="A665" t="inlineStr">
        <is>
          <t>A 38440-2021</t>
        </is>
      </c>
      <c r="B665" s="1" t="n">
        <v>44406</v>
      </c>
      <c r="C665" s="1" t="n">
        <v>46145</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42195-2024</t>
        </is>
      </c>
      <c r="B666" s="1" t="n">
        <v>45562.50609953704</v>
      </c>
      <c r="C666" s="1" t="n">
        <v>46145</v>
      </c>
      <c r="D666" t="inlineStr">
        <is>
          <t>VÄSTERBOTTENS LÄN</t>
        </is>
      </c>
      <c r="E666" t="inlineStr">
        <is>
          <t>UMEÅ</t>
        </is>
      </c>
      <c r="F666" t="inlineStr">
        <is>
          <t>Kommuner</t>
        </is>
      </c>
      <c r="G666" t="n">
        <v>1.2</v>
      </c>
      <c r="H666" t="n">
        <v>1</v>
      </c>
      <c r="I666" t="n">
        <v>0</v>
      </c>
      <c r="J666" t="n">
        <v>1</v>
      </c>
      <c r="K666" t="n">
        <v>1</v>
      </c>
      <c r="L666" t="n">
        <v>0</v>
      </c>
      <c r="M666" t="n">
        <v>0</v>
      </c>
      <c r="N666" t="n">
        <v>0</v>
      </c>
      <c r="O666" t="n">
        <v>2</v>
      </c>
      <c r="P666" t="n">
        <v>1</v>
      </c>
      <c r="Q666" t="n">
        <v>2</v>
      </c>
      <c r="R666" s="2" t="inlineStr">
        <is>
          <t>Smalfotad taggsvamp
Spillkråka</t>
        </is>
      </c>
      <c r="S666">
        <f>HYPERLINK("https://klasma.github.io/Logging_2480/artfynd/A 42195-2024 artfynd.xlsx", "A 42195-2024")</f>
        <v/>
      </c>
      <c r="T666">
        <f>HYPERLINK("https://klasma.github.io/Logging_2480/kartor/A 42195-2024 karta.png", "A 42195-2024")</f>
        <v/>
      </c>
      <c r="V666">
        <f>HYPERLINK("https://klasma.github.io/Logging_2480/klagomål/A 42195-2024 FSC-klagomål.docx", "A 42195-2024")</f>
        <v/>
      </c>
      <c r="W666">
        <f>HYPERLINK("https://klasma.github.io/Logging_2480/klagomålsmail/A 42195-2024 FSC-klagomål mail.docx", "A 42195-2024")</f>
        <v/>
      </c>
      <c r="X666">
        <f>HYPERLINK("https://klasma.github.io/Logging_2480/tillsyn/A 42195-2024 tillsynsbegäran.docx", "A 42195-2024")</f>
        <v/>
      </c>
      <c r="Y666">
        <f>HYPERLINK("https://klasma.github.io/Logging_2480/tillsynsmail/A 42195-2024 tillsynsbegäran mail.docx", "A 42195-2024")</f>
        <v/>
      </c>
      <c r="Z666">
        <f>HYPERLINK("https://klasma.github.io/Logging_2480/fåglar/A 42195-2024 prioriterade fågelarter.docx", "A 42195-2024")</f>
        <v/>
      </c>
    </row>
    <row r="667" ht="15" customHeight="1">
      <c r="A667" t="inlineStr">
        <is>
          <t>A 46143-2024</t>
        </is>
      </c>
      <c r="B667" s="1" t="n">
        <v>45581.45096064815</v>
      </c>
      <c r="C667" s="1" t="n">
        <v>46145</v>
      </c>
      <c r="D667" t="inlineStr">
        <is>
          <t>VÄSTERBOTTENS LÄN</t>
        </is>
      </c>
      <c r="E667" t="inlineStr">
        <is>
          <t>UMEÅ</t>
        </is>
      </c>
      <c r="G667" t="n">
        <v>2.7</v>
      </c>
      <c r="H667" t="n">
        <v>1</v>
      </c>
      <c r="I667" t="n">
        <v>1</v>
      </c>
      <c r="J667" t="n">
        <v>1</v>
      </c>
      <c r="K667" t="n">
        <v>0</v>
      </c>
      <c r="L667" t="n">
        <v>0</v>
      </c>
      <c r="M667" t="n">
        <v>0</v>
      </c>
      <c r="N667" t="n">
        <v>0</v>
      </c>
      <c r="O667" t="n">
        <v>1</v>
      </c>
      <c r="P667" t="n">
        <v>0</v>
      </c>
      <c r="Q667" t="n">
        <v>2</v>
      </c>
      <c r="R667" s="2" t="inlineStr">
        <is>
          <t>Talltita
Thomsons trägnagare</t>
        </is>
      </c>
      <c r="S667">
        <f>HYPERLINK("https://klasma.github.io/Logging_2480/artfynd/A 46143-2024 artfynd.xlsx", "A 46143-2024")</f>
        <v/>
      </c>
      <c r="T667">
        <f>HYPERLINK("https://klasma.github.io/Logging_2480/kartor/A 46143-2024 karta.png", "A 46143-2024")</f>
        <v/>
      </c>
      <c r="V667">
        <f>HYPERLINK("https://klasma.github.io/Logging_2480/klagomål/A 46143-2024 FSC-klagomål.docx", "A 46143-2024")</f>
        <v/>
      </c>
      <c r="W667">
        <f>HYPERLINK("https://klasma.github.io/Logging_2480/klagomålsmail/A 46143-2024 FSC-klagomål mail.docx", "A 46143-2024")</f>
        <v/>
      </c>
      <c r="X667">
        <f>HYPERLINK("https://klasma.github.io/Logging_2480/tillsyn/A 46143-2024 tillsynsbegäran.docx", "A 46143-2024")</f>
        <v/>
      </c>
      <c r="Y667">
        <f>HYPERLINK("https://klasma.github.io/Logging_2480/tillsynsmail/A 46143-2024 tillsynsbegäran mail.docx", "A 46143-2024")</f>
        <v/>
      </c>
      <c r="Z667">
        <f>HYPERLINK("https://klasma.github.io/Logging_2480/fåglar/A 46143-2024 prioriterade fågelarter.docx", "A 46143-2024")</f>
        <v/>
      </c>
    </row>
    <row r="668" ht="15" customHeight="1">
      <c r="A668" t="inlineStr">
        <is>
          <t>A 35430-2024</t>
        </is>
      </c>
      <c r="B668" s="1" t="n">
        <v>45531.41425925926</v>
      </c>
      <c r="C668" s="1" t="n">
        <v>46145</v>
      </c>
      <c r="D668" t="inlineStr">
        <is>
          <t>VÄSTERBOTTENS LÄN</t>
        </is>
      </c>
      <c r="E668" t="inlineStr">
        <is>
          <t>NORSJÖ</t>
        </is>
      </c>
      <c r="G668" t="n">
        <v>6.1</v>
      </c>
      <c r="H668" t="n">
        <v>2</v>
      </c>
      <c r="I668" t="n">
        <v>0</v>
      </c>
      <c r="J668" t="n">
        <v>0</v>
      </c>
      <c r="K668" t="n">
        <v>0</v>
      </c>
      <c r="L668" t="n">
        <v>0</v>
      </c>
      <c r="M668" t="n">
        <v>0</v>
      </c>
      <c r="N668" t="n">
        <v>0</v>
      </c>
      <c r="O668" t="n">
        <v>0</v>
      </c>
      <c r="P668" t="n">
        <v>0</v>
      </c>
      <c r="Q668" t="n">
        <v>2</v>
      </c>
      <c r="R668" s="2" t="inlineStr">
        <is>
          <t>Orre
Tjäder</t>
        </is>
      </c>
      <c r="S668">
        <f>HYPERLINK("https://klasma.github.io/Logging_2417/artfynd/A 35430-2024 artfynd.xlsx", "A 35430-2024")</f>
        <v/>
      </c>
      <c r="T668">
        <f>HYPERLINK("https://klasma.github.io/Logging_2417/kartor/A 35430-2024 karta.png", "A 35430-2024")</f>
        <v/>
      </c>
      <c r="V668">
        <f>HYPERLINK("https://klasma.github.io/Logging_2417/klagomål/A 35430-2024 FSC-klagomål.docx", "A 35430-2024")</f>
        <v/>
      </c>
      <c r="W668">
        <f>HYPERLINK("https://klasma.github.io/Logging_2417/klagomålsmail/A 35430-2024 FSC-klagomål mail.docx", "A 35430-2024")</f>
        <v/>
      </c>
      <c r="X668">
        <f>HYPERLINK("https://klasma.github.io/Logging_2417/tillsyn/A 35430-2024 tillsynsbegäran.docx", "A 35430-2024")</f>
        <v/>
      </c>
      <c r="Y668">
        <f>HYPERLINK("https://klasma.github.io/Logging_2417/tillsynsmail/A 35430-2024 tillsynsbegäran mail.docx", "A 35430-2024")</f>
        <v/>
      </c>
      <c r="Z668">
        <f>HYPERLINK("https://klasma.github.io/Logging_2417/fåglar/A 35430-2024 prioriterade fågelarter.docx", "A 35430-2024")</f>
        <v/>
      </c>
    </row>
    <row r="669" ht="15" customHeight="1">
      <c r="A669" t="inlineStr">
        <is>
          <t>A 28012-2023</t>
        </is>
      </c>
      <c r="B669" s="1" t="n">
        <v>45098</v>
      </c>
      <c r="C669" s="1" t="n">
        <v>46145</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40939-2021</t>
        </is>
      </c>
      <c r="B670" s="1" t="n">
        <v>44421</v>
      </c>
      <c r="C670" s="1" t="n">
        <v>46145</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37513-2024</t>
        </is>
      </c>
      <c r="B671" s="1" t="n">
        <v>45541.38572916666</v>
      </c>
      <c r="C671" s="1" t="n">
        <v>46145</v>
      </c>
      <c r="D671" t="inlineStr">
        <is>
          <t>VÄSTERBOTTENS LÄN</t>
        </is>
      </c>
      <c r="E671" t="inlineStr">
        <is>
          <t>VILHELMINA</t>
        </is>
      </c>
      <c r="F671" t="inlineStr">
        <is>
          <t>SCA</t>
        </is>
      </c>
      <c r="G671" t="n">
        <v>3.4</v>
      </c>
      <c r="H671" t="n">
        <v>0</v>
      </c>
      <c r="I671" t="n">
        <v>0</v>
      </c>
      <c r="J671" t="n">
        <v>2</v>
      </c>
      <c r="K671" t="n">
        <v>0</v>
      </c>
      <c r="L671" t="n">
        <v>0</v>
      </c>
      <c r="M671" t="n">
        <v>0</v>
      </c>
      <c r="N671" t="n">
        <v>0</v>
      </c>
      <c r="O671" t="n">
        <v>2</v>
      </c>
      <c r="P671" t="n">
        <v>0</v>
      </c>
      <c r="Q671" t="n">
        <v>2</v>
      </c>
      <c r="R671" s="2" t="inlineStr">
        <is>
          <t>Rosenticka
Ullticka</t>
        </is>
      </c>
      <c r="S671">
        <f>HYPERLINK("https://klasma.github.io/Logging_2462/artfynd/A 37513-2024 artfynd.xlsx", "A 37513-2024")</f>
        <v/>
      </c>
      <c r="T671">
        <f>HYPERLINK("https://klasma.github.io/Logging_2462/kartor/A 37513-2024 karta.png", "A 37513-2024")</f>
        <v/>
      </c>
      <c r="V671">
        <f>HYPERLINK("https://klasma.github.io/Logging_2462/klagomål/A 37513-2024 FSC-klagomål.docx", "A 37513-2024")</f>
        <v/>
      </c>
      <c r="W671">
        <f>HYPERLINK("https://klasma.github.io/Logging_2462/klagomålsmail/A 37513-2024 FSC-klagomål mail.docx", "A 37513-2024")</f>
        <v/>
      </c>
      <c r="X671">
        <f>HYPERLINK("https://klasma.github.io/Logging_2462/tillsyn/A 37513-2024 tillsynsbegäran.docx", "A 37513-2024")</f>
        <v/>
      </c>
      <c r="Y671">
        <f>HYPERLINK("https://klasma.github.io/Logging_2462/tillsynsmail/A 37513-2024 tillsynsbegäran mail.docx", "A 37513-2024")</f>
        <v/>
      </c>
    </row>
    <row r="672" ht="15" customHeight="1">
      <c r="A672" t="inlineStr">
        <is>
          <t>A 37548-2024</t>
        </is>
      </c>
      <c r="B672" s="1" t="n">
        <v>45541.43171296296</v>
      </c>
      <c r="C672" s="1" t="n">
        <v>46145</v>
      </c>
      <c r="D672" t="inlineStr">
        <is>
          <t>VÄSTERBOTTENS LÄN</t>
        </is>
      </c>
      <c r="E672" t="inlineStr">
        <is>
          <t>LYCKSELE</t>
        </is>
      </c>
      <c r="F672" t="inlineStr">
        <is>
          <t>Sveaskog</t>
        </is>
      </c>
      <c r="G672" t="n">
        <v>13.5</v>
      </c>
      <c r="H672" t="n">
        <v>0</v>
      </c>
      <c r="I672" t="n">
        <v>1</v>
      </c>
      <c r="J672" t="n">
        <v>1</v>
      </c>
      <c r="K672" t="n">
        <v>0</v>
      </c>
      <c r="L672" t="n">
        <v>0</v>
      </c>
      <c r="M672" t="n">
        <v>0</v>
      </c>
      <c r="N672" t="n">
        <v>0</v>
      </c>
      <c r="O672" t="n">
        <v>1</v>
      </c>
      <c r="P672" t="n">
        <v>0</v>
      </c>
      <c r="Q672" t="n">
        <v>2</v>
      </c>
      <c r="R672" s="2" t="inlineStr">
        <is>
          <t>Kolflarnlav
Skarp dropptaggsvamp</t>
        </is>
      </c>
      <c r="S672">
        <f>HYPERLINK("https://klasma.github.io/Logging_2481/artfynd/A 37548-2024 artfynd.xlsx", "A 37548-2024")</f>
        <v/>
      </c>
      <c r="T672">
        <f>HYPERLINK("https://klasma.github.io/Logging_2481/kartor/A 37548-2024 karta.png", "A 37548-2024")</f>
        <v/>
      </c>
      <c r="V672">
        <f>HYPERLINK("https://klasma.github.io/Logging_2481/klagomål/A 37548-2024 FSC-klagomål.docx", "A 37548-2024")</f>
        <v/>
      </c>
      <c r="W672">
        <f>HYPERLINK("https://klasma.github.io/Logging_2481/klagomålsmail/A 37548-2024 FSC-klagomål mail.docx", "A 37548-2024")</f>
        <v/>
      </c>
      <c r="X672">
        <f>HYPERLINK("https://klasma.github.io/Logging_2481/tillsyn/A 37548-2024 tillsynsbegäran.docx", "A 37548-2024")</f>
        <v/>
      </c>
      <c r="Y672">
        <f>HYPERLINK("https://klasma.github.io/Logging_2481/tillsynsmail/A 37548-2024 tillsynsbegäran mail.docx", "A 37548-2024")</f>
        <v/>
      </c>
    </row>
    <row r="673" ht="15" customHeight="1">
      <c r="A673" t="inlineStr">
        <is>
          <t>A 2893-2023</t>
        </is>
      </c>
      <c r="B673" s="1" t="n">
        <v>44945.50438657407</v>
      </c>
      <c r="C673" s="1" t="n">
        <v>46145</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38475-2023</t>
        </is>
      </c>
      <c r="B674" s="1" t="n">
        <v>45162.4615625</v>
      </c>
      <c r="C674" s="1" t="n">
        <v>46145</v>
      </c>
      <c r="D674" t="inlineStr">
        <is>
          <t>VÄSTERBOTTENS LÄN</t>
        </is>
      </c>
      <c r="E674" t="inlineStr">
        <is>
          <t>LYCKSELE</t>
        </is>
      </c>
      <c r="F674" t="inlineStr">
        <is>
          <t>Sveaskog</t>
        </is>
      </c>
      <c r="G674" t="n">
        <v>1.6</v>
      </c>
      <c r="H674" t="n">
        <v>0</v>
      </c>
      <c r="I674" t="n">
        <v>0</v>
      </c>
      <c r="J674" t="n">
        <v>2</v>
      </c>
      <c r="K674" t="n">
        <v>0</v>
      </c>
      <c r="L674" t="n">
        <v>0</v>
      </c>
      <c r="M674" t="n">
        <v>0</v>
      </c>
      <c r="N674" t="n">
        <v>0</v>
      </c>
      <c r="O674" t="n">
        <v>2</v>
      </c>
      <c r="P674" t="n">
        <v>0</v>
      </c>
      <c r="Q674" t="n">
        <v>2</v>
      </c>
      <c r="R674" s="2" t="inlineStr">
        <is>
          <t>Blå taggsvamp
Mörk kolflarnlav</t>
        </is>
      </c>
      <c r="S674">
        <f>HYPERLINK("https://klasma.github.io/Logging_2481/artfynd/A 38475-2023 artfynd.xlsx", "A 38475-2023")</f>
        <v/>
      </c>
      <c r="T674">
        <f>HYPERLINK("https://klasma.github.io/Logging_2481/kartor/A 38475-2023 karta.png", "A 38475-2023")</f>
        <v/>
      </c>
      <c r="V674">
        <f>HYPERLINK("https://klasma.github.io/Logging_2481/klagomål/A 38475-2023 FSC-klagomål.docx", "A 38475-2023")</f>
        <v/>
      </c>
      <c r="W674">
        <f>HYPERLINK("https://klasma.github.io/Logging_2481/klagomålsmail/A 38475-2023 FSC-klagomål mail.docx", "A 38475-2023")</f>
        <v/>
      </c>
      <c r="X674">
        <f>HYPERLINK("https://klasma.github.io/Logging_2481/tillsyn/A 38475-2023 tillsynsbegäran.docx", "A 38475-2023")</f>
        <v/>
      </c>
      <c r="Y674">
        <f>HYPERLINK("https://klasma.github.io/Logging_2481/tillsynsmail/A 38475-2023 tillsynsbegäran mail.docx", "A 38475-2023")</f>
        <v/>
      </c>
    </row>
    <row r="675" ht="15" customHeight="1">
      <c r="A675" t="inlineStr">
        <is>
          <t>A 12760-2022</t>
        </is>
      </c>
      <c r="B675" s="1" t="n">
        <v>44641</v>
      </c>
      <c r="C675" s="1" t="n">
        <v>46145</v>
      </c>
      <c r="D675" t="inlineStr">
        <is>
          <t>VÄSTERBOTTENS LÄN</t>
        </is>
      </c>
      <c r="E675" t="inlineStr">
        <is>
          <t>LYCKSELE</t>
        </is>
      </c>
      <c r="G675" t="n">
        <v>11.6</v>
      </c>
      <c r="H675" t="n">
        <v>1</v>
      </c>
      <c r="I675" t="n">
        <v>0</v>
      </c>
      <c r="J675" t="n">
        <v>2</v>
      </c>
      <c r="K675" t="n">
        <v>0</v>
      </c>
      <c r="L675" t="n">
        <v>0</v>
      </c>
      <c r="M675" t="n">
        <v>0</v>
      </c>
      <c r="N675" t="n">
        <v>0</v>
      </c>
      <c r="O675" t="n">
        <v>2</v>
      </c>
      <c r="P675" t="n">
        <v>0</v>
      </c>
      <c r="Q675" t="n">
        <v>2</v>
      </c>
      <c r="R675" s="2" t="inlineStr">
        <is>
          <t>Garnlav
Järpe</t>
        </is>
      </c>
      <c r="S675">
        <f>HYPERLINK("https://klasma.github.io/Logging_2481/artfynd/A 12760-2022 artfynd.xlsx", "A 12760-2022")</f>
        <v/>
      </c>
      <c r="T675">
        <f>HYPERLINK("https://klasma.github.io/Logging_2481/kartor/A 12760-2022 karta.png", "A 12760-2022")</f>
        <v/>
      </c>
      <c r="V675">
        <f>HYPERLINK("https://klasma.github.io/Logging_2481/klagomål/A 12760-2022 FSC-klagomål.docx", "A 12760-2022")</f>
        <v/>
      </c>
      <c r="W675">
        <f>HYPERLINK("https://klasma.github.io/Logging_2481/klagomålsmail/A 12760-2022 FSC-klagomål mail.docx", "A 12760-2022")</f>
        <v/>
      </c>
      <c r="X675">
        <f>HYPERLINK("https://klasma.github.io/Logging_2481/tillsyn/A 12760-2022 tillsynsbegäran.docx", "A 12760-2022")</f>
        <v/>
      </c>
      <c r="Y675">
        <f>HYPERLINK("https://klasma.github.io/Logging_2481/tillsynsmail/A 12760-2022 tillsynsbegäran mail.docx", "A 12760-2022")</f>
        <v/>
      </c>
      <c r="Z675">
        <f>HYPERLINK("https://klasma.github.io/Logging_2481/fåglar/A 12760-2022 prioriterade fågelarter.docx", "A 12760-2022")</f>
        <v/>
      </c>
    </row>
    <row r="676" ht="15" customHeight="1">
      <c r="A676" t="inlineStr">
        <is>
          <t>A 15081-2023</t>
        </is>
      </c>
      <c r="B676" s="1" t="n">
        <v>45016.07569444444</v>
      </c>
      <c r="C676" s="1" t="n">
        <v>46145</v>
      </c>
      <c r="D676" t="inlineStr">
        <is>
          <t>VÄSTERBOTTENS LÄN</t>
        </is>
      </c>
      <c r="E676" t="inlineStr">
        <is>
          <t>ÅSELE</t>
        </is>
      </c>
      <c r="F676" t="inlineStr">
        <is>
          <t>SCA</t>
        </is>
      </c>
      <c r="G676" t="n">
        <v>6.4</v>
      </c>
      <c r="H676" t="n">
        <v>0</v>
      </c>
      <c r="I676" t="n">
        <v>0</v>
      </c>
      <c r="J676" t="n">
        <v>2</v>
      </c>
      <c r="K676" t="n">
        <v>0</v>
      </c>
      <c r="L676" t="n">
        <v>0</v>
      </c>
      <c r="M676" t="n">
        <v>0</v>
      </c>
      <c r="N676" t="n">
        <v>0</v>
      </c>
      <c r="O676" t="n">
        <v>2</v>
      </c>
      <c r="P676" t="n">
        <v>0</v>
      </c>
      <c r="Q676" t="n">
        <v>2</v>
      </c>
      <c r="R676" s="2" t="inlineStr">
        <is>
          <t>Gränsticka
Koralltaggsvamp</t>
        </is>
      </c>
      <c r="S676">
        <f>HYPERLINK("https://klasma.github.io/Logging_2463/artfynd/A 15081-2023 artfynd.xlsx", "A 15081-2023")</f>
        <v/>
      </c>
      <c r="T676">
        <f>HYPERLINK("https://klasma.github.io/Logging_2463/kartor/A 15081-2023 karta.png", "A 15081-2023")</f>
        <v/>
      </c>
      <c r="V676">
        <f>HYPERLINK("https://klasma.github.io/Logging_2463/klagomål/A 15081-2023 FSC-klagomål.docx", "A 15081-2023")</f>
        <v/>
      </c>
      <c r="W676">
        <f>HYPERLINK("https://klasma.github.io/Logging_2463/klagomålsmail/A 15081-2023 FSC-klagomål mail.docx", "A 15081-2023")</f>
        <v/>
      </c>
      <c r="X676">
        <f>HYPERLINK("https://klasma.github.io/Logging_2463/tillsyn/A 15081-2023 tillsynsbegäran.docx", "A 15081-2023")</f>
        <v/>
      </c>
      <c r="Y676">
        <f>HYPERLINK("https://klasma.github.io/Logging_2463/tillsynsmail/A 15081-2023 tillsynsbegäran mail.docx", "A 15081-2023")</f>
        <v/>
      </c>
    </row>
    <row r="677" ht="15" customHeight="1">
      <c r="A677" t="inlineStr">
        <is>
          <t>A 787-2023</t>
        </is>
      </c>
      <c r="B677" s="1" t="n">
        <v>44931</v>
      </c>
      <c r="C677" s="1" t="n">
        <v>46145</v>
      </c>
      <c r="D677" t="inlineStr">
        <is>
          <t>VÄSTERBOTTENS LÄN</t>
        </is>
      </c>
      <c r="E677" t="inlineStr">
        <is>
          <t>SKELLEFTEÅ</t>
        </is>
      </c>
      <c r="G677" t="n">
        <v>13.9</v>
      </c>
      <c r="H677" t="n">
        <v>0</v>
      </c>
      <c r="I677" t="n">
        <v>1</v>
      </c>
      <c r="J677" t="n">
        <v>1</v>
      </c>
      <c r="K677" t="n">
        <v>0</v>
      </c>
      <c r="L677" t="n">
        <v>0</v>
      </c>
      <c r="M677" t="n">
        <v>0</v>
      </c>
      <c r="N677" t="n">
        <v>0</v>
      </c>
      <c r="O677" t="n">
        <v>1</v>
      </c>
      <c r="P677" t="n">
        <v>0</v>
      </c>
      <c r="Q677" t="n">
        <v>2</v>
      </c>
      <c r="R677" s="2" t="inlineStr">
        <is>
          <t>Storgröe
Ögonpyrola</t>
        </is>
      </c>
      <c r="S677">
        <f>HYPERLINK("https://klasma.github.io/Logging_2482/artfynd/A 787-2023 artfynd.xlsx", "A 787-2023")</f>
        <v/>
      </c>
      <c r="T677">
        <f>HYPERLINK("https://klasma.github.io/Logging_2482/kartor/A 787-2023 karta.png", "A 787-2023")</f>
        <v/>
      </c>
      <c r="V677">
        <f>HYPERLINK("https://klasma.github.io/Logging_2482/klagomål/A 787-2023 FSC-klagomål.docx", "A 787-2023")</f>
        <v/>
      </c>
      <c r="W677">
        <f>HYPERLINK("https://klasma.github.io/Logging_2482/klagomålsmail/A 787-2023 FSC-klagomål mail.docx", "A 787-2023")</f>
        <v/>
      </c>
      <c r="X677">
        <f>HYPERLINK("https://klasma.github.io/Logging_2482/tillsyn/A 787-2023 tillsynsbegäran.docx", "A 787-2023")</f>
        <v/>
      </c>
      <c r="Y677">
        <f>HYPERLINK("https://klasma.github.io/Logging_2482/tillsynsmail/A 787-2023 tillsynsbegäran mail.docx", "A 787-2023")</f>
        <v/>
      </c>
    </row>
    <row r="678" ht="15" customHeight="1">
      <c r="A678" t="inlineStr">
        <is>
          <t>A 25037-2024</t>
        </is>
      </c>
      <c r="B678" s="1" t="n">
        <v>45461</v>
      </c>
      <c r="C678" s="1" t="n">
        <v>46145</v>
      </c>
      <c r="D678" t="inlineStr">
        <is>
          <t>VÄSTERBOTTENS LÄN</t>
        </is>
      </c>
      <c r="E678" t="inlineStr">
        <is>
          <t>VILHELMINA</t>
        </is>
      </c>
      <c r="F678" t="inlineStr">
        <is>
          <t>SCA</t>
        </is>
      </c>
      <c r="G678" t="n">
        <v>0.5</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HYPERLINK("https://klasma.github.io/Logging_2462/artfynd/A 25037-2024 artfynd.xlsx", "A 25037-2024")</f>
        <v/>
      </c>
      <c r="T678">
        <f>HYPERLINK("https://klasma.github.io/Logging_2462/kartor/A 25037-2024 karta.png", "A 25037-2024")</f>
        <v/>
      </c>
      <c r="V678">
        <f>HYPERLINK("https://klasma.github.io/Logging_2462/klagomål/A 25037-2024 FSC-klagomål.docx", "A 25037-2024")</f>
        <v/>
      </c>
      <c r="W678">
        <f>HYPERLINK("https://klasma.github.io/Logging_2462/klagomålsmail/A 25037-2024 FSC-klagomål mail.docx", "A 25037-2024")</f>
        <v/>
      </c>
      <c r="X678">
        <f>HYPERLINK("https://klasma.github.io/Logging_2462/tillsyn/A 25037-2024 tillsynsbegäran.docx", "A 25037-2024")</f>
        <v/>
      </c>
      <c r="Y678">
        <f>HYPERLINK("https://klasma.github.io/Logging_2462/tillsynsmail/A 25037-2024 tillsynsbegäran mail.docx", "A 25037-2024")</f>
        <v/>
      </c>
      <c r="Z678">
        <f>HYPERLINK("https://klasma.github.io/Logging_2462/fåglar/A 25037-2024 prioriterade fågelarter.docx", "A 25037-2024")</f>
        <v/>
      </c>
    </row>
    <row r="679" ht="15" customHeight="1">
      <c r="A679" t="inlineStr">
        <is>
          <t>A 36998-2025</t>
        </is>
      </c>
      <c r="B679" s="1" t="n">
        <v>45874</v>
      </c>
      <c r="C679" s="1" t="n">
        <v>46145</v>
      </c>
      <c r="D679" t="inlineStr">
        <is>
          <t>VÄSTERBOTTENS LÄN</t>
        </is>
      </c>
      <c r="E679" t="inlineStr">
        <is>
          <t>VILHELMINA</t>
        </is>
      </c>
      <c r="F679" t="inlineStr">
        <is>
          <t>SCA</t>
        </is>
      </c>
      <c r="G679" t="n">
        <v>16.9</v>
      </c>
      <c r="H679" t="n">
        <v>1</v>
      </c>
      <c r="I679" t="n">
        <v>1</v>
      </c>
      <c r="J679" t="n">
        <v>1</v>
      </c>
      <c r="K679" t="n">
        <v>0</v>
      </c>
      <c r="L679" t="n">
        <v>0</v>
      </c>
      <c r="M679" t="n">
        <v>0</v>
      </c>
      <c r="N679" t="n">
        <v>0</v>
      </c>
      <c r="O679" t="n">
        <v>1</v>
      </c>
      <c r="P679" t="n">
        <v>0</v>
      </c>
      <c r="Q679" t="n">
        <v>2</v>
      </c>
      <c r="R679" s="2" t="inlineStr">
        <is>
          <t>Granticka
Lappranunkel</t>
        </is>
      </c>
      <c r="S679">
        <f>HYPERLINK("https://klasma.github.io/Logging_2462/artfynd/A 36998-2025 artfynd.xlsx", "A 36998-2025")</f>
        <v/>
      </c>
      <c r="T679">
        <f>HYPERLINK("https://klasma.github.io/Logging_2462/kartor/A 36998-2025 karta.png", "A 36998-2025")</f>
        <v/>
      </c>
      <c r="V679">
        <f>HYPERLINK("https://klasma.github.io/Logging_2462/klagomål/A 36998-2025 FSC-klagomål.docx", "A 36998-2025")</f>
        <v/>
      </c>
      <c r="W679">
        <f>HYPERLINK("https://klasma.github.io/Logging_2462/klagomålsmail/A 36998-2025 FSC-klagomål mail.docx", "A 36998-2025")</f>
        <v/>
      </c>
      <c r="X679">
        <f>HYPERLINK("https://klasma.github.io/Logging_2462/tillsyn/A 36998-2025 tillsynsbegäran.docx", "A 36998-2025")</f>
        <v/>
      </c>
      <c r="Y679">
        <f>HYPERLINK("https://klasma.github.io/Logging_2462/tillsynsmail/A 36998-2025 tillsynsbegäran mail.docx", "A 36998-2025")</f>
        <v/>
      </c>
    </row>
    <row r="680" ht="15" customHeight="1">
      <c r="A680" t="inlineStr">
        <is>
          <t>A 9924-2024</t>
        </is>
      </c>
      <c r="B680" s="1" t="n">
        <v>45363</v>
      </c>
      <c r="C680" s="1" t="n">
        <v>46145</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37458-2025</t>
        </is>
      </c>
      <c r="B681" s="1" t="n">
        <v>45877.56935185185</v>
      </c>
      <c r="C681" s="1" t="n">
        <v>46145</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52538-2024</t>
        </is>
      </c>
      <c r="B682" s="1" t="n">
        <v>45609.62820601852</v>
      </c>
      <c r="C682" s="1" t="n">
        <v>46145</v>
      </c>
      <c r="D682" t="inlineStr">
        <is>
          <t>VÄSTERBOTTENS LÄN</t>
        </is>
      </c>
      <c r="E682" t="inlineStr">
        <is>
          <t>NORSJÖ</t>
        </is>
      </c>
      <c r="F682" t="inlineStr">
        <is>
          <t>Sveaskog</t>
        </is>
      </c>
      <c r="G682" t="n">
        <v>10.8</v>
      </c>
      <c r="H682" t="n">
        <v>0</v>
      </c>
      <c r="I682" t="n">
        <v>0</v>
      </c>
      <c r="J682" t="n">
        <v>2</v>
      </c>
      <c r="K682" t="n">
        <v>0</v>
      </c>
      <c r="L682" t="n">
        <v>0</v>
      </c>
      <c r="M682" t="n">
        <v>0</v>
      </c>
      <c r="N682" t="n">
        <v>0</v>
      </c>
      <c r="O682" t="n">
        <v>2</v>
      </c>
      <c r="P682" t="n">
        <v>0</v>
      </c>
      <c r="Q682" t="n">
        <v>2</v>
      </c>
      <c r="R682" s="2" t="inlineStr">
        <is>
          <t>Motaggsvamp
Orange taggsvamp</t>
        </is>
      </c>
      <c r="S682">
        <f>HYPERLINK("https://klasma.github.io/Logging_2417/artfynd/A 52538-2024 artfynd.xlsx", "A 52538-2024")</f>
        <v/>
      </c>
      <c r="T682">
        <f>HYPERLINK("https://klasma.github.io/Logging_2417/kartor/A 52538-2024 karta.png", "A 52538-2024")</f>
        <v/>
      </c>
      <c r="V682">
        <f>HYPERLINK("https://klasma.github.io/Logging_2417/klagomål/A 52538-2024 FSC-klagomål.docx", "A 52538-2024")</f>
        <v/>
      </c>
      <c r="W682">
        <f>HYPERLINK("https://klasma.github.io/Logging_2417/klagomålsmail/A 52538-2024 FSC-klagomål mail.docx", "A 52538-2024")</f>
        <v/>
      </c>
      <c r="X682">
        <f>HYPERLINK("https://klasma.github.io/Logging_2417/tillsyn/A 52538-2024 tillsynsbegäran.docx", "A 52538-2024")</f>
        <v/>
      </c>
      <c r="Y682">
        <f>HYPERLINK("https://klasma.github.io/Logging_2417/tillsynsmail/A 52538-2024 tillsynsbegäran mail.docx", "A 52538-2024")</f>
        <v/>
      </c>
    </row>
    <row r="683" ht="15" customHeight="1">
      <c r="A683" t="inlineStr">
        <is>
          <t>A 24332-2023</t>
        </is>
      </c>
      <c r="B683" s="1" t="n">
        <v>45081</v>
      </c>
      <c r="C683" s="1" t="n">
        <v>46145</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37985-2025</t>
        </is>
      </c>
      <c r="B684" s="1" t="n">
        <v>45881.70010416667</v>
      </c>
      <c r="C684" s="1" t="n">
        <v>46145</v>
      </c>
      <c r="D684" t="inlineStr">
        <is>
          <t>VÄSTERBOTTENS LÄN</t>
        </is>
      </c>
      <c r="E684" t="inlineStr">
        <is>
          <t>SKELLEFTEÅ</t>
        </is>
      </c>
      <c r="G684" t="n">
        <v>4.9</v>
      </c>
      <c r="H684" t="n">
        <v>1</v>
      </c>
      <c r="I684" t="n">
        <v>0</v>
      </c>
      <c r="J684" t="n">
        <v>1</v>
      </c>
      <c r="K684" t="n">
        <v>0</v>
      </c>
      <c r="L684" t="n">
        <v>0</v>
      </c>
      <c r="M684" t="n">
        <v>0</v>
      </c>
      <c r="N684" t="n">
        <v>0</v>
      </c>
      <c r="O684" t="n">
        <v>1</v>
      </c>
      <c r="P684" t="n">
        <v>0</v>
      </c>
      <c r="Q684" t="n">
        <v>2</v>
      </c>
      <c r="R684" s="2" t="inlineStr">
        <is>
          <t>Lunglav
Orre</t>
        </is>
      </c>
      <c r="S684">
        <f>HYPERLINK("https://klasma.github.io/Logging_2482/artfynd/A 37985-2025 artfynd.xlsx", "A 37985-2025")</f>
        <v/>
      </c>
      <c r="T684">
        <f>HYPERLINK("https://klasma.github.io/Logging_2482/kartor/A 37985-2025 karta.png", "A 37985-2025")</f>
        <v/>
      </c>
      <c r="V684">
        <f>HYPERLINK("https://klasma.github.io/Logging_2482/klagomål/A 37985-2025 FSC-klagomål.docx", "A 37985-2025")</f>
        <v/>
      </c>
      <c r="W684">
        <f>HYPERLINK("https://klasma.github.io/Logging_2482/klagomålsmail/A 37985-2025 FSC-klagomål mail.docx", "A 37985-2025")</f>
        <v/>
      </c>
      <c r="X684">
        <f>HYPERLINK("https://klasma.github.io/Logging_2482/tillsyn/A 37985-2025 tillsynsbegäran.docx", "A 37985-2025")</f>
        <v/>
      </c>
      <c r="Y684">
        <f>HYPERLINK("https://klasma.github.io/Logging_2482/tillsynsmail/A 37985-2025 tillsynsbegäran mail.docx", "A 37985-2025")</f>
        <v/>
      </c>
      <c r="Z684">
        <f>HYPERLINK("https://klasma.github.io/Logging_2482/fåglar/A 37985-2025 prioriterade fågelarter.docx", "A 37985-2025")</f>
        <v/>
      </c>
    </row>
    <row r="685" ht="15" customHeight="1">
      <c r="A685" t="inlineStr">
        <is>
          <t>A 38776-2025</t>
        </is>
      </c>
      <c r="B685" s="1" t="n">
        <v>45887.42761574074</v>
      </c>
      <c r="C685" s="1" t="n">
        <v>46145</v>
      </c>
      <c r="D685" t="inlineStr">
        <is>
          <t>VÄSTERBOTTENS LÄN</t>
        </is>
      </c>
      <c r="E685" t="inlineStr">
        <is>
          <t>LYCKSELE</t>
        </is>
      </c>
      <c r="F685" t="inlineStr">
        <is>
          <t>Sveaskog</t>
        </is>
      </c>
      <c r="G685" t="n">
        <v>7.5</v>
      </c>
      <c r="H685" t="n">
        <v>0</v>
      </c>
      <c r="I685" t="n">
        <v>1</v>
      </c>
      <c r="J685" t="n">
        <v>1</v>
      </c>
      <c r="K685" t="n">
        <v>0</v>
      </c>
      <c r="L685" t="n">
        <v>0</v>
      </c>
      <c r="M685" t="n">
        <v>0</v>
      </c>
      <c r="N685" t="n">
        <v>0</v>
      </c>
      <c r="O685" t="n">
        <v>1</v>
      </c>
      <c r="P685" t="n">
        <v>0</v>
      </c>
      <c r="Q685" t="n">
        <v>2</v>
      </c>
      <c r="R685" s="2" t="inlineStr">
        <is>
          <t>Kolflarnlav
Dropptaggsvamp</t>
        </is>
      </c>
      <c r="S685">
        <f>HYPERLINK("https://klasma.github.io/Logging_2481/artfynd/A 38776-2025 artfynd.xlsx", "A 38776-2025")</f>
        <v/>
      </c>
      <c r="T685">
        <f>HYPERLINK("https://klasma.github.io/Logging_2481/kartor/A 38776-2025 karta.png", "A 38776-2025")</f>
        <v/>
      </c>
      <c r="V685">
        <f>HYPERLINK("https://klasma.github.io/Logging_2481/klagomål/A 38776-2025 FSC-klagomål.docx", "A 38776-2025")</f>
        <v/>
      </c>
      <c r="W685">
        <f>HYPERLINK("https://klasma.github.io/Logging_2481/klagomålsmail/A 38776-2025 FSC-klagomål mail.docx", "A 38776-2025")</f>
        <v/>
      </c>
      <c r="X685">
        <f>HYPERLINK("https://klasma.github.io/Logging_2481/tillsyn/A 38776-2025 tillsynsbegäran.docx", "A 38776-2025")</f>
        <v/>
      </c>
      <c r="Y685">
        <f>HYPERLINK("https://klasma.github.io/Logging_2481/tillsynsmail/A 38776-2025 tillsynsbegäran mail.docx", "A 38776-2025")</f>
        <v/>
      </c>
    </row>
    <row r="686" ht="15" customHeight="1">
      <c r="A686" t="inlineStr">
        <is>
          <t>A 14070-2022</t>
        </is>
      </c>
      <c r="B686" s="1" t="n">
        <v>44650</v>
      </c>
      <c r="C686" s="1" t="n">
        <v>46145</v>
      </c>
      <c r="D686" t="inlineStr">
        <is>
          <t>VÄSTERBOTTENS LÄN</t>
        </is>
      </c>
      <c r="E686" t="inlineStr">
        <is>
          <t>STORUMAN</t>
        </is>
      </c>
      <c r="F686" t="inlineStr">
        <is>
          <t>Övriga statliga verk och myndigheter</t>
        </is>
      </c>
      <c r="G686" t="n">
        <v>14.1</v>
      </c>
      <c r="H686" t="n">
        <v>1</v>
      </c>
      <c r="I686" t="n">
        <v>0</v>
      </c>
      <c r="J686" t="n">
        <v>2</v>
      </c>
      <c r="K686" t="n">
        <v>0</v>
      </c>
      <c r="L686" t="n">
        <v>0</v>
      </c>
      <c r="M686" t="n">
        <v>0</v>
      </c>
      <c r="N686" t="n">
        <v>0</v>
      </c>
      <c r="O686" t="n">
        <v>2</v>
      </c>
      <c r="P686" t="n">
        <v>0</v>
      </c>
      <c r="Q686" t="n">
        <v>2</v>
      </c>
      <c r="R686" s="2" t="inlineStr">
        <is>
          <t>Granticka
Järpe</t>
        </is>
      </c>
      <c r="S686">
        <f>HYPERLINK("https://klasma.github.io/Logging_2421/artfynd/A 14070-2022 artfynd.xlsx", "A 14070-2022")</f>
        <v/>
      </c>
      <c r="T686">
        <f>HYPERLINK("https://klasma.github.io/Logging_2421/kartor/A 14070-2022 karta.png", "A 14070-2022")</f>
        <v/>
      </c>
      <c r="V686">
        <f>HYPERLINK("https://klasma.github.io/Logging_2421/klagomål/A 14070-2022 FSC-klagomål.docx", "A 14070-2022")</f>
        <v/>
      </c>
      <c r="W686">
        <f>HYPERLINK("https://klasma.github.io/Logging_2421/klagomålsmail/A 14070-2022 FSC-klagomål mail.docx", "A 14070-2022")</f>
        <v/>
      </c>
      <c r="X686">
        <f>HYPERLINK("https://klasma.github.io/Logging_2421/tillsyn/A 14070-2022 tillsynsbegäran.docx", "A 14070-2022")</f>
        <v/>
      </c>
      <c r="Y686">
        <f>HYPERLINK("https://klasma.github.io/Logging_2421/tillsynsmail/A 14070-2022 tillsynsbegäran mail.docx", "A 14070-2022")</f>
        <v/>
      </c>
      <c r="Z686">
        <f>HYPERLINK("https://klasma.github.io/Logging_2421/fåglar/A 14070-2022 prioriterade fågelarter.docx", "A 14070-2022")</f>
        <v/>
      </c>
    </row>
    <row r="687" ht="15" customHeight="1">
      <c r="A687" t="inlineStr">
        <is>
          <t>A 38458-2025</t>
        </is>
      </c>
      <c r="B687" s="1" t="n">
        <v>45883.71289351852</v>
      </c>
      <c r="C687" s="1" t="n">
        <v>46145</v>
      </c>
      <c r="D687" t="inlineStr">
        <is>
          <t>VÄSTERBOTTENS LÄN</t>
        </is>
      </c>
      <c r="E687" t="inlineStr">
        <is>
          <t>SKELLEFTEÅ</t>
        </is>
      </c>
      <c r="G687" t="n">
        <v>7.2</v>
      </c>
      <c r="H687" t="n">
        <v>1</v>
      </c>
      <c r="I687" t="n">
        <v>1</v>
      </c>
      <c r="J687" t="n">
        <v>0</v>
      </c>
      <c r="K687" t="n">
        <v>0</v>
      </c>
      <c r="L687" t="n">
        <v>0</v>
      </c>
      <c r="M687" t="n">
        <v>0</v>
      </c>
      <c r="N687" t="n">
        <v>0</v>
      </c>
      <c r="O687" t="n">
        <v>0</v>
      </c>
      <c r="P687" t="n">
        <v>0</v>
      </c>
      <c r="Q687" t="n">
        <v>2</v>
      </c>
      <c r="R687" s="2" t="inlineStr">
        <is>
          <t>Stuplav
Fläcknycklar</t>
        </is>
      </c>
      <c r="S687">
        <f>HYPERLINK("https://klasma.github.io/Logging_2482/artfynd/A 38458-2025 artfynd.xlsx", "A 38458-2025")</f>
        <v/>
      </c>
      <c r="T687">
        <f>HYPERLINK("https://klasma.github.io/Logging_2482/kartor/A 38458-2025 karta.png", "A 38458-2025")</f>
        <v/>
      </c>
      <c r="V687">
        <f>HYPERLINK("https://klasma.github.io/Logging_2482/klagomål/A 38458-2025 FSC-klagomål.docx", "A 38458-2025")</f>
        <v/>
      </c>
      <c r="W687">
        <f>HYPERLINK("https://klasma.github.io/Logging_2482/klagomålsmail/A 38458-2025 FSC-klagomål mail.docx", "A 38458-2025")</f>
        <v/>
      </c>
      <c r="X687">
        <f>HYPERLINK("https://klasma.github.io/Logging_2482/tillsyn/A 38458-2025 tillsynsbegäran.docx", "A 38458-2025")</f>
        <v/>
      </c>
      <c r="Y687">
        <f>HYPERLINK("https://klasma.github.io/Logging_2482/tillsynsmail/A 38458-2025 tillsynsbegäran mail.docx", "A 38458-2025")</f>
        <v/>
      </c>
    </row>
    <row r="688" ht="15" customHeight="1">
      <c r="A688" t="inlineStr">
        <is>
          <t>A 39679-2025</t>
        </is>
      </c>
      <c r="B688" s="1" t="n">
        <v>45890</v>
      </c>
      <c r="C688" s="1" t="n">
        <v>46145</v>
      </c>
      <c r="D688" t="inlineStr">
        <is>
          <t>VÄSTERBOTTENS LÄN</t>
        </is>
      </c>
      <c r="E688" t="inlineStr">
        <is>
          <t>DOROTEA</t>
        </is>
      </c>
      <c r="G688" t="n">
        <v>11</v>
      </c>
      <c r="H688" t="n">
        <v>0</v>
      </c>
      <c r="I688" t="n">
        <v>0</v>
      </c>
      <c r="J688" t="n">
        <v>2</v>
      </c>
      <c r="K688" t="n">
        <v>0</v>
      </c>
      <c r="L688" t="n">
        <v>0</v>
      </c>
      <c r="M688" t="n">
        <v>0</v>
      </c>
      <c r="N688" t="n">
        <v>0</v>
      </c>
      <c r="O688" t="n">
        <v>2</v>
      </c>
      <c r="P688" t="n">
        <v>0</v>
      </c>
      <c r="Q688" t="n">
        <v>2</v>
      </c>
      <c r="R688" s="2" t="inlineStr">
        <is>
          <t>Garnlav
Granticka</t>
        </is>
      </c>
      <c r="S688">
        <f>HYPERLINK("https://klasma.github.io/Logging_2425/artfynd/A 39679-2025 artfynd.xlsx", "A 39679-2025")</f>
        <v/>
      </c>
      <c r="T688">
        <f>HYPERLINK("https://klasma.github.io/Logging_2425/kartor/A 39679-2025 karta.png", "A 39679-2025")</f>
        <v/>
      </c>
      <c r="V688">
        <f>HYPERLINK("https://klasma.github.io/Logging_2425/klagomål/A 39679-2025 FSC-klagomål.docx", "A 39679-2025")</f>
        <v/>
      </c>
      <c r="W688">
        <f>HYPERLINK("https://klasma.github.io/Logging_2425/klagomålsmail/A 39679-2025 FSC-klagomål mail.docx", "A 39679-2025")</f>
        <v/>
      </c>
      <c r="X688">
        <f>HYPERLINK("https://klasma.github.io/Logging_2425/tillsyn/A 39679-2025 tillsynsbegäran.docx", "A 39679-2025")</f>
        <v/>
      </c>
      <c r="Y688">
        <f>HYPERLINK("https://klasma.github.io/Logging_2425/tillsynsmail/A 39679-2025 tillsynsbegäran mail.docx", "A 39679-2025")</f>
        <v/>
      </c>
    </row>
    <row r="689" ht="15" customHeight="1">
      <c r="A689" t="inlineStr">
        <is>
          <t>A 30173-2025</t>
        </is>
      </c>
      <c r="B689" s="1" t="n">
        <v>45827.34200231481</v>
      </c>
      <c r="C689" s="1" t="n">
        <v>46145</v>
      </c>
      <c r="D689" t="inlineStr">
        <is>
          <t>VÄSTERBOTTENS LÄN</t>
        </is>
      </c>
      <c r="E689" t="inlineStr">
        <is>
          <t>UMEÅ</t>
        </is>
      </c>
      <c r="G689" t="n">
        <v>11</v>
      </c>
      <c r="H689" t="n">
        <v>1</v>
      </c>
      <c r="I689" t="n">
        <v>0</v>
      </c>
      <c r="J689" t="n">
        <v>2</v>
      </c>
      <c r="K689" t="n">
        <v>0</v>
      </c>
      <c r="L689" t="n">
        <v>0</v>
      </c>
      <c r="M689" t="n">
        <v>0</v>
      </c>
      <c r="N689" t="n">
        <v>0</v>
      </c>
      <c r="O689" t="n">
        <v>2</v>
      </c>
      <c r="P689" t="n">
        <v>0</v>
      </c>
      <c r="Q689" t="n">
        <v>2</v>
      </c>
      <c r="R689" s="2" t="inlineStr">
        <is>
          <t>Nordfladdermus
Ullticka</t>
        </is>
      </c>
      <c r="S689">
        <f>HYPERLINK("https://klasma.github.io/Logging_2480/artfynd/A 30173-2025 artfynd.xlsx", "A 30173-2025")</f>
        <v/>
      </c>
      <c r="T689">
        <f>HYPERLINK("https://klasma.github.io/Logging_2480/kartor/A 30173-2025 karta.png", "A 30173-2025")</f>
        <v/>
      </c>
      <c r="V689">
        <f>HYPERLINK("https://klasma.github.io/Logging_2480/klagomål/A 30173-2025 FSC-klagomål.docx", "A 30173-2025")</f>
        <v/>
      </c>
      <c r="W689">
        <f>HYPERLINK("https://klasma.github.io/Logging_2480/klagomålsmail/A 30173-2025 FSC-klagomål mail.docx", "A 30173-2025")</f>
        <v/>
      </c>
      <c r="X689">
        <f>HYPERLINK("https://klasma.github.io/Logging_2480/tillsyn/A 30173-2025 tillsynsbegäran.docx", "A 30173-2025")</f>
        <v/>
      </c>
      <c r="Y689">
        <f>HYPERLINK("https://klasma.github.io/Logging_2480/tillsynsmail/A 30173-2025 tillsynsbegäran mail.docx", "A 30173-2025")</f>
        <v/>
      </c>
    </row>
    <row r="690" ht="15" customHeight="1">
      <c r="A690" t="inlineStr">
        <is>
          <t>A 52234-2024</t>
        </is>
      </c>
      <c r="B690" s="1" t="n">
        <v>45608.6122337963</v>
      </c>
      <c r="C690" s="1" t="n">
        <v>46145</v>
      </c>
      <c r="D690" t="inlineStr">
        <is>
          <t>VÄSTERBOTTENS LÄN</t>
        </is>
      </c>
      <c r="E690" t="inlineStr">
        <is>
          <t>LYCKSELE</t>
        </is>
      </c>
      <c r="F690" t="inlineStr">
        <is>
          <t>Sveaskog</t>
        </is>
      </c>
      <c r="G690" t="n">
        <v>2.7</v>
      </c>
      <c r="H690" t="n">
        <v>1</v>
      </c>
      <c r="I690" t="n">
        <v>1</v>
      </c>
      <c r="J690" t="n">
        <v>0</v>
      </c>
      <c r="K690" t="n">
        <v>0</v>
      </c>
      <c r="L690" t="n">
        <v>0</v>
      </c>
      <c r="M690" t="n">
        <v>0</v>
      </c>
      <c r="N690" t="n">
        <v>0</v>
      </c>
      <c r="O690" t="n">
        <v>0</v>
      </c>
      <c r="P690" t="n">
        <v>0</v>
      </c>
      <c r="Q690" t="n">
        <v>2</v>
      </c>
      <c r="R690" s="2" t="inlineStr">
        <is>
          <t>Dropptaggsvamp
Lavskrika</t>
        </is>
      </c>
      <c r="S690">
        <f>HYPERLINK("https://klasma.github.io/Logging_2481/artfynd/A 52234-2024 artfynd.xlsx", "A 52234-2024")</f>
        <v/>
      </c>
      <c r="T690">
        <f>HYPERLINK("https://klasma.github.io/Logging_2481/kartor/A 52234-2024 karta.png", "A 52234-2024")</f>
        <v/>
      </c>
      <c r="V690">
        <f>HYPERLINK("https://klasma.github.io/Logging_2481/klagomål/A 52234-2024 FSC-klagomål.docx", "A 52234-2024")</f>
        <v/>
      </c>
      <c r="W690">
        <f>HYPERLINK("https://klasma.github.io/Logging_2481/klagomålsmail/A 52234-2024 FSC-klagomål mail.docx", "A 52234-2024")</f>
        <v/>
      </c>
      <c r="X690">
        <f>HYPERLINK("https://klasma.github.io/Logging_2481/tillsyn/A 52234-2024 tillsynsbegäran.docx", "A 52234-2024")</f>
        <v/>
      </c>
      <c r="Y690">
        <f>HYPERLINK("https://klasma.github.io/Logging_2481/tillsynsmail/A 52234-2024 tillsynsbegäran mail.docx", "A 52234-2024")</f>
        <v/>
      </c>
      <c r="Z690">
        <f>HYPERLINK("https://klasma.github.io/Logging_2481/fåglar/A 52234-2024 prioriterade fågelarter.docx", "A 52234-2024")</f>
        <v/>
      </c>
    </row>
    <row r="691" ht="15" customHeight="1">
      <c r="A691" t="inlineStr">
        <is>
          <t>A 40520-2025</t>
        </is>
      </c>
      <c r="B691" s="1" t="n">
        <v>45896.36488425926</v>
      </c>
      <c r="C691" s="1" t="n">
        <v>46145</v>
      </c>
      <c r="D691" t="inlineStr">
        <is>
          <t>VÄSTERBOTTENS LÄN</t>
        </is>
      </c>
      <c r="E691" t="inlineStr">
        <is>
          <t>STORUMAN</t>
        </is>
      </c>
      <c r="G691" t="n">
        <v>8.1</v>
      </c>
      <c r="H691" t="n">
        <v>1</v>
      </c>
      <c r="I691" t="n">
        <v>0</v>
      </c>
      <c r="J691" t="n">
        <v>2</v>
      </c>
      <c r="K691" t="n">
        <v>0</v>
      </c>
      <c r="L691" t="n">
        <v>0</v>
      </c>
      <c r="M691" t="n">
        <v>0</v>
      </c>
      <c r="N691" t="n">
        <v>0</v>
      </c>
      <c r="O691" t="n">
        <v>2</v>
      </c>
      <c r="P691" t="n">
        <v>0</v>
      </c>
      <c r="Q691" t="n">
        <v>2</v>
      </c>
      <c r="R691" s="2" t="inlineStr">
        <is>
          <t>Rödbrun blekspik
Videsparv</t>
        </is>
      </c>
      <c r="S691">
        <f>HYPERLINK("https://klasma.github.io/Logging_2421/artfynd/A 40520-2025 artfynd.xlsx", "A 40520-2025")</f>
        <v/>
      </c>
      <c r="T691">
        <f>HYPERLINK("https://klasma.github.io/Logging_2421/kartor/A 40520-2025 karta.png", "A 40520-2025")</f>
        <v/>
      </c>
      <c r="V691">
        <f>HYPERLINK("https://klasma.github.io/Logging_2421/klagomål/A 40520-2025 FSC-klagomål.docx", "A 40520-2025")</f>
        <v/>
      </c>
      <c r="W691">
        <f>HYPERLINK("https://klasma.github.io/Logging_2421/klagomålsmail/A 40520-2025 FSC-klagomål mail.docx", "A 40520-2025")</f>
        <v/>
      </c>
      <c r="X691">
        <f>HYPERLINK("https://klasma.github.io/Logging_2421/tillsyn/A 40520-2025 tillsynsbegäran.docx", "A 40520-2025")</f>
        <v/>
      </c>
      <c r="Y691">
        <f>HYPERLINK("https://klasma.github.io/Logging_2421/tillsynsmail/A 40520-2025 tillsynsbegäran mail.docx", "A 40520-2025")</f>
        <v/>
      </c>
      <c r="Z691">
        <f>HYPERLINK("https://klasma.github.io/Logging_2421/fåglar/A 40520-2025 prioriterade fågelarter.docx", "A 40520-2025")</f>
        <v/>
      </c>
    </row>
    <row r="692" ht="15" customHeight="1">
      <c r="A692" t="inlineStr">
        <is>
          <t>A 37257-2023</t>
        </is>
      </c>
      <c r="B692" s="1" t="n">
        <v>45155.95586805556</v>
      </c>
      <c r="C692" s="1" t="n">
        <v>46145</v>
      </c>
      <c r="D692" t="inlineStr">
        <is>
          <t>VÄSTERBOTTENS LÄN</t>
        </is>
      </c>
      <c r="E692" t="inlineStr">
        <is>
          <t>VINDELN</t>
        </is>
      </c>
      <c r="F692" t="inlineStr">
        <is>
          <t>SCA</t>
        </is>
      </c>
      <c r="G692" t="n">
        <v>2.7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37257-2023 artfynd.xlsx", "A 37257-2023")</f>
        <v/>
      </c>
      <c r="T692">
        <f>HYPERLINK("https://klasma.github.io/Logging_2404/kartor/A 37257-2023 karta.png", "A 37257-2023")</f>
        <v/>
      </c>
      <c r="V692">
        <f>HYPERLINK("https://klasma.github.io/Logging_2404/klagomål/A 37257-2023 FSC-klagomål.docx", "A 37257-2023")</f>
        <v/>
      </c>
      <c r="W692">
        <f>HYPERLINK("https://klasma.github.io/Logging_2404/klagomålsmail/A 37257-2023 FSC-klagomål mail.docx", "A 37257-2023")</f>
        <v/>
      </c>
      <c r="X692">
        <f>HYPERLINK("https://klasma.github.io/Logging_2404/tillsyn/A 37257-2023 tillsynsbegäran.docx", "A 37257-2023")</f>
        <v/>
      </c>
      <c r="Y692">
        <f>HYPERLINK("https://klasma.github.io/Logging_2404/tillsynsmail/A 37257-2023 tillsynsbegäran mail.docx", "A 37257-2023")</f>
        <v/>
      </c>
    </row>
    <row r="693" ht="15" customHeight="1">
      <c r="A693" t="inlineStr">
        <is>
          <t>A 41018-2025</t>
        </is>
      </c>
      <c r="B693" s="1" t="n">
        <v>45898.365</v>
      </c>
      <c r="C693" s="1" t="n">
        <v>46145</v>
      </c>
      <c r="D693" t="inlineStr">
        <is>
          <t>VÄSTERBOTTENS LÄN</t>
        </is>
      </c>
      <c r="E693" t="inlineStr">
        <is>
          <t>ÅSELE</t>
        </is>
      </c>
      <c r="F693" t="inlineStr">
        <is>
          <t>SCA</t>
        </is>
      </c>
      <c r="G693" t="n">
        <v>13.4</v>
      </c>
      <c r="H693" t="n">
        <v>0</v>
      </c>
      <c r="I693" t="n">
        <v>0</v>
      </c>
      <c r="J693" t="n">
        <v>2</v>
      </c>
      <c r="K693" t="n">
        <v>0</v>
      </c>
      <c r="L693" t="n">
        <v>0</v>
      </c>
      <c r="M693" t="n">
        <v>0</v>
      </c>
      <c r="N693" t="n">
        <v>0</v>
      </c>
      <c r="O693" t="n">
        <v>2</v>
      </c>
      <c r="P693" t="n">
        <v>0</v>
      </c>
      <c r="Q693" t="n">
        <v>2</v>
      </c>
      <c r="R693" s="2" t="inlineStr">
        <is>
          <t>Granticka
Ullticka</t>
        </is>
      </c>
      <c r="S693">
        <f>HYPERLINK("https://klasma.github.io/Logging_2463/artfynd/A 41018-2025 artfynd.xlsx", "A 41018-2025")</f>
        <v/>
      </c>
      <c r="T693">
        <f>HYPERLINK("https://klasma.github.io/Logging_2463/kartor/A 41018-2025 karta.png", "A 41018-2025")</f>
        <v/>
      </c>
      <c r="V693">
        <f>HYPERLINK("https://klasma.github.io/Logging_2463/klagomål/A 41018-2025 FSC-klagomål.docx", "A 41018-2025")</f>
        <v/>
      </c>
      <c r="W693">
        <f>HYPERLINK("https://klasma.github.io/Logging_2463/klagomålsmail/A 41018-2025 FSC-klagomål mail.docx", "A 41018-2025")</f>
        <v/>
      </c>
      <c r="X693">
        <f>HYPERLINK("https://klasma.github.io/Logging_2463/tillsyn/A 41018-2025 tillsynsbegäran.docx", "A 41018-2025")</f>
        <v/>
      </c>
      <c r="Y693">
        <f>HYPERLINK("https://klasma.github.io/Logging_2463/tillsynsmail/A 41018-2025 tillsynsbegäran mail.docx", "A 41018-2025")</f>
        <v/>
      </c>
    </row>
    <row r="694" ht="15" customHeight="1">
      <c r="A694" t="inlineStr">
        <is>
          <t>A 41360-2025</t>
        </is>
      </c>
      <c r="B694" s="1" t="n">
        <v>45900.46912037037</v>
      </c>
      <c r="C694" s="1" t="n">
        <v>46145</v>
      </c>
      <c r="D694" t="inlineStr">
        <is>
          <t>VÄSTERBOTTENS LÄN</t>
        </is>
      </c>
      <c r="E694" t="inlineStr">
        <is>
          <t>DOROTEA</t>
        </is>
      </c>
      <c r="F694" t="inlineStr">
        <is>
          <t>SCA</t>
        </is>
      </c>
      <c r="G694" t="n">
        <v>11.5</v>
      </c>
      <c r="H694" t="n">
        <v>1</v>
      </c>
      <c r="I694" t="n">
        <v>1</v>
      </c>
      <c r="J694" t="n">
        <v>0</v>
      </c>
      <c r="K694" t="n">
        <v>0</v>
      </c>
      <c r="L694" t="n">
        <v>0</v>
      </c>
      <c r="M694" t="n">
        <v>0</v>
      </c>
      <c r="N694" t="n">
        <v>0</v>
      </c>
      <c r="O694" t="n">
        <v>0</v>
      </c>
      <c r="P694" t="n">
        <v>0</v>
      </c>
      <c r="Q694" t="n">
        <v>2</v>
      </c>
      <c r="R694" s="2" t="inlineStr">
        <is>
          <t>Kransrams
Skogsrör</t>
        </is>
      </c>
      <c r="S694">
        <f>HYPERLINK("https://klasma.github.io/Logging_2425/artfynd/A 41360-2025 artfynd.xlsx", "A 41360-2025")</f>
        <v/>
      </c>
      <c r="T694">
        <f>HYPERLINK("https://klasma.github.io/Logging_2425/kartor/A 41360-2025 karta.png", "A 41360-2025")</f>
        <v/>
      </c>
      <c r="V694">
        <f>HYPERLINK("https://klasma.github.io/Logging_2425/klagomål/A 41360-2025 FSC-klagomål.docx", "A 41360-2025")</f>
        <v/>
      </c>
      <c r="W694">
        <f>HYPERLINK("https://klasma.github.io/Logging_2425/klagomålsmail/A 41360-2025 FSC-klagomål mail.docx", "A 41360-2025")</f>
        <v/>
      </c>
      <c r="X694">
        <f>HYPERLINK("https://klasma.github.io/Logging_2425/tillsyn/A 41360-2025 tillsynsbegäran.docx", "A 41360-2025")</f>
        <v/>
      </c>
      <c r="Y694">
        <f>HYPERLINK("https://klasma.github.io/Logging_2425/tillsynsmail/A 41360-2025 tillsynsbegäran mail.docx", "A 41360-2025")</f>
        <v/>
      </c>
    </row>
    <row r="695" ht="15" customHeight="1">
      <c r="A695" t="inlineStr">
        <is>
          <t>A 57222-2024</t>
        </is>
      </c>
      <c r="B695" s="1" t="n">
        <v>45629.52625</v>
      </c>
      <c r="C695" s="1" t="n">
        <v>46145</v>
      </c>
      <c r="D695" t="inlineStr">
        <is>
          <t>VÄSTERBOTTENS LÄN</t>
        </is>
      </c>
      <c r="E695" t="inlineStr">
        <is>
          <t>SKELLEFTEÅ</t>
        </is>
      </c>
      <c r="F695" t="inlineStr">
        <is>
          <t>Holmen skog AB</t>
        </is>
      </c>
      <c r="G695" t="n">
        <v>3.9</v>
      </c>
      <c r="H695" t="n">
        <v>1</v>
      </c>
      <c r="I695" t="n">
        <v>0</v>
      </c>
      <c r="J695" t="n">
        <v>1</v>
      </c>
      <c r="K695" t="n">
        <v>1</v>
      </c>
      <c r="L695" t="n">
        <v>0</v>
      </c>
      <c r="M695" t="n">
        <v>0</v>
      </c>
      <c r="N695" t="n">
        <v>0</v>
      </c>
      <c r="O695" t="n">
        <v>2</v>
      </c>
      <c r="P695" t="n">
        <v>1</v>
      </c>
      <c r="Q695" t="n">
        <v>2</v>
      </c>
      <c r="R695" s="2" t="inlineStr">
        <is>
          <t>Knärot
Gammelgransskål</t>
        </is>
      </c>
      <c r="S695">
        <f>HYPERLINK("https://klasma.github.io/Logging_2482/artfynd/A 57222-2024 artfynd.xlsx", "A 57222-2024")</f>
        <v/>
      </c>
      <c r="T695">
        <f>HYPERLINK("https://klasma.github.io/Logging_2482/kartor/A 57222-2024 karta.png", "A 57222-2024")</f>
        <v/>
      </c>
      <c r="U695">
        <f>HYPERLINK("https://klasma.github.io/Logging_2482/knärot/A 57222-2024 karta knärot.png", "A 57222-2024")</f>
        <v/>
      </c>
      <c r="V695">
        <f>HYPERLINK("https://klasma.github.io/Logging_2482/klagomål/A 57222-2024 FSC-klagomål.docx", "A 57222-2024")</f>
        <v/>
      </c>
      <c r="W695">
        <f>HYPERLINK("https://klasma.github.io/Logging_2482/klagomålsmail/A 57222-2024 FSC-klagomål mail.docx", "A 57222-2024")</f>
        <v/>
      </c>
      <c r="X695">
        <f>HYPERLINK("https://klasma.github.io/Logging_2482/tillsyn/A 57222-2024 tillsynsbegäran.docx", "A 57222-2024")</f>
        <v/>
      </c>
      <c r="Y695">
        <f>HYPERLINK("https://klasma.github.io/Logging_2482/tillsynsmail/A 57222-2024 tillsynsbegäran mail.docx", "A 57222-2024")</f>
        <v/>
      </c>
    </row>
    <row r="696" ht="15" customHeight="1">
      <c r="A696" t="inlineStr">
        <is>
          <t>A 14391-2025</t>
        </is>
      </c>
      <c r="B696" s="1" t="n">
        <v>45741.42979166667</v>
      </c>
      <c r="C696" s="1" t="n">
        <v>46145</v>
      </c>
      <c r="D696" t="inlineStr">
        <is>
          <t>VÄSTERBOTTENS LÄN</t>
        </is>
      </c>
      <c r="E696" t="inlineStr">
        <is>
          <t>SKELLEFTEÅ</t>
        </is>
      </c>
      <c r="G696" t="n">
        <v>3.2</v>
      </c>
      <c r="H696" t="n">
        <v>2</v>
      </c>
      <c r="I696" t="n">
        <v>0</v>
      </c>
      <c r="J696" t="n">
        <v>0</v>
      </c>
      <c r="K696" t="n">
        <v>0</v>
      </c>
      <c r="L696" t="n">
        <v>0</v>
      </c>
      <c r="M696" t="n">
        <v>0</v>
      </c>
      <c r="N696" t="n">
        <v>0</v>
      </c>
      <c r="O696" t="n">
        <v>0</v>
      </c>
      <c r="P696" t="n">
        <v>0</v>
      </c>
      <c r="Q696" t="n">
        <v>2</v>
      </c>
      <c r="R696" s="2" t="inlineStr">
        <is>
          <t>Enkelbeckasin
Grönsiska</t>
        </is>
      </c>
      <c r="S696">
        <f>HYPERLINK("https://klasma.github.io/Logging_2482/artfynd/A 14391-2025 artfynd.xlsx", "A 14391-2025")</f>
        <v/>
      </c>
      <c r="T696">
        <f>HYPERLINK("https://klasma.github.io/Logging_2482/kartor/A 14391-2025 karta.png", "A 14391-2025")</f>
        <v/>
      </c>
      <c r="V696">
        <f>HYPERLINK("https://klasma.github.io/Logging_2482/klagomål/A 14391-2025 FSC-klagomål.docx", "A 14391-2025")</f>
        <v/>
      </c>
      <c r="W696">
        <f>HYPERLINK("https://klasma.github.io/Logging_2482/klagomålsmail/A 14391-2025 FSC-klagomål mail.docx", "A 14391-2025")</f>
        <v/>
      </c>
      <c r="X696">
        <f>HYPERLINK("https://klasma.github.io/Logging_2482/tillsyn/A 14391-2025 tillsynsbegäran.docx", "A 14391-2025")</f>
        <v/>
      </c>
      <c r="Y696">
        <f>HYPERLINK("https://klasma.github.io/Logging_2482/tillsynsmail/A 14391-2025 tillsynsbegäran mail.docx", "A 14391-2025")</f>
        <v/>
      </c>
      <c r="Z696">
        <f>HYPERLINK("https://klasma.github.io/Logging_2482/fåglar/A 14391-2025 prioriterade fågelarter.docx", "A 14391-2025")</f>
        <v/>
      </c>
    </row>
    <row r="697" ht="15" customHeight="1">
      <c r="A697" t="inlineStr">
        <is>
          <t>A 1059-2025</t>
        </is>
      </c>
      <c r="B697" s="1" t="n">
        <v>45666</v>
      </c>
      <c r="C697" s="1" t="n">
        <v>46145</v>
      </c>
      <c r="D697" t="inlineStr">
        <is>
          <t>VÄSTERBOTTENS LÄN</t>
        </is>
      </c>
      <c r="E697" t="inlineStr">
        <is>
          <t>VINDELN</t>
        </is>
      </c>
      <c r="F697" t="inlineStr">
        <is>
          <t>SCA</t>
        </is>
      </c>
      <c r="G697" t="n">
        <v>4.4</v>
      </c>
      <c r="H697" t="n">
        <v>1</v>
      </c>
      <c r="I697" t="n">
        <v>0</v>
      </c>
      <c r="J697" t="n">
        <v>2</v>
      </c>
      <c r="K697" t="n">
        <v>0</v>
      </c>
      <c r="L697" t="n">
        <v>0</v>
      </c>
      <c r="M697" t="n">
        <v>0</v>
      </c>
      <c r="N697" t="n">
        <v>0</v>
      </c>
      <c r="O697" t="n">
        <v>2</v>
      </c>
      <c r="P697" t="n">
        <v>0</v>
      </c>
      <c r="Q697" t="n">
        <v>2</v>
      </c>
      <c r="R697" s="2" t="inlineStr">
        <is>
          <t>Garnlav
Talltita</t>
        </is>
      </c>
      <c r="S697">
        <f>HYPERLINK("https://klasma.github.io/Logging_2404/artfynd/A 1059-2025 artfynd.xlsx", "A 1059-2025")</f>
        <v/>
      </c>
      <c r="T697">
        <f>HYPERLINK("https://klasma.github.io/Logging_2404/kartor/A 1059-2025 karta.png", "A 1059-2025")</f>
        <v/>
      </c>
      <c r="V697">
        <f>HYPERLINK("https://klasma.github.io/Logging_2404/klagomål/A 1059-2025 FSC-klagomål.docx", "A 1059-2025")</f>
        <v/>
      </c>
      <c r="W697">
        <f>HYPERLINK("https://klasma.github.io/Logging_2404/klagomålsmail/A 1059-2025 FSC-klagomål mail.docx", "A 1059-2025")</f>
        <v/>
      </c>
      <c r="X697">
        <f>HYPERLINK("https://klasma.github.io/Logging_2404/tillsyn/A 1059-2025 tillsynsbegäran.docx", "A 1059-2025")</f>
        <v/>
      </c>
      <c r="Y697">
        <f>HYPERLINK("https://klasma.github.io/Logging_2404/tillsynsmail/A 1059-2025 tillsynsbegäran mail.docx", "A 1059-2025")</f>
        <v/>
      </c>
      <c r="Z697">
        <f>HYPERLINK("https://klasma.github.io/Logging_2404/fåglar/A 1059-2025 prioriterade fågelarter.docx", "A 1059-2025")</f>
        <v/>
      </c>
    </row>
    <row r="698" ht="15" customHeight="1">
      <c r="A698" t="inlineStr">
        <is>
          <t>A 42159-2025</t>
        </is>
      </c>
      <c r="B698" s="1" t="n">
        <v>45904.41127314815</v>
      </c>
      <c r="C698" s="1" t="n">
        <v>46145</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41953-2025</t>
        </is>
      </c>
      <c r="B699" s="1" t="n">
        <v>45903.45978009259</v>
      </c>
      <c r="C699" s="1" t="n">
        <v>46145</v>
      </c>
      <c r="D699" t="inlineStr">
        <is>
          <t>VÄSTERBOTTENS LÄN</t>
        </is>
      </c>
      <c r="E699" t="inlineStr">
        <is>
          <t>SKELLEFTEÅ</t>
        </is>
      </c>
      <c r="F699" t="inlineStr">
        <is>
          <t>Holmen skog AB</t>
        </is>
      </c>
      <c r="G699" t="n">
        <v>3.9</v>
      </c>
      <c r="H699" t="n">
        <v>0</v>
      </c>
      <c r="I699" t="n">
        <v>0</v>
      </c>
      <c r="J699" t="n">
        <v>2</v>
      </c>
      <c r="K699" t="n">
        <v>0</v>
      </c>
      <c r="L699" t="n">
        <v>0</v>
      </c>
      <c r="M699" t="n">
        <v>0</v>
      </c>
      <c r="N699" t="n">
        <v>0</v>
      </c>
      <c r="O699" t="n">
        <v>2</v>
      </c>
      <c r="P699" t="n">
        <v>0</v>
      </c>
      <c r="Q699" t="n">
        <v>2</v>
      </c>
      <c r="R699" s="2" t="inlineStr">
        <is>
          <t>Lunglav
Vitgrynig nållav</t>
        </is>
      </c>
      <c r="S699">
        <f>HYPERLINK("https://klasma.github.io/Logging_2482/artfynd/A 41953-2025 artfynd.xlsx", "A 41953-2025")</f>
        <v/>
      </c>
      <c r="T699">
        <f>HYPERLINK("https://klasma.github.io/Logging_2482/kartor/A 41953-2025 karta.png", "A 41953-2025")</f>
        <v/>
      </c>
      <c r="V699">
        <f>HYPERLINK("https://klasma.github.io/Logging_2482/klagomål/A 41953-2025 FSC-klagomål.docx", "A 41953-2025")</f>
        <v/>
      </c>
      <c r="W699">
        <f>HYPERLINK("https://klasma.github.io/Logging_2482/klagomålsmail/A 41953-2025 FSC-klagomål mail.docx", "A 41953-2025")</f>
        <v/>
      </c>
      <c r="X699">
        <f>HYPERLINK("https://klasma.github.io/Logging_2482/tillsyn/A 41953-2025 tillsynsbegäran.docx", "A 41953-2025")</f>
        <v/>
      </c>
      <c r="Y699">
        <f>HYPERLINK("https://klasma.github.io/Logging_2482/tillsynsmail/A 41953-2025 tillsynsbegäran mail.docx", "A 41953-2025")</f>
        <v/>
      </c>
    </row>
    <row r="700" ht="15" customHeight="1">
      <c r="A700" t="inlineStr">
        <is>
          <t>A 42328-2025</t>
        </is>
      </c>
      <c r="B700" s="1" t="n">
        <v>45904</v>
      </c>
      <c r="C700" s="1" t="n">
        <v>46145</v>
      </c>
      <c r="D700" t="inlineStr">
        <is>
          <t>VÄSTERBOTTENS LÄN</t>
        </is>
      </c>
      <c r="E700" t="inlineStr">
        <is>
          <t>SKELLEFTEÅ</t>
        </is>
      </c>
      <c r="G700" t="n">
        <v>7.5</v>
      </c>
      <c r="H700" t="n">
        <v>2</v>
      </c>
      <c r="I700" t="n">
        <v>0</v>
      </c>
      <c r="J700" t="n">
        <v>1</v>
      </c>
      <c r="K700" t="n">
        <v>0</v>
      </c>
      <c r="L700" t="n">
        <v>0</v>
      </c>
      <c r="M700" t="n">
        <v>0</v>
      </c>
      <c r="N700" t="n">
        <v>0</v>
      </c>
      <c r="O700" t="n">
        <v>1</v>
      </c>
      <c r="P700" t="n">
        <v>0</v>
      </c>
      <c r="Q700" t="n">
        <v>2</v>
      </c>
      <c r="R700" s="2" t="inlineStr">
        <is>
          <t>Rödvingetrast
Enkelbeckasin</t>
        </is>
      </c>
      <c r="S700">
        <f>HYPERLINK("https://klasma.github.io/Logging_2482/artfynd/A 42328-2025 artfynd.xlsx", "A 42328-2025")</f>
        <v/>
      </c>
      <c r="T700">
        <f>HYPERLINK("https://klasma.github.io/Logging_2482/kartor/A 42328-2025 karta.png", "A 42328-2025")</f>
        <v/>
      </c>
      <c r="V700">
        <f>HYPERLINK("https://klasma.github.io/Logging_2482/klagomål/A 42328-2025 FSC-klagomål.docx", "A 42328-2025")</f>
        <v/>
      </c>
      <c r="W700">
        <f>HYPERLINK("https://klasma.github.io/Logging_2482/klagomålsmail/A 42328-2025 FSC-klagomål mail.docx", "A 42328-2025")</f>
        <v/>
      </c>
      <c r="X700">
        <f>HYPERLINK("https://klasma.github.io/Logging_2482/tillsyn/A 42328-2025 tillsynsbegäran.docx", "A 42328-2025")</f>
        <v/>
      </c>
      <c r="Y700">
        <f>HYPERLINK("https://klasma.github.io/Logging_2482/tillsynsmail/A 42328-2025 tillsynsbegäran mail.docx", "A 42328-2025")</f>
        <v/>
      </c>
      <c r="Z700">
        <f>HYPERLINK("https://klasma.github.io/Logging_2482/fåglar/A 42328-2025 prioriterade fågelarter.docx", "A 42328-2025")</f>
        <v/>
      </c>
    </row>
    <row r="701" ht="15" customHeight="1">
      <c r="A701" t="inlineStr">
        <is>
          <t>A 38052-2024</t>
        </is>
      </c>
      <c r="B701" s="1" t="n">
        <v>45544.70700231481</v>
      </c>
      <c r="C701" s="1" t="n">
        <v>46145</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65586-2021</t>
        </is>
      </c>
      <c r="B702" s="1" t="n">
        <v>44518</v>
      </c>
      <c r="C702" s="1" t="n">
        <v>46145</v>
      </c>
      <c r="D702" t="inlineStr">
        <is>
          <t>VÄSTERBOTTENS LÄN</t>
        </is>
      </c>
      <c r="E702" t="inlineStr">
        <is>
          <t>VILHELMINA</t>
        </is>
      </c>
      <c r="G702" t="n">
        <v>38</v>
      </c>
      <c r="H702" t="n">
        <v>2</v>
      </c>
      <c r="I702" t="n">
        <v>0</v>
      </c>
      <c r="J702" t="n">
        <v>1</v>
      </c>
      <c r="K702" t="n">
        <v>1</v>
      </c>
      <c r="L702" t="n">
        <v>0</v>
      </c>
      <c r="M702" t="n">
        <v>0</v>
      </c>
      <c r="N702" t="n">
        <v>0</v>
      </c>
      <c r="O702" t="n">
        <v>2</v>
      </c>
      <c r="P702" t="n">
        <v>1</v>
      </c>
      <c r="Q702" t="n">
        <v>2</v>
      </c>
      <c r="R702" s="2" t="inlineStr">
        <is>
          <t>Lappuggla
Tretåig hackspett</t>
        </is>
      </c>
      <c r="S702">
        <f>HYPERLINK("https://klasma.github.io/Logging_2462/artfynd/A 65586-2021 artfynd.xlsx", "A 65586-2021")</f>
        <v/>
      </c>
      <c r="T702">
        <f>HYPERLINK("https://klasma.github.io/Logging_2462/kartor/A 65586-2021 karta.png", "A 65586-2021")</f>
        <v/>
      </c>
      <c r="V702">
        <f>HYPERLINK("https://klasma.github.io/Logging_2462/klagomål/A 65586-2021 FSC-klagomål.docx", "A 65586-2021")</f>
        <v/>
      </c>
      <c r="W702">
        <f>HYPERLINK("https://klasma.github.io/Logging_2462/klagomålsmail/A 65586-2021 FSC-klagomål mail.docx", "A 65586-2021")</f>
        <v/>
      </c>
      <c r="X702">
        <f>HYPERLINK("https://klasma.github.io/Logging_2462/tillsyn/A 65586-2021 tillsynsbegäran.docx", "A 65586-2021")</f>
        <v/>
      </c>
      <c r="Y702">
        <f>HYPERLINK("https://klasma.github.io/Logging_2462/tillsynsmail/A 65586-2021 tillsynsbegäran mail.docx", "A 65586-2021")</f>
        <v/>
      </c>
      <c r="Z702">
        <f>HYPERLINK("https://klasma.github.io/Logging_2462/fåglar/A 65586-2021 prioriterade fågelarter.docx", "A 65586-2021")</f>
        <v/>
      </c>
    </row>
    <row r="703" ht="15" customHeight="1">
      <c r="A703" t="inlineStr">
        <is>
          <t>A 43664-2025</t>
        </is>
      </c>
      <c r="B703" s="1" t="n">
        <v>45912</v>
      </c>
      <c r="C703" s="1" t="n">
        <v>46145</v>
      </c>
      <c r="D703" t="inlineStr">
        <is>
          <t>VÄSTERBOTTENS LÄN</t>
        </is>
      </c>
      <c r="E703" t="inlineStr">
        <is>
          <t>LYCKSELE</t>
        </is>
      </c>
      <c r="F703" t="inlineStr">
        <is>
          <t>Sveaskog</t>
        </is>
      </c>
      <c r="G703" t="n">
        <v>23.7</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43664-2025 artfynd.xlsx", "A 43664-2025")</f>
        <v/>
      </c>
      <c r="T703">
        <f>HYPERLINK("https://klasma.github.io/Logging_2481/kartor/A 43664-2025 karta.png", "A 43664-2025")</f>
        <v/>
      </c>
      <c r="V703">
        <f>HYPERLINK("https://klasma.github.io/Logging_2481/klagomål/A 43664-2025 FSC-klagomål.docx", "A 43664-2025")</f>
        <v/>
      </c>
      <c r="W703">
        <f>HYPERLINK("https://klasma.github.io/Logging_2481/klagomålsmail/A 43664-2025 FSC-klagomål mail.docx", "A 43664-2025")</f>
        <v/>
      </c>
      <c r="X703">
        <f>HYPERLINK("https://klasma.github.io/Logging_2481/tillsyn/A 43664-2025 tillsynsbegäran.docx", "A 43664-2025")</f>
        <v/>
      </c>
      <c r="Y703">
        <f>HYPERLINK("https://klasma.github.io/Logging_2481/tillsynsmail/A 43664-2025 tillsynsbegäran mail.docx", "A 43664-2025")</f>
        <v/>
      </c>
    </row>
    <row r="704" ht="15" customHeight="1">
      <c r="A704" t="inlineStr">
        <is>
          <t>A 44874-2025</t>
        </is>
      </c>
      <c r="B704" s="1" t="n">
        <v>45918.47039351852</v>
      </c>
      <c r="C704" s="1" t="n">
        <v>46145</v>
      </c>
      <c r="D704" t="inlineStr">
        <is>
          <t>VÄSTERBOTTENS LÄN</t>
        </is>
      </c>
      <c r="E704" t="inlineStr">
        <is>
          <t>NORSJÖ</t>
        </is>
      </c>
      <c r="F704" t="inlineStr">
        <is>
          <t>Holmen skog AB</t>
        </is>
      </c>
      <c r="G704" t="n">
        <v>7.4</v>
      </c>
      <c r="H704" t="n">
        <v>0</v>
      </c>
      <c r="I704" t="n">
        <v>1</v>
      </c>
      <c r="J704" t="n">
        <v>1</v>
      </c>
      <c r="K704" t="n">
        <v>0</v>
      </c>
      <c r="L704" t="n">
        <v>0</v>
      </c>
      <c r="M704" t="n">
        <v>0</v>
      </c>
      <c r="N704" t="n">
        <v>0</v>
      </c>
      <c r="O704" t="n">
        <v>1</v>
      </c>
      <c r="P704" t="n">
        <v>0</v>
      </c>
      <c r="Q704" t="n">
        <v>2</v>
      </c>
      <c r="R704" s="2" t="inlineStr">
        <is>
          <t>Garnlav
Luddlav</t>
        </is>
      </c>
      <c r="S704">
        <f>HYPERLINK("https://klasma.github.io/Logging_2417/artfynd/A 44874-2025 artfynd.xlsx", "A 44874-2025")</f>
        <v/>
      </c>
      <c r="T704">
        <f>HYPERLINK("https://klasma.github.io/Logging_2417/kartor/A 44874-2025 karta.png", "A 44874-2025")</f>
        <v/>
      </c>
      <c r="V704">
        <f>HYPERLINK("https://klasma.github.io/Logging_2417/klagomål/A 44874-2025 FSC-klagomål.docx", "A 44874-2025")</f>
        <v/>
      </c>
      <c r="W704">
        <f>HYPERLINK("https://klasma.github.io/Logging_2417/klagomålsmail/A 44874-2025 FSC-klagomål mail.docx", "A 44874-2025")</f>
        <v/>
      </c>
      <c r="X704">
        <f>HYPERLINK("https://klasma.github.io/Logging_2417/tillsyn/A 44874-2025 tillsynsbegäran.docx", "A 44874-2025")</f>
        <v/>
      </c>
      <c r="Y704">
        <f>HYPERLINK("https://klasma.github.io/Logging_2417/tillsynsmail/A 44874-2025 tillsynsbegäran mail.docx", "A 44874-2025")</f>
        <v/>
      </c>
    </row>
    <row r="705" ht="15" customHeight="1">
      <c r="A705" t="inlineStr">
        <is>
          <t>A 44708-2025</t>
        </is>
      </c>
      <c r="B705" s="1" t="n">
        <v>45917.61471064815</v>
      </c>
      <c r="C705" s="1" t="n">
        <v>46145</v>
      </c>
      <c r="D705" t="inlineStr">
        <is>
          <t>VÄSTERBOTTENS LÄN</t>
        </is>
      </c>
      <c r="E705" t="inlineStr">
        <is>
          <t>VINDELN</t>
        </is>
      </c>
      <c r="F705" t="inlineStr">
        <is>
          <t>Holmen skog AB</t>
        </is>
      </c>
      <c r="G705" t="n">
        <v>3.8</v>
      </c>
      <c r="H705" t="n">
        <v>1</v>
      </c>
      <c r="I705" t="n">
        <v>0</v>
      </c>
      <c r="J705" t="n">
        <v>2</v>
      </c>
      <c r="K705" t="n">
        <v>0</v>
      </c>
      <c r="L705" t="n">
        <v>0</v>
      </c>
      <c r="M705" t="n">
        <v>0</v>
      </c>
      <c r="N705" t="n">
        <v>0</v>
      </c>
      <c r="O705" t="n">
        <v>2</v>
      </c>
      <c r="P705" t="n">
        <v>0</v>
      </c>
      <c r="Q705" t="n">
        <v>2</v>
      </c>
      <c r="R705" s="2" t="inlineStr">
        <is>
          <t>Motaggsvamp
Spillkråka</t>
        </is>
      </c>
      <c r="S705">
        <f>HYPERLINK("https://klasma.github.io/Logging_2404/artfynd/A 44708-2025 artfynd.xlsx", "A 44708-2025")</f>
        <v/>
      </c>
      <c r="T705">
        <f>HYPERLINK("https://klasma.github.io/Logging_2404/kartor/A 44708-2025 karta.png", "A 44708-2025")</f>
        <v/>
      </c>
      <c r="V705">
        <f>HYPERLINK("https://klasma.github.io/Logging_2404/klagomål/A 44708-2025 FSC-klagomål.docx", "A 44708-2025")</f>
        <v/>
      </c>
      <c r="W705">
        <f>HYPERLINK("https://klasma.github.io/Logging_2404/klagomålsmail/A 44708-2025 FSC-klagomål mail.docx", "A 44708-2025")</f>
        <v/>
      </c>
      <c r="X705">
        <f>HYPERLINK("https://klasma.github.io/Logging_2404/tillsyn/A 44708-2025 tillsynsbegäran.docx", "A 44708-2025")</f>
        <v/>
      </c>
      <c r="Y705">
        <f>HYPERLINK("https://klasma.github.io/Logging_2404/tillsynsmail/A 44708-2025 tillsynsbegäran mail.docx", "A 44708-2025")</f>
        <v/>
      </c>
      <c r="Z705">
        <f>HYPERLINK("https://klasma.github.io/Logging_2404/fåglar/A 44708-2025 prioriterade fågelarter.docx", "A 44708-2025")</f>
        <v/>
      </c>
    </row>
    <row r="706" ht="15" customHeight="1">
      <c r="A706" t="inlineStr">
        <is>
          <t>A 60379-2024</t>
        </is>
      </c>
      <c r="B706" s="1" t="n">
        <v>45643</v>
      </c>
      <c r="C706" s="1" t="n">
        <v>46145</v>
      </c>
      <c r="D706" t="inlineStr">
        <is>
          <t>VÄSTERBOTTENS LÄN</t>
        </is>
      </c>
      <c r="E706" t="inlineStr">
        <is>
          <t>VILHELMINA</t>
        </is>
      </c>
      <c r="F706" t="inlineStr">
        <is>
          <t>SCA</t>
        </is>
      </c>
      <c r="G706" t="n">
        <v>12.4</v>
      </c>
      <c r="H706" t="n">
        <v>0</v>
      </c>
      <c r="I706" t="n">
        <v>0</v>
      </c>
      <c r="J706" t="n">
        <v>2</v>
      </c>
      <c r="K706" t="n">
        <v>0</v>
      </c>
      <c r="L706" t="n">
        <v>0</v>
      </c>
      <c r="M706" t="n">
        <v>0</v>
      </c>
      <c r="N706" t="n">
        <v>0</v>
      </c>
      <c r="O706" t="n">
        <v>2</v>
      </c>
      <c r="P706" t="n">
        <v>0</v>
      </c>
      <c r="Q706" t="n">
        <v>2</v>
      </c>
      <c r="R706" s="2" t="inlineStr">
        <is>
          <t>Skrovellav
Ullticka</t>
        </is>
      </c>
      <c r="S706">
        <f>HYPERLINK("https://klasma.github.io/Logging_2462/artfynd/A 60379-2024 artfynd.xlsx", "A 60379-2024")</f>
        <v/>
      </c>
      <c r="T706">
        <f>HYPERLINK("https://klasma.github.io/Logging_2462/kartor/A 60379-2024 karta.png", "A 60379-2024")</f>
        <v/>
      </c>
      <c r="V706">
        <f>HYPERLINK("https://klasma.github.io/Logging_2462/klagomål/A 60379-2024 FSC-klagomål.docx", "A 60379-2024")</f>
        <v/>
      </c>
      <c r="W706">
        <f>HYPERLINK("https://klasma.github.io/Logging_2462/klagomålsmail/A 60379-2024 FSC-klagomål mail.docx", "A 60379-2024")</f>
        <v/>
      </c>
      <c r="X706">
        <f>HYPERLINK("https://klasma.github.io/Logging_2462/tillsyn/A 60379-2024 tillsynsbegäran.docx", "A 60379-2024")</f>
        <v/>
      </c>
      <c r="Y706">
        <f>HYPERLINK("https://klasma.github.io/Logging_2462/tillsynsmail/A 60379-2024 tillsynsbegäran mail.docx", "A 60379-2024")</f>
        <v/>
      </c>
    </row>
    <row r="707" ht="15" customHeight="1">
      <c r="A707" t="inlineStr">
        <is>
          <t>A 45359-2025</t>
        </is>
      </c>
      <c r="B707" s="1" t="n">
        <v>45922.36978009259</v>
      </c>
      <c r="C707" s="1" t="n">
        <v>46145</v>
      </c>
      <c r="D707" t="inlineStr">
        <is>
          <t>VÄSTERBOTTENS LÄN</t>
        </is>
      </c>
      <c r="E707" t="inlineStr">
        <is>
          <t>LYCKSELE</t>
        </is>
      </c>
      <c r="F707" t="inlineStr">
        <is>
          <t>Sveaskog</t>
        </is>
      </c>
      <c r="G707" t="n">
        <v>4.6</v>
      </c>
      <c r="H707" t="n">
        <v>0</v>
      </c>
      <c r="I707" t="n">
        <v>1</v>
      </c>
      <c r="J707" t="n">
        <v>1</v>
      </c>
      <c r="K707" t="n">
        <v>0</v>
      </c>
      <c r="L707" t="n">
        <v>0</v>
      </c>
      <c r="M707" t="n">
        <v>0</v>
      </c>
      <c r="N707" t="n">
        <v>0</v>
      </c>
      <c r="O707" t="n">
        <v>1</v>
      </c>
      <c r="P707" t="n">
        <v>0</v>
      </c>
      <c r="Q707" t="n">
        <v>2</v>
      </c>
      <c r="R707" s="2" t="inlineStr">
        <is>
          <t>Garnlav
Stuplav</t>
        </is>
      </c>
      <c r="S707">
        <f>HYPERLINK("https://klasma.github.io/Logging_2481/artfynd/A 45359-2025 artfynd.xlsx", "A 45359-2025")</f>
        <v/>
      </c>
      <c r="T707">
        <f>HYPERLINK("https://klasma.github.io/Logging_2481/kartor/A 45359-2025 karta.png", "A 45359-2025")</f>
        <v/>
      </c>
      <c r="V707">
        <f>HYPERLINK("https://klasma.github.io/Logging_2481/klagomål/A 45359-2025 FSC-klagomål.docx", "A 45359-2025")</f>
        <v/>
      </c>
      <c r="W707">
        <f>HYPERLINK("https://klasma.github.io/Logging_2481/klagomålsmail/A 45359-2025 FSC-klagomål mail.docx", "A 45359-2025")</f>
        <v/>
      </c>
      <c r="X707">
        <f>HYPERLINK("https://klasma.github.io/Logging_2481/tillsyn/A 45359-2025 tillsynsbegäran.docx", "A 45359-2025")</f>
        <v/>
      </c>
      <c r="Y707">
        <f>HYPERLINK("https://klasma.github.io/Logging_2481/tillsynsmail/A 45359-2025 tillsynsbegäran mail.docx", "A 45359-2025")</f>
        <v/>
      </c>
    </row>
    <row r="708" ht="15" customHeight="1">
      <c r="A708" t="inlineStr">
        <is>
          <t>A 901-2023</t>
        </is>
      </c>
      <c r="B708" s="1" t="n">
        <v>44931.92556712963</v>
      </c>
      <c r="C708" s="1" t="n">
        <v>46145</v>
      </c>
      <c r="D708" t="inlineStr">
        <is>
          <t>VÄSTERBOTTENS LÄN</t>
        </is>
      </c>
      <c r="E708" t="inlineStr">
        <is>
          <t>SKELLEFTEÅ</t>
        </is>
      </c>
      <c r="G708" t="n">
        <v>7.7</v>
      </c>
      <c r="H708" t="n">
        <v>0</v>
      </c>
      <c r="I708" t="n">
        <v>0</v>
      </c>
      <c r="J708" t="n">
        <v>2</v>
      </c>
      <c r="K708" t="n">
        <v>0</v>
      </c>
      <c r="L708" t="n">
        <v>0</v>
      </c>
      <c r="M708" t="n">
        <v>0</v>
      </c>
      <c r="N708" t="n">
        <v>0</v>
      </c>
      <c r="O708" t="n">
        <v>2</v>
      </c>
      <c r="P708" t="n">
        <v>0</v>
      </c>
      <c r="Q708" t="n">
        <v>2</v>
      </c>
      <c r="R708" s="2" t="inlineStr">
        <is>
          <t>Garnlav
Skogshare</t>
        </is>
      </c>
      <c r="S708">
        <f>HYPERLINK("https://klasma.github.io/Logging_2482/artfynd/A 901-2023 artfynd.xlsx", "A 901-2023")</f>
        <v/>
      </c>
      <c r="T708">
        <f>HYPERLINK("https://klasma.github.io/Logging_2482/kartor/A 901-2023 karta.png", "A 901-2023")</f>
        <v/>
      </c>
      <c r="V708">
        <f>HYPERLINK("https://klasma.github.io/Logging_2482/klagomål/A 901-2023 FSC-klagomål.docx", "A 901-2023")</f>
        <v/>
      </c>
      <c r="W708">
        <f>HYPERLINK("https://klasma.github.io/Logging_2482/klagomålsmail/A 901-2023 FSC-klagomål mail.docx", "A 901-2023")</f>
        <v/>
      </c>
      <c r="X708">
        <f>HYPERLINK("https://klasma.github.io/Logging_2482/tillsyn/A 901-2023 tillsynsbegäran.docx", "A 901-2023")</f>
        <v/>
      </c>
      <c r="Y708">
        <f>HYPERLINK("https://klasma.github.io/Logging_2482/tillsynsmail/A 901-2023 tillsynsbegäran mail.docx", "A 901-2023")</f>
        <v/>
      </c>
    </row>
    <row r="709" ht="15" customHeight="1">
      <c r="A709" t="inlineStr">
        <is>
          <t>A 47276-2025</t>
        </is>
      </c>
      <c r="B709" s="1" t="n">
        <v>45930.46909722222</v>
      </c>
      <c r="C709" s="1" t="n">
        <v>46145</v>
      </c>
      <c r="D709" t="inlineStr">
        <is>
          <t>VÄSTERBOTTENS LÄN</t>
        </is>
      </c>
      <c r="E709" t="inlineStr">
        <is>
          <t>UMEÅ</t>
        </is>
      </c>
      <c r="G709" t="n">
        <v>1.9</v>
      </c>
      <c r="H709" t="n">
        <v>0</v>
      </c>
      <c r="I709" t="n">
        <v>1</v>
      </c>
      <c r="J709" t="n">
        <v>1</v>
      </c>
      <c r="K709" t="n">
        <v>0</v>
      </c>
      <c r="L709" t="n">
        <v>0</v>
      </c>
      <c r="M709" t="n">
        <v>0</v>
      </c>
      <c r="N709" t="n">
        <v>0</v>
      </c>
      <c r="O709" t="n">
        <v>1</v>
      </c>
      <c r="P709" t="n">
        <v>0</v>
      </c>
      <c r="Q709" t="n">
        <v>2</v>
      </c>
      <c r="R709" s="2" t="inlineStr">
        <is>
          <t>Granticka
Vedticka</t>
        </is>
      </c>
      <c r="S709">
        <f>HYPERLINK("https://klasma.github.io/Logging_2480/artfynd/A 47276-2025 artfynd.xlsx", "A 47276-2025")</f>
        <v/>
      </c>
      <c r="T709">
        <f>HYPERLINK("https://klasma.github.io/Logging_2480/kartor/A 47276-2025 karta.png", "A 47276-2025")</f>
        <v/>
      </c>
      <c r="V709">
        <f>HYPERLINK("https://klasma.github.io/Logging_2480/klagomål/A 47276-2025 FSC-klagomål.docx", "A 47276-2025")</f>
        <v/>
      </c>
      <c r="W709">
        <f>HYPERLINK("https://klasma.github.io/Logging_2480/klagomålsmail/A 47276-2025 FSC-klagomål mail.docx", "A 47276-2025")</f>
        <v/>
      </c>
      <c r="X709">
        <f>HYPERLINK("https://klasma.github.io/Logging_2480/tillsyn/A 47276-2025 tillsynsbegäran.docx", "A 47276-2025")</f>
        <v/>
      </c>
      <c r="Y709">
        <f>HYPERLINK("https://klasma.github.io/Logging_2480/tillsynsmail/A 47276-2025 tillsynsbegäran mail.docx", "A 47276-2025")</f>
        <v/>
      </c>
    </row>
    <row r="710" ht="15" customHeight="1">
      <c r="A710" t="inlineStr">
        <is>
          <t>A 47744-2025</t>
        </is>
      </c>
      <c r="B710" s="1" t="n">
        <v>45931.64844907408</v>
      </c>
      <c r="C710" s="1" t="n">
        <v>46145</v>
      </c>
      <c r="D710" t="inlineStr">
        <is>
          <t>VÄSTERBOTTENS LÄN</t>
        </is>
      </c>
      <c r="E710" t="inlineStr">
        <is>
          <t>LYCKSELE</t>
        </is>
      </c>
      <c r="F710" t="inlineStr">
        <is>
          <t>Sveaskog</t>
        </is>
      </c>
      <c r="G710" t="n">
        <v>4.1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47744-2025 artfynd.xlsx", "A 47744-2025")</f>
        <v/>
      </c>
      <c r="T710">
        <f>HYPERLINK("https://klasma.github.io/Logging_2481/kartor/A 47744-2025 karta.png", "A 47744-2025")</f>
        <v/>
      </c>
      <c r="V710">
        <f>HYPERLINK("https://klasma.github.io/Logging_2481/klagomål/A 47744-2025 FSC-klagomål.docx", "A 47744-2025")</f>
        <v/>
      </c>
      <c r="W710">
        <f>HYPERLINK("https://klasma.github.io/Logging_2481/klagomålsmail/A 47744-2025 FSC-klagomål mail.docx", "A 47744-2025")</f>
        <v/>
      </c>
      <c r="X710">
        <f>HYPERLINK("https://klasma.github.io/Logging_2481/tillsyn/A 47744-2025 tillsynsbegäran.docx", "A 47744-2025")</f>
        <v/>
      </c>
      <c r="Y710">
        <f>HYPERLINK("https://klasma.github.io/Logging_2481/tillsynsmail/A 47744-2025 tillsynsbegäran mail.docx", "A 47744-2025")</f>
        <v/>
      </c>
    </row>
    <row r="711" ht="15" customHeight="1">
      <c r="A711" t="inlineStr">
        <is>
          <t>A 48816-2025</t>
        </is>
      </c>
      <c r="B711" s="1" t="n">
        <v>45937.36527777778</v>
      </c>
      <c r="C711" s="1" t="n">
        <v>46145</v>
      </c>
      <c r="D711" t="inlineStr">
        <is>
          <t>VÄSTERBOTTENS LÄN</t>
        </is>
      </c>
      <c r="E711" t="inlineStr">
        <is>
          <t>VILHELMINA</t>
        </is>
      </c>
      <c r="F711" t="inlineStr">
        <is>
          <t>SCA</t>
        </is>
      </c>
      <c r="G711" t="n">
        <v>1.3</v>
      </c>
      <c r="H711" t="n">
        <v>2</v>
      </c>
      <c r="I711" t="n">
        <v>0</v>
      </c>
      <c r="J711" t="n">
        <v>2</v>
      </c>
      <c r="K711" t="n">
        <v>0</v>
      </c>
      <c r="L711" t="n">
        <v>0</v>
      </c>
      <c r="M711" t="n">
        <v>0</v>
      </c>
      <c r="N711" t="n">
        <v>0</v>
      </c>
      <c r="O711" t="n">
        <v>2</v>
      </c>
      <c r="P711" t="n">
        <v>0</v>
      </c>
      <c r="Q711" t="n">
        <v>2</v>
      </c>
      <c r="R711" s="2" t="inlineStr">
        <is>
          <t>Talltita
Tretåig hackspett</t>
        </is>
      </c>
      <c r="S711">
        <f>HYPERLINK("https://klasma.github.io/Logging_2462/artfynd/A 48816-2025 artfynd.xlsx", "A 48816-2025")</f>
        <v/>
      </c>
      <c r="T711">
        <f>HYPERLINK("https://klasma.github.io/Logging_2462/kartor/A 48816-2025 karta.png", "A 48816-2025")</f>
        <v/>
      </c>
      <c r="V711">
        <f>HYPERLINK("https://klasma.github.io/Logging_2462/klagomål/A 48816-2025 FSC-klagomål.docx", "A 48816-2025")</f>
        <v/>
      </c>
      <c r="W711">
        <f>HYPERLINK("https://klasma.github.io/Logging_2462/klagomålsmail/A 48816-2025 FSC-klagomål mail.docx", "A 48816-2025")</f>
        <v/>
      </c>
      <c r="X711">
        <f>HYPERLINK("https://klasma.github.io/Logging_2462/tillsyn/A 48816-2025 tillsynsbegäran.docx", "A 48816-2025")</f>
        <v/>
      </c>
      <c r="Y711">
        <f>HYPERLINK("https://klasma.github.io/Logging_2462/tillsynsmail/A 48816-2025 tillsynsbegäran mail.docx", "A 48816-2025")</f>
        <v/>
      </c>
      <c r="Z711">
        <f>HYPERLINK("https://klasma.github.io/Logging_2462/fåglar/A 48816-2025 prioriterade fågelarter.docx", "A 48816-2025")</f>
        <v/>
      </c>
    </row>
    <row r="712" ht="15" customHeight="1">
      <c r="A712" t="inlineStr">
        <is>
          <t>A 58736-2022</t>
        </is>
      </c>
      <c r="B712" s="1" t="n">
        <v>44902</v>
      </c>
      <c r="C712" s="1" t="n">
        <v>46145</v>
      </c>
      <c r="D712" t="inlineStr">
        <is>
          <t>VÄSTERBOTTENS LÄN</t>
        </is>
      </c>
      <c r="E712" t="inlineStr">
        <is>
          <t>DOROTEA</t>
        </is>
      </c>
      <c r="F712" t="inlineStr">
        <is>
          <t>SCA</t>
        </is>
      </c>
      <c r="G712" t="n">
        <v>3.4</v>
      </c>
      <c r="H712" t="n">
        <v>0</v>
      </c>
      <c r="I712" t="n">
        <v>0</v>
      </c>
      <c r="J712" t="n">
        <v>2</v>
      </c>
      <c r="K712" t="n">
        <v>0</v>
      </c>
      <c r="L712" t="n">
        <v>0</v>
      </c>
      <c r="M712" t="n">
        <v>0</v>
      </c>
      <c r="N712" t="n">
        <v>0</v>
      </c>
      <c r="O712" t="n">
        <v>2</v>
      </c>
      <c r="P712" t="n">
        <v>0</v>
      </c>
      <c r="Q712" t="n">
        <v>2</v>
      </c>
      <c r="R712" s="2" t="inlineStr">
        <is>
          <t>Lunglav
Skrovellav</t>
        </is>
      </c>
      <c r="S712">
        <f>HYPERLINK("https://klasma.github.io/Logging_2425/artfynd/A 58736-2022 artfynd.xlsx", "A 58736-2022")</f>
        <v/>
      </c>
      <c r="T712">
        <f>HYPERLINK("https://klasma.github.io/Logging_2425/kartor/A 58736-2022 karta.png", "A 58736-2022")</f>
        <v/>
      </c>
      <c r="V712">
        <f>HYPERLINK("https://klasma.github.io/Logging_2425/klagomål/A 58736-2022 FSC-klagomål.docx", "A 58736-2022")</f>
        <v/>
      </c>
      <c r="W712">
        <f>HYPERLINK("https://klasma.github.io/Logging_2425/klagomålsmail/A 58736-2022 FSC-klagomål mail.docx", "A 58736-2022")</f>
        <v/>
      </c>
      <c r="X712">
        <f>HYPERLINK("https://klasma.github.io/Logging_2425/tillsyn/A 58736-2022 tillsynsbegäran.docx", "A 58736-2022")</f>
        <v/>
      </c>
      <c r="Y712">
        <f>HYPERLINK("https://klasma.github.io/Logging_2425/tillsynsmail/A 58736-2022 tillsynsbegäran mail.docx", "A 58736-2022")</f>
        <v/>
      </c>
    </row>
    <row r="713" ht="15" customHeight="1">
      <c r="A713" t="inlineStr">
        <is>
          <t>A 49364-2025</t>
        </is>
      </c>
      <c r="B713" s="1" t="n">
        <v>45938.62302083334</v>
      </c>
      <c r="C713" s="1" t="n">
        <v>46145</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49045-2025</t>
        </is>
      </c>
      <c r="B714" s="1" t="n">
        <v>45937.63671296297</v>
      </c>
      <c r="C714" s="1" t="n">
        <v>46145</v>
      </c>
      <c r="D714" t="inlineStr">
        <is>
          <t>VÄSTERBOTTENS LÄN</t>
        </is>
      </c>
      <c r="E714" t="inlineStr">
        <is>
          <t>DOROTEA</t>
        </is>
      </c>
      <c r="F714" t="inlineStr">
        <is>
          <t>SCA</t>
        </is>
      </c>
      <c r="G714" t="n">
        <v>4.5</v>
      </c>
      <c r="H714" t="n">
        <v>1</v>
      </c>
      <c r="I714" t="n">
        <v>0</v>
      </c>
      <c r="J714" t="n">
        <v>2</v>
      </c>
      <c r="K714" t="n">
        <v>0</v>
      </c>
      <c r="L714" t="n">
        <v>0</v>
      </c>
      <c r="M714" t="n">
        <v>0</v>
      </c>
      <c r="N714" t="n">
        <v>0</v>
      </c>
      <c r="O714" t="n">
        <v>2</v>
      </c>
      <c r="P714" t="n">
        <v>0</v>
      </c>
      <c r="Q714" t="n">
        <v>2</v>
      </c>
      <c r="R714" s="2" t="inlineStr">
        <is>
          <t>Gammelgransskål
Tretåig hackspett</t>
        </is>
      </c>
      <c r="S714">
        <f>HYPERLINK("https://klasma.github.io/Logging_2425/artfynd/A 49045-2025 artfynd.xlsx", "A 49045-2025")</f>
        <v/>
      </c>
      <c r="T714">
        <f>HYPERLINK("https://klasma.github.io/Logging_2425/kartor/A 49045-2025 karta.png", "A 49045-2025")</f>
        <v/>
      </c>
      <c r="V714">
        <f>HYPERLINK("https://klasma.github.io/Logging_2425/klagomål/A 49045-2025 FSC-klagomål.docx", "A 49045-2025")</f>
        <v/>
      </c>
      <c r="W714">
        <f>HYPERLINK("https://klasma.github.io/Logging_2425/klagomålsmail/A 49045-2025 FSC-klagomål mail.docx", "A 49045-2025")</f>
        <v/>
      </c>
      <c r="X714">
        <f>HYPERLINK("https://klasma.github.io/Logging_2425/tillsyn/A 49045-2025 tillsynsbegäran.docx", "A 49045-2025")</f>
        <v/>
      </c>
      <c r="Y714">
        <f>HYPERLINK("https://klasma.github.io/Logging_2425/tillsynsmail/A 49045-2025 tillsynsbegäran mail.docx", "A 49045-2025")</f>
        <v/>
      </c>
      <c r="Z714">
        <f>HYPERLINK("https://klasma.github.io/Logging_2425/fåglar/A 49045-2025 prioriterade fågelarter.docx", "A 49045-2025")</f>
        <v/>
      </c>
    </row>
    <row r="715" ht="15" customHeight="1">
      <c r="A715" t="inlineStr">
        <is>
          <t>A 49553-2025</t>
        </is>
      </c>
      <c r="B715" s="1" t="n">
        <v>45939.4471875</v>
      </c>
      <c r="C715" s="1" t="n">
        <v>46145</v>
      </c>
      <c r="D715" t="inlineStr">
        <is>
          <t>VÄSTERBOTTENS LÄN</t>
        </is>
      </c>
      <c r="E715" t="inlineStr">
        <is>
          <t>LYCKSELE</t>
        </is>
      </c>
      <c r="F715" t="inlineStr">
        <is>
          <t>Sveaskog</t>
        </is>
      </c>
      <c r="G715" t="n">
        <v>26.1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49553-2025 artfynd.xlsx", "A 49553-2025")</f>
        <v/>
      </c>
      <c r="T715">
        <f>HYPERLINK("https://klasma.github.io/Logging_2481/kartor/A 49553-2025 karta.png", "A 49553-2025")</f>
        <v/>
      </c>
      <c r="V715">
        <f>HYPERLINK("https://klasma.github.io/Logging_2481/klagomål/A 49553-2025 FSC-klagomål.docx", "A 49553-2025")</f>
        <v/>
      </c>
      <c r="W715">
        <f>HYPERLINK("https://klasma.github.io/Logging_2481/klagomålsmail/A 49553-2025 FSC-klagomål mail.docx", "A 49553-2025")</f>
        <v/>
      </c>
      <c r="X715">
        <f>HYPERLINK("https://klasma.github.io/Logging_2481/tillsyn/A 49553-2025 tillsynsbegäran.docx", "A 49553-2025")</f>
        <v/>
      </c>
      <c r="Y715">
        <f>HYPERLINK("https://klasma.github.io/Logging_2481/tillsynsmail/A 49553-2025 tillsynsbegäran mail.docx", "A 49553-2025")</f>
        <v/>
      </c>
    </row>
    <row r="716" ht="15" customHeight="1">
      <c r="A716" t="inlineStr">
        <is>
          <t>A 7050-2024</t>
        </is>
      </c>
      <c r="B716" s="1" t="n">
        <v>45343</v>
      </c>
      <c r="C716" s="1" t="n">
        <v>46145</v>
      </c>
      <c r="D716" t="inlineStr">
        <is>
          <t>VÄSTERBOTTENS LÄN</t>
        </is>
      </c>
      <c r="E716" t="inlineStr">
        <is>
          <t>UMEÅ</t>
        </is>
      </c>
      <c r="G716" t="n">
        <v>6.5</v>
      </c>
      <c r="H716" t="n">
        <v>1</v>
      </c>
      <c r="I716" t="n">
        <v>0</v>
      </c>
      <c r="J716" t="n">
        <v>2</v>
      </c>
      <c r="K716" t="n">
        <v>0</v>
      </c>
      <c r="L716" t="n">
        <v>0</v>
      </c>
      <c r="M716" t="n">
        <v>0</v>
      </c>
      <c r="N716" t="n">
        <v>0</v>
      </c>
      <c r="O716" t="n">
        <v>2</v>
      </c>
      <c r="P716" t="n">
        <v>0</v>
      </c>
      <c r="Q716" t="n">
        <v>2</v>
      </c>
      <c r="R716" s="2" t="inlineStr">
        <is>
          <t>Granticka
Talltita</t>
        </is>
      </c>
      <c r="S716">
        <f>HYPERLINK("https://klasma.github.io/Logging_2480/artfynd/A 7050-2024 artfynd.xlsx", "A 7050-2024")</f>
        <v/>
      </c>
      <c r="T716">
        <f>HYPERLINK("https://klasma.github.io/Logging_2480/kartor/A 7050-2024 karta.png", "A 7050-2024")</f>
        <v/>
      </c>
      <c r="V716">
        <f>HYPERLINK("https://klasma.github.io/Logging_2480/klagomål/A 7050-2024 FSC-klagomål.docx", "A 7050-2024")</f>
        <v/>
      </c>
      <c r="W716">
        <f>HYPERLINK("https://klasma.github.io/Logging_2480/klagomålsmail/A 7050-2024 FSC-klagomål mail.docx", "A 7050-2024")</f>
        <v/>
      </c>
      <c r="X716">
        <f>HYPERLINK("https://klasma.github.io/Logging_2480/tillsyn/A 7050-2024 tillsynsbegäran.docx", "A 7050-2024")</f>
        <v/>
      </c>
      <c r="Y716">
        <f>HYPERLINK("https://klasma.github.io/Logging_2480/tillsynsmail/A 7050-2024 tillsynsbegäran mail.docx", "A 7050-2024")</f>
        <v/>
      </c>
      <c r="Z716">
        <f>HYPERLINK("https://klasma.github.io/Logging_2480/fåglar/A 7050-2024 prioriterade fågelarter.docx", "A 7050-2024")</f>
        <v/>
      </c>
    </row>
    <row r="717" ht="15" customHeight="1">
      <c r="A717" t="inlineStr">
        <is>
          <t>A 49550-2025</t>
        </is>
      </c>
      <c r="B717" s="1" t="n">
        <v>45939.44409722222</v>
      </c>
      <c r="C717" s="1" t="n">
        <v>46145</v>
      </c>
      <c r="D717" t="inlineStr">
        <is>
          <t>VÄSTERBOTTENS LÄN</t>
        </is>
      </c>
      <c r="E717" t="inlineStr">
        <is>
          <t>LYCKSELE</t>
        </is>
      </c>
      <c r="F717" t="inlineStr">
        <is>
          <t>Sveaskog</t>
        </is>
      </c>
      <c r="G717" t="n">
        <v>4.5</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49550-2025 artfynd.xlsx", "A 49550-2025")</f>
        <v/>
      </c>
      <c r="T717">
        <f>HYPERLINK("https://klasma.github.io/Logging_2481/kartor/A 49550-2025 karta.png", "A 49550-2025")</f>
        <v/>
      </c>
      <c r="V717">
        <f>HYPERLINK("https://klasma.github.io/Logging_2481/klagomål/A 49550-2025 FSC-klagomål.docx", "A 49550-2025")</f>
        <v/>
      </c>
      <c r="W717">
        <f>HYPERLINK("https://klasma.github.io/Logging_2481/klagomålsmail/A 49550-2025 FSC-klagomål mail.docx", "A 49550-2025")</f>
        <v/>
      </c>
      <c r="X717">
        <f>HYPERLINK("https://klasma.github.io/Logging_2481/tillsyn/A 49550-2025 tillsynsbegäran.docx", "A 49550-2025")</f>
        <v/>
      </c>
      <c r="Y717">
        <f>HYPERLINK("https://klasma.github.io/Logging_2481/tillsynsmail/A 49550-2025 tillsynsbegäran mail.docx", "A 49550-2025")</f>
        <v/>
      </c>
    </row>
    <row r="718" ht="15" customHeight="1">
      <c r="A718" t="inlineStr">
        <is>
          <t>A 49740-2025</t>
        </is>
      </c>
      <c r="B718" s="1" t="n">
        <v>45940.33377314815</v>
      </c>
      <c r="C718" s="1" t="n">
        <v>46145</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50461-2025</t>
        </is>
      </c>
      <c r="B719" s="1" t="n">
        <v>45945.34506944445</v>
      </c>
      <c r="C719" s="1" t="n">
        <v>46145</v>
      </c>
      <c r="D719" t="inlineStr">
        <is>
          <t>VÄSTERBOTTENS LÄN</t>
        </is>
      </c>
      <c r="E719" t="inlineStr">
        <is>
          <t>VINDELN</t>
        </is>
      </c>
      <c r="G719" t="n">
        <v>11.8</v>
      </c>
      <c r="H719" t="n">
        <v>0</v>
      </c>
      <c r="I719" t="n">
        <v>1</v>
      </c>
      <c r="J719" t="n">
        <v>1</v>
      </c>
      <c r="K719" t="n">
        <v>0</v>
      </c>
      <c r="L719" t="n">
        <v>0</v>
      </c>
      <c r="M719" t="n">
        <v>0</v>
      </c>
      <c r="N719" t="n">
        <v>0</v>
      </c>
      <c r="O719" t="n">
        <v>1</v>
      </c>
      <c r="P719" t="n">
        <v>0</v>
      </c>
      <c r="Q719" t="n">
        <v>2</v>
      </c>
      <c r="R719" s="2" t="inlineStr">
        <is>
          <t>Blå taggsvamp
Mindre märgborre</t>
        </is>
      </c>
      <c r="S719">
        <f>HYPERLINK("https://klasma.github.io/Logging_2404/artfynd/A 50461-2025 artfynd.xlsx", "A 50461-2025")</f>
        <v/>
      </c>
      <c r="T719">
        <f>HYPERLINK("https://klasma.github.io/Logging_2404/kartor/A 50461-2025 karta.png", "A 50461-2025")</f>
        <v/>
      </c>
      <c r="V719">
        <f>HYPERLINK("https://klasma.github.io/Logging_2404/klagomål/A 50461-2025 FSC-klagomål.docx", "A 50461-2025")</f>
        <v/>
      </c>
      <c r="W719">
        <f>HYPERLINK("https://klasma.github.io/Logging_2404/klagomålsmail/A 50461-2025 FSC-klagomål mail.docx", "A 50461-2025")</f>
        <v/>
      </c>
      <c r="X719">
        <f>HYPERLINK("https://klasma.github.io/Logging_2404/tillsyn/A 50461-2025 tillsynsbegäran.docx", "A 50461-2025")</f>
        <v/>
      </c>
      <c r="Y719">
        <f>HYPERLINK("https://klasma.github.io/Logging_2404/tillsynsmail/A 50461-2025 tillsynsbegäran mail.docx", "A 50461-2025")</f>
        <v/>
      </c>
    </row>
    <row r="720" ht="15" customHeight="1">
      <c r="A720" t="inlineStr">
        <is>
          <t>A 51285-2025</t>
        </is>
      </c>
      <c r="B720" s="1" t="n">
        <v>45950.34473379629</v>
      </c>
      <c r="C720" s="1" t="n">
        <v>46145</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51951-2025</t>
        </is>
      </c>
      <c r="B721" s="1" t="n">
        <v>45952.53230324074</v>
      </c>
      <c r="C721" s="1" t="n">
        <v>46145</v>
      </c>
      <c r="D721" t="inlineStr">
        <is>
          <t>VÄSTERBOTTENS LÄN</t>
        </is>
      </c>
      <c r="E721" t="inlineStr">
        <is>
          <t>MALÅ</t>
        </is>
      </c>
      <c r="G721" t="n">
        <v>6.6</v>
      </c>
      <c r="H721" t="n">
        <v>0</v>
      </c>
      <c r="I721" t="n">
        <v>0</v>
      </c>
      <c r="J721" t="n">
        <v>2</v>
      </c>
      <c r="K721" t="n">
        <v>0</v>
      </c>
      <c r="L721" t="n">
        <v>0</v>
      </c>
      <c r="M721" t="n">
        <v>0</v>
      </c>
      <c r="N721" t="n">
        <v>0</v>
      </c>
      <c r="O721" t="n">
        <v>2</v>
      </c>
      <c r="P721" t="n">
        <v>0</v>
      </c>
      <c r="Q721" t="n">
        <v>2</v>
      </c>
      <c r="R721" s="2" t="inlineStr">
        <is>
          <t>Garnlav
Ullticka</t>
        </is>
      </c>
      <c r="S721">
        <f>HYPERLINK("https://klasma.github.io/Logging_2418/artfynd/A 51951-2025 artfynd.xlsx", "A 51951-2025")</f>
        <v/>
      </c>
      <c r="T721">
        <f>HYPERLINK("https://klasma.github.io/Logging_2418/kartor/A 51951-2025 karta.png", "A 51951-2025")</f>
        <v/>
      </c>
      <c r="V721">
        <f>HYPERLINK("https://klasma.github.io/Logging_2418/klagomål/A 51951-2025 FSC-klagomål.docx", "A 51951-2025")</f>
        <v/>
      </c>
      <c r="W721">
        <f>HYPERLINK("https://klasma.github.io/Logging_2418/klagomålsmail/A 51951-2025 FSC-klagomål mail.docx", "A 51951-2025")</f>
        <v/>
      </c>
      <c r="X721">
        <f>HYPERLINK("https://klasma.github.io/Logging_2418/tillsyn/A 51951-2025 tillsynsbegäran.docx", "A 51951-2025")</f>
        <v/>
      </c>
      <c r="Y721">
        <f>HYPERLINK("https://klasma.github.io/Logging_2418/tillsynsmail/A 51951-2025 tillsynsbegäran mail.docx", "A 51951-2025")</f>
        <v/>
      </c>
    </row>
    <row r="722" ht="15" customHeight="1">
      <c r="A722" t="inlineStr">
        <is>
          <t>A 51838-2025</t>
        </is>
      </c>
      <c r="B722" s="1" t="n">
        <v>45952.34454861111</v>
      </c>
      <c r="C722" s="1" t="n">
        <v>46145</v>
      </c>
      <c r="D722" t="inlineStr">
        <is>
          <t>VÄSTERBOTTENS LÄN</t>
        </is>
      </c>
      <c r="E722" t="inlineStr">
        <is>
          <t>ÅSELE</t>
        </is>
      </c>
      <c r="F722" t="inlineStr">
        <is>
          <t>SCA</t>
        </is>
      </c>
      <c r="G722" t="n">
        <v>1.4</v>
      </c>
      <c r="H722" t="n">
        <v>0</v>
      </c>
      <c r="I722" t="n">
        <v>0</v>
      </c>
      <c r="J722" t="n">
        <v>2</v>
      </c>
      <c r="K722" t="n">
        <v>0</v>
      </c>
      <c r="L722" t="n">
        <v>0</v>
      </c>
      <c r="M722" t="n">
        <v>0</v>
      </c>
      <c r="N722" t="n">
        <v>0</v>
      </c>
      <c r="O722" t="n">
        <v>2</v>
      </c>
      <c r="P722" t="n">
        <v>0</v>
      </c>
      <c r="Q722" t="n">
        <v>2</v>
      </c>
      <c r="R722" s="2" t="inlineStr">
        <is>
          <t>Gammelgransskål
Granticka</t>
        </is>
      </c>
      <c r="S722">
        <f>HYPERLINK("https://klasma.github.io/Logging_2463/artfynd/A 51838-2025 artfynd.xlsx", "A 51838-2025")</f>
        <v/>
      </c>
      <c r="T722">
        <f>HYPERLINK("https://klasma.github.io/Logging_2463/kartor/A 51838-2025 karta.png", "A 51838-2025")</f>
        <v/>
      </c>
      <c r="V722">
        <f>HYPERLINK("https://klasma.github.io/Logging_2463/klagomål/A 51838-2025 FSC-klagomål.docx", "A 51838-2025")</f>
        <v/>
      </c>
      <c r="W722">
        <f>HYPERLINK("https://klasma.github.io/Logging_2463/klagomålsmail/A 51838-2025 FSC-klagomål mail.docx", "A 51838-2025")</f>
        <v/>
      </c>
      <c r="X722">
        <f>HYPERLINK("https://klasma.github.io/Logging_2463/tillsyn/A 51838-2025 tillsynsbegäran.docx", "A 51838-2025")</f>
        <v/>
      </c>
      <c r="Y722">
        <f>HYPERLINK("https://klasma.github.io/Logging_2463/tillsynsmail/A 51838-2025 tillsynsbegäran mail.docx", "A 51838-2025")</f>
        <v/>
      </c>
    </row>
    <row r="723" ht="15" customHeight="1">
      <c r="A723" t="inlineStr">
        <is>
          <t>A 52285-2025</t>
        </is>
      </c>
      <c r="B723" s="1" t="n">
        <v>45953.57572916667</v>
      </c>
      <c r="C723" s="1" t="n">
        <v>46145</v>
      </c>
      <c r="D723" t="inlineStr">
        <is>
          <t>VÄSTERBOTTENS LÄN</t>
        </is>
      </c>
      <c r="E723" t="inlineStr">
        <is>
          <t>LYCKSELE</t>
        </is>
      </c>
      <c r="F723" t="inlineStr">
        <is>
          <t>Sveaskog</t>
        </is>
      </c>
      <c r="G723" t="n">
        <v>4.3</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52285-2025 artfynd.xlsx", "A 52285-2025")</f>
        <v/>
      </c>
      <c r="T723">
        <f>HYPERLINK("https://klasma.github.io/Logging_2481/kartor/A 52285-2025 karta.png", "A 52285-2025")</f>
        <v/>
      </c>
      <c r="V723">
        <f>HYPERLINK("https://klasma.github.io/Logging_2481/klagomål/A 52285-2025 FSC-klagomål.docx", "A 52285-2025")</f>
        <v/>
      </c>
      <c r="W723">
        <f>HYPERLINK("https://klasma.github.io/Logging_2481/klagomålsmail/A 52285-2025 FSC-klagomål mail.docx", "A 52285-2025")</f>
        <v/>
      </c>
      <c r="X723">
        <f>HYPERLINK("https://klasma.github.io/Logging_2481/tillsyn/A 52285-2025 tillsynsbegäran.docx", "A 52285-2025")</f>
        <v/>
      </c>
      <c r="Y723">
        <f>HYPERLINK("https://klasma.github.io/Logging_2481/tillsynsmail/A 52285-2025 tillsynsbegäran mail.docx", "A 52285-2025")</f>
        <v/>
      </c>
    </row>
    <row r="724" ht="15" customHeight="1">
      <c r="A724" t="inlineStr">
        <is>
          <t>A 52630-2025</t>
        </is>
      </c>
      <c r="B724" s="1" t="n">
        <v>45953</v>
      </c>
      <c r="C724" s="1" t="n">
        <v>46145</v>
      </c>
      <c r="D724" t="inlineStr">
        <is>
          <t>VÄSTERBOTTENS LÄN</t>
        </is>
      </c>
      <c r="E724" t="inlineStr">
        <is>
          <t>SKELLEFTEÅ</t>
        </is>
      </c>
      <c r="G724" t="n">
        <v>3.9</v>
      </c>
      <c r="H724" t="n">
        <v>2</v>
      </c>
      <c r="I724" t="n">
        <v>0</v>
      </c>
      <c r="J724" t="n">
        <v>1</v>
      </c>
      <c r="K724" t="n">
        <v>1</v>
      </c>
      <c r="L724" t="n">
        <v>0</v>
      </c>
      <c r="M724" t="n">
        <v>0</v>
      </c>
      <c r="N724" t="n">
        <v>0</v>
      </c>
      <c r="O724" t="n">
        <v>2</v>
      </c>
      <c r="P724" t="n">
        <v>1</v>
      </c>
      <c r="Q724" t="n">
        <v>2</v>
      </c>
      <c r="R724" s="2" t="inlineStr">
        <is>
          <t>Knärot
Spillkråka</t>
        </is>
      </c>
      <c r="S724">
        <f>HYPERLINK("https://klasma.github.io/Logging_2482/artfynd/A 52630-2025 artfynd.xlsx", "A 52630-2025")</f>
        <v/>
      </c>
      <c r="T724">
        <f>HYPERLINK("https://klasma.github.io/Logging_2482/kartor/A 52630-2025 karta.png", "A 52630-2025")</f>
        <v/>
      </c>
      <c r="U724">
        <f>HYPERLINK("https://klasma.github.io/Logging_2482/knärot/A 52630-2025 karta knärot.png", "A 52630-2025")</f>
        <v/>
      </c>
      <c r="V724">
        <f>HYPERLINK("https://klasma.github.io/Logging_2482/klagomål/A 52630-2025 FSC-klagomål.docx", "A 52630-2025")</f>
        <v/>
      </c>
      <c r="W724">
        <f>HYPERLINK("https://klasma.github.io/Logging_2482/klagomålsmail/A 52630-2025 FSC-klagomål mail.docx", "A 52630-2025")</f>
        <v/>
      </c>
      <c r="X724">
        <f>HYPERLINK("https://klasma.github.io/Logging_2482/tillsyn/A 52630-2025 tillsynsbegäran.docx", "A 52630-2025")</f>
        <v/>
      </c>
      <c r="Y724">
        <f>HYPERLINK("https://klasma.github.io/Logging_2482/tillsynsmail/A 52630-2025 tillsynsbegäran mail.docx", "A 52630-2025")</f>
        <v/>
      </c>
      <c r="Z724">
        <f>HYPERLINK("https://klasma.github.io/Logging_2482/fåglar/A 52630-2025 prioriterade fågelarter.docx", "A 52630-2025")</f>
        <v/>
      </c>
    </row>
    <row r="725" ht="15" customHeight="1">
      <c r="A725" t="inlineStr">
        <is>
          <t>A 52805-2025</t>
        </is>
      </c>
      <c r="B725" s="1" t="n">
        <v>45957.44629629629</v>
      </c>
      <c r="C725" s="1" t="n">
        <v>46145</v>
      </c>
      <c r="D725" t="inlineStr">
        <is>
          <t>VÄSTERBOTTENS LÄN</t>
        </is>
      </c>
      <c r="E725" t="inlineStr">
        <is>
          <t>ROBERTSFORS</t>
        </is>
      </c>
      <c r="G725" t="n">
        <v>7.7</v>
      </c>
      <c r="H725" t="n">
        <v>1</v>
      </c>
      <c r="I725" t="n">
        <v>0</v>
      </c>
      <c r="J725" t="n">
        <v>1</v>
      </c>
      <c r="K725" t="n">
        <v>0</v>
      </c>
      <c r="L725" t="n">
        <v>0</v>
      </c>
      <c r="M725" t="n">
        <v>0</v>
      </c>
      <c r="N725" t="n">
        <v>0</v>
      </c>
      <c r="O725" t="n">
        <v>1</v>
      </c>
      <c r="P725" t="n">
        <v>0</v>
      </c>
      <c r="Q725" t="n">
        <v>2</v>
      </c>
      <c r="R725" s="2" t="inlineStr">
        <is>
          <t>Garnlav
Tjäder</t>
        </is>
      </c>
      <c r="S725">
        <f>HYPERLINK("https://klasma.github.io/Logging_2409/artfynd/A 52805-2025 artfynd.xlsx", "A 52805-2025")</f>
        <v/>
      </c>
      <c r="T725">
        <f>HYPERLINK("https://klasma.github.io/Logging_2409/kartor/A 52805-2025 karta.png", "A 52805-2025")</f>
        <v/>
      </c>
      <c r="V725">
        <f>HYPERLINK("https://klasma.github.io/Logging_2409/klagomål/A 52805-2025 FSC-klagomål.docx", "A 52805-2025")</f>
        <v/>
      </c>
      <c r="W725">
        <f>HYPERLINK("https://klasma.github.io/Logging_2409/klagomålsmail/A 52805-2025 FSC-klagomål mail.docx", "A 52805-2025")</f>
        <v/>
      </c>
      <c r="X725">
        <f>HYPERLINK("https://klasma.github.io/Logging_2409/tillsyn/A 52805-2025 tillsynsbegäran.docx", "A 52805-2025")</f>
        <v/>
      </c>
      <c r="Y725">
        <f>HYPERLINK("https://klasma.github.io/Logging_2409/tillsynsmail/A 52805-2025 tillsynsbegäran mail.docx", "A 52805-2025")</f>
        <v/>
      </c>
      <c r="Z725">
        <f>HYPERLINK("https://klasma.github.io/Logging_2409/fåglar/A 52805-2025 prioriterade fågelarter.docx", "A 52805-2025")</f>
        <v/>
      </c>
    </row>
    <row r="726" ht="15" customHeight="1">
      <c r="A726" t="inlineStr">
        <is>
          <t>A 53682-2025</t>
        </is>
      </c>
      <c r="B726" s="1" t="n">
        <v>45960.574375</v>
      </c>
      <c r="C726" s="1" t="n">
        <v>46145</v>
      </c>
      <c r="D726" t="inlineStr">
        <is>
          <t>VÄSTERBOTTENS LÄN</t>
        </is>
      </c>
      <c r="E726" t="inlineStr">
        <is>
          <t>ÅSELE</t>
        </is>
      </c>
      <c r="F726" t="inlineStr">
        <is>
          <t>SCA</t>
        </is>
      </c>
      <c r="G726" t="n">
        <v>10.2</v>
      </c>
      <c r="H726" t="n">
        <v>0</v>
      </c>
      <c r="I726" t="n">
        <v>0</v>
      </c>
      <c r="J726" t="n">
        <v>2</v>
      </c>
      <c r="K726" t="n">
        <v>0</v>
      </c>
      <c r="L726" t="n">
        <v>0</v>
      </c>
      <c r="M726" t="n">
        <v>0</v>
      </c>
      <c r="N726" t="n">
        <v>0</v>
      </c>
      <c r="O726" t="n">
        <v>2</v>
      </c>
      <c r="P726" t="n">
        <v>0</v>
      </c>
      <c r="Q726" t="n">
        <v>2</v>
      </c>
      <c r="R726" s="2" t="inlineStr">
        <is>
          <t>Vedflamlav
Vedskivlav</t>
        </is>
      </c>
      <c r="S726">
        <f>HYPERLINK("https://klasma.github.io/Logging_2463/artfynd/A 53682-2025 artfynd.xlsx", "A 53682-2025")</f>
        <v/>
      </c>
      <c r="T726">
        <f>HYPERLINK("https://klasma.github.io/Logging_2463/kartor/A 53682-2025 karta.png", "A 53682-2025")</f>
        <v/>
      </c>
      <c r="V726">
        <f>HYPERLINK("https://klasma.github.io/Logging_2463/klagomål/A 53682-2025 FSC-klagomål.docx", "A 53682-2025")</f>
        <v/>
      </c>
      <c r="W726">
        <f>HYPERLINK("https://klasma.github.io/Logging_2463/klagomålsmail/A 53682-2025 FSC-klagomål mail.docx", "A 53682-2025")</f>
        <v/>
      </c>
      <c r="X726">
        <f>HYPERLINK("https://klasma.github.io/Logging_2463/tillsyn/A 53682-2025 tillsynsbegäran.docx", "A 53682-2025")</f>
        <v/>
      </c>
      <c r="Y726">
        <f>HYPERLINK("https://klasma.github.io/Logging_2463/tillsynsmail/A 53682-2025 tillsynsbegäran mail.docx", "A 53682-2025")</f>
        <v/>
      </c>
    </row>
    <row r="727" ht="15" customHeight="1">
      <c r="A727" t="inlineStr">
        <is>
          <t>A 53650-2025</t>
        </is>
      </c>
      <c r="B727" s="1" t="n">
        <v>45960.5271875</v>
      </c>
      <c r="C727" s="1" t="n">
        <v>46145</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54277-2025</t>
        </is>
      </c>
      <c r="B728" s="1" t="n">
        <v>45964.69563657408</v>
      </c>
      <c r="C728" s="1" t="n">
        <v>46145</v>
      </c>
      <c r="D728" t="inlineStr">
        <is>
          <t>VÄSTERBOTTENS LÄN</t>
        </is>
      </c>
      <c r="E728" t="inlineStr">
        <is>
          <t>LYCKSELE</t>
        </is>
      </c>
      <c r="G728" t="n">
        <v>5.4</v>
      </c>
      <c r="H728" t="n">
        <v>0</v>
      </c>
      <c r="I728" t="n">
        <v>0</v>
      </c>
      <c r="J728" t="n">
        <v>2</v>
      </c>
      <c r="K728" t="n">
        <v>0</v>
      </c>
      <c r="L728" t="n">
        <v>0</v>
      </c>
      <c r="M728" t="n">
        <v>0</v>
      </c>
      <c r="N728" t="n">
        <v>0</v>
      </c>
      <c r="O728" t="n">
        <v>2</v>
      </c>
      <c r="P728" t="n">
        <v>0</v>
      </c>
      <c r="Q728" t="n">
        <v>2</v>
      </c>
      <c r="R728" s="2" t="inlineStr">
        <is>
          <t>Garnlav
Granticka</t>
        </is>
      </c>
      <c r="S728">
        <f>HYPERLINK("https://klasma.github.io/Logging_2481/artfynd/A 54277-2025 artfynd.xlsx", "A 54277-2025")</f>
        <v/>
      </c>
      <c r="T728">
        <f>HYPERLINK("https://klasma.github.io/Logging_2481/kartor/A 54277-2025 karta.png", "A 54277-2025")</f>
        <v/>
      </c>
      <c r="V728">
        <f>HYPERLINK("https://klasma.github.io/Logging_2481/klagomål/A 54277-2025 FSC-klagomål.docx", "A 54277-2025")</f>
        <v/>
      </c>
      <c r="W728">
        <f>HYPERLINK("https://klasma.github.io/Logging_2481/klagomålsmail/A 54277-2025 FSC-klagomål mail.docx", "A 54277-2025")</f>
        <v/>
      </c>
      <c r="X728">
        <f>HYPERLINK("https://klasma.github.io/Logging_2481/tillsyn/A 54277-2025 tillsynsbegäran.docx", "A 54277-2025")</f>
        <v/>
      </c>
      <c r="Y728">
        <f>HYPERLINK("https://klasma.github.io/Logging_2481/tillsynsmail/A 54277-2025 tillsynsbegäran mail.docx", "A 54277-2025")</f>
        <v/>
      </c>
    </row>
    <row r="729" ht="15" customHeight="1">
      <c r="A729" t="inlineStr">
        <is>
          <t>A 31320-2024</t>
        </is>
      </c>
      <c r="B729" s="1" t="n">
        <v>45504</v>
      </c>
      <c r="C729" s="1" t="n">
        <v>46145</v>
      </c>
      <c r="D729" t="inlineStr">
        <is>
          <t>VÄSTERBOTTENS LÄN</t>
        </is>
      </c>
      <c r="E729" t="inlineStr">
        <is>
          <t>ROBERTSFORS</t>
        </is>
      </c>
      <c r="F729" t="inlineStr">
        <is>
          <t>Holmen skog AB</t>
        </is>
      </c>
      <c r="G729" t="n">
        <v>4.9</v>
      </c>
      <c r="H729" t="n">
        <v>0</v>
      </c>
      <c r="I729" t="n">
        <v>0</v>
      </c>
      <c r="J729" t="n">
        <v>2</v>
      </c>
      <c r="K729" t="n">
        <v>0</v>
      </c>
      <c r="L729" t="n">
        <v>0</v>
      </c>
      <c r="M729" t="n">
        <v>0</v>
      </c>
      <c r="N729" t="n">
        <v>0</v>
      </c>
      <c r="O729" t="n">
        <v>2</v>
      </c>
      <c r="P729" t="n">
        <v>0</v>
      </c>
      <c r="Q729" t="n">
        <v>2</v>
      </c>
      <c r="R729" s="2" t="inlineStr">
        <is>
          <t>Kolflarnlav
Vedflamlav</t>
        </is>
      </c>
      <c r="S729">
        <f>HYPERLINK("https://klasma.github.io/Logging_2409/artfynd/A 31320-2024 artfynd.xlsx", "A 31320-2024")</f>
        <v/>
      </c>
      <c r="T729">
        <f>HYPERLINK("https://klasma.github.io/Logging_2409/kartor/A 31320-2024 karta.png", "A 31320-2024")</f>
        <v/>
      </c>
      <c r="V729">
        <f>HYPERLINK("https://klasma.github.io/Logging_2409/klagomål/A 31320-2024 FSC-klagomål.docx", "A 31320-2024")</f>
        <v/>
      </c>
      <c r="W729">
        <f>HYPERLINK("https://klasma.github.io/Logging_2409/klagomålsmail/A 31320-2024 FSC-klagomål mail.docx", "A 31320-2024")</f>
        <v/>
      </c>
      <c r="X729">
        <f>HYPERLINK("https://klasma.github.io/Logging_2409/tillsyn/A 31320-2024 tillsynsbegäran.docx", "A 31320-2024")</f>
        <v/>
      </c>
      <c r="Y729">
        <f>HYPERLINK("https://klasma.github.io/Logging_2409/tillsynsmail/A 31320-2024 tillsynsbegäran mail.docx", "A 31320-2024")</f>
        <v/>
      </c>
    </row>
    <row r="730" ht="15" customHeight="1">
      <c r="A730" t="inlineStr">
        <is>
          <t>A 49250-2024</t>
        </is>
      </c>
      <c r="B730" s="1" t="n">
        <v>45595</v>
      </c>
      <c r="C730" s="1" t="n">
        <v>46145</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24413-2024</t>
        </is>
      </c>
      <c r="B731" s="1" t="n">
        <v>45457</v>
      </c>
      <c r="C731" s="1" t="n">
        <v>46145</v>
      </c>
      <c r="D731" t="inlineStr">
        <is>
          <t>VÄSTERBOTTENS LÄN</t>
        </is>
      </c>
      <c r="E731" t="inlineStr">
        <is>
          <t>VINDELN</t>
        </is>
      </c>
      <c r="G731" t="n">
        <v>0.7</v>
      </c>
      <c r="H731" t="n">
        <v>0</v>
      </c>
      <c r="I731" t="n">
        <v>1</v>
      </c>
      <c r="J731" t="n">
        <v>1</v>
      </c>
      <c r="K731" t="n">
        <v>0</v>
      </c>
      <c r="L731" t="n">
        <v>0</v>
      </c>
      <c r="M731" t="n">
        <v>0</v>
      </c>
      <c r="N731" t="n">
        <v>0</v>
      </c>
      <c r="O731" t="n">
        <v>1</v>
      </c>
      <c r="P731" t="n">
        <v>0</v>
      </c>
      <c r="Q731" t="n">
        <v>2</v>
      </c>
      <c r="R731" s="2" t="inlineStr">
        <is>
          <t>Ullticka
Vedticka</t>
        </is>
      </c>
      <c r="S731">
        <f>HYPERLINK("https://klasma.github.io/Logging_2404/artfynd/A 24413-2024 artfynd.xlsx", "A 24413-2024")</f>
        <v/>
      </c>
      <c r="T731">
        <f>HYPERLINK("https://klasma.github.io/Logging_2404/kartor/A 24413-2024 karta.png", "A 24413-2024")</f>
        <v/>
      </c>
      <c r="V731">
        <f>HYPERLINK("https://klasma.github.io/Logging_2404/klagomål/A 24413-2024 FSC-klagomål.docx", "A 24413-2024")</f>
        <v/>
      </c>
      <c r="W731">
        <f>HYPERLINK("https://klasma.github.io/Logging_2404/klagomålsmail/A 24413-2024 FSC-klagomål mail.docx", "A 24413-2024")</f>
        <v/>
      </c>
      <c r="X731">
        <f>HYPERLINK("https://klasma.github.io/Logging_2404/tillsyn/A 24413-2024 tillsynsbegäran.docx", "A 24413-2024")</f>
        <v/>
      </c>
      <c r="Y731">
        <f>HYPERLINK("https://klasma.github.io/Logging_2404/tillsynsmail/A 24413-2024 tillsynsbegäran mail.docx", "A 24413-2024")</f>
        <v/>
      </c>
    </row>
    <row r="732" ht="15" customHeight="1">
      <c r="A732" t="inlineStr">
        <is>
          <t>A 10546-2023</t>
        </is>
      </c>
      <c r="B732" s="1" t="n">
        <v>44987</v>
      </c>
      <c r="C732" s="1" t="n">
        <v>46145</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53422-2024</t>
        </is>
      </c>
      <c r="B733" s="1" t="n">
        <v>45614.51167824074</v>
      </c>
      <c r="C733" s="1" t="n">
        <v>46145</v>
      </c>
      <c r="D733" t="inlineStr">
        <is>
          <t>VÄSTERBOTTENS LÄN</t>
        </is>
      </c>
      <c r="E733" t="inlineStr">
        <is>
          <t>SKELLEFTEÅ</t>
        </is>
      </c>
      <c r="G733" t="n">
        <v>1.6</v>
      </c>
      <c r="H733" t="n">
        <v>1</v>
      </c>
      <c r="I733" t="n">
        <v>0</v>
      </c>
      <c r="J733" t="n">
        <v>2</v>
      </c>
      <c r="K733" t="n">
        <v>0</v>
      </c>
      <c r="L733" t="n">
        <v>0</v>
      </c>
      <c r="M733" t="n">
        <v>0</v>
      </c>
      <c r="N733" t="n">
        <v>0</v>
      </c>
      <c r="O733" t="n">
        <v>2</v>
      </c>
      <c r="P733" t="n">
        <v>0</v>
      </c>
      <c r="Q733" t="n">
        <v>2</v>
      </c>
      <c r="R733" s="2" t="inlineStr">
        <is>
          <t>Järpe
Talltaggsvamp</t>
        </is>
      </c>
      <c r="S733">
        <f>HYPERLINK("https://klasma.github.io/Logging_2482/artfynd/A 53422-2024 artfynd.xlsx", "A 53422-2024")</f>
        <v/>
      </c>
      <c r="T733">
        <f>HYPERLINK("https://klasma.github.io/Logging_2482/kartor/A 53422-2024 karta.png", "A 53422-2024")</f>
        <v/>
      </c>
      <c r="V733">
        <f>HYPERLINK("https://klasma.github.io/Logging_2482/klagomål/A 53422-2024 FSC-klagomål.docx", "A 53422-2024")</f>
        <v/>
      </c>
      <c r="W733">
        <f>HYPERLINK("https://klasma.github.io/Logging_2482/klagomålsmail/A 53422-2024 FSC-klagomål mail.docx", "A 53422-2024")</f>
        <v/>
      </c>
      <c r="X733">
        <f>HYPERLINK("https://klasma.github.io/Logging_2482/tillsyn/A 53422-2024 tillsynsbegäran.docx", "A 53422-2024")</f>
        <v/>
      </c>
      <c r="Y733">
        <f>HYPERLINK("https://klasma.github.io/Logging_2482/tillsynsmail/A 53422-2024 tillsynsbegäran mail.docx", "A 53422-2024")</f>
        <v/>
      </c>
      <c r="Z733">
        <f>HYPERLINK("https://klasma.github.io/Logging_2482/fåglar/A 53422-2024 prioriterade fågelarter.docx", "A 53422-2024")</f>
        <v/>
      </c>
    </row>
    <row r="734" ht="15" customHeight="1">
      <c r="A734" t="inlineStr">
        <is>
          <t>A 41087-2023</t>
        </is>
      </c>
      <c r="B734" s="1" t="n">
        <v>45173</v>
      </c>
      <c r="C734" s="1" t="n">
        <v>46145</v>
      </c>
      <c r="D734" t="inlineStr">
        <is>
          <t>VÄSTERBOTTENS LÄN</t>
        </is>
      </c>
      <c r="E734" t="inlineStr">
        <is>
          <t>SKELLEFTEÅ</t>
        </is>
      </c>
      <c r="F734" t="inlineStr">
        <is>
          <t>Holmen skog AB</t>
        </is>
      </c>
      <c r="G734" t="n">
        <v>10</v>
      </c>
      <c r="H734" t="n">
        <v>1</v>
      </c>
      <c r="I734" t="n">
        <v>0</v>
      </c>
      <c r="J734" t="n">
        <v>0</v>
      </c>
      <c r="K734" t="n">
        <v>1</v>
      </c>
      <c r="L734" t="n">
        <v>1</v>
      </c>
      <c r="M734" t="n">
        <v>0</v>
      </c>
      <c r="N734" t="n">
        <v>0</v>
      </c>
      <c r="O734" t="n">
        <v>2</v>
      </c>
      <c r="P734" t="n">
        <v>2</v>
      </c>
      <c r="Q734" t="n">
        <v>2</v>
      </c>
      <c r="R734" s="2" t="inlineStr">
        <is>
          <t>Flodpärlmussla
Knärot</t>
        </is>
      </c>
      <c r="S734">
        <f>HYPERLINK("https://klasma.github.io/Logging_2482/artfynd/A 41087-2023 artfynd.xlsx", "A 41087-2023")</f>
        <v/>
      </c>
      <c r="T734">
        <f>HYPERLINK("https://klasma.github.io/Logging_2482/kartor/A 41087-2023 karta.png", "A 41087-2023")</f>
        <v/>
      </c>
      <c r="U734">
        <f>HYPERLINK("https://klasma.github.io/Logging_2482/knärot/A 41087-2023 karta knärot.png", "A 41087-2023")</f>
        <v/>
      </c>
      <c r="V734">
        <f>HYPERLINK("https://klasma.github.io/Logging_2482/klagomål/A 41087-2023 FSC-klagomål.docx", "A 41087-2023")</f>
        <v/>
      </c>
      <c r="W734">
        <f>HYPERLINK("https://klasma.github.io/Logging_2482/klagomålsmail/A 41087-2023 FSC-klagomål mail.docx", "A 41087-2023")</f>
        <v/>
      </c>
      <c r="X734">
        <f>HYPERLINK("https://klasma.github.io/Logging_2482/tillsyn/A 41087-2023 tillsynsbegäran.docx", "A 41087-2023")</f>
        <v/>
      </c>
      <c r="Y734">
        <f>HYPERLINK("https://klasma.github.io/Logging_2482/tillsynsmail/A 41087-2023 tillsynsbegäran mail.docx", "A 41087-2023")</f>
        <v/>
      </c>
    </row>
    <row r="735" ht="15" customHeight="1">
      <c r="A735" t="inlineStr">
        <is>
          <t>A 57179-2025</t>
        </is>
      </c>
      <c r="B735" s="1" t="n">
        <v>45979.55950231481</v>
      </c>
      <c r="C735" s="1" t="n">
        <v>46145</v>
      </c>
      <c r="D735" t="inlineStr">
        <is>
          <t>VÄSTERBOTTENS LÄN</t>
        </is>
      </c>
      <c r="E735" t="inlineStr">
        <is>
          <t>LYCKSELE</t>
        </is>
      </c>
      <c r="F735" t="inlineStr">
        <is>
          <t>Sveaskog</t>
        </is>
      </c>
      <c r="G735" t="n">
        <v>10.1</v>
      </c>
      <c r="H735" t="n">
        <v>0</v>
      </c>
      <c r="I735" t="n">
        <v>1</v>
      </c>
      <c r="J735" t="n">
        <v>1</v>
      </c>
      <c r="K735" t="n">
        <v>0</v>
      </c>
      <c r="L735" t="n">
        <v>0</v>
      </c>
      <c r="M735" t="n">
        <v>0</v>
      </c>
      <c r="N735" t="n">
        <v>0</v>
      </c>
      <c r="O735" t="n">
        <v>1</v>
      </c>
      <c r="P735" t="n">
        <v>0</v>
      </c>
      <c r="Q735" t="n">
        <v>2</v>
      </c>
      <c r="R735" s="2" t="inlineStr">
        <is>
          <t>Granticka
Strutbräken</t>
        </is>
      </c>
      <c r="S735">
        <f>HYPERLINK("https://klasma.github.io/Logging_2481/artfynd/A 57179-2025 artfynd.xlsx", "A 57179-2025")</f>
        <v/>
      </c>
      <c r="T735">
        <f>HYPERLINK("https://klasma.github.io/Logging_2481/kartor/A 57179-2025 karta.png", "A 57179-2025")</f>
        <v/>
      </c>
      <c r="V735">
        <f>HYPERLINK("https://klasma.github.io/Logging_2481/klagomål/A 57179-2025 FSC-klagomål.docx", "A 57179-2025")</f>
        <v/>
      </c>
      <c r="W735">
        <f>HYPERLINK("https://klasma.github.io/Logging_2481/klagomålsmail/A 57179-2025 FSC-klagomål mail.docx", "A 57179-2025")</f>
        <v/>
      </c>
      <c r="X735">
        <f>HYPERLINK("https://klasma.github.io/Logging_2481/tillsyn/A 57179-2025 tillsynsbegäran.docx", "A 57179-2025")</f>
        <v/>
      </c>
      <c r="Y735">
        <f>HYPERLINK("https://klasma.github.io/Logging_2481/tillsynsmail/A 57179-2025 tillsynsbegäran mail.docx", "A 57179-2025")</f>
        <v/>
      </c>
    </row>
    <row r="736" ht="15" customHeight="1">
      <c r="A736" t="inlineStr">
        <is>
          <t>A 45935-2024</t>
        </is>
      </c>
      <c r="B736" s="1" t="n">
        <v>45580.5121412037</v>
      </c>
      <c r="C736" s="1" t="n">
        <v>46145</v>
      </c>
      <c r="D736" t="inlineStr">
        <is>
          <t>VÄSTERBOTTENS LÄN</t>
        </is>
      </c>
      <c r="E736" t="inlineStr">
        <is>
          <t>LYCKSELE</t>
        </is>
      </c>
      <c r="F736" t="inlineStr">
        <is>
          <t>Sveaskog</t>
        </is>
      </c>
      <c r="G736" t="n">
        <v>2.4</v>
      </c>
      <c r="H736" t="n">
        <v>0</v>
      </c>
      <c r="I736" t="n">
        <v>0</v>
      </c>
      <c r="J736" t="n">
        <v>2</v>
      </c>
      <c r="K736" t="n">
        <v>0</v>
      </c>
      <c r="L736" t="n">
        <v>0</v>
      </c>
      <c r="M736" t="n">
        <v>0</v>
      </c>
      <c r="N736" t="n">
        <v>0</v>
      </c>
      <c r="O736" t="n">
        <v>2</v>
      </c>
      <c r="P736" t="n">
        <v>0</v>
      </c>
      <c r="Q736" t="n">
        <v>2</v>
      </c>
      <c r="R736" s="2" t="inlineStr">
        <is>
          <t>Lunglav
Orange taggsvamp</t>
        </is>
      </c>
      <c r="S736">
        <f>HYPERLINK("https://klasma.github.io/Logging_2481/artfynd/A 45935-2024 artfynd.xlsx", "A 45935-2024")</f>
        <v/>
      </c>
      <c r="T736">
        <f>HYPERLINK("https://klasma.github.io/Logging_2481/kartor/A 45935-2024 karta.png", "A 45935-2024")</f>
        <v/>
      </c>
      <c r="V736">
        <f>HYPERLINK("https://klasma.github.io/Logging_2481/klagomål/A 45935-2024 FSC-klagomål.docx", "A 45935-2024")</f>
        <v/>
      </c>
      <c r="W736">
        <f>HYPERLINK("https://klasma.github.io/Logging_2481/klagomålsmail/A 45935-2024 FSC-klagomål mail.docx", "A 45935-2024")</f>
        <v/>
      </c>
      <c r="X736">
        <f>HYPERLINK("https://klasma.github.io/Logging_2481/tillsyn/A 45935-2024 tillsynsbegäran.docx", "A 45935-2024")</f>
        <v/>
      </c>
      <c r="Y736">
        <f>HYPERLINK("https://klasma.github.io/Logging_2481/tillsynsmail/A 45935-2024 tillsynsbegäran mail.docx", "A 45935-2024")</f>
        <v/>
      </c>
    </row>
    <row r="737" ht="15" customHeight="1">
      <c r="A737" t="inlineStr">
        <is>
          <t>A 58115-2025</t>
        </is>
      </c>
      <c r="B737" s="1" t="n">
        <v>45982.60415509259</v>
      </c>
      <c r="C737" s="1" t="n">
        <v>46145</v>
      </c>
      <c r="D737" t="inlineStr">
        <is>
          <t>VÄSTERBOTTENS LÄN</t>
        </is>
      </c>
      <c r="E737" t="inlineStr">
        <is>
          <t>LYCKSELE</t>
        </is>
      </c>
      <c r="G737" t="n">
        <v>20.9</v>
      </c>
      <c r="H737" t="n">
        <v>0</v>
      </c>
      <c r="I737" t="n">
        <v>0</v>
      </c>
      <c r="J737" t="n">
        <v>2</v>
      </c>
      <c r="K737" t="n">
        <v>0</v>
      </c>
      <c r="L737" t="n">
        <v>0</v>
      </c>
      <c r="M737" t="n">
        <v>0</v>
      </c>
      <c r="N737" t="n">
        <v>0</v>
      </c>
      <c r="O737" t="n">
        <v>2</v>
      </c>
      <c r="P737" t="n">
        <v>0</v>
      </c>
      <c r="Q737" t="n">
        <v>2</v>
      </c>
      <c r="R737" s="2" t="inlineStr">
        <is>
          <t>Garnlav
Lunglav</t>
        </is>
      </c>
      <c r="S737">
        <f>HYPERLINK("https://klasma.github.io/Logging_2481/artfynd/A 58115-2025 artfynd.xlsx", "A 58115-2025")</f>
        <v/>
      </c>
      <c r="T737">
        <f>HYPERLINK("https://klasma.github.io/Logging_2481/kartor/A 58115-2025 karta.png", "A 58115-2025")</f>
        <v/>
      </c>
      <c r="V737">
        <f>HYPERLINK("https://klasma.github.io/Logging_2481/klagomål/A 58115-2025 FSC-klagomål.docx", "A 58115-2025")</f>
        <v/>
      </c>
      <c r="W737">
        <f>HYPERLINK("https://klasma.github.io/Logging_2481/klagomålsmail/A 58115-2025 FSC-klagomål mail.docx", "A 58115-2025")</f>
        <v/>
      </c>
      <c r="X737">
        <f>HYPERLINK("https://klasma.github.io/Logging_2481/tillsyn/A 58115-2025 tillsynsbegäran.docx", "A 58115-2025")</f>
        <v/>
      </c>
      <c r="Y737">
        <f>HYPERLINK("https://klasma.github.io/Logging_2481/tillsynsmail/A 58115-2025 tillsynsbegäran mail.docx", "A 58115-2025")</f>
        <v/>
      </c>
    </row>
    <row r="738" ht="15" customHeight="1">
      <c r="A738" t="inlineStr">
        <is>
          <t>A 57756-2025</t>
        </is>
      </c>
      <c r="B738" s="1" t="n">
        <v>45981.54915509259</v>
      </c>
      <c r="C738" s="1" t="n">
        <v>46145</v>
      </c>
      <c r="D738" t="inlineStr">
        <is>
          <t>VÄSTERBOTTENS LÄN</t>
        </is>
      </c>
      <c r="E738" t="inlineStr">
        <is>
          <t>NORSJÖ</t>
        </is>
      </c>
      <c r="F738" t="inlineStr">
        <is>
          <t>Sveaskog</t>
        </is>
      </c>
      <c r="G738" t="n">
        <v>16.8</v>
      </c>
      <c r="H738" t="n">
        <v>2</v>
      </c>
      <c r="I738" t="n">
        <v>1</v>
      </c>
      <c r="J738" t="n">
        <v>1</v>
      </c>
      <c r="K738" t="n">
        <v>0</v>
      </c>
      <c r="L738" t="n">
        <v>0</v>
      </c>
      <c r="M738" t="n">
        <v>0</v>
      </c>
      <c r="N738" t="n">
        <v>0</v>
      </c>
      <c r="O738" t="n">
        <v>1</v>
      </c>
      <c r="P738" t="n">
        <v>0</v>
      </c>
      <c r="Q738" t="n">
        <v>2</v>
      </c>
      <c r="R738" s="2" t="inlineStr">
        <is>
          <t>Talltita
Plattlummer</t>
        </is>
      </c>
      <c r="S738">
        <f>HYPERLINK("https://klasma.github.io/Logging_2417/artfynd/A 57756-2025 artfynd.xlsx", "A 57756-2025")</f>
        <v/>
      </c>
      <c r="T738">
        <f>HYPERLINK("https://klasma.github.io/Logging_2417/kartor/A 57756-2025 karta.png", "A 57756-2025")</f>
        <v/>
      </c>
      <c r="V738">
        <f>HYPERLINK("https://klasma.github.io/Logging_2417/klagomål/A 57756-2025 FSC-klagomål.docx", "A 57756-2025")</f>
        <v/>
      </c>
      <c r="W738">
        <f>HYPERLINK("https://klasma.github.io/Logging_2417/klagomålsmail/A 57756-2025 FSC-klagomål mail.docx", "A 57756-2025")</f>
        <v/>
      </c>
      <c r="X738">
        <f>HYPERLINK("https://klasma.github.io/Logging_2417/tillsyn/A 57756-2025 tillsynsbegäran.docx", "A 57756-2025")</f>
        <v/>
      </c>
      <c r="Y738">
        <f>HYPERLINK("https://klasma.github.io/Logging_2417/tillsynsmail/A 57756-2025 tillsynsbegäran mail.docx", "A 57756-2025")</f>
        <v/>
      </c>
      <c r="Z738">
        <f>HYPERLINK("https://klasma.github.io/Logging_2417/fåglar/A 57756-2025 prioriterade fågelarter.docx", "A 57756-2025")</f>
        <v/>
      </c>
    </row>
    <row r="739" ht="15" customHeight="1">
      <c r="A739" t="inlineStr">
        <is>
          <t>A 57969-2025</t>
        </is>
      </c>
      <c r="B739" s="1" t="n">
        <v>45982.38577546296</v>
      </c>
      <c r="C739" s="1" t="n">
        <v>46145</v>
      </c>
      <c r="D739" t="inlineStr">
        <is>
          <t>VÄSTERBOTTENS LÄN</t>
        </is>
      </c>
      <c r="E739" t="inlineStr">
        <is>
          <t>SKELLEFTEÅ</t>
        </is>
      </c>
      <c r="G739" t="n">
        <v>2.6</v>
      </c>
      <c r="H739" t="n">
        <v>1</v>
      </c>
      <c r="I739" t="n">
        <v>1</v>
      </c>
      <c r="J739" t="n">
        <v>0</v>
      </c>
      <c r="K739" t="n">
        <v>0</v>
      </c>
      <c r="L739" t="n">
        <v>0</v>
      </c>
      <c r="M739" t="n">
        <v>0</v>
      </c>
      <c r="N739" t="n">
        <v>0</v>
      </c>
      <c r="O739" t="n">
        <v>0</v>
      </c>
      <c r="P739" t="n">
        <v>0</v>
      </c>
      <c r="Q739" t="n">
        <v>2</v>
      </c>
      <c r="R739" s="2" t="inlineStr">
        <is>
          <t>Björksplintborre
Skogsödla</t>
        </is>
      </c>
      <c r="S739">
        <f>HYPERLINK("https://klasma.github.io/Logging_2482/artfynd/A 57969-2025 artfynd.xlsx", "A 57969-2025")</f>
        <v/>
      </c>
      <c r="T739">
        <f>HYPERLINK("https://klasma.github.io/Logging_2482/kartor/A 57969-2025 karta.png", "A 57969-2025")</f>
        <v/>
      </c>
      <c r="V739">
        <f>HYPERLINK("https://klasma.github.io/Logging_2482/klagomål/A 57969-2025 FSC-klagomål.docx", "A 57969-2025")</f>
        <v/>
      </c>
      <c r="W739">
        <f>HYPERLINK("https://klasma.github.io/Logging_2482/klagomålsmail/A 57969-2025 FSC-klagomål mail.docx", "A 57969-2025")</f>
        <v/>
      </c>
      <c r="X739">
        <f>HYPERLINK("https://klasma.github.io/Logging_2482/tillsyn/A 57969-2025 tillsynsbegäran.docx", "A 57969-2025")</f>
        <v/>
      </c>
      <c r="Y739">
        <f>HYPERLINK("https://klasma.github.io/Logging_2482/tillsynsmail/A 57969-2025 tillsynsbegäran mail.docx", "A 57969-2025")</f>
        <v/>
      </c>
    </row>
    <row r="740" ht="15" customHeight="1">
      <c r="A740" t="inlineStr">
        <is>
          <t>A 58271-2025</t>
        </is>
      </c>
      <c r="B740" s="1" t="n">
        <v>45985.42745370371</v>
      </c>
      <c r="C740" s="1" t="n">
        <v>46145</v>
      </c>
      <c r="D740" t="inlineStr">
        <is>
          <t>VÄSTERBOTTENS LÄN</t>
        </is>
      </c>
      <c r="E740" t="inlineStr">
        <is>
          <t>NORSJÖ</t>
        </is>
      </c>
      <c r="G740" t="n">
        <v>4.2</v>
      </c>
      <c r="H740" t="n">
        <v>0</v>
      </c>
      <c r="I740" t="n">
        <v>0</v>
      </c>
      <c r="J740" t="n">
        <v>2</v>
      </c>
      <c r="K740" t="n">
        <v>0</v>
      </c>
      <c r="L740" t="n">
        <v>0</v>
      </c>
      <c r="M740" t="n">
        <v>0</v>
      </c>
      <c r="N740" t="n">
        <v>0</v>
      </c>
      <c r="O740" t="n">
        <v>2</v>
      </c>
      <c r="P740" t="n">
        <v>0</v>
      </c>
      <c r="Q740" t="n">
        <v>2</v>
      </c>
      <c r="R740" s="2" t="inlineStr">
        <is>
          <t>Garnlav
Granticka</t>
        </is>
      </c>
      <c r="S740">
        <f>HYPERLINK("https://klasma.github.io/Logging_2417/artfynd/A 58271-2025 artfynd.xlsx", "A 58271-2025")</f>
        <v/>
      </c>
      <c r="T740">
        <f>HYPERLINK("https://klasma.github.io/Logging_2417/kartor/A 58271-2025 karta.png", "A 58271-2025")</f>
        <v/>
      </c>
      <c r="V740">
        <f>HYPERLINK("https://klasma.github.io/Logging_2417/klagomål/A 58271-2025 FSC-klagomål.docx", "A 58271-2025")</f>
        <v/>
      </c>
      <c r="W740">
        <f>HYPERLINK("https://klasma.github.io/Logging_2417/klagomålsmail/A 58271-2025 FSC-klagomål mail.docx", "A 58271-2025")</f>
        <v/>
      </c>
      <c r="X740">
        <f>HYPERLINK("https://klasma.github.io/Logging_2417/tillsyn/A 58271-2025 tillsynsbegäran.docx", "A 58271-2025")</f>
        <v/>
      </c>
      <c r="Y740">
        <f>HYPERLINK("https://klasma.github.io/Logging_2417/tillsynsmail/A 58271-2025 tillsynsbegäran mail.docx", "A 58271-2025")</f>
        <v/>
      </c>
    </row>
    <row r="741" ht="15" customHeight="1">
      <c r="A741" t="inlineStr">
        <is>
          <t>A 58693-2025</t>
        </is>
      </c>
      <c r="B741" s="1" t="n">
        <v>45986.58333333334</v>
      </c>
      <c r="C741" s="1" t="n">
        <v>46145</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16914-2024</t>
        </is>
      </c>
      <c r="B742" s="1" t="n">
        <v>45411</v>
      </c>
      <c r="C742" s="1" t="n">
        <v>46145</v>
      </c>
      <c r="D742" t="inlineStr">
        <is>
          <t>VÄSTERBOTTENS LÄN</t>
        </is>
      </c>
      <c r="E742" t="inlineStr">
        <is>
          <t>LYCKSELE</t>
        </is>
      </c>
      <c r="G742" t="n">
        <v>24.6</v>
      </c>
      <c r="H742" t="n">
        <v>2</v>
      </c>
      <c r="I742" t="n">
        <v>0</v>
      </c>
      <c r="J742" t="n">
        <v>1</v>
      </c>
      <c r="K742" t="n">
        <v>0</v>
      </c>
      <c r="L742" t="n">
        <v>0</v>
      </c>
      <c r="M742" t="n">
        <v>0</v>
      </c>
      <c r="N742" t="n">
        <v>0</v>
      </c>
      <c r="O742" t="n">
        <v>1</v>
      </c>
      <c r="P742" t="n">
        <v>0</v>
      </c>
      <c r="Q742" t="n">
        <v>2</v>
      </c>
      <c r="R742" s="2" t="inlineStr">
        <is>
          <t>Tretåig hackspett
Lavskrika</t>
        </is>
      </c>
      <c r="S742">
        <f>HYPERLINK("https://klasma.github.io/Logging_2481/artfynd/A 16914-2024 artfynd.xlsx", "A 16914-2024")</f>
        <v/>
      </c>
      <c r="T742">
        <f>HYPERLINK("https://klasma.github.io/Logging_2481/kartor/A 16914-2024 karta.png", "A 16914-2024")</f>
        <v/>
      </c>
      <c r="V742">
        <f>HYPERLINK("https://klasma.github.io/Logging_2481/klagomål/A 16914-2024 FSC-klagomål.docx", "A 16914-2024")</f>
        <v/>
      </c>
      <c r="W742">
        <f>HYPERLINK("https://klasma.github.io/Logging_2481/klagomålsmail/A 16914-2024 FSC-klagomål mail.docx", "A 16914-2024")</f>
        <v/>
      </c>
      <c r="X742">
        <f>HYPERLINK("https://klasma.github.io/Logging_2481/tillsyn/A 16914-2024 tillsynsbegäran.docx", "A 16914-2024")</f>
        <v/>
      </c>
      <c r="Y742">
        <f>HYPERLINK("https://klasma.github.io/Logging_2481/tillsynsmail/A 16914-2024 tillsynsbegäran mail.docx", "A 16914-2024")</f>
        <v/>
      </c>
      <c r="Z742">
        <f>HYPERLINK("https://klasma.github.io/Logging_2481/fåglar/A 16914-2024 prioriterade fågelarter.docx", "A 16914-2024")</f>
        <v/>
      </c>
    </row>
    <row r="743" ht="15" customHeight="1">
      <c r="A743" t="inlineStr">
        <is>
          <t>A 8715-2024</t>
        </is>
      </c>
      <c r="B743" s="1" t="n">
        <v>45356</v>
      </c>
      <c r="C743" s="1" t="n">
        <v>46145</v>
      </c>
      <c r="D743" t="inlineStr">
        <is>
          <t>VÄSTERBOTTENS LÄN</t>
        </is>
      </c>
      <c r="E743" t="inlineStr">
        <is>
          <t>UMEÅ</t>
        </is>
      </c>
      <c r="G743" t="n">
        <v>6.1</v>
      </c>
      <c r="H743" t="n">
        <v>0</v>
      </c>
      <c r="I743" t="n">
        <v>0</v>
      </c>
      <c r="J743" t="n">
        <v>1</v>
      </c>
      <c r="K743" t="n">
        <v>1</v>
      </c>
      <c r="L743" t="n">
        <v>0</v>
      </c>
      <c r="M743" t="n">
        <v>0</v>
      </c>
      <c r="N743" t="n">
        <v>0</v>
      </c>
      <c r="O743" t="n">
        <v>2</v>
      </c>
      <c r="P743" t="n">
        <v>1</v>
      </c>
      <c r="Q743" t="n">
        <v>2</v>
      </c>
      <c r="R743" s="2" t="inlineStr">
        <is>
          <t>Turkos blåvinge
Garnlav</t>
        </is>
      </c>
      <c r="S743">
        <f>HYPERLINK("https://klasma.github.io/Logging_2480/artfynd/A 8715-2024 artfynd.xlsx", "A 8715-2024")</f>
        <v/>
      </c>
      <c r="T743">
        <f>HYPERLINK("https://klasma.github.io/Logging_2480/kartor/A 8715-2024 karta.png", "A 8715-2024")</f>
        <v/>
      </c>
      <c r="V743">
        <f>HYPERLINK("https://klasma.github.io/Logging_2480/klagomål/A 8715-2024 FSC-klagomål.docx", "A 8715-2024")</f>
        <v/>
      </c>
      <c r="W743">
        <f>HYPERLINK("https://klasma.github.io/Logging_2480/klagomålsmail/A 8715-2024 FSC-klagomål mail.docx", "A 8715-2024")</f>
        <v/>
      </c>
      <c r="X743">
        <f>HYPERLINK("https://klasma.github.io/Logging_2480/tillsyn/A 8715-2024 tillsynsbegäran.docx", "A 8715-2024")</f>
        <v/>
      </c>
      <c r="Y743">
        <f>HYPERLINK("https://klasma.github.io/Logging_2480/tillsynsmail/A 8715-2024 tillsynsbegäran mail.docx", "A 8715-2024")</f>
        <v/>
      </c>
    </row>
    <row r="744" ht="15" customHeight="1">
      <c r="A744" t="inlineStr">
        <is>
          <t>A 52525-2024</t>
        </is>
      </c>
      <c r="B744" s="1" t="n">
        <v>45609</v>
      </c>
      <c r="C744" s="1" t="n">
        <v>46145</v>
      </c>
      <c r="D744" t="inlineStr">
        <is>
          <t>VÄSTERBOTTENS LÄN</t>
        </is>
      </c>
      <c r="E744" t="inlineStr">
        <is>
          <t>SKELLEFTEÅ</t>
        </is>
      </c>
      <c r="G744" t="n">
        <v>8.6</v>
      </c>
      <c r="H744" t="n">
        <v>0</v>
      </c>
      <c r="I744" t="n">
        <v>1</v>
      </c>
      <c r="J744" t="n">
        <v>1</v>
      </c>
      <c r="K744" t="n">
        <v>0</v>
      </c>
      <c r="L744" t="n">
        <v>0</v>
      </c>
      <c r="M744" t="n">
        <v>0</v>
      </c>
      <c r="N744" t="n">
        <v>0</v>
      </c>
      <c r="O744" t="n">
        <v>1</v>
      </c>
      <c r="P744" t="n">
        <v>0</v>
      </c>
      <c r="Q744" t="n">
        <v>2</v>
      </c>
      <c r="R744" s="2" t="inlineStr">
        <is>
          <t>Lunglav
Stuplav</t>
        </is>
      </c>
      <c r="S744">
        <f>HYPERLINK("https://klasma.github.io/Logging_2482/artfynd/A 52525-2024 artfynd.xlsx", "A 52525-2024")</f>
        <v/>
      </c>
      <c r="T744">
        <f>HYPERLINK("https://klasma.github.io/Logging_2482/kartor/A 52525-2024 karta.png", "A 52525-2024")</f>
        <v/>
      </c>
      <c r="V744">
        <f>HYPERLINK("https://klasma.github.io/Logging_2482/klagomål/A 52525-2024 FSC-klagomål.docx", "A 52525-2024")</f>
        <v/>
      </c>
      <c r="W744">
        <f>HYPERLINK("https://klasma.github.io/Logging_2482/klagomålsmail/A 52525-2024 FSC-klagomål mail.docx", "A 52525-2024")</f>
        <v/>
      </c>
      <c r="X744">
        <f>HYPERLINK("https://klasma.github.io/Logging_2482/tillsyn/A 52525-2024 tillsynsbegäran.docx", "A 52525-2024")</f>
        <v/>
      </c>
      <c r="Y744">
        <f>HYPERLINK("https://klasma.github.io/Logging_2482/tillsynsmail/A 52525-2024 tillsynsbegäran mail.docx", "A 52525-2024")</f>
        <v/>
      </c>
    </row>
    <row r="745" ht="15" customHeight="1">
      <c r="A745" t="inlineStr">
        <is>
          <t>A 43094-2023</t>
        </is>
      </c>
      <c r="B745" s="1" t="n">
        <v>45182</v>
      </c>
      <c r="C745" s="1" t="n">
        <v>46145</v>
      </c>
      <c r="D745" t="inlineStr">
        <is>
          <t>VÄSTERBOTTENS LÄN</t>
        </is>
      </c>
      <c r="E745" t="inlineStr">
        <is>
          <t>ROBERTSFORS</t>
        </is>
      </c>
      <c r="G745" t="n">
        <v>7.7</v>
      </c>
      <c r="H745" t="n">
        <v>2</v>
      </c>
      <c r="I745" t="n">
        <v>0</v>
      </c>
      <c r="J745" t="n">
        <v>2</v>
      </c>
      <c r="K745" t="n">
        <v>0</v>
      </c>
      <c r="L745" t="n">
        <v>0</v>
      </c>
      <c r="M745" t="n">
        <v>0</v>
      </c>
      <c r="N745" t="n">
        <v>0</v>
      </c>
      <c r="O745" t="n">
        <v>2</v>
      </c>
      <c r="P745" t="n">
        <v>0</v>
      </c>
      <c r="Q745" t="n">
        <v>2</v>
      </c>
      <c r="R745" s="2" t="inlineStr">
        <is>
          <t>Svartvit flugsnappare
Ärtsångare</t>
        </is>
      </c>
      <c r="S745">
        <f>HYPERLINK("https://klasma.github.io/Logging_2409/artfynd/A 43094-2023 artfynd.xlsx", "A 43094-2023")</f>
        <v/>
      </c>
      <c r="T745">
        <f>HYPERLINK("https://klasma.github.io/Logging_2409/kartor/A 43094-2023 karta.png", "A 43094-2023")</f>
        <v/>
      </c>
      <c r="V745">
        <f>HYPERLINK("https://klasma.github.io/Logging_2409/klagomål/A 43094-2023 FSC-klagomål.docx", "A 43094-2023")</f>
        <v/>
      </c>
      <c r="W745">
        <f>HYPERLINK("https://klasma.github.io/Logging_2409/klagomålsmail/A 43094-2023 FSC-klagomål mail.docx", "A 43094-2023")</f>
        <v/>
      </c>
      <c r="X745">
        <f>HYPERLINK("https://klasma.github.io/Logging_2409/tillsyn/A 43094-2023 tillsynsbegäran.docx", "A 43094-2023")</f>
        <v/>
      </c>
      <c r="Y745">
        <f>HYPERLINK("https://klasma.github.io/Logging_2409/tillsynsmail/A 43094-2023 tillsynsbegäran mail.docx", "A 43094-2023")</f>
        <v/>
      </c>
      <c r="Z745">
        <f>HYPERLINK("https://klasma.github.io/Logging_2409/fåglar/A 43094-2023 prioriterade fågelarter.docx", "A 43094-2023")</f>
        <v/>
      </c>
    </row>
    <row r="746" ht="15" customHeight="1">
      <c r="A746" t="inlineStr">
        <is>
          <t>A 7702-2025</t>
        </is>
      </c>
      <c r="B746" s="1" t="n">
        <v>45706.4094212963</v>
      </c>
      <c r="C746" s="1" t="n">
        <v>46145</v>
      </c>
      <c r="D746" t="inlineStr">
        <is>
          <t>VÄSTERBOTTENS LÄN</t>
        </is>
      </c>
      <c r="E746" t="inlineStr">
        <is>
          <t>LYCKSELE</t>
        </is>
      </c>
      <c r="G746" t="n">
        <v>3.5</v>
      </c>
      <c r="H746" t="n">
        <v>1</v>
      </c>
      <c r="I746" t="n">
        <v>0</v>
      </c>
      <c r="J746" t="n">
        <v>1</v>
      </c>
      <c r="K746" t="n">
        <v>0</v>
      </c>
      <c r="L746" t="n">
        <v>0</v>
      </c>
      <c r="M746" t="n">
        <v>0</v>
      </c>
      <c r="N746" t="n">
        <v>0</v>
      </c>
      <c r="O746" t="n">
        <v>1</v>
      </c>
      <c r="P746" t="n">
        <v>0</v>
      </c>
      <c r="Q746" t="n">
        <v>2</v>
      </c>
      <c r="R746" s="2" t="inlineStr">
        <is>
          <t>Garnlav
Kungsfågel</t>
        </is>
      </c>
      <c r="S746">
        <f>HYPERLINK("https://klasma.github.io/Logging_2481/artfynd/A 7702-2025 artfynd.xlsx", "A 7702-2025")</f>
        <v/>
      </c>
      <c r="T746">
        <f>HYPERLINK("https://klasma.github.io/Logging_2481/kartor/A 7702-2025 karta.png", "A 7702-2025")</f>
        <v/>
      </c>
      <c r="V746">
        <f>HYPERLINK("https://klasma.github.io/Logging_2481/klagomål/A 7702-2025 FSC-klagomål.docx", "A 7702-2025")</f>
        <v/>
      </c>
      <c r="W746">
        <f>HYPERLINK("https://klasma.github.io/Logging_2481/klagomålsmail/A 7702-2025 FSC-klagomål mail.docx", "A 7702-2025")</f>
        <v/>
      </c>
      <c r="X746">
        <f>HYPERLINK("https://klasma.github.io/Logging_2481/tillsyn/A 7702-2025 tillsynsbegäran.docx", "A 7702-2025")</f>
        <v/>
      </c>
      <c r="Y746">
        <f>HYPERLINK("https://klasma.github.io/Logging_2481/tillsynsmail/A 7702-2025 tillsynsbegäran mail.docx", "A 7702-2025")</f>
        <v/>
      </c>
      <c r="Z746">
        <f>HYPERLINK("https://klasma.github.io/Logging_2481/fåglar/A 7702-2025 prioriterade fågelarter.docx", "A 7702-2025")</f>
        <v/>
      </c>
    </row>
    <row r="747" ht="15" customHeight="1">
      <c r="A747" t="inlineStr">
        <is>
          <t>A 57851-2024</t>
        </is>
      </c>
      <c r="B747" s="1" t="n">
        <v>45631</v>
      </c>
      <c r="C747" s="1" t="n">
        <v>46145</v>
      </c>
      <c r="D747" t="inlineStr">
        <is>
          <t>VÄSTERBOTTENS LÄN</t>
        </is>
      </c>
      <c r="E747" t="inlineStr">
        <is>
          <t>SKELLEFTEÅ</t>
        </is>
      </c>
      <c r="F747" t="inlineStr">
        <is>
          <t>Sveaskog</t>
        </is>
      </c>
      <c r="G747" t="n">
        <v>15.7</v>
      </c>
      <c r="H747" t="n">
        <v>2</v>
      </c>
      <c r="I747" t="n">
        <v>0</v>
      </c>
      <c r="J747" t="n">
        <v>0</v>
      </c>
      <c r="K747" t="n">
        <v>0</v>
      </c>
      <c r="L747" t="n">
        <v>0</v>
      </c>
      <c r="M747" t="n">
        <v>0</v>
      </c>
      <c r="N747" t="n">
        <v>0</v>
      </c>
      <c r="O747" t="n">
        <v>0</v>
      </c>
      <c r="P747" t="n">
        <v>0</v>
      </c>
      <c r="Q747" t="n">
        <v>2</v>
      </c>
      <c r="R747" s="2" t="inlineStr">
        <is>
          <t>Fläcknycklar
Revlummer</t>
        </is>
      </c>
      <c r="S747">
        <f>HYPERLINK("https://klasma.github.io/Logging_2482/artfynd/A 57851-2024 artfynd.xlsx", "A 57851-2024")</f>
        <v/>
      </c>
      <c r="T747">
        <f>HYPERLINK("https://klasma.github.io/Logging_2482/kartor/A 57851-2024 karta.png", "A 57851-2024")</f>
        <v/>
      </c>
      <c r="V747">
        <f>HYPERLINK("https://klasma.github.io/Logging_2482/klagomål/A 57851-2024 FSC-klagomål.docx", "A 57851-2024")</f>
        <v/>
      </c>
      <c r="W747">
        <f>HYPERLINK("https://klasma.github.io/Logging_2482/klagomålsmail/A 57851-2024 FSC-klagomål mail.docx", "A 57851-2024")</f>
        <v/>
      </c>
      <c r="X747">
        <f>HYPERLINK("https://klasma.github.io/Logging_2482/tillsyn/A 57851-2024 tillsynsbegäran.docx", "A 57851-2024")</f>
        <v/>
      </c>
      <c r="Y747">
        <f>HYPERLINK("https://klasma.github.io/Logging_2482/tillsynsmail/A 57851-2024 tillsynsbegäran mail.docx", "A 57851-2024")</f>
        <v/>
      </c>
    </row>
    <row r="748" ht="15" customHeight="1">
      <c r="A748" t="inlineStr">
        <is>
          <t>A 60047-2025</t>
        </is>
      </c>
      <c r="B748" s="1" t="n">
        <v>45993.6286574074</v>
      </c>
      <c r="C748" s="1" t="n">
        <v>46145</v>
      </c>
      <c r="D748" t="inlineStr">
        <is>
          <t>VÄSTERBOTTENS LÄN</t>
        </is>
      </c>
      <c r="E748" t="inlineStr">
        <is>
          <t>UMEÅ</t>
        </is>
      </c>
      <c r="F748" t="inlineStr">
        <is>
          <t>Sveaskog</t>
        </is>
      </c>
      <c r="G748" t="n">
        <v>1.6</v>
      </c>
      <c r="H748" t="n">
        <v>0</v>
      </c>
      <c r="I748" t="n">
        <v>1</v>
      </c>
      <c r="J748" t="n">
        <v>1</v>
      </c>
      <c r="K748" t="n">
        <v>0</v>
      </c>
      <c r="L748" t="n">
        <v>0</v>
      </c>
      <c r="M748" t="n">
        <v>0</v>
      </c>
      <c r="N748" t="n">
        <v>0</v>
      </c>
      <c r="O748" t="n">
        <v>1</v>
      </c>
      <c r="P748" t="n">
        <v>0</v>
      </c>
      <c r="Q748" t="n">
        <v>2</v>
      </c>
      <c r="R748" s="2" t="inlineStr">
        <is>
          <t>Kolflarnlav
Dropptaggsvamp</t>
        </is>
      </c>
      <c r="S748">
        <f>HYPERLINK("https://klasma.github.io/Logging_2480/artfynd/A 60047-2025 artfynd.xlsx", "A 60047-2025")</f>
        <v/>
      </c>
      <c r="T748">
        <f>HYPERLINK("https://klasma.github.io/Logging_2480/kartor/A 60047-2025 karta.png", "A 60047-2025")</f>
        <v/>
      </c>
      <c r="V748">
        <f>HYPERLINK("https://klasma.github.io/Logging_2480/klagomål/A 60047-2025 FSC-klagomål.docx", "A 60047-2025")</f>
        <v/>
      </c>
      <c r="W748">
        <f>HYPERLINK("https://klasma.github.io/Logging_2480/klagomålsmail/A 60047-2025 FSC-klagomål mail.docx", "A 60047-2025")</f>
        <v/>
      </c>
      <c r="X748">
        <f>HYPERLINK("https://klasma.github.io/Logging_2480/tillsyn/A 60047-2025 tillsynsbegäran.docx", "A 60047-2025")</f>
        <v/>
      </c>
      <c r="Y748">
        <f>HYPERLINK("https://klasma.github.io/Logging_2480/tillsynsmail/A 60047-2025 tillsynsbegäran mail.docx", "A 60047-2025")</f>
        <v/>
      </c>
    </row>
    <row r="749" ht="15" customHeight="1">
      <c r="A749" t="inlineStr">
        <is>
          <t>A 31206-2023</t>
        </is>
      </c>
      <c r="B749" s="1" t="n">
        <v>45113</v>
      </c>
      <c r="C749" s="1" t="n">
        <v>46145</v>
      </c>
      <c r="D749" t="inlineStr">
        <is>
          <t>VÄSTERBOTTENS LÄN</t>
        </is>
      </c>
      <c r="E749" t="inlineStr">
        <is>
          <t>BJURHOLM</t>
        </is>
      </c>
      <c r="F749" t="inlineStr">
        <is>
          <t>SCA</t>
        </is>
      </c>
      <c r="G749" t="n">
        <v>6</v>
      </c>
      <c r="H749" t="n">
        <v>0</v>
      </c>
      <c r="I749" t="n">
        <v>1</v>
      </c>
      <c r="J749" t="n">
        <v>1</v>
      </c>
      <c r="K749" t="n">
        <v>0</v>
      </c>
      <c r="L749" t="n">
        <v>0</v>
      </c>
      <c r="M749" t="n">
        <v>0</v>
      </c>
      <c r="N749" t="n">
        <v>0</v>
      </c>
      <c r="O749" t="n">
        <v>1</v>
      </c>
      <c r="P749" t="n">
        <v>0</v>
      </c>
      <c r="Q749" t="n">
        <v>2</v>
      </c>
      <c r="R749" s="2" t="inlineStr">
        <is>
          <t>Garnlav
Skarp dropptaggsvamp</t>
        </is>
      </c>
      <c r="S749">
        <f>HYPERLINK("https://klasma.github.io/Logging_2403/artfynd/A 31206-2023 artfynd.xlsx", "A 31206-2023")</f>
        <v/>
      </c>
      <c r="T749">
        <f>HYPERLINK("https://klasma.github.io/Logging_2403/kartor/A 31206-2023 karta.png", "A 31206-2023")</f>
        <v/>
      </c>
      <c r="U749">
        <f>HYPERLINK("https://klasma.github.io/Logging_2403/knärot/A 31206-2023 karta knärot.png", "A 31206-2023")</f>
        <v/>
      </c>
      <c r="V749">
        <f>HYPERLINK("https://klasma.github.io/Logging_2403/klagomål/A 31206-2023 FSC-klagomål.docx", "A 31206-2023")</f>
        <v/>
      </c>
      <c r="W749">
        <f>HYPERLINK("https://klasma.github.io/Logging_2403/klagomålsmail/A 31206-2023 FSC-klagomål mail.docx", "A 31206-2023")</f>
        <v/>
      </c>
      <c r="X749">
        <f>HYPERLINK("https://klasma.github.io/Logging_2403/tillsyn/A 31206-2023 tillsynsbegäran.docx", "A 31206-2023")</f>
        <v/>
      </c>
      <c r="Y749">
        <f>HYPERLINK("https://klasma.github.io/Logging_2403/tillsynsmail/A 31206-2023 tillsynsbegäran mail.docx", "A 31206-2023")</f>
        <v/>
      </c>
    </row>
    <row r="750" ht="15" customHeight="1">
      <c r="A750" t="inlineStr">
        <is>
          <t>A 54363-2024</t>
        </is>
      </c>
      <c r="B750" s="1" t="n">
        <v>45617.41769675926</v>
      </c>
      <c r="C750" s="1" t="n">
        <v>46145</v>
      </c>
      <c r="D750" t="inlineStr">
        <is>
          <t>VÄSTERBOTTENS LÄN</t>
        </is>
      </c>
      <c r="E750" t="inlineStr">
        <is>
          <t>VINDELN</t>
        </is>
      </c>
      <c r="F750" t="inlineStr">
        <is>
          <t>Holmen skog AB</t>
        </is>
      </c>
      <c r="G750" t="n">
        <v>5.2</v>
      </c>
      <c r="H750" t="n">
        <v>0</v>
      </c>
      <c r="I750" t="n">
        <v>2</v>
      </c>
      <c r="J750" t="n">
        <v>0</v>
      </c>
      <c r="K750" t="n">
        <v>0</v>
      </c>
      <c r="L750" t="n">
        <v>0</v>
      </c>
      <c r="M750" t="n">
        <v>0</v>
      </c>
      <c r="N750" t="n">
        <v>0</v>
      </c>
      <c r="O750" t="n">
        <v>0</v>
      </c>
      <c r="P750" t="n">
        <v>0</v>
      </c>
      <c r="Q750" t="n">
        <v>2</v>
      </c>
      <c r="R750" s="2" t="inlineStr">
        <is>
          <t>Skinnlav
Vedticka</t>
        </is>
      </c>
      <c r="S750">
        <f>HYPERLINK("https://klasma.github.io/Logging_2404/artfynd/A 54363-2024 artfynd.xlsx", "A 54363-2024")</f>
        <v/>
      </c>
      <c r="T750">
        <f>HYPERLINK("https://klasma.github.io/Logging_2404/kartor/A 54363-2024 karta.png", "A 54363-2024")</f>
        <v/>
      </c>
      <c r="V750">
        <f>HYPERLINK("https://klasma.github.io/Logging_2404/klagomål/A 54363-2024 FSC-klagomål.docx", "A 54363-2024")</f>
        <v/>
      </c>
      <c r="W750">
        <f>HYPERLINK("https://klasma.github.io/Logging_2404/klagomålsmail/A 54363-2024 FSC-klagomål mail.docx", "A 54363-2024")</f>
        <v/>
      </c>
      <c r="X750">
        <f>HYPERLINK("https://klasma.github.io/Logging_2404/tillsyn/A 54363-2024 tillsynsbegäran.docx", "A 54363-2024")</f>
        <v/>
      </c>
      <c r="Y750">
        <f>HYPERLINK("https://klasma.github.io/Logging_2404/tillsynsmail/A 54363-2024 tillsynsbegäran mail.docx", "A 54363-2024")</f>
        <v/>
      </c>
    </row>
    <row r="751" ht="15" customHeight="1">
      <c r="A751" t="inlineStr">
        <is>
          <t>A 54284-2024</t>
        </is>
      </c>
      <c r="B751" s="1" t="n">
        <v>45616.89516203704</v>
      </c>
      <c r="C751" s="1" t="n">
        <v>46145</v>
      </c>
      <c r="D751" t="inlineStr">
        <is>
          <t>VÄSTERBOTTENS LÄN</t>
        </is>
      </c>
      <c r="E751" t="inlineStr">
        <is>
          <t>DOROTEA</t>
        </is>
      </c>
      <c r="G751" t="n">
        <v>16.1</v>
      </c>
      <c r="H751" t="n">
        <v>0</v>
      </c>
      <c r="I751" t="n">
        <v>2</v>
      </c>
      <c r="J751" t="n">
        <v>0</v>
      </c>
      <c r="K751" t="n">
        <v>0</v>
      </c>
      <c r="L751" t="n">
        <v>0</v>
      </c>
      <c r="M751" t="n">
        <v>0</v>
      </c>
      <c r="N751" t="n">
        <v>0</v>
      </c>
      <c r="O751" t="n">
        <v>0</v>
      </c>
      <c r="P751" t="n">
        <v>0</v>
      </c>
      <c r="Q751" t="n">
        <v>2</v>
      </c>
      <c r="R751" s="2" t="inlineStr">
        <is>
          <t>Bårdlav
Stuplav</t>
        </is>
      </c>
      <c r="S751">
        <f>HYPERLINK("https://klasma.github.io/Logging_2425/artfynd/A 54284-2024 artfynd.xlsx", "A 54284-2024")</f>
        <v/>
      </c>
      <c r="T751">
        <f>HYPERLINK("https://klasma.github.io/Logging_2425/kartor/A 54284-2024 karta.png", "A 54284-2024")</f>
        <v/>
      </c>
      <c r="V751">
        <f>HYPERLINK("https://klasma.github.io/Logging_2425/klagomål/A 54284-2024 FSC-klagomål.docx", "A 54284-2024")</f>
        <v/>
      </c>
      <c r="W751">
        <f>HYPERLINK("https://klasma.github.io/Logging_2425/klagomålsmail/A 54284-2024 FSC-klagomål mail.docx", "A 54284-2024")</f>
        <v/>
      </c>
      <c r="X751">
        <f>HYPERLINK("https://klasma.github.io/Logging_2425/tillsyn/A 54284-2024 tillsynsbegäran.docx", "A 54284-2024")</f>
        <v/>
      </c>
      <c r="Y751">
        <f>HYPERLINK("https://klasma.github.io/Logging_2425/tillsynsmail/A 54284-2024 tillsynsbegäran mail.docx", "A 54284-2024")</f>
        <v/>
      </c>
    </row>
    <row r="752" ht="15" customHeight="1">
      <c r="A752" t="inlineStr">
        <is>
          <t>A 61514-2025</t>
        </is>
      </c>
      <c r="B752" s="1" t="n">
        <v>46001.68449074074</v>
      </c>
      <c r="C752" s="1" t="n">
        <v>46145</v>
      </c>
      <c r="D752" t="inlineStr">
        <is>
          <t>VÄSTERBOTTENS LÄN</t>
        </is>
      </c>
      <c r="E752" t="inlineStr">
        <is>
          <t>BJURHOLM</t>
        </is>
      </c>
      <c r="F752" t="inlineStr">
        <is>
          <t>SCA</t>
        </is>
      </c>
      <c r="G752" t="n">
        <v>3.4</v>
      </c>
      <c r="H752" t="n">
        <v>0</v>
      </c>
      <c r="I752" t="n">
        <v>0</v>
      </c>
      <c r="J752" t="n">
        <v>1</v>
      </c>
      <c r="K752" t="n">
        <v>1</v>
      </c>
      <c r="L752" t="n">
        <v>0</v>
      </c>
      <c r="M752" t="n">
        <v>0</v>
      </c>
      <c r="N752" t="n">
        <v>0</v>
      </c>
      <c r="O752" t="n">
        <v>2</v>
      </c>
      <c r="P752" t="n">
        <v>1</v>
      </c>
      <c r="Q752" t="n">
        <v>2</v>
      </c>
      <c r="R752" s="2" t="inlineStr">
        <is>
          <t>Smalfotad taggsvamp
Tallticka</t>
        </is>
      </c>
      <c r="S752">
        <f>HYPERLINK("https://klasma.github.io/Logging_2403/artfynd/A 61514-2025 artfynd.xlsx", "A 61514-2025")</f>
        <v/>
      </c>
      <c r="T752">
        <f>HYPERLINK("https://klasma.github.io/Logging_2403/kartor/A 61514-2025 karta.png", "A 61514-2025")</f>
        <v/>
      </c>
      <c r="V752">
        <f>HYPERLINK("https://klasma.github.io/Logging_2403/klagomål/A 61514-2025 FSC-klagomål.docx", "A 61514-2025")</f>
        <v/>
      </c>
      <c r="W752">
        <f>HYPERLINK("https://klasma.github.io/Logging_2403/klagomålsmail/A 61514-2025 FSC-klagomål mail.docx", "A 61514-2025")</f>
        <v/>
      </c>
      <c r="X752">
        <f>HYPERLINK("https://klasma.github.io/Logging_2403/tillsyn/A 61514-2025 tillsynsbegäran.docx", "A 61514-2025")</f>
        <v/>
      </c>
      <c r="Y752">
        <f>HYPERLINK("https://klasma.github.io/Logging_2403/tillsynsmail/A 61514-2025 tillsynsbegäran mail.docx", "A 61514-2025")</f>
        <v/>
      </c>
    </row>
    <row r="753" ht="15" customHeight="1">
      <c r="A753" t="inlineStr">
        <is>
          <t>A 18922-2023</t>
        </is>
      </c>
      <c r="B753" s="1" t="n">
        <v>45043</v>
      </c>
      <c r="C753" s="1" t="n">
        <v>46145</v>
      </c>
      <c r="D753" t="inlineStr">
        <is>
          <t>VÄSTERBOTTENS LÄN</t>
        </is>
      </c>
      <c r="E753" t="inlineStr">
        <is>
          <t>UMEÅ</t>
        </is>
      </c>
      <c r="G753" t="n">
        <v>9.199999999999999</v>
      </c>
      <c r="H753" t="n">
        <v>0</v>
      </c>
      <c r="I753" t="n">
        <v>0</v>
      </c>
      <c r="J753" t="n">
        <v>2</v>
      </c>
      <c r="K753" t="n">
        <v>0</v>
      </c>
      <c r="L753" t="n">
        <v>0</v>
      </c>
      <c r="M753" t="n">
        <v>0</v>
      </c>
      <c r="N753" t="n">
        <v>0</v>
      </c>
      <c r="O753" t="n">
        <v>2</v>
      </c>
      <c r="P753" t="n">
        <v>0</v>
      </c>
      <c r="Q753" t="n">
        <v>2</v>
      </c>
      <c r="R753" s="2" t="inlineStr">
        <is>
          <t>Granticka
Ullticka</t>
        </is>
      </c>
      <c r="S753">
        <f>HYPERLINK("https://klasma.github.io/Logging_2480/artfynd/A 18922-2023 artfynd.xlsx", "A 18922-2023")</f>
        <v/>
      </c>
      <c r="T753">
        <f>HYPERLINK("https://klasma.github.io/Logging_2480/kartor/A 18922-2023 karta.png", "A 18922-2023")</f>
        <v/>
      </c>
      <c r="V753">
        <f>HYPERLINK("https://klasma.github.io/Logging_2480/klagomål/A 18922-2023 FSC-klagomål.docx", "A 18922-2023")</f>
        <v/>
      </c>
      <c r="W753">
        <f>HYPERLINK("https://klasma.github.io/Logging_2480/klagomålsmail/A 18922-2023 FSC-klagomål mail.docx", "A 18922-2023")</f>
        <v/>
      </c>
      <c r="X753">
        <f>HYPERLINK("https://klasma.github.io/Logging_2480/tillsyn/A 18922-2023 tillsynsbegäran.docx", "A 18922-2023")</f>
        <v/>
      </c>
      <c r="Y753">
        <f>HYPERLINK("https://klasma.github.io/Logging_2480/tillsynsmail/A 18922-2023 tillsynsbegäran mail.docx", "A 18922-2023")</f>
        <v/>
      </c>
    </row>
    <row r="754" ht="15" customHeight="1">
      <c r="A754" t="inlineStr">
        <is>
          <t>A 5110-2025</t>
        </is>
      </c>
      <c r="B754" s="1" t="n">
        <v>45691</v>
      </c>
      <c r="C754" s="1" t="n">
        <v>46145</v>
      </c>
      <c r="D754" t="inlineStr">
        <is>
          <t>VÄSTERBOTTENS LÄN</t>
        </is>
      </c>
      <c r="E754" t="inlineStr">
        <is>
          <t>SKELLEFTEÅ</t>
        </is>
      </c>
      <c r="G754" t="n">
        <v>3.5</v>
      </c>
      <c r="H754" t="n">
        <v>0</v>
      </c>
      <c r="I754" t="n">
        <v>0</v>
      </c>
      <c r="J754" t="n">
        <v>2</v>
      </c>
      <c r="K754" t="n">
        <v>0</v>
      </c>
      <c r="L754" t="n">
        <v>0</v>
      </c>
      <c r="M754" t="n">
        <v>0</v>
      </c>
      <c r="N754" t="n">
        <v>0</v>
      </c>
      <c r="O754" t="n">
        <v>2</v>
      </c>
      <c r="P754" t="n">
        <v>0</v>
      </c>
      <c r="Q754" t="n">
        <v>2</v>
      </c>
      <c r="R754" s="2" t="inlineStr">
        <is>
          <t>Gammelgransskål
Harticka</t>
        </is>
      </c>
      <c r="S754">
        <f>HYPERLINK("https://klasma.github.io/Logging_2482/artfynd/A 5110-2025 artfynd.xlsx", "A 5110-2025")</f>
        <v/>
      </c>
      <c r="T754">
        <f>HYPERLINK("https://klasma.github.io/Logging_2482/kartor/A 5110-2025 karta.png", "A 5110-2025")</f>
        <v/>
      </c>
      <c r="V754">
        <f>HYPERLINK("https://klasma.github.io/Logging_2482/klagomål/A 5110-2025 FSC-klagomål.docx", "A 5110-2025")</f>
        <v/>
      </c>
      <c r="W754">
        <f>HYPERLINK("https://klasma.github.io/Logging_2482/klagomålsmail/A 5110-2025 FSC-klagomål mail.docx", "A 5110-2025")</f>
        <v/>
      </c>
      <c r="X754">
        <f>HYPERLINK("https://klasma.github.io/Logging_2482/tillsyn/A 5110-2025 tillsynsbegäran.docx", "A 5110-2025")</f>
        <v/>
      </c>
      <c r="Y754">
        <f>HYPERLINK("https://klasma.github.io/Logging_2482/tillsynsmail/A 5110-2025 tillsynsbegäran mail.docx", "A 5110-2025")</f>
        <v/>
      </c>
    </row>
    <row r="755" ht="15" customHeight="1">
      <c r="A755" t="inlineStr">
        <is>
          <t>A 20367-2025</t>
        </is>
      </c>
      <c r="B755" s="1" t="n">
        <v>45775</v>
      </c>
      <c r="C755" s="1" t="n">
        <v>46145</v>
      </c>
      <c r="D755" t="inlineStr">
        <is>
          <t>VÄSTERBOTTENS LÄN</t>
        </is>
      </c>
      <c r="E755" t="inlineStr">
        <is>
          <t>SKELLEFTEÅ</t>
        </is>
      </c>
      <c r="G755" t="n">
        <v>3</v>
      </c>
      <c r="H755" t="n">
        <v>1</v>
      </c>
      <c r="I755" t="n">
        <v>0</v>
      </c>
      <c r="J755" t="n">
        <v>1</v>
      </c>
      <c r="K755" t="n">
        <v>1</v>
      </c>
      <c r="L755" t="n">
        <v>0</v>
      </c>
      <c r="M755" t="n">
        <v>0</v>
      </c>
      <c r="N755" t="n">
        <v>0</v>
      </c>
      <c r="O755" t="n">
        <v>2</v>
      </c>
      <c r="P755" t="n">
        <v>1</v>
      </c>
      <c r="Q755" t="n">
        <v>2</v>
      </c>
      <c r="R755" s="2" t="inlineStr">
        <is>
          <t>Knärot
Ullticka</t>
        </is>
      </c>
      <c r="S755">
        <f>HYPERLINK("https://klasma.github.io/Logging_2482/artfynd/A 20367-2025 artfynd.xlsx", "A 20367-2025")</f>
        <v/>
      </c>
      <c r="T755">
        <f>HYPERLINK("https://klasma.github.io/Logging_2482/kartor/A 20367-2025 karta.png", "A 20367-2025")</f>
        <v/>
      </c>
      <c r="U755">
        <f>HYPERLINK("https://klasma.github.io/Logging_2482/knärot/A 20367-2025 karta knärot.png", "A 20367-2025")</f>
        <v/>
      </c>
      <c r="V755">
        <f>HYPERLINK("https://klasma.github.io/Logging_2482/klagomål/A 20367-2025 FSC-klagomål.docx", "A 20367-2025")</f>
        <v/>
      </c>
      <c r="W755">
        <f>HYPERLINK("https://klasma.github.io/Logging_2482/klagomålsmail/A 20367-2025 FSC-klagomål mail.docx", "A 20367-2025")</f>
        <v/>
      </c>
      <c r="X755">
        <f>HYPERLINK("https://klasma.github.io/Logging_2482/tillsyn/A 20367-2025 tillsynsbegäran.docx", "A 20367-2025")</f>
        <v/>
      </c>
      <c r="Y755">
        <f>HYPERLINK("https://klasma.github.io/Logging_2482/tillsynsmail/A 20367-2025 tillsynsbegäran mail.docx", "A 20367-2025")</f>
        <v/>
      </c>
    </row>
    <row r="756" ht="15" customHeight="1">
      <c r="A756" t="inlineStr">
        <is>
          <t>A 63205-2025</t>
        </is>
      </c>
      <c r="B756" s="1" t="n">
        <v>46010.46971064815</v>
      </c>
      <c r="C756" s="1" t="n">
        <v>46145</v>
      </c>
      <c r="D756" t="inlineStr">
        <is>
          <t>VÄSTERBOTTENS LÄN</t>
        </is>
      </c>
      <c r="E756" t="inlineStr">
        <is>
          <t>BJURHOLM</t>
        </is>
      </c>
      <c r="F756" t="inlineStr">
        <is>
          <t>SCA</t>
        </is>
      </c>
      <c r="G756" t="n">
        <v>7</v>
      </c>
      <c r="H756" t="n">
        <v>0</v>
      </c>
      <c r="I756" t="n">
        <v>1</v>
      </c>
      <c r="J756" t="n">
        <v>1</v>
      </c>
      <c r="K756" t="n">
        <v>0</v>
      </c>
      <c r="L756" t="n">
        <v>0</v>
      </c>
      <c r="M756" t="n">
        <v>0</v>
      </c>
      <c r="N756" t="n">
        <v>0</v>
      </c>
      <c r="O756" t="n">
        <v>1</v>
      </c>
      <c r="P756" t="n">
        <v>0</v>
      </c>
      <c r="Q756" t="n">
        <v>2</v>
      </c>
      <c r="R756" s="2" t="inlineStr">
        <is>
          <t>Granticka
Stor aspticka</t>
        </is>
      </c>
      <c r="S756">
        <f>HYPERLINK("https://klasma.github.io/Logging_2403/artfynd/A 63205-2025 artfynd.xlsx", "A 63205-2025")</f>
        <v/>
      </c>
      <c r="T756">
        <f>HYPERLINK("https://klasma.github.io/Logging_2403/kartor/A 63205-2025 karta.png", "A 63205-2025")</f>
        <v/>
      </c>
      <c r="V756">
        <f>HYPERLINK("https://klasma.github.io/Logging_2403/klagomål/A 63205-2025 FSC-klagomål.docx", "A 63205-2025")</f>
        <v/>
      </c>
      <c r="W756">
        <f>HYPERLINK("https://klasma.github.io/Logging_2403/klagomålsmail/A 63205-2025 FSC-klagomål mail.docx", "A 63205-2025")</f>
        <v/>
      </c>
      <c r="X756">
        <f>HYPERLINK("https://klasma.github.io/Logging_2403/tillsyn/A 63205-2025 tillsynsbegäran.docx", "A 63205-2025")</f>
        <v/>
      </c>
      <c r="Y756">
        <f>HYPERLINK("https://klasma.github.io/Logging_2403/tillsynsmail/A 63205-2025 tillsynsbegäran mail.docx", "A 63205-2025")</f>
        <v/>
      </c>
    </row>
    <row r="757" ht="15" customHeight="1">
      <c r="A757" t="inlineStr">
        <is>
          <t>A 63573-2025</t>
        </is>
      </c>
      <c r="B757" s="1" t="n">
        <v>46013.66015046297</v>
      </c>
      <c r="C757" s="1" t="n">
        <v>46145</v>
      </c>
      <c r="D757" t="inlineStr">
        <is>
          <t>VÄSTERBOTTENS LÄN</t>
        </is>
      </c>
      <c r="E757" t="inlineStr">
        <is>
          <t>VÄNNÄS</t>
        </is>
      </c>
      <c r="G757" t="n">
        <v>1.3</v>
      </c>
      <c r="H757" t="n">
        <v>1</v>
      </c>
      <c r="I757" t="n">
        <v>1</v>
      </c>
      <c r="J757" t="n">
        <v>1</v>
      </c>
      <c r="K757" t="n">
        <v>0</v>
      </c>
      <c r="L757" t="n">
        <v>0</v>
      </c>
      <c r="M757" t="n">
        <v>0</v>
      </c>
      <c r="N757" t="n">
        <v>0</v>
      </c>
      <c r="O757" t="n">
        <v>1</v>
      </c>
      <c r="P757" t="n">
        <v>0</v>
      </c>
      <c r="Q757" t="n">
        <v>2</v>
      </c>
      <c r="R757" s="2" t="inlineStr">
        <is>
          <t>Järpe
Sotriska</t>
        </is>
      </c>
      <c r="S757">
        <f>HYPERLINK("https://klasma.github.io/Logging_2460/artfynd/A 63573-2025 artfynd.xlsx", "A 63573-2025")</f>
        <v/>
      </c>
      <c r="T757">
        <f>HYPERLINK("https://klasma.github.io/Logging_2460/kartor/A 63573-2025 karta.png", "A 63573-2025")</f>
        <v/>
      </c>
      <c r="V757">
        <f>HYPERLINK("https://klasma.github.io/Logging_2460/klagomål/A 63573-2025 FSC-klagomål.docx", "A 63573-2025")</f>
        <v/>
      </c>
      <c r="W757">
        <f>HYPERLINK("https://klasma.github.io/Logging_2460/klagomålsmail/A 63573-2025 FSC-klagomål mail.docx", "A 63573-2025")</f>
        <v/>
      </c>
      <c r="X757">
        <f>HYPERLINK("https://klasma.github.io/Logging_2460/tillsyn/A 63573-2025 tillsynsbegäran.docx", "A 63573-2025")</f>
        <v/>
      </c>
      <c r="Y757">
        <f>HYPERLINK("https://klasma.github.io/Logging_2460/tillsynsmail/A 63573-2025 tillsynsbegäran mail.docx", "A 63573-2025")</f>
        <v/>
      </c>
      <c r="Z757">
        <f>HYPERLINK("https://klasma.github.io/Logging_2460/fåglar/A 63573-2025 prioriterade fågelarter.docx", "A 63573-2025")</f>
        <v/>
      </c>
    </row>
    <row r="758" ht="15" customHeight="1">
      <c r="A758" t="inlineStr">
        <is>
          <t>A 4802-2026</t>
        </is>
      </c>
      <c r="B758" s="1" t="n">
        <v>46048</v>
      </c>
      <c r="C758" s="1" t="n">
        <v>46145</v>
      </c>
      <c r="D758" t="inlineStr">
        <is>
          <t>VÄSTERBOTTENS LÄN</t>
        </is>
      </c>
      <c r="E758" t="inlineStr">
        <is>
          <t>VILHELMINA</t>
        </is>
      </c>
      <c r="G758" t="n">
        <v>5.9</v>
      </c>
      <c r="H758" t="n">
        <v>1</v>
      </c>
      <c r="I758" t="n">
        <v>1</v>
      </c>
      <c r="J758" t="n">
        <v>0</v>
      </c>
      <c r="K758" t="n">
        <v>0</v>
      </c>
      <c r="L758" t="n">
        <v>0</v>
      </c>
      <c r="M758" t="n">
        <v>0</v>
      </c>
      <c r="N758" t="n">
        <v>0</v>
      </c>
      <c r="O758" t="n">
        <v>0</v>
      </c>
      <c r="P758" t="n">
        <v>0</v>
      </c>
      <c r="Q758" t="n">
        <v>2</v>
      </c>
      <c r="R758" s="2" t="inlineStr">
        <is>
          <t>Traslav
Revlummer</t>
        </is>
      </c>
      <c r="S758">
        <f>HYPERLINK("https://klasma.github.io/Logging_2462/artfynd/A 4802-2026 artfynd.xlsx", "A 4802-2026")</f>
        <v/>
      </c>
      <c r="T758">
        <f>HYPERLINK("https://klasma.github.io/Logging_2462/kartor/A 4802-2026 karta.png", "A 4802-2026")</f>
        <v/>
      </c>
      <c r="V758">
        <f>HYPERLINK("https://klasma.github.io/Logging_2462/klagomål/A 4802-2026 FSC-klagomål.docx", "A 4802-2026")</f>
        <v/>
      </c>
      <c r="W758">
        <f>HYPERLINK("https://klasma.github.io/Logging_2462/klagomålsmail/A 4802-2026 FSC-klagomål mail.docx", "A 4802-2026")</f>
        <v/>
      </c>
      <c r="X758">
        <f>HYPERLINK("https://klasma.github.io/Logging_2462/tillsyn/A 4802-2026 tillsynsbegäran.docx", "A 4802-2026")</f>
        <v/>
      </c>
      <c r="Y758">
        <f>HYPERLINK("https://klasma.github.io/Logging_2462/tillsynsmail/A 4802-2026 tillsynsbegäran mail.docx", "A 4802-2026")</f>
        <v/>
      </c>
    </row>
    <row r="759" ht="15" customHeight="1">
      <c r="A759" t="inlineStr">
        <is>
          <t>A 34050-2024</t>
        </is>
      </c>
      <c r="B759" s="1" t="n">
        <v>45523.60684027777</v>
      </c>
      <c r="C759" s="1" t="n">
        <v>46145</v>
      </c>
      <c r="D759" t="inlineStr">
        <is>
          <t>VÄSTERBOTTENS LÄN</t>
        </is>
      </c>
      <c r="E759" t="inlineStr">
        <is>
          <t>UMEÅ</t>
        </is>
      </c>
      <c r="F759" t="inlineStr">
        <is>
          <t>Holmen skog AB</t>
        </is>
      </c>
      <c r="G759" t="n">
        <v>9.699999999999999</v>
      </c>
      <c r="H759" t="n">
        <v>0</v>
      </c>
      <c r="I759" t="n">
        <v>1</v>
      </c>
      <c r="J759" t="n">
        <v>1</v>
      </c>
      <c r="K759" t="n">
        <v>0</v>
      </c>
      <c r="L759" t="n">
        <v>0</v>
      </c>
      <c r="M759" t="n">
        <v>0</v>
      </c>
      <c r="N759" t="n">
        <v>0</v>
      </c>
      <c r="O759" t="n">
        <v>1</v>
      </c>
      <c r="P759" t="n">
        <v>0</v>
      </c>
      <c r="Q759" t="n">
        <v>2</v>
      </c>
      <c r="R759" s="2" t="inlineStr">
        <is>
          <t>Gränsticka
Vedticka</t>
        </is>
      </c>
      <c r="S759">
        <f>HYPERLINK("https://klasma.github.io/Logging_2480/artfynd/A 34050-2024 artfynd.xlsx", "A 34050-2024")</f>
        <v/>
      </c>
      <c r="T759">
        <f>HYPERLINK("https://klasma.github.io/Logging_2480/kartor/A 34050-2024 karta.png", "A 34050-2024")</f>
        <v/>
      </c>
      <c r="V759">
        <f>HYPERLINK("https://klasma.github.io/Logging_2480/klagomål/A 34050-2024 FSC-klagomål.docx", "A 34050-2024")</f>
        <v/>
      </c>
      <c r="W759">
        <f>HYPERLINK("https://klasma.github.io/Logging_2480/klagomålsmail/A 34050-2024 FSC-klagomål mail.docx", "A 34050-2024")</f>
        <v/>
      </c>
      <c r="X759">
        <f>HYPERLINK("https://klasma.github.io/Logging_2480/tillsyn/A 34050-2024 tillsynsbegäran.docx", "A 34050-2024")</f>
        <v/>
      </c>
      <c r="Y759">
        <f>HYPERLINK("https://klasma.github.io/Logging_2480/tillsynsmail/A 34050-2024 tillsynsbegäran mail.docx", "A 34050-2024")</f>
        <v/>
      </c>
    </row>
    <row r="760" ht="15" customHeight="1">
      <c r="A760" t="inlineStr">
        <is>
          <t>A 41645-2024</t>
        </is>
      </c>
      <c r="B760" s="1" t="n">
        <v>45560</v>
      </c>
      <c r="C760" s="1" t="n">
        <v>46145</v>
      </c>
      <c r="D760" t="inlineStr">
        <is>
          <t>VÄSTERBOTTENS LÄN</t>
        </is>
      </c>
      <c r="E760" t="inlineStr">
        <is>
          <t>VILHELMINA</t>
        </is>
      </c>
      <c r="F760" t="inlineStr">
        <is>
          <t>SCA</t>
        </is>
      </c>
      <c r="G760" t="n">
        <v>10.4</v>
      </c>
      <c r="H760" t="n">
        <v>1</v>
      </c>
      <c r="I760" t="n">
        <v>1</v>
      </c>
      <c r="J760" t="n">
        <v>1</v>
      </c>
      <c r="K760" t="n">
        <v>0</v>
      </c>
      <c r="L760" t="n">
        <v>0</v>
      </c>
      <c r="M760" t="n">
        <v>0</v>
      </c>
      <c r="N760" t="n">
        <v>0</v>
      </c>
      <c r="O760" t="n">
        <v>1</v>
      </c>
      <c r="P760" t="n">
        <v>0</v>
      </c>
      <c r="Q760" t="n">
        <v>2</v>
      </c>
      <c r="R760" s="2" t="inlineStr">
        <is>
          <t>Gammelgransskål
Lappranunkel</t>
        </is>
      </c>
      <c r="S760">
        <f>HYPERLINK("https://klasma.github.io/Logging_2462/artfynd/A 41645-2024 artfynd.xlsx", "A 41645-2024")</f>
        <v/>
      </c>
      <c r="T760">
        <f>HYPERLINK("https://klasma.github.io/Logging_2462/kartor/A 41645-2024 karta.png", "A 41645-2024")</f>
        <v/>
      </c>
      <c r="V760">
        <f>HYPERLINK("https://klasma.github.io/Logging_2462/klagomål/A 41645-2024 FSC-klagomål.docx", "A 41645-2024")</f>
        <v/>
      </c>
      <c r="W760">
        <f>HYPERLINK("https://klasma.github.io/Logging_2462/klagomålsmail/A 41645-2024 FSC-klagomål mail.docx", "A 41645-2024")</f>
        <v/>
      </c>
      <c r="X760">
        <f>HYPERLINK("https://klasma.github.io/Logging_2462/tillsyn/A 41645-2024 tillsynsbegäran.docx", "A 41645-2024")</f>
        <v/>
      </c>
      <c r="Y760">
        <f>HYPERLINK("https://klasma.github.io/Logging_2462/tillsynsmail/A 41645-2024 tillsynsbegäran mail.docx", "A 41645-2024")</f>
        <v/>
      </c>
    </row>
    <row r="761" ht="15" customHeight="1">
      <c r="A761" t="inlineStr">
        <is>
          <t>A 17442-2025</t>
        </is>
      </c>
      <c r="B761" s="1" t="n">
        <v>45757.42755787037</v>
      </c>
      <c r="C761" s="1" t="n">
        <v>46145</v>
      </c>
      <c r="D761" t="inlineStr">
        <is>
          <t>VÄSTERBOTTENS LÄN</t>
        </is>
      </c>
      <c r="E761" t="inlineStr">
        <is>
          <t>NORDMALING</t>
        </is>
      </c>
      <c r="F761" t="inlineStr">
        <is>
          <t>SCA</t>
        </is>
      </c>
      <c r="G761" t="n">
        <v>1.6</v>
      </c>
      <c r="H761" t="n">
        <v>2</v>
      </c>
      <c r="I761" t="n">
        <v>0</v>
      </c>
      <c r="J761" t="n">
        <v>0</v>
      </c>
      <c r="K761" t="n">
        <v>0</v>
      </c>
      <c r="L761" t="n">
        <v>0</v>
      </c>
      <c r="M761" t="n">
        <v>0</v>
      </c>
      <c r="N761" t="n">
        <v>0</v>
      </c>
      <c r="O761" t="n">
        <v>0</v>
      </c>
      <c r="P761" t="n">
        <v>0</v>
      </c>
      <c r="Q761" t="n">
        <v>2</v>
      </c>
      <c r="R761" s="2" t="inlineStr">
        <is>
          <t>Åkergroda
Vanlig groda</t>
        </is>
      </c>
      <c r="S761">
        <f>HYPERLINK("https://klasma.github.io/Logging_2401/artfynd/A 17442-2025 artfynd.xlsx", "A 17442-2025")</f>
        <v/>
      </c>
      <c r="T761">
        <f>HYPERLINK("https://klasma.github.io/Logging_2401/kartor/A 17442-2025 karta.png", "A 17442-2025")</f>
        <v/>
      </c>
      <c r="V761">
        <f>HYPERLINK("https://klasma.github.io/Logging_2401/klagomål/A 17442-2025 FSC-klagomål.docx", "A 17442-2025")</f>
        <v/>
      </c>
      <c r="W761">
        <f>HYPERLINK("https://klasma.github.io/Logging_2401/klagomålsmail/A 17442-2025 FSC-klagomål mail.docx", "A 17442-2025")</f>
        <v/>
      </c>
      <c r="X761">
        <f>HYPERLINK("https://klasma.github.io/Logging_2401/tillsyn/A 17442-2025 tillsynsbegäran.docx", "A 17442-2025")</f>
        <v/>
      </c>
      <c r="Y761">
        <f>HYPERLINK("https://klasma.github.io/Logging_2401/tillsynsmail/A 17442-2025 tillsynsbegäran mail.docx", "A 17442-2025")</f>
        <v/>
      </c>
    </row>
    <row r="762" ht="15" customHeight="1">
      <c r="A762" t="inlineStr">
        <is>
          <t>A 2777-2026</t>
        </is>
      </c>
      <c r="B762" s="1" t="n">
        <v>46038.38196759259</v>
      </c>
      <c r="C762" s="1" t="n">
        <v>46145</v>
      </c>
      <c r="D762" t="inlineStr">
        <is>
          <t>VÄSTERBOTTENS LÄN</t>
        </is>
      </c>
      <c r="E762" t="inlineStr">
        <is>
          <t>ROBERTSFORS</t>
        </is>
      </c>
      <c r="G762" t="n">
        <v>2</v>
      </c>
      <c r="H762" t="n">
        <v>0</v>
      </c>
      <c r="I762" t="n">
        <v>1</v>
      </c>
      <c r="J762" t="n">
        <v>1</v>
      </c>
      <c r="K762" t="n">
        <v>0</v>
      </c>
      <c r="L762" t="n">
        <v>0</v>
      </c>
      <c r="M762" t="n">
        <v>0</v>
      </c>
      <c r="N762" t="n">
        <v>0</v>
      </c>
      <c r="O762" t="n">
        <v>1</v>
      </c>
      <c r="P762" t="n">
        <v>0</v>
      </c>
      <c r="Q762" t="n">
        <v>2</v>
      </c>
      <c r="R762" s="2" t="inlineStr">
        <is>
          <t>Granticka
Vedticka</t>
        </is>
      </c>
      <c r="S762">
        <f>HYPERLINK("https://klasma.github.io/Logging_2409/artfynd/A 2777-2026 artfynd.xlsx", "A 2777-2026")</f>
        <v/>
      </c>
      <c r="T762">
        <f>HYPERLINK("https://klasma.github.io/Logging_2409/kartor/A 2777-2026 karta.png", "A 2777-2026")</f>
        <v/>
      </c>
      <c r="V762">
        <f>HYPERLINK("https://klasma.github.io/Logging_2409/klagomål/A 2777-2026 FSC-klagomål.docx", "A 2777-2026")</f>
        <v/>
      </c>
      <c r="W762">
        <f>HYPERLINK("https://klasma.github.io/Logging_2409/klagomålsmail/A 2777-2026 FSC-klagomål mail.docx", "A 2777-2026")</f>
        <v/>
      </c>
      <c r="X762">
        <f>HYPERLINK("https://klasma.github.io/Logging_2409/tillsyn/A 2777-2026 tillsynsbegäran.docx", "A 2777-2026")</f>
        <v/>
      </c>
      <c r="Y762">
        <f>HYPERLINK("https://klasma.github.io/Logging_2409/tillsynsmail/A 2777-2026 tillsynsbegäran mail.docx", "A 2777-2026")</f>
        <v/>
      </c>
    </row>
    <row r="763" ht="15" customHeight="1">
      <c r="A763" t="inlineStr">
        <is>
          <t>A 1278-2024</t>
        </is>
      </c>
      <c r="B763" s="1" t="n">
        <v>45302</v>
      </c>
      <c r="C763" s="1" t="n">
        <v>46145</v>
      </c>
      <c r="D763" t="inlineStr">
        <is>
          <t>VÄSTERBOTTENS LÄN</t>
        </is>
      </c>
      <c r="E763" t="inlineStr">
        <is>
          <t>DOROTEA</t>
        </is>
      </c>
      <c r="F763" t="inlineStr">
        <is>
          <t>SCA</t>
        </is>
      </c>
      <c r="G763" t="n">
        <v>1.3</v>
      </c>
      <c r="H763" t="n">
        <v>0</v>
      </c>
      <c r="I763" t="n">
        <v>0</v>
      </c>
      <c r="J763" t="n">
        <v>1</v>
      </c>
      <c r="K763" t="n">
        <v>1</v>
      </c>
      <c r="L763" t="n">
        <v>0</v>
      </c>
      <c r="M763" t="n">
        <v>0</v>
      </c>
      <c r="N763" t="n">
        <v>0</v>
      </c>
      <c r="O763" t="n">
        <v>2</v>
      </c>
      <c r="P763" t="n">
        <v>1</v>
      </c>
      <c r="Q763" t="n">
        <v>2</v>
      </c>
      <c r="R763" s="2" t="inlineStr">
        <is>
          <t>Gräddticka
Granticka</t>
        </is>
      </c>
      <c r="S763">
        <f>HYPERLINK("https://klasma.github.io/Logging_2425/artfynd/A 1278-2024 artfynd.xlsx", "A 1278-2024")</f>
        <v/>
      </c>
      <c r="T763">
        <f>HYPERLINK("https://klasma.github.io/Logging_2425/kartor/A 1278-2024 karta.png", "A 1278-2024")</f>
        <v/>
      </c>
      <c r="V763">
        <f>HYPERLINK("https://klasma.github.io/Logging_2425/klagomål/A 1278-2024 FSC-klagomål.docx", "A 1278-2024")</f>
        <v/>
      </c>
      <c r="W763">
        <f>HYPERLINK("https://klasma.github.io/Logging_2425/klagomålsmail/A 1278-2024 FSC-klagomål mail.docx", "A 1278-2024")</f>
        <v/>
      </c>
      <c r="X763">
        <f>HYPERLINK("https://klasma.github.io/Logging_2425/tillsyn/A 1278-2024 tillsynsbegäran.docx", "A 1278-2024")</f>
        <v/>
      </c>
      <c r="Y763">
        <f>HYPERLINK("https://klasma.github.io/Logging_2425/tillsynsmail/A 1278-2024 tillsynsbegäran mail.docx", "A 1278-2024")</f>
        <v/>
      </c>
    </row>
    <row r="764" ht="15" customHeight="1">
      <c r="A764" t="inlineStr">
        <is>
          <t>A 4085-2026</t>
        </is>
      </c>
      <c r="B764" s="1" t="n">
        <v>46043</v>
      </c>
      <c r="C764" s="1" t="n">
        <v>46145</v>
      </c>
      <c r="D764" t="inlineStr">
        <is>
          <t>VÄSTERBOTTENS LÄN</t>
        </is>
      </c>
      <c r="E764" t="inlineStr">
        <is>
          <t>NORDMALING</t>
        </is>
      </c>
      <c r="G764" t="n">
        <v>33.1</v>
      </c>
      <c r="H764" t="n">
        <v>1</v>
      </c>
      <c r="I764" t="n">
        <v>0</v>
      </c>
      <c r="J764" t="n">
        <v>2</v>
      </c>
      <c r="K764" t="n">
        <v>0</v>
      </c>
      <c r="L764" t="n">
        <v>0</v>
      </c>
      <c r="M764" t="n">
        <v>0</v>
      </c>
      <c r="N764" t="n">
        <v>0</v>
      </c>
      <c r="O764" t="n">
        <v>2</v>
      </c>
      <c r="P764" t="n">
        <v>0</v>
      </c>
      <c r="Q764" t="n">
        <v>2</v>
      </c>
      <c r="R764" s="2" t="inlineStr">
        <is>
          <t>Garnlav
Tretåig hackspett</t>
        </is>
      </c>
      <c r="S764">
        <f>HYPERLINK("https://klasma.github.io/Logging_2401/artfynd/A 4085-2026 artfynd.xlsx", "A 4085-2026")</f>
        <v/>
      </c>
      <c r="T764">
        <f>HYPERLINK("https://klasma.github.io/Logging_2401/kartor/A 4085-2026 karta.png", "A 4085-2026")</f>
        <v/>
      </c>
      <c r="V764">
        <f>HYPERLINK("https://klasma.github.io/Logging_2401/klagomål/A 4085-2026 FSC-klagomål.docx", "A 4085-2026")</f>
        <v/>
      </c>
      <c r="W764">
        <f>HYPERLINK("https://klasma.github.io/Logging_2401/klagomålsmail/A 4085-2026 FSC-klagomål mail.docx", "A 4085-2026")</f>
        <v/>
      </c>
      <c r="X764">
        <f>HYPERLINK("https://klasma.github.io/Logging_2401/tillsyn/A 4085-2026 tillsynsbegäran.docx", "A 4085-2026")</f>
        <v/>
      </c>
      <c r="Y764">
        <f>HYPERLINK("https://klasma.github.io/Logging_2401/tillsynsmail/A 4085-2026 tillsynsbegäran mail.docx", "A 4085-2026")</f>
        <v/>
      </c>
      <c r="Z764">
        <f>HYPERLINK("https://klasma.github.io/Logging_2401/fåglar/A 4085-2026 prioriterade fågelarter.docx", "A 4085-2026")</f>
        <v/>
      </c>
    </row>
    <row r="765" ht="15" customHeight="1">
      <c r="A765" t="inlineStr">
        <is>
          <t>A 37785-2021</t>
        </is>
      </c>
      <c r="B765" s="1" t="n">
        <v>44401</v>
      </c>
      <c r="C765" s="1" t="n">
        <v>46145</v>
      </c>
      <c r="D765" t="inlineStr">
        <is>
          <t>VÄSTERBOTTENS LÄN</t>
        </is>
      </c>
      <c r="E765" t="inlineStr">
        <is>
          <t>VILHELMINA</t>
        </is>
      </c>
      <c r="G765" t="n">
        <v>51.5</v>
      </c>
      <c r="H765" t="n">
        <v>1</v>
      </c>
      <c r="I765" t="n">
        <v>0</v>
      </c>
      <c r="J765" t="n">
        <v>1</v>
      </c>
      <c r="K765" t="n">
        <v>0</v>
      </c>
      <c r="L765" t="n">
        <v>0</v>
      </c>
      <c r="M765" t="n">
        <v>0</v>
      </c>
      <c r="N765" t="n">
        <v>0</v>
      </c>
      <c r="O765" t="n">
        <v>1</v>
      </c>
      <c r="P765" t="n">
        <v>0</v>
      </c>
      <c r="Q765" t="n">
        <v>2</v>
      </c>
      <c r="R765" s="2" t="inlineStr">
        <is>
          <t>Ullticka
Fläcknycklar</t>
        </is>
      </c>
      <c r="S765">
        <f>HYPERLINK("https://klasma.github.io/Logging_2462/artfynd/A 37785-2021 artfynd.xlsx", "A 37785-2021")</f>
        <v/>
      </c>
      <c r="T765">
        <f>HYPERLINK("https://klasma.github.io/Logging_2462/kartor/A 37785-2021 karta.png", "A 37785-2021")</f>
        <v/>
      </c>
      <c r="V765">
        <f>HYPERLINK("https://klasma.github.io/Logging_2462/klagomål/A 37785-2021 FSC-klagomål.docx", "A 37785-2021")</f>
        <v/>
      </c>
      <c r="W765">
        <f>HYPERLINK("https://klasma.github.io/Logging_2462/klagomålsmail/A 37785-2021 FSC-klagomål mail.docx", "A 37785-2021")</f>
        <v/>
      </c>
      <c r="X765">
        <f>HYPERLINK("https://klasma.github.io/Logging_2462/tillsyn/A 37785-2021 tillsynsbegäran.docx", "A 37785-2021")</f>
        <v/>
      </c>
      <c r="Y765">
        <f>HYPERLINK("https://klasma.github.io/Logging_2462/tillsynsmail/A 37785-2021 tillsynsbegäran mail.docx", "A 37785-2021")</f>
        <v/>
      </c>
    </row>
    <row r="766" ht="15" customHeight="1">
      <c r="A766" t="inlineStr">
        <is>
          <t>A 45569-2022</t>
        </is>
      </c>
      <c r="B766" s="1" t="n">
        <v>44841</v>
      </c>
      <c r="C766" s="1" t="n">
        <v>46145</v>
      </c>
      <c r="D766" t="inlineStr">
        <is>
          <t>VÄSTERBOTTENS LÄN</t>
        </is>
      </c>
      <c r="E766" t="inlineStr">
        <is>
          <t>SORSELE</t>
        </is>
      </c>
      <c r="G766" t="n">
        <v>55.7</v>
      </c>
      <c r="H766" t="n">
        <v>0</v>
      </c>
      <c r="I766" t="n">
        <v>0</v>
      </c>
      <c r="J766" t="n">
        <v>2</v>
      </c>
      <c r="K766" t="n">
        <v>0</v>
      </c>
      <c r="L766" t="n">
        <v>0</v>
      </c>
      <c r="M766" t="n">
        <v>0</v>
      </c>
      <c r="N766" t="n">
        <v>0</v>
      </c>
      <c r="O766" t="n">
        <v>2</v>
      </c>
      <c r="P766" t="n">
        <v>0</v>
      </c>
      <c r="Q766" t="n">
        <v>2</v>
      </c>
      <c r="R766" s="2" t="inlineStr">
        <is>
          <t>Gränsticka
Harticka</t>
        </is>
      </c>
      <c r="S766">
        <f>HYPERLINK("https://klasma.github.io/Logging_2422/artfynd/A 45569-2022 artfynd.xlsx", "A 45569-2022")</f>
        <v/>
      </c>
      <c r="T766">
        <f>HYPERLINK("https://klasma.github.io/Logging_2422/kartor/A 45569-2022 karta.png", "A 45569-2022")</f>
        <v/>
      </c>
      <c r="V766">
        <f>HYPERLINK("https://klasma.github.io/Logging_2422/klagomål/A 45569-2022 FSC-klagomål.docx", "A 45569-2022")</f>
        <v/>
      </c>
      <c r="W766">
        <f>HYPERLINK("https://klasma.github.io/Logging_2422/klagomålsmail/A 45569-2022 FSC-klagomål mail.docx", "A 45569-2022")</f>
        <v/>
      </c>
      <c r="X766">
        <f>HYPERLINK("https://klasma.github.io/Logging_2422/tillsyn/A 45569-2022 tillsynsbegäran.docx", "A 45569-2022")</f>
        <v/>
      </c>
      <c r="Y766">
        <f>HYPERLINK("https://klasma.github.io/Logging_2422/tillsynsmail/A 45569-2022 tillsynsbegäran mail.docx", "A 45569-2022")</f>
        <v/>
      </c>
    </row>
    <row r="767" ht="15" customHeight="1">
      <c r="A767" t="inlineStr">
        <is>
          <t>A 5287-2026</t>
        </is>
      </c>
      <c r="B767" s="1" t="n">
        <v>46050.34443287037</v>
      </c>
      <c r="C767" s="1" t="n">
        <v>46145</v>
      </c>
      <c r="D767" t="inlineStr">
        <is>
          <t>VÄSTERBOTTENS LÄN</t>
        </is>
      </c>
      <c r="E767" t="inlineStr">
        <is>
          <t>ROBERTSFORS</t>
        </is>
      </c>
      <c r="G767" t="n">
        <v>3.2</v>
      </c>
      <c r="H767" t="n">
        <v>1</v>
      </c>
      <c r="I767" t="n">
        <v>0</v>
      </c>
      <c r="J767" t="n">
        <v>2</v>
      </c>
      <c r="K767" t="n">
        <v>0</v>
      </c>
      <c r="L767" t="n">
        <v>0</v>
      </c>
      <c r="M767" t="n">
        <v>0</v>
      </c>
      <c r="N767" t="n">
        <v>0</v>
      </c>
      <c r="O767" t="n">
        <v>2</v>
      </c>
      <c r="P767" t="n">
        <v>0</v>
      </c>
      <c r="Q767" t="n">
        <v>2</v>
      </c>
      <c r="R767" s="2" t="inlineStr">
        <is>
          <t>Gammelgransskål
Spillkråka</t>
        </is>
      </c>
      <c r="S767">
        <f>HYPERLINK("https://klasma.github.io/Logging_2409/artfynd/A 5287-2026 artfynd.xlsx", "A 5287-2026")</f>
        <v/>
      </c>
      <c r="T767">
        <f>HYPERLINK("https://klasma.github.io/Logging_2409/kartor/A 5287-2026 karta.png", "A 5287-2026")</f>
        <v/>
      </c>
      <c r="V767">
        <f>HYPERLINK("https://klasma.github.io/Logging_2409/klagomål/A 5287-2026 FSC-klagomål.docx", "A 5287-2026")</f>
        <v/>
      </c>
      <c r="W767">
        <f>HYPERLINK("https://klasma.github.io/Logging_2409/klagomålsmail/A 5287-2026 FSC-klagomål mail.docx", "A 5287-2026")</f>
        <v/>
      </c>
      <c r="X767">
        <f>HYPERLINK("https://klasma.github.io/Logging_2409/tillsyn/A 5287-2026 tillsynsbegäran.docx", "A 5287-2026")</f>
        <v/>
      </c>
      <c r="Y767">
        <f>HYPERLINK("https://klasma.github.io/Logging_2409/tillsynsmail/A 5287-2026 tillsynsbegäran mail.docx", "A 5287-2026")</f>
        <v/>
      </c>
      <c r="Z767">
        <f>HYPERLINK("https://klasma.github.io/Logging_2409/fåglar/A 5287-2026 prioriterade fågelarter.docx", "A 5287-2026")</f>
        <v/>
      </c>
    </row>
    <row r="768" ht="15" customHeight="1">
      <c r="A768" t="inlineStr">
        <is>
          <t>A 5290-2026</t>
        </is>
      </c>
      <c r="B768" s="1" t="n">
        <v>46050.34460648148</v>
      </c>
      <c r="C768" s="1" t="n">
        <v>46145</v>
      </c>
      <c r="D768" t="inlineStr">
        <is>
          <t>VÄSTERBOTTENS LÄN</t>
        </is>
      </c>
      <c r="E768" t="inlineStr">
        <is>
          <t>ROBERTSFORS</t>
        </is>
      </c>
      <c r="G768" t="n">
        <v>2</v>
      </c>
      <c r="H768" t="n">
        <v>0</v>
      </c>
      <c r="I768" t="n">
        <v>1</v>
      </c>
      <c r="J768" t="n">
        <v>1</v>
      </c>
      <c r="K768" t="n">
        <v>0</v>
      </c>
      <c r="L768" t="n">
        <v>0</v>
      </c>
      <c r="M768" t="n">
        <v>0</v>
      </c>
      <c r="N768" t="n">
        <v>0</v>
      </c>
      <c r="O768" t="n">
        <v>1</v>
      </c>
      <c r="P768" t="n">
        <v>0</v>
      </c>
      <c r="Q768" t="n">
        <v>2</v>
      </c>
      <c r="R768" s="2" t="inlineStr">
        <is>
          <t>Granticka
Vedticka</t>
        </is>
      </c>
      <c r="S768">
        <f>HYPERLINK("https://klasma.github.io/Logging_2409/artfynd/A 5290-2026 artfynd.xlsx", "A 5290-2026")</f>
        <v/>
      </c>
      <c r="T768">
        <f>HYPERLINK("https://klasma.github.io/Logging_2409/kartor/A 5290-2026 karta.png", "A 5290-2026")</f>
        <v/>
      </c>
      <c r="V768">
        <f>HYPERLINK("https://klasma.github.io/Logging_2409/klagomål/A 5290-2026 FSC-klagomål.docx", "A 5290-2026")</f>
        <v/>
      </c>
      <c r="W768">
        <f>HYPERLINK("https://klasma.github.io/Logging_2409/klagomålsmail/A 5290-2026 FSC-klagomål mail.docx", "A 5290-2026")</f>
        <v/>
      </c>
      <c r="X768">
        <f>HYPERLINK("https://klasma.github.io/Logging_2409/tillsyn/A 5290-2026 tillsynsbegäran.docx", "A 5290-2026")</f>
        <v/>
      </c>
      <c r="Y768">
        <f>HYPERLINK("https://klasma.github.io/Logging_2409/tillsynsmail/A 5290-2026 tillsynsbegäran mail.docx", "A 5290-2026")</f>
        <v/>
      </c>
    </row>
    <row r="769" ht="15" customHeight="1">
      <c r="A769" t="inlineStr">
        <is>
          <t>A 47362-2022</t>
        </is>
      </c>
      <c r="B769" s="1" t="n">
        <v>44853</v>
      </c>
      <c r="C769" s="1" t="n">
        <v>46145</v>
      </c>
      <c r="D769" t="inlineStr">
        <is>
          <t>VÄSTERBOTTENS LÄN</t>
        </is>
      </c>
      <c r="E769" t="inlineStr">
        <is>
          <t>NORSJÖ</t>
        </is>
      </c>
      <c r="G769" t="n">
        <v>1.4</v>
      </c>
      <c r="H769" t="n">
        <v>0</v>
      </c>
      <c r="I769" t="n">
        <v>0</v>
      </c>
      <c r="J769" t="n">
        <v>2</v>
      </c>
      <c r="K769" t="n">
        <v>0</v>
      </c>
      <c r="L769" t="n">
        <v>0</v>
      </c>
      <c r="M769" t="n">
        <v>0</v>
      </c>
      <c r="N769" t="n">
        <v>0</v>
      </c>
      <c r="O769" t="n">
        <v>2</v>
      </c>
      <c r="P769" t="n">
        <v>0</v>
      </c>
      <c r="Q769" t="n">
        <v>2</v>
      </c>
      <c r="R769" s="2" t="inlineStr">
        <is>
          <t>Lunglav
Ullticka</t>
        </is>
      </c>
      <c r="S769">
        <f>HYPERLINK("https://klasma.github.io/Logging_2417/artfynd/A 47362-2022 artfynd.xlsx", "A 47362-2022")</f>
        <v/>
      </c>
      <c r="T769">
        <f>HYPERLINK("https://klasma.github.io/Logging_2417/kartor/A 47362-2022 karta.png", "A 47362-2022")</f>
        <v/>
      </c>
      <c r="V769">
        <f>HYPERLINK("https://klasma.github.io/Logging_2417/klagomål/A 47362-2022 FSC-klagomål.docx", "A 47362-2022")</f>
        <v/>
      </c>
      <c r="W769">
        <f>HYPERLINK("https://klasma.github.io/Logging_2417/klagomålsmail/A 47362-2022 FSC-klagomål mail.docx", "A 47362-2022")</f>
        <v/>
      </c>
      <c r="X769">
        <f>HYPERLINK("https://klasma.github.io/Logging_2417/tillsyn/A 47362-2022 tillsynsbegäran.docx", "A 47362-2022")</f>
        <v/>
      </c>
      <c r="Y769">
        <f>HYPERLINK("https://klasma.github.io/Logging_2417/tillsynsmail/A 47362-2022 tillsynsbegäran mail.docx", "A 47362-2022")</f>
        <v/>
      </c>
    </row>
    <row r="770" ht="15" customHeight="1">
      <c r="A770" t="inlineStr">
        <is>
          <t>A 35733-2021</t>
        </is>
      </c>
      <c r="B770" s="1" t="n">
        <v>44385</v>
      </c>
      <c r="C770" s="1" t="n">
        <v>46145</v>
      </c>
      <c r="D770" t="inlineStr">
        <is>
          <t>VÄSTERBOTTENS LÄN</t>
        </is>
      </c>
      <c r="E770" t="inlineStr">
        <is>
          <t>SKELLEFTEÅ</t>
        </is>
      </c>
      <c r="G770" t="n">
        <v>0.9</v>
      </c>
      <c r="H770" t="n">
        <v>2</v>
      </c>
      <c r="I770" t="n">
        <v>0</v>
      </c>
      <c r="J770" t="n">
        <v>1</v>
      </c>
      <c r="K770" t="n">
        <v>0</v>
      </c>
      <c r="L770" t="n">
        <v>0</v>
      </c>
      <c r="M770" t="n">
        <v>0</v>
      </c>
      <c r="N770" t="n">
        <v>0</v>
      </c>
      <c r="O770" t="n">
        <v>1</v>
      </c>
      <c r="P770" t="n">
        <v>0</v>
      </c>
      <c r="Q770" t="n">
        <v>2</v>
      </c>
      <c r="R770" s="2" t="inlineStr">
        <is>
          <t>Spillkråka
Tjäder</t>
        </is>
      </c>
      <c r="S770">
        <f>HYPERLINK("https://klasma.github.io/Logging_2482/artfynd/A 35733-2021 artfynd.xlsx", "A 35733-2021")</f>
        <v/>
      </c>
      <c r="T770">
        <f>HYPERLINK("https://klasma.github.io/Logging_2482/kartor/A 35733-2021 karta.png", "A 35733-2021")</f>
        <v/>
      </c>
      <c r="V770">
        <f>HYPERLINK("https://klasma.github.io/Logging_2482/klagomål/A 35733-2021 FSC-klagomål.docx", "A 35733-2021")</f>
        <v/>
      </c>
      <c r="W770">
        <f>HYPERLINK("https://klasma.github.io/Logging_2482/klagomålsmail/A 35733-2021 FSC-klagomål mail.docx", "A 35733-2021")</f>
        <v/>
      </c>
      <c r="X770">
        <f>HYPERLINK("https://klasma.github.io/Logging_2482/tillsyn/A 35733-2021 tillsynsbegäran.docx", "A 35733-2021")</f>
        <v/>
      </c>
      <c r="Y770">
        <f>HYPERLINK("https://klasma.github.io/Logging_2482/tillsynsmail/A 35733-2021 tillsynsbegäran mail.docx", "A 35733-2021")</f>
        <v/>
      </c>
      <c r="Z770">
        <f>HYPERLINK("https://klasma.github.io/Logging_2482/fåglar/A 35733-2021 prioriterade fågelarter.docx", "A 35733-2021")</f>
        <v/>
      </c>
    </row>
    <row r="771" ht="15" customHeight="1">
      <c r="A771" t="inlineStr">
        <is>
          <t>A 5880-2026</t>
        </is>
      </c>
      <c r="B771" s="1" t="n">
        <v>46052.39103009259</v>
      </c>
      <c r="C771" s="1" t="n">
        <v>46145</v>
      </c>
      <c r="D771" t="inlineStr">
        <is>
          <t>VÄSTERBOTTENS LÄN</t>
        </is>
      </c>
      <c r="E771" t="inlineStr">
        <is>
          <t>LYCKSELE</t>
        </is>
      </c>
      <c r="G771" t="n">
        <v>6</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HYPERLINK("https://klasma.github.io/Logging_2481/artfynd/A 5880-2026 artfynd.xlsx", "A 5880-2026")</f>
        <v/>
      </c>
      <c r="T771">
        <f>HYPERLINK("https://klasma.github.io/Logging_2481/kartor/A 5880-2026 karta.png", "A 5880-2026")</f>
        <v/>
      </c>
      <c r="V771">
        <f>HYPERLINK("https://klasma.github.io/Logging_2481/klagomål/A 5880-2026 FSC-klagomål.docx", "A 5880-2026")</f>
        <v/>
      </c>
      <c r="W771">
        <f>HYPERLINK("https://klasma.github.io/Logging_2481/klagomålsmail/A 5880-2026 FSC-klagomål mail.docx", "A 5880-2026")</f>
        <v/>
      </c>
      <c r="X771">
        <f>HYPERLINK("https://klasma.github.io/Logging_2481/tillsyn/A 5880-2026 tillsynsbegäran.docx", "A 5880-2026")</f>
        <v/>
      </c>
      <c r="Y771">
        <f>HYPERLINK("https://klasma.github.io/Logging_2481/tillsynsmail/A 5880-2026 tillsynsbegäran mail.docx", "A 5880-2026")</f>
        <v/>
      </c>
      <c r="Z771">
        <f>HYPERLINK("https://klasma.github.io/Logging_2481/fåglar/A 5880-2026 prioriterade fågelarter.docx", "A 5880-2026")</f>
        <v/>
      </c>
    </row>
    <row r="772" ht="15" customHeight="1">
      <c r="A772" t="inlineStr">
        <is>
          <t>A 5912-2026</t>
        </is>
      </c>
      <c r="B772" s="1" t="n">
        <v>46052.4488425926</v>
      </c>
      <c r="C772" s="1" t="n">
        <v>46145</v>
      </c>
      <c r="D772" t="inlineStr">
        <is>
          <t>VÄSTERBOTTENS LÄN</t>
        </is>
      </c>
      <c r="E772" t="inlineStr">
        <is>
          <t>UMEÅ</t>
        </is>
      </c>
      <c r="G772" t="n">
        <v>1.3</v>
      </c>
      <c r="H772" t="n">
        <v>1</v>
      </c>
      <c r="I772" t="n">
        <v>0</v>
      </c>
      <c r="J772" t="n">
        <v>2</v>
      </c>
      <c r="K772" t="n">
        <v>0</v>
      </c>
      <c r="L772" t="n">
        <v>0</v>
      </c>
      <c r="M772" t="n">
        <v>0</v>
      </c>
      <c r="N772" t="n">
        <v>0</v>
      </c>
      <c r="O772" t="n">
        <v>2</v>
      </c>
      <c r="P772" t="n">
        <v>0</v>
      </c>
      <c r="Q772" t="n">
        <v>2</v>
      </c>
      <c r="R772" s="2" t="inlineStr">
        <is>
          <t>Granticka
Spillkråka</t>
        </is>
      </c>
      <c r="S772">
        <f>HYPERLINK("https://klasma.github.io/Logging_2480/artfynd/A 5912-2026 artfynd.xlsx", "A 5912-2026")</f>
        <v/>
      </c>
      <c r="T772">
        <f>HYPERLINK("https://klasma.github.io/Logging_2480/kartor/A 5912-2026 karta.png", "A 5912-2026")</f>
        <v/>
      </c>
      <c r="V772">
        <f>HYPERLINK("https://klasma.github.io/Logging_2480/klagomål/A 5912-2026 FSC-klagomål.docx", "A 5912-2026")</f>
        <v/>
      </c>
      <c r="W772">
        <f>HYPERLINK("https://klasma.github.io/Logging_2480/klagomålsmail/A 5912-2026 FSC-klagomål mail.docx", "A 5912-2026")</f>
        <v/>
      </c>
      <c r="X772">
        <f>HYPERLINK("https://klasma.github.io/Logging_2480/tillsyn/A 5912-2026 tillsynsbegäran.docx", "A 5912-2026")</f>
        <v/>
      </c>
      <c r="Y772">
        <f>HYPERLINK("https://klasma.github.io/Logging_2480/tillsynsmail/A 5912-2026 tillsynsbegäran mail.docx", "A 5912-2026")</f>
        <v/>
      </c>
      <c r="Z772">
        <f>HYPERLINK("https://klasma.github.io/Logging_2480/fåglar/A 5912-2026 prioriterade fågelarter.docx", "A 5912-2026")</f>
        <v/>
      </c>
    </row>
    <row r="773" ht="15" customHeight="1">
      <c r="A773" t="inlineStr">
        <is>
          <t>A 48652-2025</t>
        </is>
      </c>
      <c r="B773" s="1" t="n">
        <v>45936</v>
      </c>
      <c r="C773" s="1" t="n">
        <v>46145</v>
      </c>
      <c r="D773" t="inlineStr">
        <is>
          <t>VÄSTERBOTTENS LÄN</t>
        </is>
      </c>
      <c r="E773" t="inlineStr">
        <is>
          <t>VILHELMINA</t>
        </is>
      </c>
      <c r="F773" t="inlineStr">
        <is>
          <t>SCA</t>
        </is>
      </c>
      <c r="G773" t="n">
        <v>6.8</v>
      </c>
      <c r="H773" t="n">
        <v>0</v>
      </c>
      <c r="I773" t="n">
        <v>0</v>
      </c>
      <c r="J773" t="n">
        <v>2</v>
      </c>
      <c r="K773" t="n">
        <v>0</v>
      </c>
      <c r="L773" t="n">
        <v>0</v>
      </c>
      <c r="M773" t="n">
        <v>0</v>
      </c>
      <c r="N773" t="n">
        <v>0</v>
      </c>
      <c r="O773" t="n">
        <v>2</v>
      </c>
      <c r="P773" t="n">
        <v>0</v>
      </c>
      <c r="Q773" t="n">
        <v>2</v>
      </c>
      <c r="R773" s="2" t="inlineStr">
        <is>
          <t>Gammelgransskål
Knottrig blåslav</t>
        </is>
      </c>
      <c r="S773">
        <f>HYPERLINK("https://klasma.github.io/Logging_2462/artfynd/A 48652-2025 artfynd.xlsx", "A 48652-2025")</f>
        <v/>
      </c>
      <c r="T773">
        <f>HYPERLINK("https://klasma.github.io/Logging_2462/kartor/A 48652-2025 karta.png", "A 48652-2025")</f>
        <v/>
      </c>
      <c r="V773">
        <f>HYPERLINK("https://klasma.github.io/Logging_2462/klagomål/A 48652-2025 FSC-klagomål.docx", "A 48652-2025")</f>
        <v/>
      </c>
      <c r="W773">
        <f>HYPERLINK("https://klasma.github.io/Logging_2462/klagomålsmail/A 48652-2025 FSC-klagomål mail.docx", "A 48652-2025")</f>
        <v/>
      </c>
      <c r="X773">
        <f>HYPERLINK("https://klasma.github.io/Logging_2462/tillsyn/A 48652-2025 tillsynsbegäran.docx", "A 48652-2025")</f>
        <v/>
      </c>
      <c r="Y773">
        <f>HYPERLINK("https://klasma.github.io/Logging_2462/tillsynsmail/A 48652-2025 tillsynsbegäran mail.docx", "A 48652-2025")</f>
        <v/>
      </c>
    </row>
    <row r="774" ht="15" customHeight="1">
      <c r="A774" t="inlineStr">
        <is>
          <t>A 13708-2026</t>
        </is>
      </c>
      <c r="B774" s="1" t="n">
        <v>46097</v>
      </c>
      <c r="C774" s="1" t="n">
        <v>46145</v>
      </c>
      <c r="D774" t="inlineStr">
        <is>
          <t>VÄSTERBOTTENS LÄN</t>
        </is>
      </c>
      <c r="E774" t="inlineStr">
        <is>
          <t>VILHELMINA</t>
        </is>
      </c>
      <c r="G774" t="n">
        <v>8.1</v>
      </c>
      <c r="H774" t="n">
        <v>1</v>
      </c>
      <c r="I774" t="n">
        <v>0</v>
      </c>
      <c r="J774" t="n">
        <v>2</v>
      </c>
      <c r="K774" t="n">
        <v>0</v>
      </c>
      <c r="L774" t="n">
        <v>0</v>
      </c>
      <c r="M774" t="n">
        <v>0</v>
      </c>
      <c r="N774" t="n">
        <v>0</v>
      </c>
      <c r="O774" t="n">
        <v>2</v>
      </c>
      <c r="P774" t="n">
        <v>0</v>
      </c>
      <c r="Q774" t="n">
        <v>2</v>
      </c>
      <c r="R774" s="2" t="inlineStr">
        <is>
          <t>Granticka
Tretåig hackspett</t>
        </is>
      </c>
      <c r="S774">
        <f>HYPERLINK("https://klasma.github.io/Logging_2462/artfynd/A 13708-2026 artfynd.xlsx", "A 13708-2026")</f>
        <v/>
      </c>
      <c r="T774">
        <f>HYPERLINK("https://klasma.github.io/Logging_2462/kartor/A 13708-2026 karta.png", "A 13708-2026")</f>
        <v/>
      </c>
      <c r="V774">
        <f>HYPERLINK("https://klasma.github.io/Logging_2462/klagomål/A 13708-2026 FSC-klagomål.docx", "A 13708-2026")</f>
        <v/>
      </c>
      <c r="W774">
        <f>HYPERLINK("https://klasma.github.io/Logging_2462/klagomålsmail/A 13708-2026 FSC-klagomål mail.docx", "A 13708-2026")</f>
        <v/>
      </c>
      <c r="X774">
        <f>HYPERLINK("https://klasma.github.io/Logging_2462/tillsyn/A 13708-2026 tillsynsbegäran.docx", "A 13708-2026")</f>
        <v/>
      </c>
      <c r="Y774">
        <f>HYPERLINK("https://klasma.github.io/Logging_2462/tillsynsmail/A 13708-2026 tillsynsbegäran mail.docx", "A 13708-2026")</f>
        <v/>
      </c>
      <c r="Z774">
        <f>HYPERLINK("https://klasma.github.io/Logging_2462/fåglar/A 13708-2026 prioriterade fågelarter.docx", "A 13708-2026")</f>
        <v/>
      </c>
    </row>
    <row r="775" ht="15" customHeight="1">
      <c r="A775" t="inlineStr">
        <is>
          <t>A 11207-2026</t>
        </is>
      </c>
      <c r="B775" s="1" t="n">
        <v>46080</v>
      </c>
      <c r="C775" s="1" t="n">
        <v>46145</v>
      </c>
      <c r="D775" t="inlineStr">
        <is>
          <t>VÄSTERBOTTENS LÄN</t>
        </is>
      </c>
      <c r="E775" t="inlineStr">
        <is>
          <t>VILHELMINA</t>
        </is>
      </c>
      <c r="G775" t="n">
        <v>22.3</v>
      </c>
      <c r="H775" t="n">
        <v>0</v>
      </c>
      <c r="I775" t="n">
        <v>1</v>
      </c>
      <c r="J775" t="n">
        <v>1</v>
      </c>
      <c r="K775" t="n">
        <v>0</v>
      </c>
      <c r="L775" t="n">
        <v>0</v>
      </c>
      <c r="M775" t="n">
        <v>0</v>
      </c>
      <c r="N775" t="n">
        <v>0</v>
      </c>
      <c r="O775" t="n">
        <v>1</v>
      </c>
      <c r="P775" t="n">
        <v>0</v>
      </c>
      <c r="Q775" t="n">
        <v>2</v>
      </c>
      <c r="R775" s="2" t="inlineStr">
        <is>
          <t>Harticka
Vedticka</t>
        </is>
      </c>
      <c r="S775">
        <f>HYPERLINK("https://klasma.github.io/Logging_2462/artfynd/A 11207-2026 artfynd.xlsx", "A 11207-2026")</f>
        <v/>
      </c>
      <c r="T775">
        <f>HYPERLINK("https://klasma.github.io/Logging_2462/kartor/A 11207-2026 karta.png", "A 11207-2026")</f>
        <v/>
      </c>
      <c r="V775">
        <f>HYPERLINK("https://klasma.github.io/Logging_2462/klagomål/A 11207-2026 FSC-klagomål.docx", "A 11207-2026")</f>
        <v/>
      </c>
      <c r="W775">
        <f>HYPERLINK("https://klasma.github.io/Logging_2462/klagomålsmail/A 11207-2026 FSC-klagomål mail.docx", "A 11207-2026")</f>
        <v/>
      </c>
      <c r="X775">
        <f>HYPERLINK("https://klasma.github.io/Logging_2462/tillsyn/A 11207-2026 tillsynsbegäran.docx", "A 11207-2026")</f>
        <v/>
      </c>
      <c r="Y775">
        <f>HYPERLINK("https://klasma.github.io/Logging_2462/tillsynsmail/A 11207-2026 tillsynsbegäran mail.docx", "A 11207-2026")</f>
        <v/>
      </c>
    </row>
    <row r="776" ht="15" customHeight="1">
      <c r="A776" t="inlineStr">
        <is>
          <t>A 26190-2024</t>
        </is>
      </c>
      <c r="B776" s="1" t="n">
        <v>45468.5712037037</v>
      </c>
      <c r="C776" s="1" t="n">
        <v>46145</v>
      </c>
      <c r="D776" t="inlineStr">
        <is>
          <t>VÄSTERBOTTENS LÄN</t>
        </is>
      </c>
      <c r="E776" t="inlineStr">
        <is>
          <t>SKELLEFTEÅ</t>
        </is>
      </c>
      <c r="F776" t="inlineStr">
        <is>
          <t>Holmen skog AB</t>
        </is>
      </c>
      <c r="G776" t="n">
        <v>8.199999999999999</v>
      </c>
      <c r="H776" t="n">
        <v>1</v>
      </c>
      <c r="I776" t="n">
        <v>0</v>
      </c>
      <c r="J776" t="n">
        <v>2</v>
      </c>
      <c r="K776" t="n">
        <v>0</v>
      </c>
      <c r="L776" t="n">
        <v>0</v>
      </c>
      <c r="M776" t="n">
        <v>0</v>
      </c>
      <c r="N776" t="n">
        <v>0</v>
      </c>
      <c r="O776" t="n">
        <v>2</v>
      </c>
      <c r="P776" t="n">
        <v>0</v>
      </c>
      <c r="Q776" t="n">
        <v>2</v>
      </c>
      <c r="R776" s="2" t="inlineStr">
        <is>
          <t>Garnlav
Tretåig hackspett</t>
        </is>
      </c>
      <c r="S776">
        <f>HYPERLINK("https://klasma.github.io/Logging_2482/artfynd/A 26190-2024 artfynd.xlsx", "A 26190-2024")</f>
        <v/>
      </c>
      <c r="T776">
        <f>HYPERLINK("https://klasma.github.io/Logging_2482/kartor/A 26190-2024 karta.png", "A 26190-2024")</f>
        <v/>
      </c>
      <c r="V776">
        <f>HYPERLINK("https://klasma.github.io/Logging_2482/klagomål/A 26190-2024 FSC-klagomål.docx", "A 26190-2024")</f>
        <v/>
      </c>
      <c r="W776">
        <f>HYPERLINK("https://klasma.github.io/Logging_2482/klagomålsmail/A 26190-2024 FSC-klagomål mail.docx", "A 26190-2024")</f>
        <v/>
      </c>
      <c r="X776">
        <f>HYPERLINK("https://klasma.github.io/Logging_2482/tillsyn/A 26190-2024 tillsynsbegäran.docx", "A 26190-2024")</f>
        <v/>
      </c>
      <c r="Y776">
        <f>HYPERLINK("https://klasma.github.io/Logging_2482/tillsynsmail/A 26190-2024 tillsynsbegäran mail.docx", "A 26190-2024")</f>
        <v/>
      </c>
      <c r="Z776">
        <f>HYPERLINK("https://klasma.github.io/Logging_2482/fåglar/A 26190-2024 prioriterade fågelarter.docx", "A 26190-2024")</f>
        <v/>
      </c>
    </row>
    <row r="777" ht="15" customHeight="1">
      <c r="A777" t="inlineStr">
        <is>
          <t>A 52622-2024</t>
        </is>
      </c>
      <c r="B777" s="1" t="n">
        <v>45609.88023148148</v>
      </c>
      <c r="C777" s="1" t="n">
        <v>46145</v>
      </c>
      <c r="D777" t="inlineStr">
        <is>
          <t>VÄSTERBOTTENS LÄN</t>
        </is>
      </c>
      <c r="E777" t="inlineStr">
        <is>
          <t>SORSELE</t>
        </is>
      </c>
      <c r="G777" t="n">
        <v>3.3</v>
      </c>
      <c r="H777" t="n">
        <v>0</v>
      </c>
      <c r="I777" t="n">
        <v>0</v>
      </c>
      <c r="J777" t="n">
        <v>2</v>
      </c>
      <c r="K777" t="n">
        <v>0</v>
      </c>
      <c r="L777" t="n">
        <v>0</v>
      </c>
      <c r="M777" t="n">
        <v>0</v>
      </c>
      <c r="N777" t="n">
        <v>0</v>
      </c>
      <c r="O777" t="n">
        <v>2</v>
      </c>
      <c r="P777" t="n">
        <v>0</v>
      </c>
      <c r="Q777" t="n">
        <v>2</v>
      </c>
      <c r="R777" s="2" t="inlineStr">
        <is>
          <t>Gammelgransskål
Kolflarnlav</t>
        </is>
      </c>
      <c r="S777">
        <f>HYPERLINK("https://klasma.github.io/Logging_2422/artfynd/A 52622-2024 artfynd.xlsx", "A 52622-2024")</f>
        <v/>
      </c>
      <c r="T777">
        <f>HYPERLINK("https://klasma.github.io/Logging_2422/kartor/A 52622-2024 karta.png", "A 52622-2024")</f>
        <v/>
      </c>
      <c r="V777">
        <f>HYPERLINK("https://klasma.github.io/Logging_2422/klagomål/A 52622-2024 FSC-klagomål.docx", "A 52622-2024")</f>
        <v/>
      </c>
      <c r="W777">
        <f>HYPERLINK("https://klasma.github.io/Logging_2422/klagomålsmail/A 52622-2024 FSC-klagomål mail.docx", "A 52622-2024")</f>
        <v/>
      </c>
      <c r="X777">
        <f>HYPERLINK("https://klasma.github.io/Logging_2422/tillsyn/A 52622-2024 tillsynsbegäran.docx", "A 52622-2024")</f>
        <v/>
      </c>
      <c r="Y777">
        <f>HYPERLINK("https://klasma.github.io/Logging_2422/tillsynsmail/A 52622-2024 tillsynsbegäran mail.docx", "A 52622-2024")</f>
        <v/>
      </c>
    </row>
    <row r="778" ht="15" customHeight="1">
      <c r="A778" t="inlineStr">
        <is>
          <t>A 67790-2021</t>
        </is>
      </c>
      <c r="B778" s="1" t="n">
        <v>44526</v>
      </c>
      <c r="C778" s="1" t="n">
        <v>46145</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22648-2024</t>
        </is>
      </c>
      <c r="B779" s="1" t="n">
        <v>45447.89238425926</v>
      </c>
      <c r="C779" s="1" t="n">
        <v>46145</v>
      </c>
      <c r="D779" t="inlineStr">
        <is>
          <t>VÄSTERBOTTENS LÄN</t>
        </is>
      </c>
      <c r="E779" t="inlineStr">
        <is>
          <t>VÄNNÄS</t>
        </is>
      </c>
      <c r="F779" t="inlineStr">
        <is>
          <t>Holmen skog AB</t>
        </is>
      </c>
      <c r="G779" t="n">
        <v>5.5</v>
      </c>
      <c r="H779" t="n">
        <v>2</v>
      </c>
      <c r="I779" t="n">
        <v>1</v>
      </c>
      <c r="J779" t="n">
        <v>1</v>
      </c>
      <c r="K779" t="n">
        <v>0</v>
      </c>
      <c r="L779" t="n">
        <v>0</v>
      </c>
      <c r="M779" t="n">
        <v>0</v>
      </c>
      <c r="N779" t="n">
        <v>0</v>
      </c>
      <c r="O779" t="n">
        <v>1</v>
      </c>
      <c r="P779" t="n">
        <v>0</v>
      </c>
      <c r="Q779" t="n">
        <v>2</v>
      </c>
      <c r="R779" s="2" t="inlineStr">
        <is>
          <t>Spillkråka
Spindelblomster</t>
        </is>
      </c>
      <c r="S779">
        <f>HYPERLINK("https://klasma.github.io/Logging_2460/artfynd/A 22648-2024 artfynd.xlsx", "A 22648-2024")</f>
        <v/>
      </c>
      <c r="T779">
        <f>HYPERLINK("https://klasma.github.io/Logging_2460/kartor/A 22648-2024 karta.png", "A 22648-2024")</f>
        <v/>
      </c>
      <c r="V779">
        <f>HYPERLINK("https://klasma.github.io/Logging_2460/klagomål/A 22648-2024 FSC-klagomål.docx", "A 22648-2024")</f>
        <v/>
      </c>
      <c r="W779">
        <f>HYPERLINK("https://klasma.github.io/Logging_2460/klagomålsmail/A 22648-2024 FSC-klagomål mail.docx", "A 22648-2024")</f>
        <v/>
      </c>
      <c r="X779">
        <f>HYPERLINK("https://klasma.github.io/Logging_2460/tillsyn/A 22648-2024 tillsynsbegäran.docx", "A 22648-2024")</f>
        <v/>
      </c>
      <c r="Y779">
        <f>HYPERLINK("https://klasma.github.io/Logging_2460/tillsynsmail/A 22648-2024 tillsynsbegäran mail.docx", "A 22648-2024")</f>
        <v/>
      </c>
      <c r="Z779">
        <f>HYPERLINK("https://klasma.github.io/Logging_2460/fåglar/A 22648-2024 prioriterade fågelarter.docx", "A 22648-2024")</f>
        <v/>
      </c>
    </row>
    <row r="780" ht="15" customHeight="1">
      <c r="A780" t="inlineStr">
        <is>
          <t>A 58701-2023</t>
        </is>
      </c>
      <c r="B780" s="1" t="n">
        <v>45247</v>
      </c>
      <c r="C780" s="1" t="n">
        <v>46145</v>
      </c>
      <c r="D780" t="inlineStr">
        <is>
          <t>VÄSTERBOTTENS LÄN</t>
        </is>
      </c>
      <c r="E780" t="inlineStr">
        <is>
          <t>SKELLEFTEÅ</t>
        </is>
      </c>
      <c r="G780" t="n">
        <v>1.8</v>
      </c>
      <c r="H780" t="n">
        <v>1</v>
      </c>
      <c r="I780" t="n">
        <v>0</v>
      </c>
      <c r="J780" t="n">
        <v>2</v>
      </c>
      <c r="K780" t="n">
        <v>0</v>
      </c>
      <c r="L780" t="n">
        <v>0</v>
      </c>
      <c r="M780" t="n">
        <v>0</v>
      </c>
      <c r="N780" t="n">
        <v>0</v>
      </c>
      <c r="O780" t="n">
        <v>2</v>
      </c>
      <c r="P780" t="n">
        <v>0</v>
      </c>
      <c r="Q780" t="n">
        <v>2</v>
      </c>
      <c r="R780" s="2" t="inlineStr">
        <is>
          <t>Koralltaggsvamp
Talltita</t>
        </is>
      </c>
      <c r="S780">
        <f>HYPERLINK("https://klasma.github.io/Logging_2482/artfynd/A 58701-2023 artfynd.xlsx", "A 58701-2023")</f>
        <v/>
      </c>
      <c r="T780">
        <f>HYPERLINK("https://klasma.github.io/Logging_2482/kartor/A 58701-2023 karta.png", "A 58701-2023")</f>
        <v/>
      </c>
      <c r="V780">
        <f>HYPERLINK("https://klasma.github.io/Logging_2482/klagomål/A 58701-2023 FSC-klagomål.docx", "A 58701-2023")</f>
        <v/>
      </c>
      <c r="W780">
        <f>HYPERLINK("https://klasma.github.io/Logging_2482/klagomålsmail/A 58701-2023 FSC-klagomål mail.docx", "A 58701-2023")</f>
        <v/>
      </c>
      <c r="X780">
        <f>HYPERLINK("https://klasma.github.io/Logging_2482/tillsyn/A 58701-2023 tillsynsbegäran.docx", "A 58701-2023")</f>
        <v/>
      </c>
      <c r="Y780">
        <f>HYPERLINK("https://klasma.github.io/Logging_2482/tillsynsmail/A 58701-2023 tillsynsbegäran mail.docx", "A 58701-2023")</f>
        <v/>
      </c>
      <c r="Z780">
        <f>HYPERLINK("https://klasma.github.io/Logging_2482/fåglar/A 58701-2023 prioriterade fågelarter.docx", "A 58701-2023")</f>
        <v/>
      </c>
    </row>
    <row r="781" ht="15" customHeight="1">
      <c r="A781" t="inlineStr">
        <is>
          <t>A 20434-2022</t>
        </is>
      </c>
      <c r="B781" s="1" t="n">
        <v>44699</v>
      </c>
      <c r="C781" s="1" t="n">
        <v>46145</v>
      </c>
      <c r="D781" t="inlineStr">
        <is>
          <t>VÄSTERBOTTENS LÄN</t>
        </is>
      </c>
      <c r="E781" t="inlineStr">
        <is>
          <t>STORUMAN</t>
        </is>
      </c>
      <c r="G781" t="n">
        <v>3.4</v>
      </c>
      <c r="H781" t="n">
        <v>2</v>
      </c>
      <c r="I781" t="n">
        <v>0</v>
      </c>
      <c r="J781" t="n">
        <v>1</v>
      </c>
      <c r="K781" t="n">
        <v>1</v>
      </c>
      <c r="L781" t="n">
        <v>0</v>
      </c>
      <c r="M781" t="n">
        <v>0</v>
      </c>
      <c r="N781" t="n">
        <v>0</v>
      </c>
      <c r="O781" t="n">
        <v>2</v>
      </c>
      <c r="P781" t="n">
        <v>1</v>
      </c>
      <c r="Q781" t="n">
        <v>2</v>
      </c>
      <c r="R781" s="2" t="inlineStr">
        <is>
          <t>Knärot
Spillkråka</t>
        </is>
      </c>
      <c r="S781">
        <f>HYPERLINK("https://klasma.github.io/Logging_2421/artfynd/A 20434-2022 artfynd.xlsx", "A 20434-2022")</f>
        <v/>
      </c>
      <c r="T781">
        <f>HYPERLINK("https://klasma.github.io/Logging_2421/kartor/A 20434-2022 karta.png", "A 20434-2022")</f>
        <v/>
      </c>
      <c r="U781">
        <f>HYPERLINK("https://klasma.github.io/Logging_2421/knärot/A 20434-2022 karta knärot.png", "A 20434-2022")</f>
        <v/>
      </c>
      <c r="V781">
        <f>HYPERLINK("https://klasma.github.io/Logging_2421/klagomål/A 20434-2022 FSC-klagomål.docx", "A 20434-2022")</f>
        <v/>
      </c>
      <c r="W781">
        <f>HYPERLINK("https://klasma.github.io/Logging_2421/klagomålsmail/A 20434-2022 FSC-klagomål mail.docx", "A 20434-2022")</f>
        <v/>
      </c>
      <c r="X781">
        <f>HYPERLINK("https://klasma.github.io/Logging_2421/tillsyn/A 20434-2022 tillsynsbegäran.docx", "A 20434-2022")</f>
        <v/>
      </c>
      <c r="Y781">
        <f>HYPERLINK("https://klasma.github.io/Logging_2421/tillsynsmail/A 20434-2022 tillsynsbegäran mail.docx", "A 20434-2022")</f>
        <v/>
      </c>
      <c r="Z781">
        <f>HYPERLINK("https://klasma.github.io/Logging_2421/fåglar/A 20434-2022 prioriterade fågelarter.docx", "A 20434-2022")</f>
        <v/>
      </c>
    </row>
    <row r="782" ht="15" customHeight="1">
      <c r="A782" t="inlineStr">
        <is>
          <t>A 42274-2025</t>
        </is>
      </c>
      <c r="B782" s="1" t="n">
        <v>45903</v>
      </c>
      <c r="C782" s="1" t="n">
        <v>46145</v>
      </c>
      <c r="D782" t="inlineStr">
        <is>
          <t>VÄSTERBOTTENS LÄN</t>
        </is>
      </c>
      <c r="E782" t="inlineStr">
        <is>
          <t>VILHELMINA</t>
        </is>
      </c>
      <c r="F782" t="inlineStr">
        <is>
          <t>Övriga statliga verk och myndigheter</t>
        </is>
      </c>
      <c r="G782" t="n">
        <v>3.1</v>
      </c>
      <c r="H782" t="n">
        <v>2</v>
      </c>
      <c r="I782" t="n">
        <v>1</v>
      </c>
      <c r="J782" t="n">
        <v>1</v>
      </c>
      <c r="K782" t="n">
        <v>0</v>
      </c>
      <c r="L782" t="n">
        <v>0</v>
      </c>
      <c r="M782" t="n">
        <v>0</v>
      </c>
      <c r="N782" t="n">
        <v>0</v>
      </c>
      <c r="O782" t="n">
        <v>1</v>
      </c>
      <c r="P782" t="n">
        <v>0</v>
      </c>
      <c r="Q782" t="n">
        <v>2</v>
      </c>
      <c r="R782" s="2" t="inlineStr">
        <is>
          <t>Björktrast
Grönkulla</t>
        </is>
      </c>
      <c r="S782">
        <f>HYPERLINK("https://klasma.github.io/Logging_2462/artfynd/A 42274-2025 artfynd.xlsx", "A 42274-2025")</f>
        <v/>
      </c>
      <c r="T782">
        <f>HYPERLINK("https://klasma.github.io/Logging_2462/kartor/A 42274-2025 karta.png", "A 42274-2025")</f>
        <v/>
      </c>
      <c r="V782">
        <f>HYPERLINK("https://klasma.github.io/Logging_2462/klagomål/A 42274-2025 FSC-klagomål.docx", "A 42274-2025")</f>
        <v/>
      </c>
      <c r="W782">
        <f>HYPERLINK("https://klasma.github.io/Logging_2462/klagomålsmail/A 42274-2025 FSC-klagomål mail.docx", "A 42274-2025")</f>
        <v/>
      </c>
      <c r="X782">
        <f>HYPERLINK("https://klasma.github.io/Logging_2462/tillsyn/A 42274-2025 tillsynsbegäran.docx", "A 42274-2025")</f>
        <v/>
      </c>
      <c r="Y782">
        <f>HYPERLINK("https://klasma.github.io/Logging_2462/tillsynsmail/A 42274-2025 tillsynsbegäran mail.docx", "A 42274-2025")</f>
        <v/>
      </c>
      <c r="Z782">
        <f>HYPERLINK("https://klasma.github.io/Logging_2462/fåglar/A 42274-2025 prioriterade fågelarter.docx", "A 42274-2025")</f>
        <v/>
      </c>
    </row>
    <row r="783" ht="15" customHeight="1">
      <c r="A783" t="inlineStr">
        <is>
          <t>A 11378-2026</t>
        </is>
      </c>
      <c r="B783" s="1" t="n">
        <v>46083.4059375</v>
      </c>
      <c r="C783" s="1" t="n">
        <v>46145</v>
      </c>
      <c r="D783" t="inlineStr">
        <is>
          <t>VÄSTERBOTTENS LÄN</t>
        </is>
      </c>
      <c r="E783" t="inlineStr">
        <is>
          <t>VINDELN</t>
        </is>
      </c>
      <c r="G783" t="n">
        <v>4.5</v>
      </c>
      <c r="H783" t="n">
        <v>2</v>
      </c>
      <c r="I783" t="n">
        <v>1</v>
      </c>
      <c r="J783" t="n">
        <v>1</v>
      </c>
      <c r="K783" t="n">
        <v>0</v>
      </c>
      <c r="L783" t="n">
        <v>0</v>
      </c>
      <c r="M783" t="n">
        <v>0</v>
      </c>
      <c r="N783" t="n">
        <v>0</v>
      </c>
      <c r="O783" t="n">
        <v>1</v>
      </c>
      <c r="P783" t="n">
        <v>0</v>
      </c>
      <c r="Q783" t="n">
        <v>2</v>
      </c>
      <c r="R783" s="2" t="inlineStr">
        <is>
          <t>Buskskvätta
Korallrot</t>
        </is>
      </c>
      <c r="S783">
        <f>HYPERLINK("https://klasma.github.io/Logging_2404/artfynd/A 11378-2026 artfynd.xlsx", "A 11378-2026")</f>
        <v/>
      </c>
      <c r="T783">
        <f>HYPERLINK("https://klasma.github.io/Logging_2404/kartor/A 11378-2026 karta.png", "A 11378-2026")</f>
        <v/>
      </c>
      <c r="V783">
        <f>HYPERLINK("https://klasma.github.io/Logging_2404/klagomål/A 11378-2026 FSC-klagomål.docx", "A 11378-2026")</f>
        <v/>
      </c>
      <c r="W783">
        <f>HYPERLINK("https://klasma.github.io/Logging_2404/klagomålsmail/A 11378-2026 FSC-klagomål mail.docx", "A 11378-2026")</f>
        <v/>
      </c>
      <c r="X783">
        <f>HYPERLINK("https://klasma.github.io/Logging_2404/tillsyn/A 11378-2026 tillsynsbegäran.docx", "A 11378-2026")</f>
        <v/>
      </c>
      <c r="Y783">
        <f>HYPERLINK("https://klasma.github.io/Logging_2404/tillsynsmail/A 11378-2026 tillsynsbegäran mail.docx", "A 11378-2026")</f>
        <v/>
      </c>
      <c r="Z783">
        <f>HYPERLINK("https://klasma.github.io/Logging_2404/fåglar/A 11378-2026 prioriterade fågelarter.docx", "A 11378-2026")</f>
        <v/>
      </c>
    </row>
    <row r="784" ht="15" customHeight="1">
      <c r="A784" t="inlineStr">
        <is>
          <t>A 15197-2023</t>
        </is>
      </c>
      <c r="B784" s="1" t="n">
        <v>45016</v>
      </c>
      <c r="C784" s="1" t="n">
        <v>46145</v>
      </c>
      <c r="D784" t="inlineStr">
        <is>
          <t>VÄSTERBOTTENS LÄN</t>
        </is>
      </c>
      <c r="E784" t="inlineStr">
        <is>
          <t>LYCKSELE</t>
        </is>
      </c>
      <c r="G784" t="n">
        <v>11.2</v>
      </c>
      <c r="H784" t="n">
        <v>0</v>
      </c>
      <c r="I784" t="n">
        <v>1</v>
      </c>
      <c r="J784" t="n">
        <v>1</v>
      </c>
      <c r="K784" t="n">
        <v>0</v>
      </c>
      <c r="L784" t="n">
        <v>0</v>
      </c>
      <c r="M784" t="n">
        <v>0</v>
      </c>
      <c r="N784" t="n">
        <v>0</v>
      </c>
      <c r="O784" t="n">
        <v>1</v>
      </c>
      <c r="P784" t="n">
        <v>0</v>
      </c>
      <c r="Q784" t="n">
        <v>2</v>
      </c>
      <c r="R784" s="2" t="inlineStr">
        <is>
          <t>Vaddporing
Dropptaggsvamp</t>
        </is>
      </c>
      <c r="S784">
        <f>HYPERLINK("https://klasma.github.io/Logging_2481/artfynd/A 15197-2023 artfynd.xlsx", "A 15197-2023")</f>
        <v/>
      </c>
      <c r="T784">
        <f>HYPERLINK("https://klasma.github.io/Logging_2481/kartor/A 15197-2023 karta.png", "A 15197-2023")</f>
        <v/>
      </c>
      <c r="V784">
        <f>HYPERLINK("https://klasma.github.io/Logging_2481/klagomål/A 15197-2023 FSC-klagomål.docx", "A 15197-2023")</f>
        <v/>
      </c>
      <c r="W784">
        <f>HYPERLINK("https://klasma.github.io/Logging_2481/klagomålsmail/A 15197-2023 FSC-klagomål mail.docx", "A 15197-2023")</f>
        <v/>
      </c>
      <c r="X784">
        <f>HYPERLINK("https://klasma.github.io/Logging_2481/tillsyn/A 15197-2023 tillsynsbegäran.docx", "A 15197-2023")</f>
        <v/>
      </c>
      <c r="Y784">
        <f>HYPERLINK("https://klasma.github.io/Logging_2481/tillsynsmail/A 15197-2023 tillsynsbegäran mail.docx", "A 15197-2023")</f>
        <v/>
      </c>
    </row>
    <row r="785" ht="15" customHeight="1">
      <c r="A785" t="inlineStr">
        <is>
          <t>A 41723-2024</t>
        </is>
      </c>
      <c r="B785" s="1" t="n">
        <v>45560</v>
      </c>
      <c r="C785" s="1" t="n">
        <v>46145</v>
      </c>
      <c r="D785" t="inlineStr">
        <is>
          <t>VÄSTERBOTTENS LÄN</t>
        </is>
      </c>
      <c r="E785" t="inlineStr">
        <is>
          <t>ROBERTSFORS</t>
        </is>
      </c>
      <c r="G785" t="n">
        <v>2.4</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HYPERLINK("https://klasma.github.io/Logging_2409/artfynd/A 41723-2024 artfynd.xlsx", "A 41723-2024")</f>
        <v/>
      </c>
      <c r="T785">
        <f>HYPERLINK("https://klasma.github.io/Logging_2409/kartor/A 41723-2024 karta.png", "A 41723-2024")</f>
        <v/>
      </c>
      <c r="V785">
        <f>HYPERLINK("https://klasma.github.io/Logging_2409/klagomål/A 41723-2024 FSC-klagomål.docx", "A 41723-2024")</f>
        <v/>
      </c>
      <c r="W785">
        <f>HYPERLINK("https://klasma.github.io/Logging_2409/klagomålsmail/A 41723-2024 FSC-klagomål mail.docx", "A 41723-2024")</f>
        <v/>
      </c>
      <c r="X785">
        <f>HYPERLINK("https://klasma.github.io/Logging_2409/tillsyn/A 41723-2024 tillsynsbegäran.docx", "A 41723-2024")</f>
        <v/>
      </c>
      <c r="Y785">
        <f>HYPERLINK("https://klasma.github.io/Logging_2409/tillsynsmail/A 41723-2024 tillsynsbegäran mail.docx", "A 41723-2024")</f>
        <v/>
      </c>
      <c r="Z785">
        <f>HYPERLINK("https://klasma.github.io/Logging_2409/fåglar/A 41723-2024 prioriterade fågelarter.docx", "A 41723-2024")</f>
        <v/>
      </c>
    </row>
    <row r="786" ht="15" customHeight="1">
      <c r="A786" t="inlineStr">
        <is>
          <t>A 62142-2025</t>
        </is>
      </c>
      <c r="B786" s="1" t="n">
        <v>46006</v>
      </c>
      <c r="C786" s="1" t="n">
        <v>46145</v>
      </c>
      <c r="D786" t="inlineStr">
        <is>
          <t>VÄSTERBOTTENS LÄN</t>
        </is>
      </c>
      <c r="E786" t="inlineStr">
        <is>
          <t>STORUMAN</t>
        </is>
      </c>
      <c r="G786" t="n">
        <v>49</v>
      </c>
      <c r="H786" t="n">
        <v>1</v>
      </c>
      <c r="I786" t="n">
        <v>1</v>
      </c>
      <c r="J786" t="n">
        <v>1</v>
      </c>
      <c r="K786" t="n">
        <v>0</v>
      </c>
      <c r="L786" t="n">
        <v>0</v>
      </c>
      <c r="M786" t="n">
        <v>0</v>
      </c>
      <c r="N786" t="n">
        <v>0</v>
      </c>
      <c r="O786" t="n">
        <v>1</v>
      </c>
      <c r="P786" t="n">
        <v>0</v>
      </c>
      <c r="Q786" t="n">
        <v>2</v>
      </c>
      <c r="R786" s="2" t="inlineStr">
        <is>
          <t>Brunklöver
Korallrot</t>
        </is>
      </c>
      <c r="S786">
        <f>HYPERLINK("https://klasma.github.io/Logging_2421/artfynd/A 62142-2025 artfynd.xlsx", "A 62142-2025")</f>
        <v/>
      </c>
      <c r="T786">
        <f>HYPERLINK("https://klasma.github.io/Logging_2421/kartor/A 62142-2025 karta.png", "A 62142-2025")</f>
        <v/>
      </c>
      <c r="V786">
        <f>HYPERLINK("https://klasma.github.io/Logging_2421/klagomål/A 62142-2025 FSC-klagomål.docx", "A 62142-2025")</f>
        <v/>
      </c>
      <c r="W786">
        <f>HYPERLINK("https://klasma.github.io/Logging_2421/klagomålsmail/A 62142-2025 FSC-klagomål mail.docx", "A 62142-2025")</f>
        <v/>
      </c>
      <c r="X786">
        <f>HYPERLINK("https://klasma.github.io/Logging_2421/tillsyn/A 62142-2025 tillsynsbegäran.docx", "A 62142-2025")</f>
        <v/>
      </c>
      <c r="Y786">
        <f>HYPERLINK("https://klasma.github.io/Logging_2421/tillsynsmail/A 62142-2025 tillsynsbegäran mail.docx", "A 62142-2025")</f>
        <v/>
      </c>
    </row>
    <row r="787" ht="15" customHeight="1">
      <c r="A787" t="inlineStr">
        <is>
          <t>A 57060-2024</t>
        </is>
      </c>
      <c r="B787" s="1" t="n">
        <v>45629</v>
      </c>
      <c r="C787" s="1" t="n">
        <v>46145</v>
      </c>
      <c r="D787" t="inlineStr">
        <is>
          <t>VÄSTERBOTTENS LÄN</t>
        </is>
      </c>
      <c r="E787" t="inlineStr">
        <is>
          <t>DOROTEA</t>
        </is>
      </c>
      <c r="F787" t="inlineStr">
        <is>
          <t>SCA</t>
        </is>
      </c>
      <c r="G787" t="n">
        <v>8.9</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57060-2024 artfynd.xlsx", "A 57060-2024")</f>
        <v/>
      </c>
      <c r="T787">
        <f>HYPERLINK("https://klasma.github.io/Logging_2425/kartor/A 57060-2024 karta.png", "A 57060-2024")</f>
        <v/>
      </c>
      <c r="V787">
        <f>HYPERLINK("https://klasma.github.io/Logging_2425/klagomål/A 57060-2024 FSC-klagomål.docx", "A 57060-2024")</f>
        <v/>
      </c>
      <c r="W787">
        <f>HYPERLINK("https://klasma.github.io/Logging_2425/klagomålsmail/A 57060-2024 FSC-klagomål mail.docx", "A 57060-2024")</f>
        <v/>
      </c>
      <c r="X787">
        <f>HYPERLINK("https://klasma.github.io/Logging_2425/tillsyn/A 57060-2024 tillsynsbegäran.docx", "A 57060-2024")</f>
        <v/>
      </c>
      <c r="Y787">
        <f>HYPERLINK("https://klasma.github.io/Logging_2425/tillsynsmail/A 57060-2024 tillsynsbegäran mail.docx", "A 57060-2024")</f>
        <v/>
      </c>
    </row>
    <row r="788" ht="15" customHeight="1">
      <c r="A788" t="inlineStr">
        <is>
          <t>A 65043-2023</t>
        </is>
      </c>
      <c r="B788" s="1" t="n">
        <v>45283</v>
      </c>
      <c r="C788" s="1" t="n">
        <v>46145</v>
      </c>
      <c r="D788" t="inlineStr">
        <is>
          <t>VÄSTERBOTTENS LÄN</t>
        </is>
      </c>
      <c r="E788" t="inlineStr">
        <is>
          <t>NORDMALING</t>
        </is>
      </c>
      <c r="F788" t="inlineStr">
        <is>
          <t>Kommuner</t>
        </is>
      </c>
      <c r="G788" t="n">
        <v>9.1</v>
      </c>
      <c r="H788" t="n">
        <v>2</v>
      </c>
      <c r="I788" t="n">
        <v>0</v>
      </c>
      <c r="J788" t="n">
        <v>2</v>
      </c>
      <c r="K788" t="n">
        <v>0</v>
      </c>
      <c r="L788" t="n">
        <v>0</v>
      </c>
      <c r="M788" t="n">
        <v>0</v>
      </c>
      <c r="N788" t="n">
        <v>0</v>
      </c>
      <c r="O788" t="n">
        <v>2</v>
      </c>
      <c r="P788" t="n">
        <v>0</v>
      </c>
      <c r="Q788" t="n">
        <v>2</v>
      </c>
      <c r="R788" s="2" t="inlineStr">
        <is>
          <t>Grönsångare
Mindre hackspett</t>
        </is>
      </c>
      <c r="S788">
        <f>HYPERLINK("https://klasma.github.io/Logging_2401/artfynd/A 65043-2023 artfynd.xlsx", "A 65043-2023")</f>
        <v/>
      </c>
      <c r="T788">
        <f>HYPERLINK("https://klasma.github.io/Logging_2401/kartor/A 65043-2023 karta.png", "A 65043-2023")</f>
        <v/>
      </c>
      <c r="V788">
        <f>HYPERLINK("https://klasma.github.io/Logging_2401/klagomål/A 65043-2023 FSC-klagomål.docx", "A 65043-2023")</f>
        <v/>
      </c>
      <c r="W788">
        <f>HYPERLINK("https://klasma.github.io/Logging_2401/klagomålsmail/A 65043-2023 FSC-klagomål mail.docx", "A 65043-2023")</f>
        <v/>
      </c>
      <c r="X788">
        <f>HYPERLINK("https://klasma.github.io/Logging_2401/tillsyn/A 65043-2023 tillsynsbegäran.docx", "A 65043-2023")</f>
        <v/>
      </c>
      <c r="Y788">
        <f>HYPERLINK("https://klasma.github.io/Logging_2401/tillsynsmail/A 65043-2023 tillsynsbegäran mail.docx", "A 65043-2023")</f>
        <v/>
      </c>
      <c r="Z788">
        <f>HYPERLINK("https://klasma.github.io/Logging_2401/fåglar/A 65043-2023 prioriterade fågelarter.docx", "A 65043-2023")</f>
        <v/>
      </c>
    </row>
    <row r="789" ht="15" customHeight="1">
      <c r="A789" t="inlineStr">
        <is>
          <t>A 30717-2023</t>
        </is>
      </c>
      <c r="B789" s="1" t="n">
        <v>45112</v>
      </c>
      <c r="C789" s="1" t="n">
        <v>46145</v>
      </c>
      <c r="D789" t="inlineStr">
        <is>
          <t>VÄSTERBOTTENS LÄN</t>
        </is>
      </c>
      <c r="E789" t="inlineStr">
        <is>
          <t>VILHELMINA</t>
        </is>
      </c>
      <c r="G789" t="n">
        <v>22.7</v>
      </c>
      <c r="H789" t="n">
        <v>0</v>
      </c>
      <c r="I789" t="n">
        <v>0</v>
      </c>
      <c r="J789" t="n">
        <v>2</v>
      </c>
      <c r="K789" t="n">
        <v>0</v>
      </c>
      <c r="L789" t="n">
        <v>0</v>
      </c>
      <c r="M789" t="n">
        <v>0</v>
      </c>
      <c r="N789" t="n">
        <v>0</v>
      </c>
      <c r="O789" t="n">
        <v>2</v>
      </c>
      <c r="P789" t="n">
        <v>0</v>
      </c>
      <c r="Q789" t="n">
        <v>2</v>
      </c>
      <c r="R789" s="2" t="inlineStr">
        <is>
          <t>Garnlav
Ullticka</t>
        </is>
      </c>
      <c r="S789">
        <f>HYPERLINK("https://klasma.github.io/Logging_2462/artfynd/A 30717-2023 artfynd.xlsx", "A 30717-2023")</f>
        <v/>
      </c>
      <c r="T789">
        <f>HYPERLINK("https://klasma.github.io/Logging_2462/kartor/A 30717-2023 karta.png", "A 30717-2023")</f>
        <v/>
      </c>
      <c r="V789">
        <f>HYPERLINK("https://klasma.github.io/Logging_2462/klagomål/A 30717-2023 FSC-klagomål.docx", "A 30717-2023")</f>
        <v/>
      </c>
      <c r="W789">
        <f>HYPERLINK("https://klasma.github.io/Logging_2462/klagomålsmail/A 30717-2023 FSC-klagomål mail.docx", "A 30717-2023")</f>
        <v/>
      </c>
      <c r="X789">
        <f>HYPERLINK("https://klasma.github.io/Logging_2462/tillsyn/A 30717-2023 tillsynsbegäran.docx", "A 30717-2023")</f>
        <v/>
      </c>
      <c r="Y789">
        <f>HYPERLINK("https://klasma.github.io/Logging_2462/tillsynsmail/A 30717-2023 tillsynsbegäran mail.docx", "A 30717-2023")</f>
        <v/>
      </c>
    </row>
    <row r="790" ht="15" customHeight="1">
      <c r="A790" t="inlineStr">
        <is>
          <t>A 13211-2026</t>
        </is>
      </c>
      <c r="B790" s="1" t="n">
        <v>46093.61508101852</v>
      </c>
      <c r="C790" s="1" t="n">
        <v>46145</v>
      </c>
      <c r="D790" t="inlineStr">
        <is>
          <t>VÄSTERBOTTENS LÄN</t>
        </is>
      </c>
      <c r="E790" t="inlineStr">
        <is>
          <t>VILHELMINA</t>
        </is>
      </c>
      <c r="F790" t="inlineStr">
        <is>
          <t>SCA</t>
        </is>
      </c>
      <c r="G790" t="n">
        <v>12.7</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13211-2026 artfynd.xlsx", "A 13211-2026")</f>
        <v/>
      </c>
      <c r="T790">
        <f>HYPERLINK("https://klasma.github.io/Logging_2462/kartor/A 13211-2026 karta.png", "A 13211-2026")</f>
        <v/>
      </c>
      <c r="V790">
        <f>HYPERLINK("https://klasma.github.io/Logging_2462/klagomål/A 13211-2026 FSC-klagomål.docx", "A 13211-2026")</f>
        <v/>
      </c>
      <c r="W790">
        <f>HYPERLINK("https://klasma.github.io/Logging_2462/klagomålsmail/A 13211-2026 FSC-klagomål mail.docx", "A 13211-2026")</f>
        <v/>
      </c>
      <c r="X790">
        <f>HYPERLINK("https://klasma.github.io/Logging_2462/tillsyn/A 13211-2026 tillsynsbegäran.docx", "A 13211-2026")</f>
        <v/>
      </c>
      <c r="Y790">
        <f>HYPERLINK("https://klasma.github.io/Logging_2462/tillsynsmail/A 13211-2026 tillsynsbegäran mail.docx", "A 13211-2026")</f>
        <v/>
      </c>
      <c r="Z790">
        <f>HYPERLINK("https://klasma.github.io/Logging_2462/fåglar/A 13211-2026 prioriterade fågelarter.docx", "A 13211-2026")</f>
        <v/>
      </c>
    </row>
    <row r="791" ht="15" customHeight="1">
      <c r="A791" t="inlineStr">
        <is>
          <t>A 57675-2024</t>
        </is>
      </c>
      <c r="B791" s="1" t="n">
        <v>45630</v>
      </c>
      <c r="C791" s="1" t="n">
        <v>46145</v>
      </c>
      <c r="D791" t="inlineStr">
        <is>
          <t>VÄSTERBOTTENS LÄN</t>
        </is>
      </c>
      <c r="E791" t="inlineStr">
        <is>
          <t>VINDELN</t>
        </is>
      </c>
      <c r="F791" t="inlineStr">
        <is>
          <t>SCA</t>
        </is>
      </c>
      <c r="G791" t="n">
        <v>1</v>
      </c>
      <c r="H791" t="n">
        <v>0</v>
      </c>
      <c r="I791" t="n">
        <v>0</v>
      </c>
      <c r="J791" t="n">
        <v>2</v>
      </c>
      <c r="K791" t="n">
        <v>0</v>
      </c>
      <c r="L791" t="n">
        <v>0</v>
      </c>
      <c r="M791" t="n">
        <v>0</v>
      </c>
      <c r="N791" t="n">
        <v>0</v>
      </c>
      <c r="O791" t="n">
        <v>2</v>
      </c>
      <c r="P791" t="n">
        <v>0</v>
      </c>
      <c r="Q791" t="n">
        <v>2</v>
      </c>
      <c r="R791" s="2" t="inlineStr">
        <is>
          <t>Garnlav
Granticka</t>
        </is>
      </c>
      <c r="S791">
        <f>HYPERLINK("https://klasma.github.io/Logging_2404/artfynd/A 57675-2024 artfynd.xlsx", "A 57675-2024")</f>
        <v/>
      </c>
      <c r="T791">
        <f>HYPERLINK("https://klasma.github.io/Logging_2404/kartor/A 57675-2024 karta.png", "A 57675-2024")</f>
        <v/>
      </c>
      <c r="V791">
        <f>HYPERLINK("https://klasma.github.io/Logging_2404/klagomål/A 57675-2024 FSC-klagomål.docx", "A 57675-2024")</f>
        <v/>
      </c>
      <c r="W791">
        <f>HYPERLINK("https://klasma.github.io/Logging_2404/klagomålsmail/A 57675-2024 FSC-klagomål mail.docx", "A 57675-2024")</f>
        <v/>
      </c>
      <c r="X791">
        <f>HYPERLINK("https://klasma.github.io/Logging_2404/tillsyn/A 57675-2024 tillsynsbegäran.docx", "A 57675-2024")</f>
        <v/>
      </c>
      <c r="Y791">
        <f>HYPERLINK("https://klasma.github.io/Logging_2404/tillsynsmail/A 57675-2024 tillsynsbegäran mail.docx", "A 57675-2024")</f>
        <v/>
      </c>
    </row>
    <row r="792" ht="15" customHeight="1">
      <c r="A792" t="inlineStr">
        <is>
          <t>A 2549-2026</t>
        </is>
      </c>
      <c r="B792" s="1" t="n">
        <v>46037</v>
      </c>
      <c r="C792" s="1" t="n">
        <v>46145</v>
      </c>
      <c r="D792" t="inlineStr">
        <is>
          <t>VÄSTERBOTTENS LÄN</t>
        </is>
      </c>
      <c r="E792" t="inlineStr">
        <is>
          <t>UMEÅ</t>
        </is>
      </c>
      <c r="G792" t="n">
        <v>5.3</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2549-2026 artfynd.xlsx", "A 2549-2026")</f>
        <v/>
      </c>
      <c r="T792">
        <f>HYPERLINK("https://klasma.github.io/Logging_2480/kartor/A 2549-2026 karta.png", "A 2549-2026")</f>
        <v/>
      </c>
      <c r="V792">
        <f>HYPERLINK("https://klasma.github.io/Logging_2480/klagomål/A 2549-2026 FSC-klagomål.docx", "A 2549-2026")</f>
        <v/>
      </c>
      <c r="W792">
        <f>HYPERLINK("https://klasma.github.io/Logging_2480/klagomålsmail/A 2549-2026 FSC-klagomål mail.docx", "A 2549-2026")</f>
        <v/>
      </c>
      <c r="X792">
        <f>HYPERLINK("https://klasma.github.io/Logging_2480/tillsyn/A 2549-2026 tillsynsbegäran.docx", "A 2549-2026")</f>
        <v/>
      </c>
      <c r="Y792">
        <f>HYPERLINK("https://klasma.github.io/Logging_2480/tillsynsmail/A 2549-2026 tillsynsbegäran mail.docx", "A 2549-2026")</f>
        <v/>
      </c>
    </row>
    <row r="793" ht="15" customHeight="1">
      <c r="A793" t="inlineStr">
        <is>
          <t>A 11627-2023</t>
        </is>
      </c>
      <c r="B793" s="1" t="n">
        <v>44994</v>
      </c>
      <c r="C793" s="1" t="n">
        <v>46145</v>
      </c>
      <c r="D793" t="inlineStr">
        <is>
          <t>VÄSTERBOTTENS LÄN</t>
        </is>
      </c>
      <c r="E793" t="inlineStr">
        <is>
          <t>SKELLEFTEÅ</t>
        </is>
      </c>
      <c r="G793" t="n">
        <v>16.6</v>
      </c>
      <c r="H793" t="n">
        <v>1</v>
      </c>
      <c r="I793" t="n">
        <v>1</v>
      </c>
      <c r="J793" t="n">
        <v>0</v>
      </c>
      <c r="K793" t="n">
        <v>0</v>
      </c>
      <c r="L793" t="n">
        <v>0</v>
      </c>
      <c r="M793" t="n">
        <v>0</v>
      </c>
      <c r="N793" t="n">
        <v>0</v>
      </c>
      <c r="O793" t="n">
        <v>0</v>
      </c>
      <c r="P793" t="n">
        <v>0</v>
      </c>
      <c r="Q793" t="n">
        <v>2</v>
      </c>
      <c r="R793" s="2" t="inlineStr">
        <is>
          <t>Norrlandslav
Revlummer</t>
        </is>
      </c>
      <c r="S793">
        <f>HYPERLINK("https://klasma.github.io/Logging_2482/artfynd/A 11627-2023 artfynd.xlsx", "A 11627-2023")</f>
        <v/>
      </c>
      <c r="T793">
        <f>HYPERLINK("https://klasma.github.io/Logging_2482/kartor/A 11627-2023 karta.png", "A 11627-2023")</f>
        <v/>
      </c>
      <c r="V793">
        <f>HYPERLINK("https://klasma.github.io/Logging_2482/klagomål/A 11627-2023 FSC-klagomål.docx", "A 11627-2023")</f>
        <v/>
      </c>
      <c r="W793">
        <f>HYPERLINK("https://klasma.github.io/Logging_2482/klagomålsmail/A 11627-2023 FSC-klagomål mail.docx", "A 11627-2023")</f>
        <v/>
      </c>
      <c r="X793">
        <f>HYPERLINK("https://klasma.github.io/Logging_2482/tillsyn/A 11627-2023 tillsynsbegäran.docx", "A 11627-2023")</f>
        <v/>
      </c>
      <c r="Y793">
        <f>HYPERLINK("https://klasma.github.io/Logging_2482/tillsynsmail/A 11627-2023 tillsynsbegäran mail.docx", "A 11627-2023")</f>
        <v/>
      </c>
    </row>
    <row r="794" ht="15" customHeight="1">
      <c r="A794" t="inlineStr">
        <is>
          <t>A 10292-2023</t>
        </is>
      </c>
      <c r="B794" s="1" t="n">
        <v>44986</v>
      </c>
      <c r="C794" s="1" t="n">
        <v>46145</v>
      </c>
      <c r="D794" t="inlineStr">
        <is>
          <t>VÄSTERBOTTENS LÄN</t>
        </is>
      </c>
      <c r="E794" t="inlineStr">
        <is>
          <t>ÅSELE</t>
        </is>
      </c>
      <c r="F794" t="inlineStr">
        <is>
          <t>SCA</t>
        </is>
      </c>
      <c r="G794" t="n">
        <v>22.4</v>
      </c>
      <c r="H794" t="n">
        <v>0</v>
      </c>
      <c r="I794" t="n">
        <v>0</v>
      </c>
      <c r="J794" t="n">
        <v>2</v>
      </c>
      <c r="K794" t="n">
        <v>0</v>
      </c>
      <c r="L794" t="n">
        <v>0</v>
      </c>
      <c r="M794" t="n">
        <v>0</v>
      </c>
      <c r="N794" t="n">
        <v>0</v>
      </c>
      <c r="O794" t="n">
        <v>2</v>
      </c>
      <c r="P794" t="n">
        <v>0</v>
      </c>
      <c r="Q794" t="n">
        <v>2</v>
      </c>
      <c r="R794" s="2" t="inlineStr">
        <is>
          <t>Granticka
Lunglav</t>
        </is>
      </c>
      <c r="S794">
        <f>HYPERLINK("https://klasma.github.io/Logging_2463/artfynd/A 10292-2023 artfynd.xlsx", "A 10292-2023")</f>
        <v/>
      </c>
      <c r="T794">
        <f>HYPERLINK("https://klasma.github.io/Logging_2463/kartor/A 10292-2023 karta.png", "A 10292-2023")</f>
        <v/>
      </c>
      <c r="V794">
        <f>HYPERLINK("https://klasma.github.io/Logging_2463/klagomål/A 10292-2023 FSC-klagomål.docx", "A 10292-2023")</f>
        <v/>
      </c>
      <c r="W794">
        <f>HYPERLINK("https://klasma.github.io/Logging_2463/klagomålsmail/A 10292-2023 FSC-klagomål mail.docx", "A 10292-2023")</f>
        <v/>
      </c>
      <c r="X794">
        <f>HYPERLINK("https://klasma.github.io/Logging_2463/tillsyn/A 10292-2023 tillsynsbegäran.docx", "A 10292-2023")</f>
        <v/>
      </c>
      <c r="Y794">
        <f>HYPERLINK("https://klasma.github.io/Logging_2463/tillsynsmail/A 10292-2023 tillsynsbegäran mail.docx", "A 10292-2023")</f>
        <v/>
      </c>
    </row>
    <row r="795" ht="15" customHeight="1">
      <c r="A795" t="inlineStr">
        <is>
          <t>A 14591-2026</t>
        </is>
      </c>
      <c r="B795" s="1" t="n">
        <v>46101.34605324074</v>
      </c>
      <c r="C795" s="1" t="n">
        <v>46145</v>
      </c>
      <c r="D795" t="inlineStr">
        <is>
          <t>VÄSTERBOTTENS LÄN</t>
        </is>
      </c>
      <c r="E795" t="inlineStr">
        <is>
          <t>SKELLEFTEÅ</t>
        </is>
      </c>
      <c r="F795" t="inlineStr">
        <is>
          <t>SCA</t>
        </is>
      </c>
      <c r="G795" t="n">
        <v>2.1</v>
      </c>
      <c r="H795" t="n">
        <v>1</v>
      </c>
      <c r="I795" t="n">
        <v>0</v>
      </c>
      <c r="J795" t="n">
        <v>2</v>
      </c>
      <c r="K795" t="n">
        <v>0</v>
      </c>
      <c r="L795" t="n">
        <v>0</v>
      </c>
      <c r="M795" t="n">
        <v>0</v>
      </c>
      <c r="N795" t="n">
        <v>0</v>
      </c>
      <c r="O795" t="n">
        <v>2</v>
      </c>
      <c r="P795" t="n">
        <v>0</v>
      </c>
      <c r="Q795" t="n">
        <v>2</v>
      </c>
      <c r="R795" s="2" t="inlineStr">
        <is>
          <t>Harticka
Spillkråka</t>
        </is>
      </c>
      <c r="S795">
        <f>HYPERLINK("https://klasma.github.io/Logging_2482/artfynd/A 14591-2026 artfynd.xlsx", "A 14591-2026")</f>
        <v/>
      </c>
      <c r="T795">
        <f>HYPERLINK("https://klasma.github.io/Logging_2482/kartor/A 14591-2026 karta.png", "A 14591-2026")</f>
        <v/>
      </c>
      <c r="V795">
        <f>HYPERLINK("https://klasma.github.io/Logging_2482/klagomål/A 14591-2026 FSC-klagomål.docx", "A 14591-2026")</f>
        <v/>
      </c>
      <c r="W795">
        <f>HYPERLINK("https://klasma.github.io/Logging_2482/klagomålsmail/A 14591-2026 FSC-klagomål mail.docx", "A 14591-2026")</f>
        <v/>
      </c>
      <c r="X795">
        <f>HYPERLINK("https://klasma.github.io/Logging_2482/tillsyn/A 14591-2026 tillsynsbegäran.docx", "A 14591-2026")</f>
        <v/>
      </c>
      <c r="Y795">
        <f>HYPERLINK("https://klasma.github.io/Logging_2482/tillsynsmail/A 14591-2026 tillsynsbegäran mail.docx", "A 14591-2026")</f>
        <v/>
      </c>
      <c r="Z795">
        <f>HYPERLINK("https://klasma.github.io/Logging_2482/fåglar/A 14591-2026 prioriterade fågelarter.docx", "A 14591-2026")</f>
        <v/>
      </c>
    </row>
    <row r="796" ht="15" customHeight="1">
      <c r="A796" t="inlineStr">
        <is>
          <t>A 43250-2023</t>
        </is>
      </c>
      <c r="B796" s="1" t="n">
        <v>45180</v>
      </c>
      <c r="C796" s="1" t="n">
        <v>46145</v>
      </c>
      <c r="D796" t="inlineStr">
        <is>
          <t>VÄSTERBOTTENS LÄN</t>
        </is>
      </c>
      <c r="E796" t="inlineStr">
        <is>
          <t>SKELLEFTEÅ</t>
        </is>
      </c>
      <c r="G796" t="n">
        <v>3.3</v>
      </c>
      <c r="H796" t="n">
        <v>1</v>
      </c>
      <c r="I796" t="n">
        <v>0</v>
      </c>
      <c r="J796" t="n">
        <v>1</v>
      </c>
      <c r="K796" t="n">
        <v>1</v>
      </c>
      <c r="L796" t="n">
        <v>0</v>
      </c>
      <c r="M796" t="n">
        <v>0</v>
      </c>
      <c r="N796" t="n">
        <v>0</v>
      </c>
      <c r="O796" t="n">
        <v>2</v>
      </c>
      <c r="P796" t="n">
        <v>1</v>
      </c>
      <c r="Q796" t="n">
        <v>2</v>
      </c>
      <c r="R796" s="2" t="inlineStr">
        <is>
          <t>Knärot
Gammelgransskål</t>
        </is>
      </c>
      <c r="S796">
        <f>HYPERLINK("https://klasma.github.io/Logging_2482/artfynd/A 43250-2023 artfynd.xlsx", "A 43250-2023")</f>
        <v/>
      </c>
      <c r="T796">
        <f>HYPERLINK("https://klasma.github.io/Logging_2482/kartor/A 43250-2023 karta.png", "A 43250-2023")</f>
        <v/>
      </c>
      <c r="U796">
        <f>HYPERLINK("https://klasma.github.io/Logging_2482/knärot/A 43250-2023 karta knärot.png", "A 43250-2023")</f>
        <v/>
      </c>
      <c r="V796">
        <f>HYPERLINK("https://klasma.github.io/Logging_2482/klagomål/A 43250-2023 FSC-klagomål.docx", "A 43250-2023")</f>
        <v/>
      </c>
      <c r="W796">
        <f>HYPERLINK("https://klasma.github.io/Logging_2482/klagomålsmail/A 43250-2023 FSC-klagomål mail.docx", "A 43250-2023")</f>
        <v/>
      </c>
      <c r="X796">
        <f>HYPERLINK("https://klasma.github.io/Logging_2482/tillsyn/A 43250-2023 tillsynsbegäran.docx", "A 43250-2023")</f>
        <v/>
      </c>
      <c r="Y796">
        <f>HYPERLINK("https://klasma.github.io/Logging_2482/tillsynsmail/A 43250-2023 tillsynsbegäran mail.docx", "A 43250-2023")</f>
        <v/>
      </c>
    </row>
    <row r="797" ht="15" customHeight="1">
      <c r="A797" t="inlineStr">
        <is>
          <t>A 36561-2023</t>
        </is>
      </c>
      <c r="B797" s="1" t="n">
        <v>45153</v>
      </c>
      <c r="C797" s="1" t="n">
        <v>46145</v>
      </c>
      <c r="D797" t="inlineStr">
        <is>
          <t>VÄSTERBOTTENS LÄN</t>
        </is>
      </c>
      <c r="E797" t="inlineStr">
        <is>
          <t>ROBERTSFORS</t>
        </is>
      </c>
      <c r="F797" t="inlineStr">
        <is>
          <t>Holmen skog AB</t>
        </is>
      </c>
      <c r="G797" t="n">
        <v>2.2</v>
      </c>
      <c r="H797" t="n">
        <v>2</v>
      </c>
      <c r="I797" t="n">
        <v>0</v>
      </c>
      <c r="J797" t="n">
        <v>0</v>
      </c>
      <c r="K797" t="n">
        <v>0</v>
      </c>
      <c r="L797" t="n">
        <v>0</v>
      </c>
      <c r="M797" t="n">
        <v>0</v>
      </c>
      <c r="N797" t="n">
        <v>0</v>
      </c>
      <c r="O797" t="n">
        <v>0</v>
      </c>
      <c r="P797" t="n">
        <v>0</v>
      </c>
      <c r="Q797" t="n">
        <v>2</v>
      </c>
      <c r="R797" s="2" t="inlineStr">
        <is>
          <t>Fläcknycklar
Revlummer</t>
        </is>
      </c>
      <c r="S797">
        <f>HYPERLINK("https://klasma.github.io/Logging_2409/artfynd/A 36561-2023 artfynd.xlsx", "A 36561-2023")</f>
        <v/>
      </c>
      <c r="T797">
        <f>HYPERLINK("https://klasma.github.io/Logging_2409/kartor/A 36561-2023 karta.png", "A 36561-2023")</f>
        <v/>
      </c>
      <c r="V797">
        <f>HYPERLINK("https://klasma.github.io/Logging_2409/klagomål/A 36561-2023 FSC-klagomål.docx", "A 36561-2023")</f>
        <v/>
      </c>
      <c r="W797">
        <f>HYPERLINK("https://klasma.github.io/Logging_2409/klagomålsmail/A 36561-2023 FSC-klagomål mail.docx", "A 36561-2023")</f>
        <v/>
      </c>
      <c r="X797">
        <f>HYPERLINK("https://klasma.github.io/Logging_2409/tillsyn/A 36561-2023 tillsynsbegäran.docx", "A 36561-2023")</f>
        <v/>
      </c>
      <c r="Y797">
        <f>HYPERLINK("https://klasma.github.io/Logging_2409/tillsynsmail/A 36561-2023 tillsynsbegäran mail.docx", "A 36561-2023")</f>
        <v/>
      </c>
    </row>
    <row r="798" ht="15" customHeight="1">
      <c r="A798" t="inlineStr">
        <is>
          <t>A 49440-2022</t>
        </is>
      </c>
      <c r="B798" s="1" t="n">
        <v>44859</v>
      </c>
      <c r="C798" s="1" t="n">
        <v>46145</v>
      </c>
      <c r="D798" t="inlineStr">
        <is>
          <t>VÄSTERBOTTENS LÄN</t>
        </is>
      </c>
      <c r="E798" t="inlineStr">
        <is>
          <t>SKELLEFTEÅ</t>
        </is>
      </c>
      <c r="G798" t="n">
        <v>1.5</v>
      </c>
      <c r="H798" t="n">
        <v>0</v>
      </c>
      <c r="I798" t="n">
        <v>0</v>
      </c>
      <c r="J798" t="n">
        <v>2</v>
      </c>
      <c r="K798" t="n">
        <v>0</v>
      </c>
      <c r="L798" t="n">
        <v>0</v>
      </c>
      <c r="M798" t="n">
        <v>0</v>
      </c>
      <c r="N798" t="n">
        <v>0</v>
      </c>
      <c r="O798" t="n">
        <v>2</v>
      </c>
      <c r="P798" t="n">
        <v>0</v>
      </c>
      <c r="Q798" t="n">
        <v>2</v>
      </c>
      <c r="R798" s="2" t="inlineStr">
        <is>
          <t>Gränsticka
Ullticka</t>
        </is>
      </c>
      <c r="S798">
        <f>HYPERLINK("https://klasma.github.io/Logging_2482/artfynd/A 49440-2022 artfynd.xlsx", "A 49440-2022")</f>
        <v/>
      </c>
      <c r="T798">
        <f>HYPERLINK("https://klasma.github.io/Logging_2482/kartor/A 49440-2022 karta.png", "A 49440-2022")</f>
        <v/>
      </c>
      <c r="V798">
        <f>HYPERLINK("https://klasma.github.io/Logging_2482/klagomål/A 49440-2022 FSC-klagomål.docx", "A 49440-2022")</f>
        <v/>
      </c>
      <c r="W798">
        <f>HYPERLINK("https://klasma.github.io/Logging_2482/klagomålsmail/A 49440-2022 FSC-klagomål mail.docx", "A 49440-2022")</f>
        <v/>
      </c>
      <c r="X798">
        <f>HYPERLINK("https://klasma.github.io/Logging_2482/tillsyn/A 49440-2022 tillsynsbegäran.docx", "A 49440-2022")</f>
        <v/>
      </c>
      <c r="Y798">
        <f>HYPERLINK("https://klasma.github.io/Logging_2482/tillsynsmail/A 49440-2022 tillsynsbegäran mail.docx", "A 49440-2022")</f>
        <v/>
      </c>
    </row>
    <row r="799" ht="15" customHeight="1">
      <c r="A799" t="inlineStr">
        <is>
          <t>A 40742-2023</t>
        </is>
      </c>
      <c r="B799" s="1" t="n">
        <v>45170</v>
      </c>
      <c r="C799" s="1" t="n">
        <v>46145</v>
      </c>
      <c r="D799" t="inlineStr">
        <is>
          <t>VÄSTERBOTTENS LÄN</t>
        </is>
      </c>
      <c r="E799" t="inlineStr">
        <is>
          <t>SKELLEFTEÅ</t>
        </is>
      </c>
      <c r="F799" t="inlineStr">
        <is>
          <t>Sveaskog</t>
        </is>
      </c>
      <c r="G799" t="n">
        <v>13.6</v>
      </c>
      <c r="H799" t="n">
        <v>0</v>
      </c>
      <c r="I799" t="n">
        <v>1</v>
      </c>
      <c r="J799" t="n">
        <v>1</v>
      </c>
      <c r="K799" t="n">
        <v>0</v>
      </c>
      <c r="L799" t="n">
        <v>0</v>
      </c>
      <c r="M799" t="n">
        <v>0</v>
      </c>
      <c r="N799" t="n">
        <v>0</v>
      </c>
      <c r="O799" t="n">
        <v>1</v>
      </c>
      <c r="P799" t="n">
        <v>0</v>
      </c>
      <c r="Q799" t="n">
        <v>2</v>
      </c>
      <c r="R799" s="2" t="inlineStr">
        <is>
          <t>Kolflarnlav
Stuplav</t>
        </is>
      </c>
      <c r="S799">
        <f>HYPERLINK("https://klasma.github.io/Logging_2482/artfynd/A 40742-2023 artfynd.xlsx", "A 40742-2023")</f>
        <v/>
      </c>
      <c r="T799">
        <f>HYPERLINK("https://klasma.github.io/Logging_2482/kartor/A 40742-2023 karta.png", "A 40742-2023")</f>
        <v/>
      </c>
      <c r="V799">
        <f>HYPERLINK("https://klasma.github.io/Logging_2482/klagomål/A 40742-2023 FSC-klagomål.docx", "A 40742-2023")</f>
        <v/>
      </c>
      <c r="W799">
        <f>HYPERLINK("https://klasma.github.io/Logging_2482/klagomålsmail/A 40742-2023 FSC-klagomål mail.docx", "A 40742-2023")</f>
        <v/>
      </c>
      <c r="X799">
        <f>HYPERLINK("https://klasma.github.io/Logging_2482/tillsyn/A 40742-2023 tillsynsbegäran.docx", "A 40742-2023")</f>
        <v/>
      </c>
      <c r="Y799">
        <f>HYPERLINK("https://klasma.github.io/Logging_2482/tillsynsmail/A 40742-2023 tillsynsbegäran mail.docx", "A 40742-2023")</f>
        <v/>
      </c>
    </row>
    <row r="800" ht="15" customHeight="1">
      <c r="A800" t="inlineStr">
        <is>
          <t>A 8880-2024</t>
        </is>
      </c>
      <c r="B800" s="1" t="n">
        <v>45357</v>
      </c>
      <c r="C800" s="1" t="n">
        <v>46145</v>
      </c>
      <c r="D800" t="inlineStr">
        <is>
          <t>VÄSTERBOTTENS LÄN</t>
        </is>
      </c>
      <c r="E800" t="inlineStr">
        <is>
          <t>ÅSELE</t>
        </is>
      </c>
      <c r="F800" t="inlineStr">
        <is>
          <t>SCA</t>
        </is>
      </c>
      <c r="G800" t="n">
        <v>10.8</v>
      </c>
      <c r="H800" t="n">
        <v>0</v>
      </c>
      <c r="I800" t="n">
        <v>0</v>
      </c>
      <c r="J800" t="n">
        <v>2</v>
      </c>
      <c r="K800" t="n">
        <v>0</v>
      </c>
      <c r="L800" t="n">
        <v>0</v>
      </c>
      <c r="M800" t="n">
        <v>0</v>
      </c>
      <c r="N800" t="n">
        <v>0</v>
      </c>
      <c r="O800" t="n">
        <v>2</v>
      </c>
      <c r="P800" t="n">
        <v>0</v>
      </c>
      <c r="Q800" t="n">
        <v>2</v>
      </c>
      <c r="R800" s="2" t="inlineStr">
        <is>
          <t>Dvärgbägarlav
Garnlav</t>
        </is>
      </c>
      <c r="S800">
        <f>HYPERLINK("https://klasma.github.io/Logging_2463/artfynd/A 8880-2024 artfynd.xlsx", "A 8880-2024")</f>
        <v/>
      </c>
      <c r="T800">
        <f>HYPERLINK("https://klasma.github.io/Logging_2463/kartor/A 8880-2024 karta.png", "A 8880-2024")</f>
        <v/>
      </c>
      <c r="V800">
        <f>HYPERLINK("https://klasma.github.io/Logging_2463/klagomål/A 8880-2024 FSC-klagomål.docx", "A 8880-2024")</f>
        <v/>
      </c>
      <c r="W800">
        <f>HYPERLINK("https://klasma.github.io/Logging_2463/klagomålsmail/A 8880-2024 FSC-klagomål mail.docx", "A 8880-2024")</f>
        <v/>
      </c>
      <c r="X800">
        <f>HYPERLINK("https://klasma.github.io/Logging_2463/tillsyn/A 8880-2024 tillsynsbegäran.docx", "A 8880-2024")</f>
        <v/>
      </c>
      <c r="Y800">
        <f>HYPERLINK("https://klasma.github.io/Logging_2463/tillsynsmail/A 8880-2024 tillsynsbegäran mail.docx", "A 8880-2024")</f>
        <v/>
      </c>
    </row>
    <row r="801" ht="15" customHeight="1">
      <c r="A801" t="inlineStr">
        <is>
          <t>A 53271-2024</t>
        </is>
      </c>
      <c r="B801" s="1" t="n">
        <v>45614.36726851852</v>
      </c>
      <c r="C801" s="1" t="n">
        <v>46145</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55198-2024</t>
        </is>
      </c>
      <c r="B802" s="1" t="n">
        <v>45620</v>
      </c>
      <c r="C802" s="1" t="n">
        <v>46145</v>
      </c>
      <c r="D802" t="inlineStr">
        <is>
          <t>VÄSTERBOTTENS LÄN</t>
        </is>
      </c>
      <c r="E802" t="inlineStr">
        <is>
          <t>SKELLEFTEÅ</t>
        </is>
      </c>
      <c r="G802" t="n">
        <v>1.8</v>
      </c>
      <c r="H802" t="n">
        <v>0</v>
      </c>
      <c r="I802" t="n">
        <v>1</v>
      </c>
      <c r="J802" t="n">
        <v>1</v>
      </c>
      <c r="K802" t="n">
        <v>0</v>
      </c>
      <c r="L802" t="n">
        <v>0</v>
      </c>
      <c r="M802" t="n">
        <v>0</v>
      </c>
      <c r="N802" t="n">
        <v>0</v>
      </c>
      <c r="O802" t="n">
        <v>1</v>
      </c>
      <c r="P802" t="n">
        <v>0</v>
      </c>
      <c r="Q802" t="n">
        <v>2</v>
      </c>
      <c r="R802" s="2" t="inlineStr">
        <is>
          <t>Blanksvart spiklav
Nästlav</t>
        </is>
      </c>
      <c r="S802">
        <f>HYPERLINK("https://klasma.github.io/Logging_2482/artfynd/A 55198-2024 artfynd.xlsx", "A 55198-2024")</f>
        <v/>
      </c>
      <c r="T802">
        <f>HYPERLINK("https://klasma.github.io/Logging_2482/kartor/A 55198-2024 karta.png", "A 55198-2024")</f>
        <v/>
      </c>
      <c r="V802">
        <f>HYPERLINK("https://klasma.github.io/Logging_2482/klagomål/A 55198-2024 FSC-klagomål.docx", "A 55198-2024")</f>
        <v/>
      </c>
      <c r="W802">
        <f>HYPERLINK("https://klasma.github.io/Logging_2482/klagomålsmail/A 55198-2024 FSC-klagomål mail.docx", "A 55198-2024")</f>
        <v/>
      </c>
      <c r="X802">
        <f>HYPERLINK("https://klasma.github.io/Logging_2482/tillsyn/A 55198-2024 tillsynsbegäran.docx", "A 55198-2024")</f>
        <v/>
      </c>
      <c r="Y802">
        <f>HYPERLINK("https://klasma.github.io/Logging_2482/tillsynsmail/A 55198-2024 tillsynsbegäran mail.docx", "A 55198-2024")</f>
        <v/>
      </c>
    </row>
    <row r="803" ht="15" customHeight="1">
      <c r="A803" t="inlineStr">
        <is>
          <t>A 20983-2025</t>
        </is>
      </c>
      <c r="B803" s="1" t="n">
        <v>45777.46910879629</v>
      </c>
      <c r="C803" s="1" t="n">
        <v>46145</v>
      </c>
      <c r="D803" t="inlineStr">
        <is>
          <t>VÄSTERBOTTENS LÄN</t>
        </is>
      </c>
      <c r="E803" t="inlineStr">
        <is>
          <t>VILHELMINA</t>
        </is>
      </c>
      <c r="F803" t="inlineStr">
        <is>
          <t>SCA</t>
        </is>
      </c>
      <c r="G803" t="n">
        <v>1.2</v>
      </c>
      <c r="H803" t="n">
        <v>1</v>
      </c>
      <c r="I803" t="n">
        <v>0</v>
      </c>
      <c r="J803" t="n">
        <v>2</v>
      </c>
      <c r="K803" t="n">
        <v>0</v>
      </c>
      <c r="L803" t="n">
        <v>0</v>
      </c>
      <c r="M803" t="n">
        <v>0</v>
      </c>
      <c r="N803" t="n">
        <v>0</v>
      </c>
      <c r="O803" t="n">
        <v>2</v>
      </c>
      <c r="P803" t="n">
        <v>0</v>
      </c>
      <c r="Q803" t="n">
        <v>2</v>
      </c>
      <c r="R803" s="2" t="inlineStr">
        <is>
          <t>Tretåig hackspett
Ullticka</t>
        </is>
      </c>
      <c r="S803">
        <f>HYPERLINK("https://klasma.github.io/Logging_2462/artfynd/A 20983-2025 artfynd.xlsx", "A 20983-2025")</f>
        <v/>
      </c>
      <c r="T803">
        <f>HYPERLINK("https://klasma.github.io/Logging_2462/kartor/A 20983-2025 karta.png", "A 20983-2025")</f>
        <v/>
      </c>
      <c r="V803">
        <f>HYPERLINK("https://klasma.github.io/Logging_2462/klagomål/A 20983-2025 FSC-klagomål.docx", "A 20983-2025")</f>
        <v/>
      </c>
      <c r="W803">
        <f>HYPERLINK("https://klasma.github.io/Logging_2462/klagomålsmail/A 20983-2025 FSC-klagomål mail.docx", "A 20983-2025")</f>
        <v/>
      </c>
      <c r="X803">
        <f>HYPERLINK("https://klasma.github.io/Logging_2462/tillsyn/A 20983-2025 tillsynsbegäran.docx", "A 20983-2025")</f>
        <v/>
      </c>
      <c r="Y803">
        <f>HYPERLINK("https://klasma.github.io/Logging_2462/tillsynsmail/A 20983-2025 tillsynsbegäran mail.docx", "A 20983-2025")</f>
        <v/>
      </c>
      <c r="Z803">
        <f>HYPERLINK("https://klasma.github.io/Logging_2462/fåglar/A 20983-2025 prioriterade fågelarter.docx", "A 20983-2025")</f>
        <v/>
      </c>
    </row>
    <row r="804" ht="15" customHeight="1">
      <c r="A804" t="inlineStr">
        <is>
          <t>A 22092-2025</t>
        </is>
      </c>
      <c r="B804" s="1" t="n">
        <v>45785.45925925926</v>
      </c>
      <c r="C804" s="1" t="n">
        <v>46145</v>
      </c>
      <c r="D804" t="inlineStr">
        <is>
          <t>VÄSTERBOTTENS LÄN</t>
        </is>
      </c>
      <c r="E804" t="inlineStr">
        <is>
          <t>ROBERTSFORS</t>
        </is>
      </c>
      <c r="G804" t="n">
        <v>3.9</v>
      </c>
      <c r="H804" t="n">
        <v>0</v>
      </c>
      <c r="I804" t="n">
        <v>1</v>
      </c>
      <c r="J804" t="n">
        <v>1</v>
      </c>
      <c r="K804" t="n">
        <v>0</v>
      </c>
      <c r="L804" t="n">
        <v>0</v>
      </c>
      <c r="M804" t="n">
        <v>0</v>
      </c>
      <c r="N804" t="n">
        <v>0</v>
      </c>
      <c r="O804" t="n">
        <v>1</v>
      </c>
      <c r="P804" t="n">
        <v>0</v>
      </c>
      <c r="Q804" t="n">
        <v>2</v>
      </c>
      <c r="R804" s="2" t="inlineStr">
        <is>
          <t>Garnlav
Dropptaggsvamp</t>
        </is>
      </c>
      <c r="S804">
        <f>HYPERLINK("https://klasma.github.io/Logging_2409/artfynd/A 22092-2025 artfynd.xlsx", "A 22092-2025")</f>
        <v/>
      </c>
      <c r="T804">
        <f>HYPERLINK("https://klasma.github.io/Logging_2409/kartor/A 22092-2025 karta.png", "A 22092-2025")</f>
        <v/>
      </c>
      <c r="V804">
        <f>HYPERLINK("https://klasma.github.io/Logging_2409/klagomål/A 22092-2025 FSC-klagomål.docx", "A 22092-2025")</f>
        <v/>
      </c>
      <c r="W804">
        <f>HYPERLINK("https://klasma.github.io/Logging_2409/klagomålsmail/A 22092-2025 FSC-klagomål mail.docx", "A 22092-2025")</f>
        <v/>
      </c>
      <c r="X804">
        <f>HYPERLINK("https://klasma.github.io/Logging_2409/tillsyn/A 22092-2025 tillsynsbegäran.docx", "A 22092-2025")</f>
        <v/>
      </c>
      <c r="Y804">
        <f>HYPERLINK("https://klasma.github.io/Logging_2409/tillsynsmail/A 22092-2025 tillsynsbegäran mail.docx", "A 22092-2025")</f>
        <v/>
      </c>
    </row>
    <row r="805" ht="15" customHeight="1">
      <c r="A805" t="inlineStr">
        <is>
          <t>A 22363-2025</t>
        </is>
      </c>
      <c r="B805" s="1" t="n">
        <v>45786.46878472222</v>
      </c>
      <c r="C805" s="1" t="n">
        <v>46145</v>
      </c>
      <c r="D805" t="inlineStr">
        <is>
          <t>VÄSTERBOTTENS LÄN</t>
        </is>
      </c>
      <c r="E805" t="inlineStr">
        <is>
          <t>LYCKSELE</t>
        </is>
      </c>
      <c r="F805" t="inlineStr">
        <is>
          <t>Sveaskog</t>
        </is>
      </c>
      <c r="G805" t="n">
        <v>2.2</v>
      </c>
      <c r="H805" t="n">
        <v>0</v>
      </c>
      <c r="I805" t="n">
        <v>0</v>
      </c>
      <c r="J805" t="n">
        <v>2</v>
      </c>
      <c r="K805" t="n">
        <v>0</v>
      </c>
      <c r="L805" t="n">
        <v>0</v>
      </c>
      <c r="M805" t="n">
        <v>0</v>
      </c>
      <c r="N805" t="n">
        <v>0</v>
      </c>
      <c r="O805" t="n">
        <v>2</v>
      </c>
      <c r="P805" t="n">
        <v>0</v>
      </c>
      <c r="Q805" t="n">
        <v>2</v>
      </c>
      <c r="R805" s="2" t="inlineStr">
        <is>
          <t>Blå taggsvamp
Orange taggsvamp</t>
        </is>
      </c>
      <c r="S805">
        <f>HYPERLINK("https://klasma.github.io/Logging_2481/artfynd/A 22363-2025 artfynd.xlsx", "A 22363-2025")</f>
        <v/>
      </c>
      <c r="T805">
        <f>HYPERLINK("https://klasma.github.io/Logging_2481/kartor/A 22363-2025 karta.png", "A 22363-2025")</f>
        <v/>
      </c>
      <c r="V805">
        <f>HYPERLINK("https://klasma.github.io/Logging_2481/klagomål/A 22363-2025 FSC-klagomål.docx", "A 22363-2025")</f>
        <v/>
      </c>
      <c r="W805">
        <f>HYPERLINK("https://klasma.github.io/Logging_2481/klagomålsmail/A 22363-2025 FSC-klagomål mail.docx", "A 22363-2025")</f>
        <v/>
      </c>
      <c r="X805">
        <f>HYPERLINK("https://klasma.github.io/Logging_2481/tillsyn/A 22363-2025 tillsynsbegäran.docx", "A 22363-2025")</f>
        <v/>
      </c>
      <c r="Y805">
        <f>HYPERLINK("https://klasma.github.io/Logging_2481/tillsynsmail/A 22363-2025 tillsynsbegäran mail.docx", "A 22363-2025")</f>
        <v/>
      </c>
    </row>
    <row r="806" ht="15" customHeight="1">
      <c r="A806" t="inlineStr">
        <is>
          <t>A 22360-2025</t>
        </is>
      </c>
      <c r="B806" s="1" t="n">
        <v>45786.46645833334</v>
      </c>
      <c r="C806" s="1" t="n">
        <v>46145</v>
      </c>
      <c r="D806" t="inlineStr">
        <is>
          <t>VÄSTERBOTTENS LÄN</t>
        </is>
      </c>
      <c r="E806" t="inlineStr">
        <is>
          <t>LYCKSELE</t>
        </is>
      </c>
      <c r="F806" t="inlineStr">
        <is>
          <t>Sveaskog</t>
        </is>
      </c>
      <c r="G806" t="n">
        <v>2.2</v>
      </c>
      <c r="H806" t="n">
        <v>0</v>
      </c>
      <c r="I806" t="n">
        <v>0</v>
      </c>
      <c r="J806" t="n">
        <v>2</v>
      </c>
      <c r="K806" t="n">
        <v>0</v>
      </c>
      <c r="L806" t="n">
        <v>0</v>
      </c>
      <c r="M806" t="n">
        <v>0</v>
      </c>
      <c r="N806" t="n">
        <v>0</v>
      </c>
      <c r="O806" t="n">
        <v>2</v>
      </c>
      <c r="P806" t="n">
        <v>0</v>
      </c>
      <c r="Q806" t="n">
        <v>2</v>
      </c>
      <c r="R806" s="2" t="inlineStr">
        <is>
          <t>Blå taggsvamp
Orange taggsvamp</t>
        </is>
      </c>
      <c r="S806">
        <f>HYPERLINK("https://klasma.github.io/Logging_2481/artfynd/A 22360-2025 artfynd.xlsx", "A 22360-2025")</f>
        <v/>
      </c>
      <c r="T806">
        <f>HYPERLINK("https://klasma.github.io/Logging_2481/kartor/A 22360-2025 karta.png", "A 22360-2025")</f>
        <v/>
      </c>
      <c r="V806">
        <f>HYPERLINK("https://klasma.github.io/Logging_2481/klagomål/A 22360-2025 FSC-klagomål.docx", "A 22360-2025")</f>
        <v/>
      </c>
      <c r="W806">
        <f>HYPERLINK("https://klasma.github.io/Logging_2481/klagomålsmail/A 22360-2025 FSC-klagomål mail.docx", "A 22360-2025")</f>
        <v/>
      </c>
      <c r="X806">
        <f>HYPERLINK("https://klasma.github.io/Logging_2481/tillsyn/A 22360-2025 tillsynsbegäran.docx", "A 22360-2025")</f>
        <v/>
      </c>
      <c r="Y806">
        <f>HYPERLINK("https://klasma.github.io/Logging_2481/tillsynsmail/A 22360-2025 tillsynsbegäran mail.docx", "A 22360-2025")</f>
        <v/>
      </c>
    </row>
    <row r="807" ht="15" customHeight="1">
      <c r="A807" t="inlineStr">
        <is>
          <t>A 22629-2025</t>
        </is>
      </c>
      <c r="B807" s="1" t="n">
        <v>45789.43789351852</v>
      </c>
      <c r="C807" s="1" t="n">
        <v>46145</v>
      </c>
      <c r="D807" t="inlineStr">
        <is>
          <t>VÄSTERBOTTENS LÄN</t>
        </is>
      </c>
      <c r="E807" t="inlineStr">
        <is>
          <t>LYCKSELE</t>
        </is>
      </c>
      <c r="F807" t="inlineStr">
        <is>
          <t>Sveaskog</t>
        </is>
      </c>
      <c r="G807" t="n">
        <v>11.3</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22629-2025 artfynd.xlsx", "A 22629-2025")</f>
        <v/>
      </c>
      <c r="T807">
        <f>HYPERLINK("https://klasma.github.io/Logging_2481/kartor/A 22629-2025 karta.png", "A 22629-2025")</f>
        <v/>
      </c>
      <c r="V807">
        <f>HYPERLINK("https://klasma.github.io/Logging_2481/klagomål/A 22629-2025 FSC-klagomål.docx", "A 22629-2025")</f>
        <v/>
      </c>
      <c r="W807">
        <f>HYPERLINK("https://klasma.github.io/Logging_2481/klagomålsmail/A 22629-2025 FSC-klagomål mail.docx", "A 22629-2025")</f>
        <v/>
      </c>
      <c r="X807">
        <f>HYPERLINK("https://klasma.github.io/Logging_2481/tillsyn/A 22629-2025 tillsynsbegäran.docx", "A 22629-2025")</f>
        <v/>
      </c>
      <c r="Y807">
        <f>HYPERLINK("https://klasma.github.io/Logging_2481/tillsynsmail/A 22629-2025 tillsynsbegäran mail.docx", "A 22629-2025")</f>
        <v/>
      </c>
    </row>
    <row r="808" ht="15" customHeight="1">
      <c r="A808" t="inlineStr">
        <is>
          <t>A 23341-2025</t>
        </is>
      </c>
      <c r="B808" s="1" t="n">
        <v>45791.65668981482</v>
      </c>
      <c r="C808" s="1" t="n">
        <v>46145</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23341-2025 artfynd.xlsx", "A 23341-2025")</f>
        <v/>
      </c>
      <c r="T808">
        <f>HYPERLINK("https://klasma.github.io/Logging_2481/kartor/A 23341-2025 karta.png", "A 23341-2025")</f>
        <v/>
      </c>
      <c r="V808">
        <f>HYPERLINK("https://klasma.github.io/Logging_2481/klagomål/A 23341-2025 FSC-klagomål.docx", "A 23341-2025")</f>
        <v/>
      </c>
      <c r="W808">
        <f>HYPERLINK("https://klasma.github.io/Logging_2481/klagomålsmail/A 23341-2025 FSC-klagomål mail.docx", "A 23341-2025")</f>
        <v/>
      </c>
      <c r="X808">
        <f>HYPERLINK("https://klasma.github.io/Logging_2481/tillsyn/A 23341-2025 tillsynsbegäran.docx", "A 23341-2025")</f>
        <v/>
      </c>
      <c r="Y808">
        <f>HYPERLINK("https://klasma.github.io/Logging_2481/tillsynsmail/A 23341-2025 tillsynsbegäran mail.docx", "A 23341-2025")</f>
        <v/>
      </c>
    </row>
    <row r="809" ht="15" customHeight="1">
      <c r="A809" t="inlineStr">
        <is>
          <t>A 23328-2025</t>
        </is>
      </c>
      <c r="B809" s="1" t="n">
        <v>45791.63113425926</v>
      </c>
      <c r="C809" s="1" t="n">
        <v>46145</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23328-2025 artfynd.xlsx", "A 23328-2025")</f>
        <v/>
      </c>
      <c r="T809">
        <f>HYPERLINK("https://klasma.github.io/Logging_2481/kartor/A 23328-2025 karta.png", "A 23328-2025")</f>
        <v/>
      </c>
      <c r="V809">
        <f>HYPERLINK("https://klasma.github.io/Logging_2481/klagomål/A 23328-2025 FSC-klagomål.docx", "A 23328-2025")</f>
        <v/>
      </c>
      <c r="W809">
        <f>HYPERLINK("https://klasma.github.io/Logging_2481/klagomålsmail/A 23328-2025 FSC-klagomål mail.docx", "A 23328-2025")</f>
        <v/>
      </c>
      <c r="X809">
        <f>HYPERLINK("https://klasma.github.io/Logging_2481/tillsyn/A 23328-2025 tillsynsbegäran.docx", "A 23328-2025")</f>
        <v/>
      </c>
      <c r="Y809">
        <f>HYPERLINK("https://klasma.github.io/Logging_2481/tillsynsmail/A 23328-2025 tillsynsbegäran mail.docx", "A 23328-2025")</f>
        <v/>
      </c>
    </row>
    <row r="810" ht="15" customHeight="1">
      <c r="A810" t="inlineStr">
        <is>
          <t>A 23329-2025</t>
        </is>
      </c>
      <c r="B810" s="1" t="n">
        <v>45791.64069444445</v>
      </c>
      <c r="C810" s="1" t="n">
        <v>46145</v>
      </c>
      <c r="D810" t="inlineStr">
        <is>
          <t>VÄSTERBOTTENS LÄN</t>
        </is>
      </c>
      <c r="E810" t="inlineStr">
        <is>
          <t>SKELLEFTEÅ</t>
        </is>
      </c>
      <c r="F810" t="inlineStr">
        <is>
          <t>Holmen skog AB</t>
        </is>
      </c>
      <c r="G810" t="n">
        <v>3.3</v>
      </c>
      <c r="H810" t="n">
        <v>0</v>
      </c>
      <c r="I810" t="n">
        <v>1</v>
      </c>
      <c r="J810" t="n">
        <v>1</v>
      </c>
      <c r="K810" t="n">
        <v>0</v>
      </c>
      <c r="L810" t="n">
        <v>0</v>
      </c>
      <c r="M810" t="n">
        <v>0</v>
      </c>
      <c r="N810" t="n">
        <v>0</v>
      </c>
      <c r="O810" t="n">
        <v>1</v>
      </c>
      <c r="P810" t="n">
        <v>0</v>
      </c>
      <c r="Q810" t="n">
        <v>2</v>
      </c>
      <c r="R810" s="2" t="inlineStr">
        <is>
          <t>Garnlav
Dropptaggsvamp</t>
        </is>
      </c>
      <c r="S810">
        <f>HYPERLINK("https://klasma.github.io/Logging_2482/artfynd/A 23329-2025 artfynd.xlsx", "A 23329-2025")</f>
        <v/>
      </c>
      <c r="T810">
        <f>HYPERLINK("https://klasma.github.io/Logging_2482/kartor/A 23329-2025 karta.png", "A 23329-2025")</f>
        <v/>
      </c>
      <c r="V810">
        <f>HYPERLINK("https://klasma.github.io/Logging_2482/klagomål/A 23329-2025 FSC-klagomål.docx", "A 23329-2025")</f>
        <v/>
      </c>
      <c r="W810">
        <f>HYPERLINK("https://klasma.github.io/Logging_2482/klagomålsmail/A 23329-2025 FSC-klagomål mail.docx", "A 23329-2025")</f>
        <v/>
      </c>
      <c r="X810">
        <f>HYPERLINK("https://klasma.github.io/Logging_2482/tillsyn/A 23329-2025 tillsynsbegäran.docx", "A 23329-2025")</f>
        <v/>
      </c>
      <c r="Y810">
        <f>HYPERLINK("https://klasma.github.io/Logging_2482/tillsynsmail/A 23329-2025 tillsynsbegäran mail.docx", "A 23329-2025")</f>
        <v/>
      </c>
    </row>
    <row r="811" ht="15" customHeight="1">
      <c r="A811" t="inlineStr">
        <is>
          <t>A 23862-2025</t>
        </is>
      </c>
      <c r="B811" s="1" t="n">
        <v>45793.66493055555</v>
      </c>
      <c r="C811" s="1" t="n">
        <v>46145</v>
      </c>
      <c r="D811" t="inlineStr">
        <is>
          <t>VÄSTERBOTTENS LÄN</t>
        </is>
      </c>
      <c r="E811" t="inlineStr">
        <is>
          <t>LYCKSELE</t>
        </is>
      </c>
      <c r="F811" t="inlineStr">
        <is>
          <t>Sveaskog</t>
        </is>
      </c>
      <c r="G811" t="n">
        <v>4.7</v>
      </c>
      <c r="H811" t="n">
        <v>2</v>
      </c>
      <c r="I811" t="n">
        <v>0</v>
      </c>
      <c r="J811" t="n">
        <v>0</v>
      </c>
      <c r="K811" t="n">
        <v>0</v>
      </c>
      <c r="L811" t="n">
        <v>0</v>
      </c>
      <c r="M811" t="n">
        <v>0</v>
      </c>
      <c r="N811" t="n">
        <v>0</v>
      </c>
      <c r="O811" t="n">
        <v>0</v>
      </c>
      <c r="P811" t="n">
        <v>0</v>
      </c>
      <c r="Q811" t="n">
        <v>2</v>
      </c>
      <c r="R811" s="2" t="inlineStr">
        <is>
          <t>Fläcknycklar
Revlummer</t>
        </is>
      </c>
      <c r="S811">
        <f>HYPERLINK("https://klasma.github.io/Logging_2481/artfynd/A 23862-2025 artfynd.xlsx", "A 23862-2025")</f>
        <v/>
      </c>
      <c r="T811">
        <f>HYPERLINK("https://klasma.github.io/Logging_2481/kartor/A 23862-2025 karta.png", "A 23862-2025")</f>
        <v/>
      </c>
      <c r="V811">
        <f>HYPERLINK("https://klasma.github.io/Logging_2481/klagomål/A 23862-2025 FSC-klagomål.docx", "A 23862-2025")</f>
        <v/>
      </c>
      <c r="W811">
        <f>HYPERLINK("https://klasma.github.io/Logging_2481/klagomålsmail/A 23862-2025 FSC-klagomål mail.docx", "A 23862-2025")</f>
        <v/>
      </c>
      <c r="X811">
        <f>HYPERLINK("https://klasma.github.io/Logging_2481/tillsyn/A 23862-2025 tillsynsbegäran.docx", "A 23862-2025")</f>
        <v/>
      </c>
      <c r="Y811">
        <f>HYPERLINK("https://klasma.github.io/Logging_2481/tillsynsmail/A 23862-2025 tillsynsbegäran mail.docx", "A 23862-2025")</f>
        <v/>
      </c>
    </row>
    <row r="812" ht="15" customHeight="1">
      <c r="A812" t="inlineStr">
        <is>
          <t>A 23853-2025</t>
        </is>
      </c>
      <c r="B812" s="1" t="n">
        <v>45793.65607638889</v>
      </c>
      <c r="C812" s="1" t="n">
        <v>46145</v>
      </c>
      <c r="D812" t="inlineStr">
        <is>
          <t>VÄSTERBOTTENS LÄN</t>
        </is>
      </c>
      <c r="E812" t="inlineStr">
        <is>
          <t>STORUMAN</t>
        </is>
      </c>
      <c r="G812" t="n">
        <v>4.2</v>
      </c>
      <c r="H812" t="n">
        <v>1</v>
      </c>
      <c r="I812" t="n">
        <v>1</v>
      </c>
      <c r="J812" t="n">
        <v>1</v>
      </c>
      <c r="K812" t="n">
        <v>0</v>
      </c>
      <c r="L812" t="n">
        <v>0</v>
      </c>
      <c r="M812" t="n">
        <v>0</v>
      </c>
      <c r="N812" t="n">
        <v>0</v>
      </c>
      <c r="O812" t="n">
        <v>1</v>
      </c>
      <c r="P812" t="n">
        <v>0</v>
      </c>
      <c r="Q812" t="n">
        <v>2</v>
      </c>
      <c r="R812" s="2" t="inlineStr">
        <is>
          <t>Spillkråka
Tibast</t>
        </is>
      </c>
      <c r="S812">
        <f>HYPERLINK("https://klasma.github.io/Logging_2421/artfynd/A 23853-2025 artfynd.xlsx", "A 23853-2025")</f>
        <v/>
      </c>
      <c r="T812">
        <f>HYPERLINK("https://klasma.github.io/Logging_2421/kartor/A 23853-2025 karta.png", "A 23853-2025")</f>
        <v/>
      </c>
      <c r="V812">
        <f>HYPERLINK("https://klasma.github.io/Logging_2421/klagomål/A 23853-2025 FSC-klagomål.docx", "A 23853-2025")</f>
        <v/>
      </c>
      <c r="W812">
        <f>HYPERLINK("https://klasma.github.io/Logging_2421/klagomålsmail/A 23853-2025 FSC-klagomål mail.docx", "A 23853-2025")</f>
        <v/>
      </c>
      <c r="X812">
        <f>HYPERLINK("https://klasma.github.io/Logging_2421/tillsyn/A 23853-2025 tillsynsbegäran.docx", "A 23853-2025")</f>
        <v/>
      </c>
      <c r="Y812">
        <f>HYPERLINK("https://klasma.github.io/Logging_2421/tillsynsmail/A 23853-2025 tillsynsbegäran mail.docx", "A 23853-2025")</f>
        <v/>
      </c>
      <c r="Z812">
        <f>HYPERLINK("https://klasma.github.io/Logging_2421/fåglar/A 23853-2025 prioriterade fågelarter.docx", "A 23853-2025")</f>
        <v/>
      </c>
    </row>
    <row r="813" ht="15" customHeight="1">
      <c r="A813" t="inlineStr">
        <is>
          <t>A 26271-2025</t>
        </is>
      </c>
      <c r="B813" s="1" t="n">
        <v>45805.59424768519</v>
      </c>
      <c r="C813" s="1" t="n">
        <v>46145</v>
      </c>
      <c r="D813" t="inlineStr">
        <is>
          <t>VÄSTERBOTTENS LÄN</t>
        </is>
      </c>
      <c r="E813" t="inlineStr">
        <is>
          <t>LYCKSELE</t>
        </is>
      </c>
      <c r="F813" t="inlineStr">
        <is>
          <t>Sveaskog</t>
        </is>
      </c>
      <c r="G813" t="n">
        <v>1.7</v>
      </c>
      <c r="H813" t="n">
        <v>0</v>
      </c>
      <c r="I813" t="n">
        <v>0</v>
      </c>
      <c r="J813" t="n">
        <v>2</v>
      </c>
      <c r="K813" t="n">
        <v>0</v>
      </c>
      <c r="L813" t="n">
        <v>0</v>
      </c>
      <c r="M813" t="n">
        <v>0</v>
      </c>
      <c r="N813" t="n">
        <v>0</v>
      </c>
      <c r="O813" t="n">
        <v>2</v>
      </c>
      <c r="P813" t="n">
        <v>0</v>
      </c>
      <c r="Q813" t="n">
        <v>2</v>
      </c>
      <c r="R813" s="2" t="inlineStr">
        <is>
          <t>Gammelgransskål
Lunglav</t>
        </is>
      </c>
      <c r="S813">
        <f>HYPERLINK("https://klasma.github.io/Logging_2481/artfynd/A 26271-2025 artfynd.xlsx", "A 26271-2025")</f>
        <v/>
      </c>
      <c r="T813">
        <f>HYPERLINK("https://klasma.github.io/Logging_2481/kartor/A 26271-2025 karta.png", "A 26271-2025")</f>
        <v/>
      </c>
      <c r="V813">
        <f>HYPERLINK("https://klasma.github.io/Logging_2481/klagomål/A 26271-2025 FSC-klagomål.docx", "A 26271-2025")</f>
        <v/>
      </c>
      <c r="W813">
        <f>HYPERLINK("https://klasma.github.io/Logging_2481/klagomålsmail/A 26271-2025 FSC-klagomål mail.docx", "A 26271-2025")</f>
        <v/>
      </c>
      <c r="X813">
        <f>HYPERLINK("https://klasma.github.io/Logging_2481/tillsyn/A 26271-2025 tillsynsbegäran.docx", "A 26271-2025")</f>
        <v/>
      </c>
      <c r="Y813">
        <f>HYPERLINK("https://klasma.github.io/Logging_2481/tillsynsmail/A 26271-2025 tillsynsbegäran mail.docx", "A 26271-2025")</f>
        <v/>
      </c>
    </row>
    <row r="814" ht="15" customHeight="1">
      <c r="A814" t="inlineStr">
        <is>
          <t>A 26962-2025</t>
        </is>
      </c>
      <c r="B814" s="1" t="n">
        <v>45811.46348379629</v>
      </c>
      <c r="C814" s="1" t="n">
        <v>46145</v>
      </c>
      <c r="D814" t="inlineStr">
        <is>
          <t>VÄSTERBOTTENS LÄN</t>
        </is>
      </c>
      <c r="E814" t="inlineStr">
        <is>
          <t>SKELLEFTEÅ</t>
        </is>
      </c>
      <c r="G814" t="n">
        <v>2.4</v>
      </c>
      <c r="H814" t="n">
        <v>1</v>
      </c>
      <c r="I814" t="n">
        <v>0</v>
      </c>
      <c r="J814" t="n">
        <v>2</v>
      </c>
      <c r="K814" t="n">
        <v>0</v>
      </c>
      <c r="L814" t="n">
        <v>0</v>
      </c>
      <c r="M814" t="n">
        <v>0</v>
      </c>
      <c r="N814" t="n">
        <v>0</v>
      </c>
      <c r="O814" t="n">
        <v>2</v>
      </c>
      <c r="P814" t="n">
        <v>0</v>
      </c>
      <c r="Q814" t="n">
        <v>2</v>
      </c>
      <c r="R814" s="2" t="inlineStr">
        <is>
          <t>Garnlav
Talltita</t>
        </is>
      </c>
      <c r="S814">
        <f>HYPERLINK("https://klasma.github.io/Logging_2482/artfynd/A 26962-2025 artfynd.xlsx", "A 26962-2025")</f>
        <v/>
      </c>
      <c r="T814">
        <f>HYPERLINK("https://klasma.github.io/Logging_2482/kartor/A 26962-2025 karta.png", "A 26962-2025")</f>
        <v/>
      </c>
      <c r="V814">
        <f>HYPERLINK("https://klasma.github.io/Logging_2482/klagomål/A 26962-2025 FSC-klagomål.docx", "A 26962-2025")</f>
        <v/>
      </c>
      <c r="W814">
        <f>HYPERLINK("https://klasma.github.io/Logging_2482/klagomålsmail/A 26962-2025 FSC-klagomål mail.docx", "A 26962-2025")</f>
        <v/>
      </c>
      <c r="X814">
        <f>HYPERLINK("https://klasma.github.io/Logging_2482/tillsyn/A 26962-2025 tillsynsbegäran.docx", "A 26962-2025")</f>
        <v/>
      </c>
      <c r="Y814">
        <f>HYPERLINK("https://klasma.github.io/Logging_2482/tillsynsmail/A 26962-2025 tillsynsbegäran mail.docx", "A 26962-2025")</f>
        <v/>
      </c>
      <c r="Z814">
        <f>HYPERLINK("https://klasma.github.io/Logging_2482/fåglar/A 26962-2025 prioriterade fågelarter.docx", "A 26962-2025")</f>
        <v/>
      </c>
    </row>
    <row r="815" ht="15" customHeight="1">
      <c r="A815" t="inlineStr">
        <is>
          <t>A 27665-2025</t>
        </is>
      </c>
      <c r="B815" s="1" t="n">
        <v>45813.61879629629</v>
      </c>
      <c r="C815" s="1" t="n">
        <v>46145</v>
      </c>
      <c r="D815" t="inlineStr">
        <is>
          <t>VÄSTERBOTTENS LÄN</t>
        </is>
      </c>
      <c r="E815" t="inlineStr">
        <is>
          <t>VINDELN</t>
        </is>
      </c>
      <c r="F815" t="inlineStr">
        <is>
          <t>Holmen skog AB</t>
        </is>
      </c>
      <c r="G815" t="n">
        <v>5.7</v>
      </c>
      <c r="H815" t="n">
        <v>0</v>
      </c>
      <c r="I815" t="n">
        <v>2</v>
      </c>
      <c r="J815" t="n">
        <v>0</v>
      </c>
      <c r="K815" t="n">
        <v>0</v>
      </c>
      <c r="L815" t="n">
        <v>0</v>
      </c>
      <c r="M815" t="n">
        <v>0</v>
      </c>
      <c r="N815" t="n">
        <v>0</v>
      </c>
      <c r="O815" t="n">
        <v>0</v>
      </c>
      <c r="P815" t="n">
        <v>0</v>
      </c>
      <c r="Q815" t="n">
        <v>2</v>
      </c>
      <c r="R815" s="2" t="inlineStr">
        <is>
          <t>Mindre märgborre
Skarp dropptaggsvamp</t>
        </is>
      </c>
      <c r="S815">
        <f>HYPERLINK("https://klasma.github.io/Logging_2404/artfynd/A 27665-2025 artfynd.xlsx", "A 27665-2025")</f>
        <v/>
      </c>
      <c r="T815">
        <f>HYPERLINK("https://klasma.github.io/Logging_2404/kartor/A 27665-2025 karta.png", "A 27665-2025")</f>
        <v/>
      </c>
      <c r="V815">
        <f>HYPERLINK("https://klasma.github.io/Logging_2404/klagomål/A 27665-2025 FSC-klagomål.docx", "A 27665-2025")</f>
        <v/>
      </c>
      <c r="W815">
        <f>HYPERLINK("https://klasma.github.io/Logging_2404/klagomålsmail/A 27665-2025 FSC-klagomål mail.docx", "A 27665-2025")</f>
        <v/>
      </c>
      <c r="X815">
        <f>HYPERLINK("https://klasma.github.io/Logging_2404/tillsyn/A 27665-2025 tillsynsbegäran.docx", "A 27665-2025")</f>
        <v/>
      </c>
      <c r="Y815">
        <f>HYPERLINK("https://klasma.github.io/Logging_2404/tillsynsmail/A 27665-2025 tillsynsbegäran mail.docx", "A 27665-2025")</f>
        <v/>
      </c>
    </row>
    <row r="816" ht="15" customHeight="1">
      <c r="A816" t="inlineStr">
        <is>
          <t>A 28061-2025</t>
        </is>
      </c>
      <c r="B816" s="1" t="n">
        <v>45817.66739583333</v>
      </c>
      <c r="C816" s="1" t="n">
        <v>46145</v>
      </c>
      <c r="D816" t="inlineStr">
        <is>
          <t>VÄSTERBOTTENS LÄN</t>
        </is>
      </c>
      <c r="E816" t="inlineStr">
        <is>
          <t>SKELLEFTEÅ</t>
        </is>
      </c>
      <c r="G816" t="n">
        <v>3.3</v>
      </c>
      <c r="H816" t="n">
        <v>1</v>
      </c>
      <c r="I816" t="n">
        <v>0</v>
      </c>
      <c r="J816" t="n">
        <v>2</v>
      </c>
      <c r="K816" t="n">
        <v>0</v>
      </c>
      <c r="L816" t="n">
        <v>0</v>
      </c>
      <c r="M816" t="n">
        <v>0</v>
      </c>
      <c r="N816" t="n">
        <v>0</v>
      </c>
      <c r="O816" t="n">
        <v>2</v>
      </c>
      <c r="P816" t="n">
        <v>0</v>
      </c>
      <c r="Q816" t="n">
        <v>2</v>
      </c>
      <c r="R816" s="2" t="inlineStr">
        <is>
          <t>Garnlav
Spillkråka</t>
        </is>
      </c>
      <c r="S816">
        <f>HYPERLINK("https://klasma.github.io/Logging_2482/artfynd/A 28061-2025 artfynd.xlsx", "A 28061-2025")</f>
        <v/>
      </c>
      <c r="T816">
        <f>HYPERLINK("https://klasma.github.io/Logging_2482/kartor/A 28061-2025 karta.png", "A 28061-2025")</f>
        <v/>
      </c>
      <c r="V816">
        <f>HYPERLINK("https://klasma.github.io/Logging_2482/klagomål/A 28061-2025 FSC-klagomål.docx", "A 28061-2025")</f>
        <v/>
      </c>
      <c r="W816">
        <f>HYPERLINK("https://klasma.github.io/Logging_2482/klagomålsmail/A 28061-2025 FSC-klagomål mail.docx", "A 28061-2025")</f>
        <v/>
      </c>
      <c r="X816">
        <f>HYPERLINK("https://klasma.github.io/Logging_2482/tillsyn/A 28061-2025 tillsynsbegäran.docx", "A 28061-2025")</f>
        <v/>
      </c>
      <c r="Y816">
        <f>HYPERLINK("https://klasma.github.io/Logging_2482/tillsynsmail/A 28061-2025 tillsynsbegäran mail.docx", "A 28061-2025")</f>
        <v/>
      </c>
      <c r="Z816">
        <f>HYPERLINK("https://klasma.github.io/Logging_2482/fåglar/A 28061-2025 prioriterade fågelarter.docx", "A 28061-2025")</f>
        <v/>
      </c>
    </row>
    <row r="817" ht="15" customHeight="1">
      <c r="A817" t="inlineStr">
        <is>
          <t>A 29323-2025</t>
        </is>
      </c>
      <c r="B817" s="1" t="n">
        <v>45824.47902777778</v>
      </c>
      <c r="C817" s="1" t="n">
        <v>46145</v>
      </c>
      <c r="D817" t="inlineStr">
        <is>
          <t>VÄSTERBOTTENS LÄN</t>
        </is>
      </c>
      <c r="E817" t="inlineStr">
        <is>
          <t>NORDMALING</t>
        </is>
      </c>
      <c r="G817" t="n">
        <v>2.9</v>
      </c>
      <c r="H817" t="n">
        <v>0</v>
      </c>
      <c r="I817" t="n">
        <v>0</v>
      </c>
      <c r="J817" t="n">
        <v>2</v>
      </c>
      <c r="K817" t="n">
        <v>0</v>
      </c>
      <c r="L817" t="n">
        <v>0</v>
      </c>
      <c r="M817" t="n">
        <v>0</v>
      </c>
      <c r="N817" t="n">
        <v>0</v>
      </c>
      <c r="O817" t="n">
        <v>2</v>
      </c>
      <c r="P817" t="n">
        <v>0</v>
      </c>
      <c r="Q817" t="n">
        <v>2</v>
      </c>
      <c r="R817" s="2" t="inlineStr">
        <is>
          <t>Garnlav
Granticka</t>
        </is>
      </c>
      <c r="S817">
        <f>HYPERLINK("https://klasma.github.io/Logging_2401/artfynd/A 29323-2025 artfynd.xlsx", "A 29323-2025")</f>
        <v/>
      </c>
      <c r="T817">
        <f>HYPERLINK("https://klasma.github.io/Logging_2401/kartor/A 29323-2025 karta.png", "A 29323-2025")</f>
        <v/>
      </c>
      <c r="V817">
        <f>HYPERLINK("https://klasma.github.io/Logging_2401/klagomål/A 29323-2025 FSC-klagomål.docx", "A 29323-2025")</f>
        <v/>
      </c>
      <c r="W817">
        <f>HYPERLINK("https://klasma.github.io/Logging_2401/klagomålsmail/A 29323-2025 FSC-klagomål mail.docx", "A 29323-2025")</f>
        <v/>
      </c>
      <c r="X817">
        <f>HYPERLINK("https://klasma.github.io/Logging_2401/tillsyn/A 29323-2025 tillsynsbegäran.docx", "A 29323-2025")</f>
        <v/>
      </c>
      <c r="Y817">
        <f>HYPERLINK("https://klasma.github.io/Logging_2401/tillsynsmail/A 29323-2025 tillsynsbegäran mail.docx", "A 29323-2025")</f>
        <v/>
      </c>
    </row>
    <row r="818" ht="15" customHeight="1">
      <c r="A818" t="inlineStr">
        <is>
          <t>A 29140-2025</t>
        </is>
      </c>
      <c r="B818" s="1" t="n">
        <v>45821</v>
      </c>
      <c r="C818" s="1" t="n">
        <v>46145</v>
      </c>
      <c r="D818" t="inlineStr">
        <is>
          <t>VÄSTERBOTTENS LÄN</t>
        </is>
      </c>
      <c r="E818" t="inlineStr">
        <is>
          <t>VILHELMINA</t>
        </is>
      </c>
      <c r="F818" t="inlineStr">
        <is>
          <t>SCA</t>
        </is>
      </c>
      <c r="G818" t="n">
        <v>9.699999999999999</v>
      </c>
      <c r="H818" t="n">
        <v>1</v>
      </c>
      <c r="I818" t="n">
        <v>1</v>
      </c>
      <c r="J818" t="n">
        <v>1</v>
      </c>
      <c r="K818" t="n">
        <v>0</v>
      </c>
      <c r="L818" t="n">
        <v>0</v>
      </c>
      <c r="M818" t="n">
        <v>0</v>
      </c>
      <c r="N818" t="n">
        <v>0</v>
      </c>
      <c r="O818" t="n">
        <v>1</v>
      </c>
      <c r="P818" t="n">
        <v>0</v>
      </c>
      <c r="Q818" t="n">
        <v>2</v>
      </c>
      <c r="R818" s="2" t="inlineStr">
        <is>
          <t>Ullticka
Lappranunkel</t>
        </is>
      </c>
      <c r="S818">
        <f>HYPERLINK("https://klasma.github.io/Logging_2462/artfynd/A 29140-2025 artfynd.xlsx", "A 29140-2025")</f>
        <v/>
      </c>
      <c r="T818">
        <f>HYPERLINK("https://klasma.github.io/Logging_2462/kartor/A 29140-2025 karta.png", "A 29140-2025")</f>
        <v/>
      </c>
      <c r="V818">
        <f>HYPERLINK("https://klasma.github.io/Logging_2462/klagomål/A 29140-2025 FSC-klagomål.docx", "A 29140-2025")</f>
        <v/>
      </c>
      <c r="W818">
        <f>HYPERLINK("https://klasma.github.io/Logging_2462/klagomålsmail/A 29140-2025 FSC-klagomål mail.docx", "A 29140-2025")</f>
        <v/>
      </c>
      <c r="X818">
        <f>HYPERLINK("https://klasma.github.io/Logging_2462/tillsyn/A 29140-2025 tillsynsbegäran.docx", "A 29140-2025")</f>
        <v/>
      </c>
      <c r="Y818">
        <f>HYPERLINK("https://klasma.github.io/Logging_2462/tillsynsmail/A 29140-2025 tillsynsbegäran mail.docx", "A 29140-2025")</f>
        <v/>
      </c>
    </row>
    <row r="819" ht="15" customHeight="1">
      <c r="A819" t="inlineStr">
        <is>
          <t>A 30691-2025</t>
        </is>
      </c>
      <c r="B819" s="1" t="n">
        <v>45831.54038194445</v>
      </c>
      <c r="C819" s="1" t="n">
        <v>46145</v>
      </c>
      <c r="D819" t="inlineStr">
        <is>
          <t>VÄSTERBOTTENS LÄN</t>
        </is>
      </c>
      <c r="E819" t="inlineStr">
        <is>
          <t>LYCKSELE</t>
        </is>
      </c>
      <c r="F819" t="inlineStr">
        <is>
          <t>Sveaskog</t>
        </is>
      </c>
      <c r="G819" t="n">
        <v>2</v>
      </c>
      <c r="H819" t="n">
        <v>1</v>
      </c>
      <c r="I819" t="n">
        <v>0</v>
      </c>
      <c r="J819" t="n">
        <v>2</v>
      </c>
      <c r="K819" t="n">
        <v>0</v>
      </c>
      <c r="L819" t="n">
        <v>0</v>
      </c>
      <c r="M819" t="n">
        <v>0</v>
      </c>
      <c r="N819" t="n">
        <v>0</v>
      </c>
      <c r="O819" t="n">
        <v>2</v>
      </c>
      <c r="P819" t="n">
        <v>0</v>
      </c>
      <c r="Q819" t="n">
        <v>2</v>
      </c>
      <c r="R819" s="2" t="inlineStr">
        <is>
          <t>Mörk kolflarnlav
Tretåig hackspett</t>
        </is>
      </c>
      <c r="S819">
        <f>HYPERLINK("https://klasma.github.io/Logging_2481/artfynd/A 30691-2025 artfynd.xlsx", "A 30691-2025")</f>
        <v/>
      </c>
      <c r="T819">
        <f>HYPERLINK("https://klasma.github.io/Logging_2481/kartor/A 30691-2025 karta.png", "A 30691-2025")</f>
        <v/>
      </c>
      <c r="V819">
        <f>HYPERLINK("https://klasma.github.io/Logging_2481/klagomål/A 30691-2025 FSC-klagomål.docx", "A 30691-2025")</f>
        <v/>
      </c>
      <c r="W819">
        <f>HYPERLINK("https://klasma.github.io/Logging_2481/klagomålsmail/A 30691-2025 FSC-klagomål mail.docx", "A 30691-2025")</f>
        <v/>
      </c>
      <c r="X819">
        <f>HYPERLINK("https://klasma.github.io/Logging_2481/tillsyn/A 30691-2025 tillsynsbegäran.docx", "A 30691-2025")</f>
        <v/>
      </c>
      <c r="Y819">
        <f>HYPERLINK("https://klasma.github.io/Logging_2481/tillsynsmail/A 30691-2025 tillsynsbegäran mail.docx", "A 30691-2025")</f>
        <v/>
      </c>
      <c r="Z819">
        <f>HYPERLINK("https://klasma.github.io/Logging_2481/fåglar/A 30691-2025 prioriterade fågelarter.docx", "A 30691-2025")</f>
        <v/>
      </c>
    </row>
    <row r="820" ht="15" customHeight="1">
      <c r="A820" t="inlineStr">
        <is>
          <t>A 30515-2025</t>
        </is>
      </c>
      <c r="B820" s="1" t="n">
        <v>45831.33053240741</v>
      </c>
      <c r="C820" s="1" t="n">
        <v>46145</v>
      </c>
      <c r="D820" t="inlineStr">
        <is>
          <t>VÄSTERBOTTENS LÄN</t>
        </is>
      </c>
      <c r="E820" t="inlineStr">
        <is>
          <t>LYCKSELE</t>
        </is>
      </c>
      <c r="F820" t="inlineStr">
        <is>
          <t>Sveaskog</t>
        </is>
      </c>
      <c r="G820" t="n">
        <v>8.1</v>
      </c>
      <c r="H820" t="n">
        <v>0</v>
      </c>
      <c r="I820" t="n">
        <v>0</v>
      </c>
      <c r="J820" t="n">
        <v>2</v>
      </c>
      <c r="K820" t="n">
        <v>0</v>
      </c>
      <c r="L820" t="n">
        <v>0</v>
      </c>
      <c r="M820" t="n">
        <v>0</v>
      </c>
      <c r="N820" t="n">
        <v>0</v>
      </c>
      <c r="O820" t="n">
        <v>2</v>
      </c>
      <c r="P820" t="n">
        <v>0</v>
      </c>
      <c r="Q820" t="n">
        <v>2</v>
      </c>
      <c r="R820" s="2" t="inlineStr">
        <is>
          <t>Granticka
Ullticka</t>
        </is>
      </c>
      <c r="S820">
        <f>HYPERLINK("https://klasma.github.io/Logging_2481/artfynd/A 30515-2025 artfynd.xlsx", "A 30515-2025")</f>
        <v/>
      </c>
      <c r="T820">
        <f>HYPERLINK("https://klasma.github.io/Logging_2481/kartor/A 30515-2025 karta.png", "A 30515-2025")</f>
        <v/>
      </c>
      <c r="V820">
        <f>HYPERLINK("https://klasma.github.io/Logging_2481/klagomål/A 30515-2025 FSC-klagomål.docx", "A 30515-2025")</f>
        <v/>
      </c>
      <c r="W820">
        <f>HYPERLINK("https://klasma.github.io/Logging_2481/klagomålsmail/A 30515-2025 FSC-klagomål mail.docx", "A 30515-2025")</f>
        <v/>
      </c>
      <c r="X820">
        <f>HYPERLINK("https://klasma.github.io/Logging_2481/tillsyn/A 30515-2025 tillsynsbegäran.docx", "A 30515-2025")</f>
        <v/>
      </c>
      <c r="Y820">
        <f>HYPERLINK("https://klasma.github.io/Logging_2481/tillsynsmail/A 30515-2025 tillsynsbegäran mail.docx", "A 30515-2025")</f>
        <v/>
      </c>
    </row>
    <row r="821" ht="15" customHeight="1">
      <c r="A821" t="inlineStr">
        <is>
          <t>A 31735-2025</t>
        </is>
      </c>
      <c r="B821" s="1" t="n">
        <v>45834.47067129629</v>
      </c>
      <c r="C821" s="1" t="n">
        <v>46145</v>
      </c>
      <c r="D821" t="inlineStr">
        <is>
          <t>VÄSTERBOTTENS LÄN</t>
        </is>
      </c>
      <c r="E821" t="inlineStr">
        <is>
          <t>VILHELMINA</t>
        </is>
      </c>
      <c r="F821" t="inlineStr">
        <is>
          <t>SCA</t>
        </is>
      </c>
      <c r="G821" t="n">
        <v>7.4</v>
      </c>
      <c r="H821" t="n">
        <v>0</v>
      </c>
      <c r="I821" t="n">
        <v>1</v>
      </c>
      <c r="J821" t="n">
        <v>1</v>
      </c>
      <c r="K821" t="n">
        <v>0</v>
      </c>
      <c r="L821" t="n">
        <v>0</v>
      </c>
      <c r="M821" t="n">
        <v>0</v>
      </c>
      <c r="N821" t="n">
        <v>0</v>
      </c>
      <c r="O821" t="n">
        <v>1</v>
      </c>
      <c r="P821" t="n">
        <v>0</v>
      </c>
      <c r="Q821" t="n">
        <v>2</v>
      </c>
      <c r="R821" s="2" t="inlineStr">
        <is>
          <t>Skrovellav
Stuplav</t>
        </is>
      </c>
      <c r="S821">
        <f>HYPERLINK("https://klasma.github.io/Logging_2462/artfynd/A 31735-2025 artfynd.xlsx", "A 31735-2025")</f>
        <v/>
      </c>
      <c r="T821">
        <f>HYPERLINK("https://klasma.github.io/Logging_2462/kartor/A 31735-2025 karta.png", "A 31735-2025")</f>
        <v/>
      </c>
      <c r="V821">
        <f>HYPERLINK("https://klasma.github.io/Logging_2462/klagomål/A 31735-2025 FSC-klagomål.docx", "A 31735-2025")</f>
        <v/>
      </c>
      <c r="W821">
        <f>HYPERLINK("https://klasma.github.io/Logging_2462/klagomålsmail/A 31735-2025 FSC-klagomål mail.docx", "A 31735-2025")</f>
        <v/>
      </c>
      <c r="X821">
        <f>HYPERLINK("https://klasma.github.io/Logging_2462/tillsyn/A 31735-2025 tillsynsbegäran.docx", "A 31735-2025")</f>
        <v/>
      </c>
      <c r="Y821">
        <f>HYPERLINK("https://klasma.github.io/Logging_2462/tillsynsmail/A 31735-2025 tillsynsbegäran mail.docx", "A 31735-2025")</f>
        <v/>
      </c>
    </row>
    <row r="822" ht="15" customHeight="1">
      <c r="A822" t="inlineStr">
        <is>
          <t>A 33206-2025</t>
        </is>
      </c>
      <c r="B822" s="1" t="n">
        <v>45840.61583333334</v>
      </c>
      <c r="C822" s="1" t="n">
        <v>46145</v>
      </c>
      <c r="D822" t="inlineStr">
        <is>
          <t>VÄSTERBOTTENS LÄN</t>
        </is>
      </c>
      <c r="E822" t="inlineStr">
        <is>
          <t>UMEÅ</t>
        </is>
      </c>
      <c r="G822" t="n">
        <v>3</v>
      </c>
      <c r="H822" t="n">
        <v>0</v>
      </c>
      <c r="I822" t="n">
        <v>0</v>
      </c>
      <c r="J822" t="n">
        <v>2</v>
      </c>
      <c r="K822" t="n">
        <v>0</v>
      </c>
      <c r="L822" t="n">
        <v>0</v>
      </c>
      <c r="M822" t="n">
        <v>0</v>
      </c>
      <c r="N822" t="n">
        <v>0</v>
      </c>
      <c r="O822" t="n">
        <v>2</v>
      </c>
      <c r="P822" t="n">
        <v>0</v>
      </c>
      <c r="Q822" t="n">
        <v>2</v>
      </c>
      <c r="R822" s="2" t="inlineStr">
        <is>
          <t>Granticka
Rosenticka</t>
        </is>
      </c>
      <c r="S822">
        <f>HYPERLINK("https://klasma.github.io/Logging_2480/artfynd/A 33206-2025 artfynd.xlsx", "A 33206-2025")</f>
        <v/>
      </c>
      <c r="T822">
        <f>HYPERLINK("https://klasma.github.io/Logging_2480/kartor/A 33206-2025 karta.png", "A 33206-2025")</f>
        <v/>
      </c>
      <c r="V822">
        <f>HYPERLINK("https://klasma.github.io/Logging_2480/klagomål/A 33206-2025 FSC-klagomål.docx", "A 33206-2025")</f>
        <v/>
      </c>
      <c r="W822">
        <f>HYPERLINK("https://klasma.github.io/Logging_2480/klagomålsmail/A 33206-2025 FSC-klagomål mail.docx", "A 33206-2025")</f>
        <v/>
      </c>
      <c r="X822">
        <f>HYPERLINK("https://klasma.github.io/Logging_2480/tillsyn/A 33206-2025 tillsynsbegäran.docx", "A 33206-2025")</f>
        <v/>
      </c>
      <c r="Y822">
        <f>HYPERLINK("https://klasma.github.io/Logging_2480/tillsynsmail/A 33206-2025 tillsynsbegäran mail.docx", "A 33206-2025")</f>
        <v/>
      </c>
    </row>
    <row r="823" ht="15" customHeight="1">
      <c r="A823" t="inlineStr">
        <is>
          <t>A 33215-2025</t>
        </is>
      </c>
      <c r="B823" s="1" t="n">
        <v>45840.63028935185</v>
      </c>
      <c r="C823" s="1" t="n">
        <v>46145</v>
      </c>
      <c r="D823" t="inlineStr">
        <is>
          <t>VÄSTERBOTTENS LÄN</t>
        </is>
      </c>
      <c r="E823" t="inlineStr">
        <is>
          <t>UMEÅ</t>
        </is>
      </c>
      <c r="G823" t="n">
        <v>1.2</v>
      </c>
      <c r="H823" t="n">
        <v>1</v>
      </c>
      <c r="I823" t="n">
        <v>1</v>
      </c>
      <c r="J823" t="n">
        <v>1</v>
      </c>
      <c r="K823" t="n">
        <v>0</v>
      </c>
      <c r="L823" t="n">
        <v>0</v>
      </c>
      <c r="M823" t="n">
        <v>0</v>
      </c>
      <c r="N823" t="n">
        <v>0</v>
      </c>
      <c r="O823" t="n">
        <v>1</v>
      </c>
      <c r="P823" t="n">
        <v>0</v>
      </c>
      <c r="Q823" t="n">
        <v>2</v>
      </c>
      <c r="R823" s="2" t="inlineStr">
        <is>
          <t>Lundsångare
Ögonpyrola</t>
        </is>
      </c>
      <c r="S823">
        <f>HYPERLINK("https://klasma.github.io/Logging_2480/artfynd/A 33215-2025 artfynd.xlsx", "A 33215-2025")</f>
        <v/>
      </c>
      <c r="T823">
        <f>HYPERLINK("https://klasma.github.io/Logging_2480/kartor/A 33215-2025 karta.png", "A 33215-2025")</f>
        <v/>
      </c>
      <c r="V823">
        <f>HYPERLINK("https://klasma.github.io/Logging_2480/klagomål/A 33215-2025 FSC-klagomål.docx", "A 33215-2025")</f>
        <v/>
      </c>
      <c r="W823">
        <f>HYPERLINK("https://klasma.github.io/Logging_2480/klagomålsmail/A 33215-2025 FSC-klagomål mail.docx", "A 33215-2025")</f>
        <v/>
      </c>
      <c r="X823">
        <f>HYPERLINK("https://klasma.github.io/Logging_2480/tillsyn/A 33215-2025 tillsynsbegäran.docx", "A 33215-2025")</f>
        <v/>
      </c>
      <c r="Y823">
        <f>HYPERLINK("https://klasma.github.io/Logging_2480/tillsynsmail/A 33215-2025 tillsynsbegäran mail.docx", "A 33215-2025")</f>
        <v/>
      </c>
      <c r="Z823">
        <f>HYPERLINK("https://klasma.github.io/Logging_2480/fåglar/A 33215-2025 prioriterade fågelarter.docx", "A 33215-2025")</f>
        <v/>
      </c>
    </row>
    <row r="824" ht="15" customHeight="1">
      <c r="A824" t="inlineStr">
        <is>
          <t>A 33263-2025</t>
        </is>
      </c>
      <c r="B824" s="1" t="n">
        <v>45840.67800925926</v>
      </c>
      <c r="C824" s="1" t="n">
        <v>46145</v>
      </c>
      <c r="D824" t="inlineStr">
        <is>
          <t>VÄSTERBOTTENS LÄN</t>
        </is>
      </c>
      <c r="E824" t="inlineStr">
        <is>
          <t>DOROTEA</t>
        </is>
      </c>
      <c r="F824" t="inlineStr">
        <is>
          <t>SCA</t>
        </is>
      </c>
      <c r="G824" t="n">
        <v>15</v>
      </c>
      <c r="H824" t="n">
        <v>0</v>
      </c>
      <c r="I824" t="n">
        <v>1</v>
      </c>
      <c r="J824" t="n">
        <v>1</v>
      </c>
      <c r="K824" t="n">
        <v>0</v>
      </c>
      <c r="L824" t="n">
        <v>0</v>
      </c>
      <c r="M824" t="n">
        <v>0</v>
      </c>
      <c r="N824" t="n">
        <v>0</v>
      </c>
      <c r="O824" t="n">
        <v>1</v>
      </c>
      <c r="P824" t="n">
        <v>0</v>
      </c>
      <c r="Q824" t="n">
        <v>2</v>
      </c>
      <c r="R824" s="2" t="inlineStr">
        <is>
          <t>Gammelgransskål
Vedticka</t>
        </is>
      </c>
      <c r="S824">
        <f>HYPERLINK("https://klasma.github.io/Logging_2425/artfynd/A 33263-2025 artfynd.xlsx", "A 33263-2025")</f>
        <v/>
      </c>
      <c r="T824">
        <f>HYPERLINK("https://klasma.github.io/Logging_2425/kartor/A 33263-2025 karta.png", "A 33263-2025")</f>
        <v/>
      </c>
      <c r="V824">
        <f>HYPERLINK("https://klasma.github.io/Logging_2425/klagomål/A 33263-2025 FSC-klagomål.docx", "A 33263-2025")</f>
        <v/>
      </c>
      <c r="W824">
        <f>HYPERLINK("https://klasma.github.io/Logging_2425/klagomålsmail/A 33263-2025 FSC-klagomål mail.docx", "A 33263-2025")</f>
        <v/>
      </c>
      <c r="X824">
        <f>HYPERLINK("https://klasma.github.io/Logging_2425/tillsyn/A 33263-2025 tillsynsbegäran.docx", "A 33263-2025")</f>
        <v/>
      </c>
      <c r="Y824">
        <f>HYPERLINK("https://klasma.github.io/Logging_2425/tillsynsmail/A 33263-2025 tillsynsbegäran mail.docx", "A 33263-2025")</f>
        <v/>
      </c>
    </row>
    <row r="825" ht="15" customHeight="1">
      <c r="A825" t="inlineStr">
        <is>
          <t>A 26204-2024</t>
        </is>
      </c>
      <c r="B825" s="1" t="n">
        <v>45468.58577546296</v>
      </c>
      <c r="C825" s="1" t="n">
        <v>46145</v>
      </c>
      <c r="D825" t="inlineStr">
        <is>
          <t>VÄSTERBOTTENS LÄN</t>
        </is>
      </c>
      <c r="E825" t="inlineStr">
        <is>
          <t>ROBERTSFORS</t>
        </is>
      </c>
      <c r="F825" t="inlineStr">
        <is>
          <t>Holmen skog AB</t>
        </is>
      </c>
      <c r="G825" t="n">
        <v>3.9</v>
      </c>
      <c r="H825" t="n">
        <v>2</v>
      </c>
      <c r="I825" t="n">
        <v>0</v>
      </c>
      <c r="J825" t="n">
        <v>0</v>
      </c>
      <c r="K825" t="n">
        <v>0</v>
      </c>
      <c r="L825" t="n">
        <v>0</v>
      </c>
      <c r="M825" t="n">
        <v>0</v>
      </c>
      <c r="N825" t="n">
        <v>0</v>
      </c>
      <c r="O825" t="n">
        <v>0</v>
      </c>
      <c r="P825" t="n">
        <v>0</v>
      </c>
      <c r="Q825" t="n">
        <v>2</v>
      </c>
      <c r="R825" s="2" t="inlineStr">
        <is>
          <t>Orre
Tjäder</t>
        </is>
      </c>
      <c r="S825">
        <f>HYPERLINK("https://klasma.github.io/Logging_2409/artfynd/A 26204-2024 artfynd.xlsx", "A 26204-2024")</f>
        <v/>
      </c>
      <c r="T825">
        <f>HYPERLINK("https://klasma.github.io/Logging_2409/kartor/A 26204-2024 karta.png", "A 26204-2024")</f>
        <v/>
      </c>
      <c r="V825">
        <f>HYPERLINK("https://klasma.github.io/Logging_2409/klagomål/A 26204-2024 FSC-klagomål.docx", "A 26204-2024")</f>
        <v/>
      </c>
      <c r="W825">
        <f>HYPERLINK("https://klasma.github.io/Logging_2409/klagomålsmail/A 26204-2024 FSC-klagomål mail.docx", "A 26204-2024")</f>
        <v/>
      </c>
      <c r="X825">
        <f>HYPERLINK("https://klasma.github.io/Logging_2409/tillsyn/A 26204-2024 tillsynsbegäran.docx", "A 26204-2024")</f>
        <v/>
      </c>
      <c r="Y825">
        <f>HYPERLINK("https://klasma.github.io/Logging_2409/tillsynsmail/A 26204-2024 tillsynsbegäran mail.docx", "A 26204-2024")</f>
        <v/>
      </c>
      <c r="Z825">
        <f>HYPERLINK("https://klasma.github.io/Logging_2409/fåglar/A 26204-2024 prioriterade fågelarter.docx", "A 26204-2024")</f>
        <v/>
      </c>
    </row>
    <row r="826" ht="15" customHeight="1">
      <c r="A826" t="inlineStr">
        <is>
          <t>A 34032-2025</t>
        </is>
      </c>
      <c r="B826" s="1" t="n">
        <v>45845.36605324074</v>
      </c>
      <c r="C826" s="1" t="n">
        <v>46145</v>
      </c>
      <c r="D826" t="inlineStr">
        <is>
          <t>VÄSTERBOTTENS LÄN</t>
        </is>
      </c>
      <c r="E826" t="inlineStr">
        <is>
          <t>LYCKSELE</t>
        </is>
      </c>
      <c r="F826" t="inlineStr">
        <is>
          <t>Sveaskog</t>
        </is>
      </c>
      <c r="G826" t="n">
        <v>3.7</v>
      </c>
      <c r="H826" t="n">
        <v>0</v>
      </c>
      <c r="I826" t="n">
        <v>0</v>
      </c>
      <c r="J826" t="n">
        <v>2</v>
      </c>
      <c r="K826" t="n">
        <v>0</v>
      </c>
      <c r="L826" t="n">
        <v>0</v>
      </c>
      <c r="M826" t="n">
        <v>0</v>
      </c>
      <c r="N826" t="n">
        <v>0</v>
      </c>
      <c r="O826" t="n">
        <v>2</v>
      </c>
      <c r="P826" t="n">
        <v>0</v>
      </c>
      <c r="Q826" t="n">
        <v>2</v>
      </c>
      <c r="R826" s="2" t="inlineStr">
        <is>
          <t>Granticka
Lunglav</t>
        </is>
      </c>
      <c r="S826">
        <f>HYPERLINK("https://klasma.github.io/Logging_2481/artfynd/A 34032-2025 artfynd.xlsx", "A 34032-2025")</f>
        <v/>
      </c>
      <c r="T826">
        <f>HYPERLINK("https://klasma.github.io/Logging_2481/kartor/A 34032-2025 karta.png", "A 34032-2025")</f>
        <v/>
      </c>
      <c r="V826">
        <f>HYPERLINK("https://klasma.github.io/Logging_2481/klagomål/A 34032-2025 FSC-klagomål.docx", "A 34032-2025")</f>
        <v/>
      </c>
      <c r="W826">
        <f>HYPERLINK("https://klasma.github.io/Logging_2481/klagomålsmail/A 34032-2025 FSC-klagomål mail.docx", "A 34032-2025")</f>
        <v/>
      </c>
      <c r="X826">
        <f>HYPERLINK("https://klasma.github.io/Logging_2481/tillsyn/A 34032-2025 tillsynsbegäran.docx", "A 34032-2025")</f>
        <v/>
      </c>
      <c r="Y826">
        <f>HYPERLINK("https://klasma.github.io/Logging_2481/tillsynsmail/A 34032-2025 tillsynsbegäran mail.docx", "A 34032-2025")</f>
        <v/>
      </c>
    </row>
    <row r="827" ht="15" customHeight="1">
      <c r="A827" t="inlineStr">
        <is>
          <t>A 34727-2025</t>
        </is>
      </c>
      <c r="B827" s="1" t="n">
        <v>45848.57890046296</v>
      </c>
      <c r="C827" s="1" t="n">
        <v>46145</v>
      </c>
      <c r="D827" t="inlineStr">
        <is>
          <t>VÄSTERBOTTENS LÄN</t>
        </is>
      </c>
      <c r="E827" t="inlineStr">
        <is>
          <t>ROBERTSFORS</t>
        </is>
      </c>
      <c r="F827" t="inlineStr">
        <is>
          <t>Holmen skog AB</t>
        </is>
      </c>
      <c r="G827" t="n">
        <v>4.3</v>
      </c>
      <c r="H827" t="n">
        <v>1</v>
      </c>
      <c r="I827" t="n">
        <v>0</v>
      </c>
      <c r="J827" t="n">
        <v>2</v>
      </c>
      <c r="K827" t="n">
        <v>0</v>
      </c>
      <c r="L827" t="n">
        <v>0</v>
      </c>
      <c r="M827" t="n">
        <v>0</v>
      </c>
      <c r="N827" t="n">
        <v>0</v>
      </c>
      <c r="O827" t="n">
        <v>2</v>
      </c>
      <c r="P827" t="n">
        <v>0</v>
      </c>
      <c r="Q827" t="n">
        <v>2</v>
      </c>
      <c r="R827" s="2" t="inlineStr">
        <is>
          <t>Talltita
Ullticka</t>
        </is>
      </c>
      <c r="S827">
        <f>HYPERLINK("https://klasma.github.io/Logging_2409/artfynd/A 34727-2025 artfynd.xlsx", "A 34727-2025")</f>
        <v/>
      </c>
      <c r="T827">
        <f>HYPERLINK("https://klasma.github.io/Logging_2409/kartor/A 34727-2025 karta.png", "A 34727-2025")</f>
        <v/>
      </c>
      <c r="V827">
        <f>HYPERLINK("https://klasma.github.io/Logging_2409/klagomål/A 34727-2025 FSC-klagomål.docx", "A 34727-2025")</f>
        <v/>
      </c>
      <c r="W827">
        <f>HYPERLINK("https://klasma.github.io/Logging_2409/klagomålsmail/A 34727-2025 FSC-klagomål mail.docx", "A 34727-2025")</f>
        <v/>
      </c>
      <c r="X827">
        <f>HYPERLINK("https://klasma.github.io/Logging_2409/tillsyn/A 34727-2025 tillsynsbegäran.docx", "A 34727-2025")</f>
        <v/>
      </c>
      <c r="Y827">
        <f>HYPERLINK("https://klasma.github.io/Logging_2409/tillsynsmail/A 34727-2025 tillsynsbegäran mail.docx", "A 34727-2025")</f>
        <v/>
      </c>
      <c r="Z827">
        <f>HYPERLINK("https://klasma.github.io/Logging_2409/fåglar/A 34727-2025 prioriterade fågelarter.docx", "A 34727-2025")</f>
        <v/>
      </c>
    </row>
    <row r="828" ht="15" customHeight="1">
      <c r="A828" t="inlineStr">
        <is>
          <t>A 35956-2025</t>
        </is>
      </c>
      <c r="B828" s="1" t="n">
        <v>45863.32681712963</v>
      </c>
      <c r="C828" s="1" t="n">
        <v>46145</v>
      </c>
      <c r="D828" t="inlineStr">
        <is>
          <t>VÄSTERBOTTENS LÄN</t>
        </is>
      </c>
      <c r="E828" t="inlineStr">
        <is>
          <t>SKELLEFTEÅ</t>
        </is>
      </c>
      <c r="F828" t="inlineStr">
        <is>
          <t>Holmen skog AB</t>
        </is>
      </c>
      <c r="G828" t="n">
        <v>3.1</v>
      </c>
      <c r="H828" t="n">
        <v>1</v>
      </c>
      <c r="I828" t="n">
        <v>0</v>
      </c>
      <c r="J828" t="n">
        <v>1</v>
      </c>
      <c r="K828" t="n">
        <v>0</v>
      </c>
      <c r="L828" t="n">
        <v>0</v>
      </c>
      <c r="M828" t="n">
        <v>0</v>
      </c>
      <c r="N828" t="n">
        <v>0</v>
      </c>
      <c r="O828" t="n">
        <v>1</v>
      </c>
      <c r="P828" t="n">
        <v>0</v>
      </c>
      <c r="Q828" t="n">
        <v>2</v>
      </c>
      <c r="R828" s="2" t="inlineStr">
        <is>
          <t>Gammelgransskål
Fläcknycklar</t>
        </is>
      </c>
      <c r="S828">
        <f>HYPERLINK("https://klasma.github.io/Logging_2482/artfynd/A 35956-2025 artfynd.xlsx", "A 35956-2025")</f>
        <v/>
      </c>
      <c r="T828">
        <f>HYPERLINK("https://klasma.github.io/Logging_2482/kartor/A 35956-2025 karta.png", "A 35956-2025")</f>
        <v/>
      </c>
      <c r="V828">
        <f>HYPERLINK("https://klasma.github.io/Logging_2482/klagomål/A 35956-2025 FSC-klagomål.docx", "A 35956-2025")</f>
        <v/>
      </c>
      <c r="W828">
        <f>HYPERLINK("https://klasma.github.io/Logging_2482/klagomålsmail/A 35956-2025 FSC-klagomål mail.docx", "A 35956-2025")</f>
        <v/>
      </c>
      <c r="X828">
        <f>HYPERLINK("https://klasma.github.io/Logging_2482/tillsyn/A 35956-2025 tillsynsbegäran.docx", "A 35956-2025")</f>
        <v/>
      </c>
      <c r="Y828">
        <f>HYPERLINK("https://klasma.github.io/Logging_2482/tillsynsmail/A 35956-2025 tillsynsbegäran mail.docx", "A 35956-2025")</f>
        <v/>
      </c>
    </row>
    <row r="829" ht="15" customHeight="1">
      <c r="A829" t="inlineStr">
        <is>
          <t>A 36794-2025</t>
        </is>
      </c>
      <c r="B829" s="1" t="n">
        <v>45873.64189814815</v>
      </c>
      <c r="C829" s="1" t="n">
        <v>46145</v>
      </c>
      <c r="D829" t="inlineStr">
        <is>
          <t>VÄSTERBOTTENS LÄN</t>
        </is>
      </c>
      <c r="E829" t="inlineStr">
        <is>
          <t>UMEÅ</t>
        </is>
      </c>
      <c r="F829" t="inlineStr">
        <is>
          <t>Holmen skog AB</t>
        </is>
      </c>
      <c r="G829" t="n">
        <v>7.5</v>
      </c>
      <c r="H829" t="n">
        <v>2</v>
      </c>
      <c r="I829" t="n">
        <v>0</v>
      </c>
      <c r="J829" t="n">
        <v>1</v>
      </c>
      <c r="K829" t="n">
        <v>0</v>
      </c>
      <c r="L829" t="n">
        <v>0</v>
      </c>
      <c r="M829" t="n">
        <v>0</v>
      </c>
      <c r="N829" t="n">
        <v>0</v>
      </c>
      <c r="O829" t="n">
        <v>1</v>
      </c>
      <c r="P829" t="n">
        <v>0</v>
      </c>
      <c r="Q829" t="n">
        <v>2</v>
      </c>
      <c r="R829" s="2" t="inlineStr">
        <is>
          <t>Talltita
Kungsfågel</t>
        </is>
      </c>
      <c r="S829">
        <f>HYPERLINK("https://klasma.github.io/Logging_2480/artfynd/A 36794-2025 artfynd.xlsx", "A 36794-2025")</f>
        <v/>
      </c>
      <c r="T829">
        <f>HYPERLINK("https://klasma.github.io/Logging_2480/kartor/A 36794-2025 karta.png", "A 36794-2025")</f>
        <v/>
      </c>
      <c r="V829">
        <f>HYPERLINK("https://klasma.github.io/Logging_2480/klagomål/A 36794-2025 FSC-klagomål.docx", "A 36794-2025")</f>
        <v/>
      </c>
      <c r="W829">
        <f>HYPERLINK("https://klasma.github.io/Logging_2480/klagomålsmail/A 36794-2025 FSC-klagomål mail.docx", "A 36794-2025")</f>
        <v/>
      </c>
      <c r="X829">
        <f>HYPERLINK("https://klasma.github.io/Logging_2480/tillsyn/A 36794-2025 tillsynsbegäran.docx", "A 36794-2025")</f>
        <v/>
      </c>
      <c r="Y829">
        <f>HYPERLINK("https://klasma.github.io/Logging_2480/tillsynsmail/A 36794-2025 tillsynsbegäran mail.docx", "A 36794-2025")</f>
        <v/>
      </c>
      <c r="Z829">
        <f>HYPERLINK("https://klasma.github.io/Logging_2480/fåglar/A 36794-2025 prioriterade fågelarter.docx", "A 36794-2025")</f>
        <v/>
      </c>
    </row>
    <row r="830" ht="15" customHeight="1">
      <c r="A830" t="inlineStr">
        <is>
          <t>A 36810-2025</t>
        </is>
      </c>
      <c r="B830" s="1" t="n">
        <v>45873</v>
      </c>
      <c r="C830" s="1" t="n">
        <v>46145</v>
      </c>
      <c r="D830" t="inlineStr">
        <is>
          <t>VÄSTERBOTTENS LÄN</t>
        </is>
      </c>
      <c r="E830" t="inlineStr">
        <is>
          <t>NORDMALING</t>
        </is>
      </c>
      <c r="G830" t="n">
        <v>1.3</v>
      </c>
      <c r="H830" t="n">
        <v>0</v>
      </c>
      <c r="I830" t="n">
        <v>1</v>
      </c>
      <c r="J830" t="n">
        <v>1</v>
      </c>
      <c r="K830" t="n">
        <v>0</v>
      </c>
      <c r="L830" t="n">
        <v>0</v>
      </c>
      <c r="M830" t="n">
        <v>0</v>
      </c>
      <c r="N830" t="n">
        <v>0</v>
      </c>
      <c r="O830" t="n">
        <v>1</v>
      </c>
      <c r="P830" t="n">
        <v>0</v>
      </c>
      <c r="Q830" t="n">
        <v>2</v>
      </c>
      <c r="R830" s="2" t="inlineStr">
        <is>
          <t>Garnlav
Granbarkgnagare</t>
        </is>
      </c>
      <c r="S830">
        <f>HYPERLINK("https://klasma.github.io/Logging_2401/artfynd/A 36810-2025 artfynd.xlsx", "A 36810-2025")</f>
        <v/>
      </c>
      <c r="T830">
        <f>HYPERLINK("https://klasma.github.io/Logging_2401/kartor/A 36810-2025 karta.png", "A 36810-2025")</f>
        <v/>
      </c>
      <c r="V830">
        <f>HYPERLINK("https://klasma.github.io/Logging_2401/klagomål/A 36810-2025 FSC-klagomål.docx", "A 36810-2025")</f>
        <v/>
      </c>
      <c r="W830">
        <f>HYPERLINK("https://klasma.github.io/Logging_2401/klagomålsmail/A 36810-2025 FSC-klagomål mail.docx", "A 36810-2025")</f>
        <v/>
      </c>
      <c r="X830">
        <f>HYPERLINK("https://klasma.github.io/Logging_2401/tillsyn/A 36810-2025 tillsynsbegäran.docx", "A 36810-2025")</f>
        <v/>
      </c>
      <c r="Y830">
        <f>HYPERLINK("https://klasma.github.io/Logging_2401/tillsynsmail/A 36810-2025 tillsynsbegäran mail.docx", "A 36810-2025")</f>
        <v/>
      </c>
    </row>
    <row r="831" ht="15" customHeight="1">
      <c r="A831" t="inlineStr">
        <is>
          <t>A 43050-2021</t>
        </is>
      </c>
      <c r="B831" s="1" t="n">
        <v>44431</v>
      </c>
      <c r="C831" s="1" t="n">
        <v>46145</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46145</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46145</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46145</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46145</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46145</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46145</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46145</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46145</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46145</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46145</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46145</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46145</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46145</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46145</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46145</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46145</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46145</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46145</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46145</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46145</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46145</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46145</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46145</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46145</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45511-2021</t>
        </is>
      </c>
      <c r="B856" s="1" t="n">
        <v>44440</v>
      </c>
      <c r="C856" s="1" t="n">
        <v>46145</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31355-2021</t>
        </is>
      </c>
      <c r="B857" s="1" t="n">
        <v>44368.93952546296</v>
      </c>
      <c r="C857" s="1" t="n">
        <v>46145</v>
      </c>
      <c r="D857" t="inlineStr">
        <is>
          <t>VÄSTERBOTTENS LÄN</t>
        </is>
      </c>
      <c r="E857" t="inlineStr">
        <is>
          <t>NORDMALING</t>
        </is>
      </c>
      <c r="F857" t="inlineStr">
        <is>
          <t>SCA</t>
        </is>
      </c>
      <c r="G857" t="n">
        <v>5.1</v>
      </c>
      <c r="H857" t="n">
        <v>0</v>
      </c>
      <c r="I857" t="n">
        <v>0</v>
      </c>
      <c r="J857" t="n">
        <v>1</v>
      </c>
      <c r="K857" t="n">
        <v>0</v>
      </c>
      <c r="L857" t="n">
        <v>0</v>
      </c>
      <c r="M857" t="n">
        <v>0</v>
      </c>
      <c r="N857" t="n">
        <v>0</v>
      </c>
      <c r="O857" t="n">
        <v>1</v>
      </c>
      <c r="P857" t="n">
        <v>0</v>
      </c>
      <c r="Q857" t="n">
        <v>1</v>
      </c>
      <c r="R857" s="2" t="inlineStr">
        <is>
          <t>Garnlav</t>
        </is>
      </c>
      <c r="S857">
        <f>HYPERLINK("https://klasma.github.io/Logging_2401/artfynd/A 31355-2021 artfynd.xlsx", "A 31355-2021")</f>
        <v/>
      </c>
      <c r="T857">
        <f>HYPERLINK("https://klasma.github.io/Logging_2401/kartor/A 31355-2021 karta.png", "A 31355-2021")</f>
        <v/>
      </c>
      <c r="V857">
        <f>HYPERLINK("https://klasma.github.io/Logging_2401/klagomål/A 31355-2021 FSC-klagomål.docx", "A 31355-2021")</f>
        <v/>
      </c>
      <c r="W857">
        <f>HYPERLINK("https://klasma.github.io/Logging_2401/klagomålsmail/A 31355-2021 FSC-klagomål mail.docx", "A 31355-2021")</f>
        <v/>
      </c>
      <c r="X857">
        <f>HYPERLINK("https://klasma.github.io/Logging_2401/tillsyn/A 31355-2021 tillsynsbegäran.docx", "A 31355-2021")</f>
        <v/>
      </c>
      <c r="Y857">
        <f>HYPERLINK("https://klasma.github.io/Logging_2401/tillsynsmail/A 31355-2021 tillsynsbegäran mail.docx", "A 31355-2021")</f>
        <v/>
      </c>
    </row>
    <row r="858" ht="15" customHeight="1">
      <c r="A858" t="inlineStr">
        <is>
          <t>A 41993-2021</t>
        </is>
      </c>
      <c r="B858" s="1" t="n">
        <v>44426.47770833333</v>
      </c>
      <c r="C858" s="1" t="n">
        <v>46145</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46145</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46145</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46145</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46145</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46145</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46145</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46145</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46145</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46145</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46145</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46145</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46145</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46145</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65146-2021</t>
        </is>
      </c>
      <c r="B872" s="1" t="n">
        <v>44515</v>
      </c>
      <c r="C872" s="1" t="n">
        <v>46145</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6180-2025</t>
        </is>
      </c>
      <c r="B873" s="1" t="n">
        <v>45698.44841435185</v>
      </c>
      <c r="C873" s="1" t="n">
        <v>46145</v>
      </c>
      <c r="D873" t="inlineStr">
        <is>
          <t>VÄSTERBOTTENS LÄN</t>
        </is>
      </c>
      <c r="E873" t="inlineStr">
        <is>
          <t>VÄNNÄS</t>
        </is>
      </c>
      <c r="G873" t="n">
        <v>5.9</v>
      </c>
      <c r="H873" t="n">
        <v>0</v>
      </c>
      <c r="I873" t="n">
        <v>1</v>
      </c>
      <c r="J873" t="n">
        <v>0</v>
      </c>
      <c r="K873" t="n">
        <v>0</v>
      </c>
      <c r="L873" t="n">
        <v>0</v>
      </c>
      <c r="M873" t="n">
        <v>0</v>
      </c>
      <c r="N873" t="n">
        <v>0</v>
      </c>
      <c r="O873" t="n">
        <v>0</v>
      </c>
      <c r="P873" t="n">
        <v>0</v>
      </c>
      <c r="Q873" t="n">
        <v>1</v>
      </c>
      <c r="R873" s="2" t="inlineStr">
        <is>
          <t>Thomsons trägnagare</t>
        </is>
      </c>
      <c r="S873">
        <f>HYPERLINK("https://klasma.github.io/Logging_2460/artfynd/A 6180-2025 artfynd.xlsx", "A 6180-2025")</f>
        <v/>
      </c>
      <c r="T873">
        <f>HYPERLINK("https://klasma.github.io/Logging_2460/kartor/A 6180-2025 karta.png", "A 6180-2025")</f>
        <v/>
      </c>
      <c r="V873">
        <f>HYPERLINK("https://klasma.github.io/Logging_2460/klagomål/A 6180-2025 FSC-klagomål.docx", "A 6180-2025")</f>
        <v/>
      </c>
      <c r="W873">
        <f>HYPERLINK("https://klasma.github.io/Logging_2460/klagomålsmail/A 6180-2025 FSC-klagomål mail.docx", "A 6180-2025")</f>
        <v/>
      </c>
      <c r="X873">
        <f>HYPERLINK("https://klasma.github.io/Logging_2460/tillsyn/A 6180-2025 tillsynsbegäran.docx", "A 6180-2025")</f>
        <v/>
      </c>
      <c r="Y873">
        <f>HYPERLINK("https://klasma.github.io/Logging_2460/tillsynsmail/A 6180-2025 tillsynsbegäran mail.docx", "A 6180-2025")</f>
        <v/>
      </c>
    </row>
    <row r="874" ht="15" customHeight="1">
      <c r="A874" t="inlineStr">
        <is>
          <t>A 58670-2023</t>
        </is>
      </c>
      <c r="B874" s="1" t="n">
        <v>45251</v>
      </c>
      <c r="C874" s="1" t="n">
        <v>46145</v>
      </c>
      <c r="D874" t="inlineStr">
        <is>
          <t>VÄSTERBOTTENS LÄN</t>
        </is>
      </c>
      <c r="E874" t="inlineStr">
        <is>
          <t>UMEÅ</t>
        </is>
      </c>
      <c r="F874" t="inlineStr">
        <is>
          <t>Sveaskog</t>
        </is>
      </c>
      <c r="G874" t="n">
        <v>11.9</v>
      </c>
      <c r="H874" t="n">
        <v>0</v>
      </c>
      <c r="I874" t="n">
        <v>0</v>
      </c>
      <c r="J874" t="n">
        <v>1</v>
      </c>
      <c r="K874" t="n">
        <v>0</v>
      </c>
      <c r="L874" t="n">
        <v>0</v>
      </c>
      <c r="M874" t="n">
        <v>0</v>
      </c>
      <c r="N874" t="n">
        <v>0</v>
      </c>
      <c r="O874" t="n">
        <v>1</v>
      </c>
      <c r="P874" t="n">
        <v>0</v>
      </c>
      <c r="Q874" t="n">
        <v>1</v>
      </c>
      <c r="R874" s="2" t="inlineStr">
        <is>
          <t>Gammelgransskål</t>
        </is>
      </c>
      <c r="S874">
        <f>HYPERLINK("https://klasma.github.io/Logging_2480/artfynd/A 58670-2023 artfynd.xlsx", "A 58670-2023")</f>
        <v/>
      </c>
      <c r="T874">
        <f>HYPERLINK("https://klasma.github.io/Logging_2480/kartor/A 58670-2023 karta.png", "A 58670-2023")</f>
        <v/>
      </c>
      <c r="V874">
        <f>HYPERLINK("https://klasma.github.io/Logging_2480/klagomål/A 58670-2023 FSC-klagomål.docx", "A 58670-2023")</f>
        <v/>
      </c>
      <c r="W874">
        <f>HYPERLINK("https://klasma.github.io/Logging_2480/klagomålsmail/A 58670-2023 FSC-klagomål mail.docx", "A 58670-2023")</f>
        <v/>
      </c>
      <c r="X874">
        <f>HYPERLINK("https://klasma.github.io/Logging_2480/tillsyn/A 58670-2023 tillsynsbegäran.docx", "A 58670-2023")</f>
        <v/>
      </c>
      <c r="Y874">
        <f>HYPERLINK("https://klasma.github.io/Logging_2480/tillsynsmail/A 58670-2023 tillsynsbegäran mail.docx", "A 58670-2023")</f>
        <v/>
      </c>
    </row>
    <row r="875" ht="15" customHeight="1">
      <c r="A875" t="inlineStr">
        <is>
          <t>A 7379-2024</t>
        </is>
      </c>
      <c r="B875" s="1" t="n">
        <v>45345</v>
      </c>
      <c r="C875" s="1" t="n">
        <v>46145</v>
      </c>
      <c r="D875" t="inlineStr">
        <is>
          <t>VÄSTERBOTTENS LÄN</t>
        </is>
      </c>
      <c r="E875" t="inlineStr">
        <is>
          <t>ROBERTSFORS</t>
        </is>
      </c>
      <c r="F875" t="inlineStr">
        <is>
          <t>Sveaskog</t>
        </is>
      </c>
      <c r="G875" t="n">
        <v>12.9</v>
      </c>
      <c r="H875" t="n">
        <v>0</v>
      </c>
      <c r="I875" t="n">
        <v>0</v>
      </c>
      <c r="J875" t="n">
        <v>1</v>
      </c>
      <c r="K875" t="n">
        <v>0</v>
      </c>
      <c r="L875" t="n">
        <v>0</v>
      </c>
      <c r="M875" t="n">
        <v>0</v>
      </c>
      <c r="N875" t="n">
        <v>0</v>
      </c>
      <c r="O875" t="n">
        <v>1</v>
      </c>
      <c r="P875" t="n">
        <v>0</v>
      </c>
      <c r="Q875" t="n">
        <v>1</v>
      </c>
      <c r="R875" s="2" t="inlineStr">
        <is>
          <t>Garnlav</t>
        </is>
      </c>
      <c r="S875">
        <f>HYPERLINK("https://klasma.github.io/Logging_2409/artfynd/A 7379-2024 artfynd.xlsx", "A 7379-2024")</f>
        <v/>
      </c>
      <c r="T875">
        <f>HYPERLINK("https://klasma.github.io/Logging_2409/kartor/A 7379-2024 karta.png", "A 7379-2024")</f>
        <v/>
      </c>
      <c r="V875">
        <f>HYPERLINK("https://klasma.github.io/Logging_2409/klagomål/A 7379-2024 FSC-klagomål.docx", "A 7379-2024")</f>
        <v/>
      </c>
      <c r="W875">
        <f>HYPERLINK("https://klasma.github.io/Logging_2409/klagomålsmail/A 7379-2024 FSC-klagomål mail.docx", "A 7379-2024")</f>
        <v/>
      </c>
      <c r="X875">
        <f>HYPERLINK("https://klasma.github.io/Logging_2409/tillsyn/A 7379-2024 tillsynsbegäran.docx", "A 7379-2024")</f>
        <v/>
      </c>
      <c r="Y875">
        <f>HYPERLINK("https://klasma.github.io/Logging_2409/tillsynsmail/A 7379-2024 tillsynsbegäran mail.docx", "A 7379-2024")</f>
        <v/>
      </c>
    </row>
    <row r="876" ht="15" customHeight="1">
      <c r="A876" t="inlineStr">
        <is>
          <t>A 16833-2024</t>
        </is>
      </c>
      <c r="B876" s="1" t="n">
        <v>45411</v>
      </c>
      <c r="C876" s="1" t="n">
        <v>46145</v>
      </c>
      <c r="D876" t="inlineStr">
        <is>
          <t>VÄSTERBOTTENS LÄN</t>
        </is>
      </c>
      <c r="E876" t="inlineStr">
        <is>
          <t>STORUMAN</t>
        </is>
      </c>
      <c r="F876" t="inlineStr">
        <is>
          <t>Sveaskog</t>
        </is>
      </c>
      <c r="G876" t="n">
        <v>7.4</v>
      </c>
      <c r="H876" t="n">
        <v>1</v>
      </c>
      <c r="I876" t="n">
        <v>0</v>
      </c>
      <c r="J876" t="n">
        <v>0</v>
      </c>
      <c r="K876" t="n">
        <v>1</v>
      </c>
      <c r="L876" t="n">
        <v>0</v>
      </c>
      <c r="M876" t="n">
        <v>0</v>
      </c>
      <c r="N876" t="n">
        <v>0</v>
      </c>
      <c r="O876" t="n">
        <v>1</v>
      </c>
      <c r="P876" t="n">
        <v>1</v>
      </c>
      <c r="Q876" t="n">
        <v>1</v>
      </c>
      <c r="R876" s="2" t="inlineStr">
        <is>
          <t>Knärot</t>
        </is>
      </c>
      <c r="S876">
        <f>HYPERLINK("https://klasma.github.io/Logging_2421/artfynd/A 16833-2024 artfynd.xlsx", "A 16833-2024")</f>
        <v/>
      </c>
      <c r="T876">
        <f>HYPERLINK("https://klasma.github.io/Logging_2421/kartor/A 16833-2024 karta.png", "A 16833-2024")</f>
        <v/>
      </c>
      <c r="U876">
        <f>HYPERLINK("https://klasma.github.io/Logging_2421/knärot/A 16833-2024 karta knärot.png", "A 16833-2024")</f>
        <v/>
      </c>
      <c r="V876">
        <f>HYPERLINK("https://klasma.github.io/Logging_2421/klagomål/A 16833-2024 FSC-klagomål.docx", "A 16833-2024")</f>
        <v/>
      </c>
      <c r="W876">
        <f>HYPERLINK("https://klasma.github.io/Logging_2421/klagomålsmail/A 16833-2024 FSC-klagomål mail.docx", "A 16833-2024")</f>
        <v/>
      </c>
      <c r="X876">
        <f>HYPERLINK("https://klasma.github.io/Logging_2421/tillsyn/A 16833-2024 tillsynsbegäran.docx", "A 16833-2024")</f>
        <v/>
      </c>
      <c r="Y876">
        <f>HYPERLINK("https://klasma.github.io/Logging_2421/tillsynsmail/A 16833-2024 tillsynsbegäran mail.docx", "A 16833-2024")</f>
        <v/>
      </c>
    </row>
    <row r="877" ht="15" customHeight="1">
      <c r="A877" t="inlineStr">
        <is>
          <t>A 21386-2024</t>
        </is>
      </c>
      <c r="B877" s="1" t="n">
        <v>45440</v>
      </c>
      <c r="C877" s="1" t="n">
        <v>46145</v>
      </c>
      <c r="D877" t="inlineStr">
        <is>
          <t>VÄSTERBOTTENS LÄN</t>
        </is>
      </c>
      <c r="E877" t="inlineStr">
        <is>
          <t>BJURHOLM</t>
        </is>
      </c>
      <c r="F877" t="inlineStr">
        <is>
          <t>SCA</t>
        </is>
      </c>
      <c r="G877" t="n">
        <v>1.2</v>
      </c>
      <c r="H877" t="n">
        <v>0</v>
      </c>
      <c r="I877" t="n">
        <v>0</v>
      </c>
      <c r="J877" t="n">
        <v>1</v>
      </c>
      <c r="K877" t="n">
        <v>0</v>
      </c>
      <c r="L877" t="n">
        <v>0</v>
      </c>
      <c r="M877" t="n">
        <v>0</v>
      </c>
      <c r="N877" t="n">
        <v>0</v>
      </c>
      <c r="O877" t="n">
        <v>1</v>
      </c>
      <c r="P877" t="n">
        <v>0</v>
      </c>
      <c r="Q877" t="n">
        <v>1</v>
      </c>
      <c r="R877" s="2" t="inlineStr">
        <is>
          <t>Ullticka</t>
        </is>
      </c>
      <c r="S877">
        <f>HYPERLINK("https://klasma.github.io/Logging_2403/artfynd/A 21386-2024 artfynd.xlsx", "A 21386-2024")</f>
        <v/>
      </c>
      <c r="T877">
        <f>HYPERLINK("https://klasma.github.io/Logging_2403/kartor/A 21386-2024 karta.png", "A 21386-2024")</f>
        <v/>
      </c>
      <c r="V877">
        <f>HYPERLINK("https://klasma.github.io/Logging_2403/klagomål/A 21386-2024 FSC-klagomål.docx", "A 21386-2024")</f>
        <v/>
      </c>
      <c r="W877">
        <f>HYPERLINK("https://klasma.github.io/Logging_2403/klagomålsmail/A 21386-2024 FSC-klagomål mail.docx", "A 21386-2024")</f>
        <v/>
      </c>
      <c r="X877">
        <f>HYPERLINK("https://klasma.github.io/Logging_2403/tillsyn/A 21386-2024 tillsynsbegäran.docx", "A 21386-2024")</f>
        <v/>
      </c>
      <c r="Y877">
        <f>HYPERLINK("https://klasma.github.io/Logging_2403/tillsynsmail/A 21386-2024 tillsynsbegäran mail.docx", "A 21386-2024")</f>
        <v/>
      </c>
    </row>
    <row r="878" ht="15" customHeight="1">
      <c r="A878" t="inlineStr">
        <is>
          <t>A 23458-2024</t>
        </is>
      </c>
      <c r="B878" s="1" t="n">
        <v>45453.64537037037</v>
      </c>
      <c r="C878" s="1" t="n">
        <v>46145</v>
      </c>
      <c r="D878" t="inlineStr">
        <is>
          <t>VÄSTERBOTTENS LÄN</t>
        </is>
      </c>
      <c r="E878" t="inlineStr">
        <is>
          <t>STORUMAN</t>
        </is>
      </c>
      <c r="F878" t="inlineStr">
        <is>
          <t>Sveaskog</t>
        </is>
      </c>
      <c r="G878" t="n">
        <v>2.2</v>
      </c>
      <c r="H878" t="n">
        <v>0</v>
      </c>
      <c r="I878" t="n">
        <v>1</v>
      </c>
      <c r="J878" t="n">
        <v>0</v>
      </c>
      <c r="K878" t="n">
        <v>0</v>
      </c>
      <c r="L878" t="n">
        <v>0</v>
      </c>
      <c r="M878" t="n">
        <v>0</v>
      </c>
      <c r="N878" t="n">
        <v>0</v>
      </c>
      <c r="O878" t="n">
        <v>0</v>
      </c>
      <c r="P878" t="n">
        <v>0</v>
      </c>
      <c r="Q878" t="n">
        <v>1</v>
      </c>
      <c r="R878" s="2" t="inlineStr">
        <is>
          <t>Dropptaggsvamp</t>
        </is>
      </c>
      <c r="S878">
        <f>HYPERLINK("https://klasma.github.io/Logging_2421/artfynd/A 23458-2024 artfynd.xlsx", "A 23458-2024")</f>
        <v/>
      </c>
      <c r="T878">
        <f>HYPERLINK("https://klasma.github.io/Logging_2421/kartor/A 23458-2024 karta.png", "A 23458-2024")</f>
        <v/>
      </c>
      <c r="V878">
        <f>HYPERLINK("https://klasma.github.io/Logging_2421/klagomål/A 23458-2024 FSC-klagomål.docx", "A 23458-2024")</f>
        <v/>
      </c>
      <c r="W878">
        <f>HYPERLINK("https://klasma.github.io/Logging_2421/klagomålsmail/A 23458-2024 FSC-klagomål mail.docx", "A 23458-2024")</f>
        <v/>
      </c>
      <c r="X878">
        <f>HYPERLINK("https://klasma.github.io/Logging_2421/tillsyn/A 23458-2024 tillsynsbegäran.docx", "A 23458-2024")</f>
        <v/>
      </c>
      <c r="Y878">
        <f>HYPERLINK("https://klasma.github.io/Logging_2421/tillsynsmail/A 23458-2024 tillsynsbegäran mail.docx", "A 23458-2024")</f>
        <v/>
      </c>
    </row>
    <row r="879" ht="15" customHeight="1">
      <c r="A879" t="inlineStr">
        <is>
          <t>A 45267-2021</t>
        </is>
      </c>
      <c r="B879" s="1" t="n">
        <v>44439</v>
      </c>
      <c r="C879" s="1" t="n">
        <v>46145</v>
      </c>
      <c r="D879" t="inlineStr">
        <is>
          <t>VÄSTERBOTTENS LÄN</t>
        </is>
      </c>
      <c r="E879" t="inlineStr">
        <is>
          <t>VINDELN</t>
        </is>
      </c>
      <c r="G879" t="n">
        <v>1.9</v>
      </c>
      <c r="H879" t="n">
        <v>0</v>
      </c>
      <c r="I879" t="n">
        <v>1</v>
      </c>
      <c r="J879" t="n">
        <v>0</v>
      </c>
      <c r="K879" t="n">
        <v>0</v>
      </c>
      <c r="L879" t="n">
        <v>0</v>
      </c>
      <c r="M879" t="n">
        <v>0</v>
      </c>
      <c r="N879" t="n">
        <v>0</v>
      </c>
      <c r="O879" t="n">
        <v>0</v>
      </c>
      <c r="P879" t="n">
        <v>0</v>
      </c>
      <c r="Q879" t="n">
        <v>1</v>
      </c>
      <c r="R879" s="2" t="inlineStr">
        <is>
          <t>Mörk husmossa</t>
        </is>
      </c>
      <c r="S879">
        <f>HYPERLINK("https://klasma.github.io/Logging_2404/artfynd/A 45267-2021 artfynd.xlsx", "A 45267-2021")</f>
        <v/>
      </c>
      <c r="T879">
        <f>HYPERLINK("https://klasma.github.io/Logging_2404/kartor/A 45267-2021 karta.png", "A 45267-2021")</f>
        <v/>
      </c>
      <c r="V879">
        <f>HYPERLINK("https://klasma.github.io/Logging_2404/klagomål/A 45267-2021 FSC-klagomål.docx", "A 45267-2021")</f>
        <v/>
      </c>
      <c r="W879">
        <f>HYPERLINK("https://klasma.github.io/Logging_2404/klagomålsmail/A 45267-2021 FSC-klagomål mail.docx", "A 45267-2021")</f>
        <v/>
      </c>
      <c r="X879">
        <f>HYPERLINK("https://klasma.github.io/Logging_2404/tillsyn/A 45267-2021 tillsynsbegäran.docx", "A 45267-2021")</f>
        <v/>
      </c>
      <c r="Y879">
        <f>HYPERLINK("https://klasma.github.io/Logging_2404/tillsynsmail/A 45267-2021 tillsynsbegäran mail.docx", "A 45267-2021")</f>
        <v/>
      </c>
    </row>
    <row r="880" ht="15" customHeight="1">
      <c r="A880" t="inlineStr">
        <is>
          <t>A 32964-2021</t>
        </is>
      </c>
      <c r="B880" s="1" t="n">
        <v>44376</v>
      </c>
      <c r="C880" s="1" t="n">
        <v>46145</v>
      </c>
      <c r="D880" t="inlineStr">
        <is>
          <t>VÄSTERBOTTENS LÄN</t>
        </is>
      </c>
      <c r="E880" t="inlineStr">
        <is>
          <t>SKELLEFTEÅ</t>
        </is>
      </c>
      <c r="G880" t="n">
        <v>16</v>
      </c>
      <c r="H880" t="n">
        <v>0</v>
      </c>
      <c r="I880" t="n">
        <v>0</v>
      </c>
      <c r="J880" t="n">
        <v>1</v>
      </c>
      <c r="K880" t="n">
        <v>0</v>
      </c>
      <c r="L880" t="n">
        <v>0</v>
      </c>
      <c r="M880" t="n">
        <v>0</v>
      </c>
      <c r="N880" t="n">
        <v>0</v>
      </c>
      <c r="O880" t="n">
        <v>1</v>
      </c>
      <c r="P880" t="n">
        <v>0</v>
      </c>
      <c r="Q880" t="n">
        <v>1</v>
      </c>
      <c r="R880" s="2" t="inlineStr">
        <is>
          <t>Kådvaxskinn</t>
        </is>
      </c>
      <c r="S880">
        <f>HYPERLINK("https://klasma.github.io/Logging_2482/artfynd/A 32964-2021 artfynd.xlsx", "A 32964-2021")</f>
        <v/>
      </c>
      <c r="T880">
        <f>HYPERLINK("https://klasma.github.io/Logging_2482/kartor/A 32964-2021 karta.png", "A 32964-2021")</f>
        <v/>
      </c>
      <c r="V880">
        <f>HYPERLINK("https://klasma.github.io/Logging_2482/klagomål/A 32964-2021 FSC-klagomål.docx", "A 32964-2021")</f>
        <v/>
      </c>
      <c r="W880">
        <f>HYPERLINK("https://klasma.github.io/Logging_2482/klagomålsmail/A 32964-2021 FSC-klagomål mail.docx", "A 32964-2021")</f>
        <v/>
      </c>
      <c r="X880">
        <f>HYPERLINK("https://klasma.github.io/Logging_2482/tillsyn/A 32964-2021 tillsynsbegäran.docx", "A 32964-2021")</f>
        <v/>
      </c>
      <c r="Y880">
        <f>HYPERLINK("https://klasma.github.io/Logging_2482/tillsynsmail/A 32964-2021 tillsynsbegäran mail.docx", "A 32964-2021")</f>
        <v/>
      </c>
    </row>
    <row r="881" ht="15" customHeight="1">
      <c r="A881" t="inlineStr">
        <is>
          <t>A 21663-2024</t>
        </is>
      </c>
      <c r="B881" s="1" t="n">
        <v>45442</v>
      </c>
      <c r="C881" s="1" t="n">
        <v>46145</v>
      </c>
      <c r="D881" t="inlineStr">
        <is>
          <t>VÄSTERBOTTENS LÄN</t>
        </is>
      </c>
      <c r="E881" t="inlineStr">
        <is>
          <t>STORUMAN</t>
        </is>
      </c>
      <c r="F881" t="inlineStr">
        <is>
          <t>Holmen skog AB</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HYPERLINK("https://klasma.github.io/Logging_2421/artfynd/A 21663-2024 artfynd.xlsx", "A 21663-2024")</f>
        <v/>
      </c>
      <c r="T881">
        <f>HYPERLINK("https://klasma.github.io/Logging_2421/kartor/A 21663-2024 karta.png", "A 21663-2024")</f>
        <v/>
      </c>
      <c r="U881">
        <f>HYPERLINK("https://klasma.github.io/Logging_2421/knärot/A 21663-2024 karta knärot.png", "A 21663-2024")</f>
        <v/>
      </c>
      <c r="V881">
        <f>HYPERLINK("https://klasma.github.io/Logging_2421/klagomål/A 21663-2024 FSC-klagomål.docx", "A 21663-2024")</f>
        <v/>
      </c>
      <c r="W881">
        <f>HYPERLINK("https://klasma.github.io/Logging_2421/klagomålsmail/A 21663-2024 FSC-klagomål mail.docx", "A 21663-2024")</f>
        <v/>
      </c>
      <c r="X881">
        <f>HYPERLINK("https://klasma.github.io/Logging_2421/tillsyn/A 21663-2024 tillsynsbegäran.docx", "A 21663-2024")</f>
        <v/>
      </c>
      <c r="Y881">
        <f>HYPERLINK("https://klasma.github.io/Logging_2421/tillsynsmail/A 21663-2024 tillsynsbegäran mail.docx", "A 21663-2024")</f>
        <v/>
      </c>
    </row>
    <row r="882" ht="15" customHeight="1">
      <c r="A882" t="inlineStr">
        <is>
          <t>A 29572-2023</t>
        </is>
      </c>
      <c r="B882" s="1" t="n">
        <v>45106</v>
      </c>
      <c r="C882" s="1" t="n">
        <v>46145</v>
      </c>
      <c r="D882" t="inlineStr">
        <is>
          <t>VÄSTERBOTTENS LÄN</t>
        </is>
      </c>
      <c r="E882" t="inlineStr">
        <is>
          <t>STORUMAN</t>
        </is>
      </c>
      <c r="F882" t="inlineStr">
        <is>
          <t>Sveaskog</t>
        </is>
      </c>
      <c r="G882" t="n">
        <v>5.3</v>
      </c>
      <c r="H882" t="n">
        <v>0</v>
      </c>
      <c r="I882" t="n">
        <v>0</v>
      </c>
      <c r="J882" t="n">
        <v>1</v>
      </c>
      <c r="K882" t="n">
        <v>0</v>
      </c>
      <c r="L882" t="n">
        <v>0</v>
      </c>
      <c r="M882" t="n">
        <v>0</v>
      </c>
      <c r="N882" t="n">
        <v>0</v>
      </c>
      <c r="O882" t="n">
        <v>1</v>
      </c>
      <c r="P882" t="n">
        <v>0</v>
      </c>
      <c r="Q882" t="n">
        <v>1</v>
      </c>
      <c r="R882" s="2" t="inlineStr">
        <is>
          <t>Skrovlig taggsvamp</t>
        </is>
      </c>
      <c r="S882">
        <f>HYPERLINK("https://klasma.github.io/Logging_2421/artfynd/A 29572-2023 artfynd.xlsx", "A 29572-2023")</f>
        <v/>
      </c>
      <c r="T882">
        <f>HYPERLINK("https://klasma.github.io/Logging_2421/kartor/A 29572-2023 karta.png", "A 29572-2023")</f>
        <v/>
      </c>
      <c r="V882">
        <f>HYPERLINK("https://klasma.github.io/Logging_2421/klagomål/A 29572-2023 FSC-klagomål.docx", "A 29572-2023")</f>
        <v/>
      </c>
      <c r="W882">
        <f>HYPERLINK("https://klasma.github.io/Logging_2421/klagomålsmail/A 29572-2023 FSC-klagomål mail.docx", "A 29572-2023")</f>
        <v/>
      </c>
      <c r="X882">
        <f>HYPERLINK("https://klasma.github.io/Logging_2421/tillsyn/A 29572-2023 tillsynsbegäran.docx", "A 29572-2023")</f>
        <v/>
      </c>
      <c r="Y882">
        <f>HYPERLINK("https://klasma.github.io/Logging_2421/tillsynsmail/A 29572-2023 tillsynsbegäran mail.docx", "A 29572-2023")</f>
        <v/>
      </c>
    </row>
    <row r="883" ht="15" customHeight="1">
      <c r="A883" t="inlineStr">
        <is>
          <t>A 60231-2022</t>
        </is>
      </c>
      <c r="B883" s="1" t="n">
        <v>44910</v>
      </c>
      <c r="C883" s="1" t="n">
        <v>46145</v>
      </c>
      <c r="D883" t="inlineStr">
        <is>
          <t>VÄSTERBOTTENS LÄN</t>
        </is>
      </c>
      <c r="E883" t="inlineStr">
        <is>
          <t>SKELLEFTEÅ</t>
        </is>
      </c>
      <c r="F883" t="inlineStr">
        <is>
          <t>Holmen skog AB</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HYPERLINK("https://klasma.github.io/Logging_2482/artfynd/A 60231-2022 artfynd.xlsx", "A 60231-2022")</f>
        <v/>
      </c>
      <c r="T883">
        <f>HYPERLINK("https://klasma.github.io/Logging_2482/kartor/A 60231-2022 karta.png", "A 60231-2022")</f>
        <v/>
      </c>
      <c r="V883">
        <f>HYPERLINK("https://klasma.github.io/Logging_2482/klagomål/A 60231-2022 FSC-klagomål.docx", "A 60231-2022")</f>
        <v/>
      </c>
      <c r="W883">
        <f>HYPERLINK("https://klasma.github.io/Logging_2482/klagomålsmail/A 60231-2022 FSC-klagomål mail.docx", "A 60231-2022")</f>
        <v/>
      </c>
      <c r="X883">
        <f>HYPERLINK("https://klasma.github.io/Logging_2482/tillsyn/A 60231-2022 tillsynsbegäran.docx", "A 60231-2022")</f>
        <v/>
      </c>
      <c r="Y883">
        <f>HYPERLINK("https://klasma.github.io/Logging_2482/tillsynsmail/A 60231-2022 tillsynsbegäran mail.docx", "A 60231-2022")</f>
        <v/>
      </c>
    </row>
    <row r="884" ht="15" customHeight="1">
      <c r="A884" t="inlineStr">
        <is>
          <t>A 48089-2022</t>
        </is>
      </c>
      <c r="B884" s="1" t="n">
        <v>44855</v>
      </c>
      <c r="C884" s="1" t="n">
        <v>46145</v>
      </c>
      <c r="D884" t="inlineStr">
        <is>
          <t>VÄSTERBOTTENS LÄN</t>
        </is>
      </c>
      <c r="E884" t="inlineStr">
        <is>
          <t>DOROTEA</t>
        </is>
      </c>
      <c r="F884" t="inlineStr">
        <is>
          <t>SCA</t>
        </is>
      </c>
      <c r="G884" t="n">
        <v>9.199999999999999</v>
      </c>
      <c r="H884" t="n">
        <v>0</v>
      </c>
      <c r="I884" t="n">
        <v>0</v>
      </c>
      <c r="J884" t="n">
        <v>1</v>
      </c>
      <c r="K884" t="n">
        <v>0</v>
      </c>
      <c r="L884" t="n">
        <v>0</v>
      </c>
      <c r="M884" t="n">
        <v>0</v>
      </c>
      <c r="N884" t="n">
        <v>0</v>
      </c>
      <c r="O884" t="n">
        <v>1</v>
      </c>
      <c r="P884" t="n">
        <v>0</v>
      </c>
      <c r="Q884" t="n">
        <v>1</v>
      </c>
      <c r="R884" s="2" t="inlineStr">
        <is>
          <t>Gammelgransskål</t>
        </is>
      </c>
      <c r="S884">
        <f>HYPERLINK("https://klasma.github.io/Logging_2425/artfynd/A 48089-2022 artfynd.xlsx", "A 48089-2022")</f>
        <v/>
      </c>
      <c r="T884">
        <f>HYPERLINK("https://klasma.github.io/Logging_2425/kartor/A 48089-2022 karta.png", "A 48089-2022")</f>
        <v/>
      </c>
      <c r="V884">
        <f>HYPERLINK("https://klasma.github.io/Logging_2425/klagomål/A 48089-2022 FSC-klagomål.docx", "A 48089-2022")</f>
        <v/>
      </c>
      <c r="W884">
        <f>HYPERLINK("https://klasma.github.io/Logging_2425/klagomålsmail/A 48089-2022 FSC-klagomål mail.docx", "A 48089-2022")</f>
        <v/>
      </c>
      <c r="X884">
        <f>HYPERLINK("https://klasma.github.io/Logging_2425/tillsyn/A 48089-2022 tillsynsbegäran.docx", "A 48089-2022")</f>
        <v/>
      </c>
      <c r="Y884">
        <f>HYPERLINK("https://klasma.github.io/Logging_2425/tillsynsmail/A 48089-2022 tillsynsbegäran mail.docx", "A 48089-2022")</f>
        <v/>
      </c>
    </row>
    <row r="885" ht="15" customHeight="1">
      <c r="A885" t="inlineStr">
        <is>
          <t>A 57653-2022</t>
        </is>
      </c>
      <c r="B885" s="1" t="n">
        <v>44897.43052083333</v>
      </c>
      <c r="C885" s="1" t="n">
        <v>46145</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3046-2022</t>
        </is>
      </c>
      <c r="B886" s="1" t="n">
        <v>44581</v>
      </c>
      <c r="C886" s="1" t="n">
        <v>46145</v>
      </c>
      <c r="D886" t="inlineStr">
        <is>
          <t>VÄSTERBOTTENS LÄN</t>
        </is>
      </c>
      <c r="E886" t="inlineStr">
        <is>
          <t>STORUMAN</t>
        </is>
      </c>
      <c r="G886" t="n">
        <v>23.9</v>
      </c>
      <c r="H886" t="n">
        <v>0</v>
      </c>
      <c r="I886" t="n">
        <v>0</v>
      </c>
      <c r="J886" t="n">
        <v>1</v>
      </c>
      <c r="K886" t="n">
        <v>0</v>
      </c>
      <c r="L886" t="n">
        <v>0</v>
      </c>
      <c r="M886" t="n">
        <v>0</v>
      </c>
      <c r="N886" t="n">
        <v>0</v>
      </c>
      <c r="O886" t="n">
        <v>1</v>
      </c>
      <c r="P886" t="n">
        <v>0</v>
      </c>
      <c r="Q886" t="n">
        <v>1</v>
      </c>
      <c r="R886" s="2" t="inlineStr">
        <is>
          <t>Garnlav</t>
        </is>
      </c>
      <c r="S886">
        <f>HYPERLINK("https://klasma.github.io/Logging_2421/artfynd/A 3046-2022 artfynd.xlsx", "A 3046-2022")</f>
        <v/>
      </c>
      <c r="T886">
        <f>HYPERLINK("https://klasma.github.io/Logging_2421/kartor/A 3046-2022 karta.png", "A 3046-2022")</f>
        <v/>
      </c>
      <c r="V886">
        <f>HYPERLINK("https://klasma.github.io/Logging_2421/klagomål/A 3046-2022 FSC-klagomål.docx", "A 3046-2022")</f>
        <v/>
      </c>
      <c r="W886">
        <f>HYPERLINK("https://klasma.github.io/Logging_2421/klagomålsmail/A 3046-2022 FSC-klagomål mail.docx", "A 3046-2022")</f>
        <v/>
      </c>
      <c r="X886">
        <f>HYPERLINK("https://klasma.github.io/Logging_2421/tillsyn/A 3046-2022 tillsynsbegäran.docx", "A 3046-2022")</f>
        <v/>
      </c>
      <c r="Y886">
        <f>HYPERLINK("https://klasma.github.io/Logging_2421/tillsynsmail/A 3046-2022 tillsynsbegäran mail.docx", "A 3046-2022")</f>
        <v/>
      </c>
    </row>
    <row r="887" ht="15" customHeight="1">
      <c r="A887" t="inlineStr">
        <is>
          <t>A 54058-2022</t>
        </is>
      </c>
      <c r="B887" s="1" t="n">
        <v>44881</v>
      </c>
      <c r="C887" s="1" t="n">
        <v>46145</v>
      </c>
      <c r="D887" t="inlineStr">
        <is>
          <t>VÄSTERBOTTENS LÄN</t>
        </is>
      </c>
      <c r="E887" t="inlineStr">
        <is>
          <t>SKELLEFTEÅ</t>
        </is>
      </c>
      <c r="F887" t="inlineStr">
        <is>
          <t>Sveaskog</t>
        </is>
      </c>
      <c r="G887" t="n">
        <v>1.2</v>
      </c>
      <c r="H887" t="n">
        <v>0</v>
      </c>
      <c r="I887" t="n">
        <v>1</v>
      </c>
      <c r="J887" t="n">
        <v>0</v>
      </c>
      <c r="K887" t="n">
        <v>0</v>
      </c>
      <c r="L887" t="n">
        <v>0</v>
      </c>
      <c r="M887" t="n">
        <v>0</v>
      </c>
      <c r="N887" t="n">
        <v>0</v>
      </c>
      <c r="O887" t="n">
        <v>0</v>
      </c>
      <c r="P887" t="n">
        <v>0</v>
      </c>
      <c r="Q887" t="n">
        <v>1</v>
      </c>
      <c r="R887" s="2" t="inlineStr">
        <is>
          <t>Luddlav</t>
        </is>
      </c>
      <c r="S887">
        <f>HYPERLINK("https://klasma.github.io/Logging_2482/artfynd/A 54058-2022 artfynd.xlsx", "A 54058-2022")</f>
        <v/>
      </c>
      <c r="T887">
        <f>HYPERLINK("https://klasma.github.io/Logging_2482/kartor/A 54058-2022 karta.png", "A 54058-2022")</f>
        <v/>
      </c>
      <c r="V887">
        <f>HYPERLINK("https://klasma.github.io/Logging_2482/klagomål/A 54058-2022 FSC-klagomål.docx", "A 54058-2022")</f>
        <v/>
      </c>
      <c r="W887">
        <f>HYPERLINK("https://klasma.github.io/Logging_2482/klagomålsmail/A 54058-2022 FSC-klagomål mail.docx", "A 54058-2022")</f>
        <v/>
      </c>
      <c r="X887">
        <f>HYPERLINK("https://klasma.github.io/Logging_2482/tillsyn/A 54058-2022 tillsynsbegäran.docx", "A 54058-2022")</f>
        <v/>
      </c>
      <c r="Y887">
        <f>HYPERLINK("https://klasma.github.io/Logging_2482/tillsynsmail/A 54058-2022 tillsynsbegäran mail.docx", "A 54058-2022")</f>
        <v/>
      </c>
    </row>
    <row r="888" ht="15" customHeight="1">
      <c r="A888" t="inlineStr">
        <is>
          <t>A 31518-2024</t>
        </is>
      </c>
      <c r="B888" s="1" t="n">
        <v>45505</v>
      </c>
      <c r="C888" s="1" t="n">
        <v>46145</v>
      </c>
      <c r="D888" t="inlineStr">
        <is>
          <t>VÄSTERBOTTENS LÄN</t>
        </is>
      </c>
      <c r="E888" t="inlineStr">
        <is>
          <t>ÅSELE</t>
        </is>
      </c>
      <c r="F888" t="inlineStr">
        <is>
          <t>SCA</t>
        </is>
      </c>
      <c r="G888" t="n">
        <v>5.4</v>
      </c>
      <c r="H888" t="n">
        <v>0</v>
      </c>
      <c r="I888" t="n">
        <v>0</v>
      </c>
      <c r="J888" t="n">
        <v>1</v>
      </c>
      <c r="K888" t="n">
        <v>0</v>
      </c>
      <c r="L888" t="n">
        <v>0</v>
      </c>
      <c r="M888" t="n">
        <v>0</v>
      </c>
      <c r="N888" t="n">
        <v>0</v>
      </c>
      <c r="O888" t="n">
        <v>1</v>
      </c>
      <c r="P888" t="n">
        <v>0</v>
      </c>
      <c r="Q888" t="n">
        <v>1</v>
      </c>
      <c r="R888" s="2" t="inlineStr">
        <is>
          <t>Garnlav</t>
        </is>
      </c>
      <c r="S888">
        <f>HYPERLINK("https://klasma.github.io/Logging_2463/artfynd/A 31518-2024 artfynd.xlsx", "A 31518-2024")</f>
        <v/>
      </c>
      <c r="T888">
        <f>HYPERLINK("https://klasma.github.io/Logging_2463/kartor/A 31518-2024 karta.png", "A 31518-2024")</f>
        <v/>
      </c>
      <c r="V888">
        <f>HYPERLINK("https://klasma.github.io/Logging_2463/klagomål/A 31518-2024 FSC-klagomål.docx", "A 31518-2024")</f>
        <v/>
      </c>
      <c r="W888">
        <f>HYPERLINK("https://klasma.github.io/Logging_2463/klagomålsmail/A 31518-2024 FSC-klagomål mail.docx", "A 31518-2024")</f>
        <v/>
      </c>
      <c r="X888">
        <f>HYPERLINK("https://klasma.github.io/Logging_2463/tillsyn/A 31518-2024 tillsynsbegäran.docx", "A 31518-2024")</f>
        <v/>
      </c>
      <c r="Y888">
        <f>HYPERLINK("https://klasma.github.io/Logging_2463/tillsynsmail/A 31518-2024 tillsynsbegäran mail.docx", "A 31518-2024")</f>
        <v/>
      </c>
    </row>
    <row r="889" ht="15" customHeight="1">
      <c r="A889" t="inlineStr">
        <is>
          <t>A 32566-2023</t>
        </is>
      </c>
      <c r="B889" s="1" t="n">
        <v>45121</v>
      </c>
      <c r="C889" s="1" t="n">
        <v>46145</v>
      </c>
      <c r="D889" t="inlineStr">
        <is>
          <t>VÄSTERBOTTENS LÄN</t>
        </is>
      </c>
      <c r="E889" t="inlineStr">
        <is>
          <t>SKELLEFTEÅ</t>
        </is>
      </c>
      <c r="F889" t="inlineStr">
        <is>
          <t>Holmen skog AB</t>
        </is>
      </c>
      <c r="G889" t="n">
        <v>13</v>
      </c>
      <c r="H889" t="n">
        <v>1</v>
      </c>
      <c r="I889" t="n">
        <v>0</v>
      </c>
      <c r="J889" t="n">
        <v>0</v>
      </c>
      <c r="K889" t="n">
        <v>0</v>
      </c>
      <c r="L889" t="n">
        <v>0</v>
      </c>
      <c r="M889" t="n">
        <v>0</v>
      </c>
      <c r="N889" t="n">
        <v>0</v>
      </c>
      <c r="O889" t="n">
        <v>0</v>
      </c>
      <c r="P889" t="n">
        <v>0</v>
      </c>
      <c r="Q889" t="n">
        <v>1</v>
      </c>
      <c r="R889" s="2" t="inlineStr">
        <is>
          <t>Revlummer</t>
        </is>
      </c>
      <c r="S889">
        <f>HYPERLINK("https://klasma.github.io/Logging_2482/artfynd/A 32566-2023 artfynd.xlsx", "A 32566-2023")</f>
        <v/>
      </c>
      <c r="T889">
        <f>HYPERLINK("https://klasma.github.io/Logging_2482/kartor/A 32566-2023 karta.png", "A 32566-2023")</f>
        <v/>
      </c>
      <c r="V889">
        <f>HYPERLINK("https://klasma.github.io/Logging_2482/klagomål/A 32566-2023 FSC-klagomål.docx", "A 32566-2023")</f>
        <v/>
      </c>
      <c r="W889">
        <f>HYPERLINK("https://klasma.github.io/Logging_2482/klagomålsmail/A 32566-2023 FSC-klagomål mail.docx", "A 32566-2023")</f>
        <v/>
      </c>
      <c r="X889">
        <f>HYPERLINK("https://klasma.github.io/Logging_2482/tillsyn/A 32566-2023 tillsynsbegäran.docx", "A 32566-2023")</f>
        <v/>
      </c>
      <c r="Y889">
        <f>HYPERLINK("https://klasma.github.io/Logging_2482/tillsynsmail/A 32566-2023 tillsynsbegäran mail.docx", "A 32566-2023")</f>
        <v/>
      </c>
    </row>
    <row r="890" ht="15" customHeight="1">
      <c r="A890" t="inlineStr">
        <is>
          <t>A 30373-2024</t>
        </is>
      </c>
      <c r="B890" s="1" t="n">
        <v>45491.39454861111</v>
      </c>
      <c r="C890" s="1" t="n">
        <v>46145</v>
      </c>
      <c r="D890" t="inlineStr">
        <is>
          <t>VÄSTERBOTTENS LÄN</t>
        </is>
      </c>
      <c r="E890" t="inlineStr">
        <is>
          <t>DOROTEA</t>
        </is>
      </c>
      <c r="F890" t="inlineStr">
        <is>
          <t>Sveaskog</t>
        </is>
      </c>
      <c r="G890" t="n">
        <v>13</v>
      </c>
      <c r="H890" t="n">
        <v>1</v>
      </c>
      <c r="I890" t="n">
        <v>0</v>
      </c>
      <c r="J890" t="n">
        <v>1</v>
      </c>
      <c r="K890" t="n">
        <v>0</v>
      </c>
      <c r="L890" t="n">
        <v>0</v>
      </c>
      <c r="M890" t="n">
        <v>0</v>
      </c>
      <c r="N890" t="n">
        <v>0</v>
      </c>
      <c r="O890" t="n">
        <v>1</v>
      </c>
      <c r="P890" t="n">
        <v>0</v>
      </c>
      <c r="Q890" t="n">
        <v>1</v>
      </c>
      <c r="R890" s="2" t="inlineStr">
        <is>
          <t>Utter</t>
        </is>
      </c>
      <c r="S890">
        <f>HYPERLINK("https://klasma.github.io/Logging_2425/artfynd/A 30373-2024 artfynd.xlsx", "A 30373-2024")</f>
        <v/>
      </c>
      <c r="T890">
        <f>HYPERLINK("https://klasma.github.io/Logging_2425/kartor/A 30373-2024 karta.png", "A 30373-2024")</f>
        <v/>
      </c>
      <c r="V890">
        <f>HYPERLINK("https://klasma.github.io/Logging_2425/klagomål/A 30373-2024 FSC-klagomål.docx", "A 30373-2024")</f>
        <v/>
      </c>
      <c r="W890">
        <f>HYPERLINK("https://klasma.github.io/Logging_2425/klagomålsmail/A 30373-2024 FSC-klagomål mail.docx", "A 30373-2024")</f>
        <v/>
      </c>
      <c r="X890">
        <f>HYPERLINK("https://klasma.github.io/Logging_2425/tillsyn/A 30373-2024 tillsynsbegäran.docx", "A 30373-2024")</f>
        <v/>
      </c>
      <c r="Y890">
        <f>HYPERLINK("https://klasma.github.io/Logging_2425/tillsynsmail/A 30373-2024 tillsynsbegäran mail.docx", "A 30373-2024")</f>
        <v/>
      </c>
    </row>
    <row r="891" ht="15" customHeight="1">
      <c r="A891" t="inlineStr">
        <is>
          <t>A 54044-2024</t>
        </is>
      </c>
      <c r="B891" s="1" t="n">
        <v>45616.4488425926</v>
      </c>
      <c r="C891" s="1" t="n">
        <v>46145</v>
      </c>
      <c r="D891" t="inlineStr">
        <is>
          <t>VÄSTERBOTTENS LÄN</t>
        </is>
      </c>
      <c r="E891" t="inlineStr">
        <is>
          <t>NORSJÖ</t>
        </is>
      </c>
      <c r="G891" t="n">
        <v>5.7</v>
      </c>
      <c r="H891" t="n">
        <v>0</v>
      </c>
      <c r="I891" t="n">
        <v>0</v>
      </c>
      <c r="J891" t="n">
        <v>1</v>
      </c>
      <c r="K891" t="n">
        <v>0</v>
      </c>
      <c r="L891" t="n">
        <v>0</v>
      </c>
      <c r="M891" t="n">
        <v>0</v>
      </c>
      <c r="N891" t="n">
        <v>0</v>
      </c>
      <c r="O891" t="n">
        <v>1</v>
      </c>
      <c r="P891" t="n">
        <v>0</v>
      </c>
      <c r="Q891" t="n">
        <v>1</v>
      </c>
      <c r="R891" s="2" t="inlineStr">
        <is>
          <t>Nordtagging</t>
        </is>
      </c>
      <c r="S891">
        <f>HYPERLINK("https://klasma.github.io/Logging_2417/artfynd/A 54044-2024 artfynd.xlsx", "A 54044-2024")</f>
        <v/>
      </c>
      <c r="T891">
        <f>HYPERLINK("https://klasma.github.io/Logging_2417/kartor/A 54044-2024 karta.png", "A 54044-2024")</f>
        <v/>
      </c>
      <c r="V891">
        <f>HYPERLINK("https://klasma.github.io/Logging_2417/klagomål/A 54044-2024 FSC-klagomål.docx", "A 54044-2024")</f>
        <v/>
      </c>
      <c r="W891">
        <f>HYPERLINK("https://klasma.github.io/Logging_2417/klagomålsmail/A 54044-2024 FSC-klagomål mail.docx", "A 54044-2024")</f>
        <v/>
      </c>
      <c r="X891">
        <f>HYPERLINK("https://klasma.github.io/Logging_2417/tillsyn/A 54044-2024 tillsynsbegäran.docx", "A 54044-2024")</f>
        <v/>
      </c>
      <c r="Y891">
        <f>HYPERLINK("https://klasma.github.io/Logging_2417/tillsynsmail/A 54044-2024 tillsynsbegäran mail.docx", "A 54044-2024")</f>
        <v/>
      </c>
    </row>
    <row r="892" ht="15" customHeight="1">
      <c r="A892" t="inlineStr">
        <is>
          <t>A 32724-2024</t>
        </is>
      </c>
      <c r="B892" s="1" t="n">
        <v>45516.40765046296</v>
      </c>
      <c r="C892" s="1" t="n">
        <v>46145</v>
      </c>
      <c r="D892" t="inlineStr">
        <is>
          <t>VÄSTERBOTTENS LÄN</t>
        </is>
      </c>
      <c r="E892" t="inlineStr">
        <is>
          <t>SKELLEFTEÅ</t>
        </is>
      </c>
      <c r="F892" t="inlineStr">
        <is>
          <t>Holmen skog AB</t>
        </is>
      </c>
      <c r="G892" t="n">
        <v>4.4</v>
      </c>
      <c r="H892" t="n">
        <v>0</v>
      </c>
      <c r="I892" t="n">
        <v>0</v>
      </c>
      <c r="J892" t="n">
        <v>1</v>
      </c>
      <c r="K892" t="n">
        <v>0</v>
      </c>
      <c r="L892" t="n">
        <v>0</v>
      </c>
      <c r="M892" t="n">
        <v>0</v>
      </c>
      <c r="N892" t="n">
        <v>0</v>
      </c>
      <c r="O892" t="n">
        <v>1</v>
      </c>
      <c r="P892" t="n">
        <v>0</v>
      </c>
      <c r="Q892" t="n">
        <v>1</v>
      </c>
      <c r="R892" s="2" t="inlineStr">
        <is>
          <t>Lunglav</t>
        </is>
      </c>
      <c r="S892">
        <f>HYPERLINK("https://klasma.github.io/Logging_2482/artfynd/A 32724-2024 artfynd.xlsx", "A 32724-2024")</f>
        <v/>
      </c>
      <c r="T892">
        <f>HYPERLINK("https://klasma.github.io/Logging_2482/kartor/A 32724-2024 karta.png", "A 32724-2024")</f>
        <v/>
      </c>
      <c r="V892">
        <f>HYPERLINK("https://klasma.github.io/Logging_2482/klagomål/A 32724-2024 FSC-klagomål.docx", "A 32724-2024")</f>
        <v/>
      </c>
      <c r="W892">
        <f>HYPERLINK("https://klasma.github.io/Logging_2482/klagomålsmail/A 32724-2024 FSC-klagomål mail.docx", "A 32724-2024")</f>
        <v/>
      </c>
      <c r="X892">
        <f>HYPERLINK("https://klasma.github.io/Logging_2482/tillsyn/A 32724-2024 tillsynsbegäran.docx", "A 32724-2024")</f>
        <v/>
      </c>
      <c r="Y892">
        <f>HYPERLINK("https://klasma.github.io/Logging_2482/tillsynsmail/A 32724-2024 tillsynsbegäran mail.docx", "A 32724-2024")</f>
        <v/>
      </c>
    </row>
    <row r="893" ht="15" customHeight="1">
      <c r="A893" t="inlineStr">
        <is>
          <t>A 15557-2025</t>
        </is>
      </c>
      <c r="B893" s="1" t="n">
        <v>45747.68127314815</v>
      </c>
      <c r="C893" s="1" t="n">
        <v>46145</v>
      </c>
      <c r="D893" t="inlineStr">
        <is>
          <t>VÄSTERBOTTENS LÄN</t>
        </is>
      </c>
      <c r="E893" t="inlineStr">
        <is>
          <t>BJURHOLM</t>
        </is>
      </c>
      <c r="G893" t="n">
        <v>11.3</v>
      </c>
      <c r="H893" t="n">
        <v>1</v>
      </c>
      <c r="I893" t="n">
        <v>0</v>
      </c>
      <c r="J893" t="n">
        <v>1</v>
      </c>
      <c r="K893" t="n">
        <v>0</v>
      </c>
      <c r="L893" t="n">
        <v>0</v>
      </c>
      <c r="M893" t="n">
        <v>0</v>
      </c>
      <c r="N893" t="n">
        <v>0</v>
      </c>
      <c r="O893" t="n">
        <v>1</v>
      </c>
      <c r="P893" t="n">
        <v>0</v>
      </c>
      <c r="Q893" t="n">
        <v>1</v>
      </c>
      <c r="R893" s="2" t="inlineStr">
        <is>
          <t>Talltita</t>
        </is>
      </c>
      <c r="S893">
        <f>HYPERLINK("https://klasma.github.io/Logging_2403/artfynd/A 15557-2025 artfynd.xlsx", "A 15557-2025")</f>
        <v/>
      </c>
      <c r="T893">
        <f>HYPERLINK("https://klasma.github.io/Logging_2403/kartor/A 15557-2025 karta.png", "A 15557-2025")</f>
        <v/>
      </c>
      <c r="V893">
        <f>HYPERLINK("https://klasma.github.io/Logging_2403/klagomål/A 15557-2025 FSC-klagomål.docx", "A 15557-2025")</f>
        <v/>
      </c>
      <c r="W893">
        <f>HYPERLINK("https://klasma.github.io/Logging_2403/klagomålsmail/A 15557-2025 FSC-klagomål mail.docx", "A 15557-2025")</f>
        <v/>
      </c>
      <c r="X893">
        <f>HYPERLINK("https://klasma.github.io/Logging_2403/tillsyn/A 15557-2025 tillsynsbegäran.docx", "A 15557-2025")</f>
        <v/>
      </c>
      <c r="Y893">
        <f>HYPERLINK("https://klasma.github.io/Logging_2403/tillsynsmail/A 15557-2025 tillsynsbegäran mail.docx", "A 15557-2025")</f>
        <v/>
      </c>
      <c r="Z893">
        <f>HYPERLINK("https://klasma.github.io/Logging_2403/fåglar/A 15557-2025 prioriterade fågelarter.docx", "A 15557-2025")</f>
        <v/>
      </c>
    </row>
    <row r="894" ht="15" customHeight="1">
      <c r="A894" t="inlineStr">
        <is>
          <t>A 14161-2023</t>
        </is>
      </c>
      <c r="B894" s="1" t="n">
        <v>45008</v>
      </c>
      <c r="C894" s="1" t="n">
        <v>46145</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43029-2024</t>
        </is>
      </c>
      <c r="B895" s="1" t="n">
        <v>45567.41245370371</v>
      </c>
      <c r="C895" s="1" t="n">
        <v>46145</v>
      </c>
      <c r="D895" t="inlineStr">
        <is>
          <t>VÄSTERBOTTENS LÄN</t>
        </is>
      </c>
      <c r="E895" t="inlineStr">
        <is>
          <t>UMEÅ</t>
        </is>
      </c>
      <c r="G895" t="n">
        <v>5.7</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43029-2024 artfynd.xlsx", "A 43029-2024")</f>
        <v/>
      </c>
      <c r="T895">
        <f>HYPERLINK("https://klasma.github.io/Logging_2480/kartor/A 43029-2024 karta.png", "A 43029-2024")</f>
        <v/>
      </c>
      <c r="V895">
        <f>HYPERLINK("https://klasma.github.io/Logging_2480/klagomål/A 43029-2024 FSC-klagomål.docx", "A 43029-2024")</f>
        <v/>
      </c>
      <c r="W895">
        <f>HYPERLINK("https://klasma.github.io/Logging_2480/klagomålsmail/A 43029-2024 FSC-klagomål mail.docx", "A 43029-2024")</f>
        <v/>
      </c>
      <c r="X895">
        <f>HYPERLINK("https://klasma.github.io/Logging_2480/tillsyn/A 43029-2024 tillsynsbegäran.docx", "A 43029-2024")</f>
        <v/>
      </c>
      <c r="Y895">
        <f>HYPERLINK("https://klasma.github.io/Logging_2480/tillsynsmail/A 43029-2024 tillsynsbegäran mail.docx", "A 43029-2024")</f>
        <v/>
      </c>
    </row>
    <row r="896" ht="15" customHeight="1">
      <c r="A896" t="inlineStr">
        <is>
          <t>A 61910-2024</t>
        </is>
      </c>
      <c r="B896" s="1" t="n">
        <v>45653.36229166666</v>
      </c>
      <c r="C896" s="1" t="n">
        <v>46145</v>
      </c>
      <c r="D896" t="inlineStr">
        <is>
          <t>VÄSTERBOTTENS LÄN</t>
        </is>
      </c>
      <c r="E896" t="inlineStr">
        <is>
          <t>LYCKSELE</t>
        </is>
      </c>
      <c r="G896" t="n">
        <v>5.8</v>
      </c>
      <c r="H896" t="n">
        <v>1</v>
      </c>
      <c r="I896" t="n">
        <v>0</v>
      </c>
      <c r="J896" t="n">
        <v>0</v>
      </c>
      <c r="K896" t="n">
        <v>1</v>
      </c>
      <c r="L896" t="n">
        <v>0</v>
      </c>
      <c r="M896" t="n">
        <v>0</v>
      </c>
      <c r="N896" t="n">
        <v>0</v>
      </c>
      <c r="O896" t="n">
        <v>1</v>
      </c>
      <c r="P896" t="n">
        <v>1</v>
      </c>
      <c r="Q896" t="n">
        <v>1</v>
      </c>
      <c r="R896" s="2" t="inlineStr">
        <is>
          <t>Norna</t>
        </is>
      </c>
      <c r="S896">
        <f>HYPERLINK("https://klasma.github.io/Logging_2481/artfynd/A 61910-2024 artfynd.xlsx", "A 61910-2024")</f>
        <v/>
      </c>
      <c r="T896">
        <f>HYPERLINK("https://klasma.github.io/Logging_2481/kartor/A 61910-2024 karta.png", "A 61910-2024")</f>
        <v/>
      </c>
      <c r="V896">
        <f>HYPERLINK("https://klasma.github.io/Logging_2481/klagomål/A 61910-2024 FSC-klagomål.docx", "A 61910-2024")</f>
        <v/>
      </c>
      <c r="W896">
        <f>HYPERLINK("https://klasma.github.io/Logging_2481/klagomålsmail/A 61910-2024 FSC-klagomål mail.docx", "A 61910-2024")</f>
        <v/>
      </c>
      <c r="X896">
        <f>HYPERLINK("https://klasma.github.io/Logging_2481/tillsyn/A 61910-2024 tillsynsbegäran.docx", "A 61910-2024")</f>
        <v/>
      </c>
      <c r="Y896">
        <f>HYPERLINK("https://klasma.github.io/Logging_2481/tillsynsmail/A 61910-2024 tillsynsbegäran mail.docx", "A 61910-2024")</f>
        <v/>
      </c>
    </row>
    <row r="897" ht="15" customHeight="1">
      <c r="A897" t="inlineStr">
        <is>
          <t>A 19731-2024</t>
        </is>
      </c>
      <c r="B897" s="1" t="n">
        <v>45432.60155092592</v>
      </c>
      <c r="C897" s="1" t="n">
        <v>46145</v>
      </c>
      <c r="D897" t="inlineStr">
        <is>
          <t>VÄSTERBOTTENS LÄN</t>
        </is>
      </c>
      <c r="E897" t="inlineStr">
        <is>
          <t>NORSJÖ</t>
        </is>
      </c>
      <c r="F897" t="inlineStr">
        <is>
          <t>Holmen skog AB</t>
        </is>
      </c>
      <c r="G897" t="n">
        <v>8.699999999999999</v>
      </c>
      <c r="H897" t="n">
        <v>1</v>
      </c>
      <c r="I897" t="n">
        <v>0</v>
      </c>
      <c r="J897" t="n">
        <v>1</v>
      </c>
      <c r="K897" t="n">
        <v>0</v>
      </c>
      <c r="L897" t="n">
        <v>0</v>
      </c>
      <c r="M897" t="n">
        <v>0</v>
      </c>
      <c r="N897" t="n">
        <v>0</v>
      </c>
      <c r="O897" t="n">
        <v>1</v>
      </c>
      <c r="P897" t="n">
        <v>0</v>
      </c>
      <c r="Q897" t="n">
        <v>1</v>
      </c>
      <c r="R897" s="2" t="inlineStr">
        <is>
          <t>Tretåig hackspett</t>
        </is>
      </c>
      <c r="S897">
        <f>HYPERLINK("https://klasma.github.io/Logging_2417/artfynd/A 19731-2024 artfynd.xlsx", "A 19731-2024")</f>
        <v/>
      </c>
      <c r="T897">
        <f>HYPERLINK("https://klasma.github.io/Logging_2417/kartor/A 19731-2024 karta.png", "A 19731-2024")</f>
        <v/>
      </c>
      <c r="V897">
        <f>HYPERLINK("https://klasma.github.io/Logging_2417/klagomål/A 19731-2024 FSC-klagomål.docx", "A 19731-2024")</f>
        <v/>
      </c>
      <c r="W897">
        <f>HYPERLINK("https://klasma.github.io/Logging_2417/klagomålsmail/A 19731-2024 FSC-klagomål mail.docx", "A 19731-2024")</f>
        <v/>
      </c>
      <c r="X897">
        <f>HYPERLINK("https://klasma.github.io/Logging_2417/tillsyn/A 19731-2024 tillsynsbegäran.docx", "A 19731-2024")</f>
        <v/>
      </c>
      <c r="Y897">
        <f>HYPERLINK("https://klasma.github.io/Logging_2417/tillsynsmail/A 19731-2024 tillsynsbegäran mail.docx", "A 19731-2024")</f>
        <v/>
      </c>
      <c r="Z897">
        <f>HYPERLINK("https://klasma.github.io/Logging_2417/fåglar/A 19731-2024 prioriterade fågelarter.docx", "A 19731-2024")</f>
        <v/>
      </c>
    </row>
    <row r="898" ht="15" customHeight="1">
      <c r="A898" t="inlineStr">
        <is>
          <t>A 32506-2024</t>
        </is>
      </c>
      <c r="B898" s="1" t="n">
        <v>45513</v>
      </c>
      <c r="C898" s="1" t="n">
        <v>46145</v>
      </c>
      <c r="D898" t="inlineStr">
        <is>
          <t>VÄSTERBOTTENS LÄN</t>
        </is>
      </c>
      <c r="E898" t="inlineStr">
        <is>
          <t>BJURHOLM</t>
        </is>
      </c>
      <c r="G898" t="n">
        <v>3.5</v>
      </c>
      <c r="H898" t="n">
        <v>1</v>
      </c>
      <c r="I898" t="n">
        <v>0</v>
      </c>
      <c r="J898" t="n">
        <v>1</v>
      </c>
      <c r="K898" t="n">
        <v>0</v>
      </c>
      <c r="L898" t="n">
        <v>0</v>
      </c>
      <c r="M898" t="n">
        <v>0</v>
      </c>
      <c r="N898" t="n">
        <v>0</v>
      </c>
      <c r="O898" t="n">
        <v>1</v>
      </c>
      <c r="P898" t="n">
        <v>0</v>
      </c>
      <c r="Q898" t="n">
        <v>1</v>
      </c>
      <c r="R898" s="2" t="inlineStr">
        <is>
          <t>Tretåig hackspett</t>
        </is>
      </c>
      <c r="S898">
        <f>HYPERLINK("https://klasma.github.io/Logging_2403/artfynd/A 32506-2024 artfynd.xlsx", "A 32506-2024")</f>
        <v/>
      </c>
      <c r="T898">
        <f>HYPERLINK("https://klasma.github.io/Logging_2403/kartor/A 32506-2024 karta.png", "A 32506-2024")</f>
        <v/>
      </c>
      <c r="V898">
        <f>HYPERLINK("https://klasma.github.io/Logging_2403/klagomål/A 32506-2024 FSC-klagomål.docx", "A 32506-2024")</f>
        <v/>
      </c>
      <c r="W898">
        <f>HYPERLINK("https://klasma.github.io/Logging_2403/klagomålsmail/A 32506-2024 FSC-klagomål mail.docx", "A 32506-2024")</f>
        <v/>
      </c>
      <c r="X898">
        <f>HYPERLINK("https://klasma.github.io/Logging_2403/tillsyn/A 32506-2024 tillsynsbegäran.docx", "A 32506-2024")</f>
        <v/>
      </c>
      <c r="Y898">
        <f>HYPERLINK("https://klasma.github.io/Logging_2403/tillsynsmail/A 32506-2024 tillsynsbegäran mail.docx", "A 32506-2024")</f>
        <v/>
      </c>
      <c r="Z898">
        <f>HYPERLINK("https://klasma.github.io/Logging_2403/fåglar/A 32506-2024 prioriterade fågelarter.docx", "A 32506-2024")</f>
        <v/>
      </c>
    </row>
    <row r="899" ht="15" customHeight="1">
      <c r="A899" t="inlineStr">
        <is>
          <t>A 44987-2024</t>
        </is>
      </c>
      <c r="B899" s="1" t="n">
        <v>45575</v>
      </c>
      <c r="C899" s="1" t="n">
        <v>46145</v>
      </c>
      <c r="D899" t="inlineStr">
        <is>
          <t>VÄSTERBOTTENS LÄN</t>
        </is>
      </c>
      <c r="E899" t="inlineStr">
        <is>
          <t>NORDMALING</t>
        </is>
      </c>
      <c r="G899" t="n">
        <v>3</v>
      </c>
      <c r="H899" t="n">
        <v>0</v>
      </c>
      <c r="I899" t="n">
        <v>0</v>
      </c>
      <c r="J899" t="n">
        <v>1</v>
      </c>
      <c r="K899" t="n">
        <v>0</v>
      </c>
      <c r="L899" t="n">
        <v>0</v>
      </c>
      <c r="M899" t="n">
        <v>0</v>
      </c>
      <c r="N899" t="n">
        <v>0</v>
      </c>
      <c r="O899" t="n">
        <v>1</v>
      </c>
      <c r="P899" t="n">
        <v>0</v>
      </c>
      <c r="Q899" t="n">
        <v>1</v>
      </c>
      <c r="R899" s="2" t="inlineStr">
        <is>
          <t>Violettgrå tagellav</t>
        </is>
      </c>
      <c r="S899">
        <f>HYPERLINK("https://klasma.github.io/Logging_2401/artfynd/A 44987-2024 artfynd.xlsx", "A 44987-2024")</f>
        <v/>
      </c>
      <c r="T899">
        <f>HYPERLINK("https://klasma.github.io/Logging_2401/kartor/A 44987-2024 karta.png", "A 44987-2024")</f>
        <v/>
      </c>
      <c r="V899">
        <f>HYPERLINK("https://klasma.github.io/Logging_2401/klagomål/A 44987-2024 FSC-klagomål.docx", "A 44987-2024")</f>
        <v/>
      </c>
      <c r="W899">
        <f>HYPERLINK("https://klasma.github.io/Logging_2401/klagomålsmail/A 44987-2024 FSC-klagomål mail.docx", "A 44987-2024")</f>
        <v/>
      </c>
      <c r="X899">
        <f>HYPERLINK("https://klasma.github.io/Logging_2401/tillsyn/A 44987-2024 tillsynsbegäran.docx", "A 44987-2024")</f>
        <v/>
      </c>
      <c r="Y899">
        <f>HYPERLINK("https://klasma.github.io/Logging_2401/tillsynsmail/A 44987-2024 tillsynsbegäran mail.docx", "A 44987-2024")</f>
        <v/>
      </c>
    </row>
    <row r="900" ht="15" customHeight="1">
      <c r="A900" t="inlineStr">
        <is>
          <t>A 49125-2024</t>
        </is>
      </c>
      <c r="B900" s="1" t="n">
        <v>45594</v>
      </c>
      <c r="C900" s="1" t="n">
        <v>46145</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11502-2022</t>
        </is>
      </c>
      <c r="B901" s="1" t="n">
        <v>44631</v>
      </c>
      <c r="C901" s="1" t="n">
        <v>46145</v>
      </c>
      <c r="D901" t="inlineStr">
        <is>
          <t>VÄSTERBOTTENS LÄN</t>
        </is>
      </c>
      <c r="E901" t="inlineStr">
        <is>
          <t>UMEÅ</t>
        </is>
      </c>
      <c r="F901" t="inlineStr">
        <is>
          <t>Kommuner</t>
        </is>
      </c>
      <c r="G901" t="n">
        <v>1.8</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11502-2022 artfynd.xlsx", "A 11502-2022")</f>
        <v/>
      </c>
      <c r="T901">
        <f>HYPERLINK("https://klasma.github.io/Logging_2480/kartor/A 11502-2022 karta.png", "A 11502-2022")</f>
        <v/>
      </c>
      <c r="V901">
        <f>HYPERLINK("https://klasma.github.io/Logging_2480/klagomål/A 11502-2022 FSC-klagomål.docx", "A 11502-2022")</f>
        <v/>
      </c>
      <c r="W901">
        <f>HYPERLINK("https://klasma.github.io/Logging_2480/klagomålsmail/A 11502-2022 FSC-klagomål mail.docx", "A 11502-2022")</f>
        <v/>
      </c>
      <c r="X901">
        <f>HYPERLINK("https://klasma.github.io/Logging_2480/tillsyn/A 11502-2022 tillsynsbegäran.docx", "A 11502-2022")</f>
        <v/>
      </c>
      <c r="Y901">
        <f>HYPERLINK("https://klasma.github.io/Logging_2480/tillsynsmail/A 11502-2022 tillsynsbegäran mail.docx", "A 11502-2022")</f>
        <v/>
      </c>
    </row>
    <row r="902" ht="15" customHeight="1">
      <c r="A902" t="inlineStr">
        <is>
          <t>A 49394-2024</t>
        </is>
      </c>
      <c r="B902" s="1" t="n">
        <v>45595</v>
      </c>
      <c r="C902" s="1" t="n">
        <v>46145</v>
      </c>
      <c r="D902" t="inlineStr">
        <is>
          <t>VÄSTERBOTTENS LÄN</t>
        </is>
      </c>
      <c r="E902" t="inlineStr">
        <is>
          <t>LYCKSELE</t>
        </is>
      </c>
      <c r="F902" t="inlineStr">
        <is>
          <t>Sveaskog</t>
        </is>
      </c>
      <c r="G902" t="n">
        <v>10.6</v>
      </c>
      <c r="H902" t="n">
        <v>0</v>
      </c>
      <c r="I902" t="n">
        <v>0</v>
      </c>
      <c r="J902" t="n">
        <v>1</v>
      </c>
      <c r="K902" t="n">
        <v>0</v>
      </c>
      <c r="L902" t="n">
        <v>0</v>
      </c>
      <c r="M902" t="n">
        <v>0</v>
      </c>
      <c r="N902" t="n">
        <v>0</v>
      </c>
      <c r="O902" t="n">
        <v>1</v>
      </c>
      <c r="P902" t="n">
        <v>0</v>
      </c>
      <c r="Q902" t="n">
        <v>1</v>
      </c>
      <c r="R902" s="2" t="inlineStr">
        <is>
          <t>Lunglav</t>
        </is>
      </c>
      <c r="S902">
        <f>HYPERLINK("https://klasma.github.io/Logging_2481/artfynd/A 49394-2024 artfynd.xlsx", "A 49394-2024")</f>
        <v/>
      </c>
      <c r="T902">
        <f>HYPERLINK("https://klasma.github.io/Logging_2481/kartor/A 49394-2024 karta.png", "A 49394-2024")</f>
        <v/>
      </c>
      <c r="V902">
        <f>HYPERLINK("https://klasma.github.io/Logging_2481/klagomål/A 49394-2024 FSC-klagomål.docx", "A 49394-2024")</f>
        <v/>
      </c>
      <c r="W902">
        <f>HYPERLINK("https://klasma.github.io/Logging_2481/klagomålsmail/A 49394-2024 FSC-klagomål mail.docx", "A 49394-2024")</f>
        <v/>
      </c>
      <c r="X902">
        <f>HYPERLINK("https://klasma.github.io/Logging_2481/tillsyn/A 49394-2024 tillsynsbegäran.docx", "A 49394-2024")</f>
        <v/>
      </c>
      <c r="Y902">
        <f>HYPERLINK("https://klasma.github.io/Logging_2481/tillsynsmail/A 49394-2024 tillsynsbegäran mail.docx", "A 49394-2024")</f>
        <v/>
      </c>
    </row>
    <row r="903" ht="15" customHeight="1">
      <c r="A903" t="inlineStr">
        <is>
          <t>A 53351-2024</t>
        </is>
      </c>
      <c r="B903" s="1" t="n">
        <v>45614.44894675926</v>
      </c>
      <c r="C903" s="1" t="n">
        <v>46145</v>
      </c>
      <c r="D903" t="inlineStr">
        <is>
          <t>VÄSTERBOTTENS LÄN</t>
        </is>
      </c>
      <c r="E903" t="inlineStr">
        <is>
          <t>VINDELN</t>
        </is>
      </c>
      <c r="F903" t="inlineStr">
        <is>
          <t>SCA</t>
        </is>
      </c>
      <c r="G903" t="n">
        <v>6.6</v>
      </c>
      <c r="H903" t="n">
        <v>0</v>
      </c>
      <c r="I903" t="n">
        <v>1</v>
      </c>
      <c r="J903" t="n">
        <v>0</v>
      </c>
      <c r="K903" t="n">
        <v>0</v>
      </c>
      <c r="L903" t="n">
        <v>0</v>
      </c>
      <c r="M903" t="n">
        <v>0</v>
      </c>
      <c r="N903" t="n">
        <v>0</v>
      </c>
      <c r="O903" t="n">
        <v>0</v>
      </c>
      <c r="P903" t="n">
        <v>0</v>
      </c>
      <c r="Q903" t="n">
        <v>1</v>
      </c>
      <c r="R903" s="2" t="inlineStr">
        <is>
          <t>Dropptaggsvamp</t>
        </is>
      </c>
      <c r="S903">
        <f>HYPERLINK("https://klasma.github.io/Logging_2404/artfynd/A 53351-2024 artfynd.xlsx", "A 53351-2024")</f>
        <v/>
      </c>
      <c r="T903">
        <f>HYPERLINK("https://klasma.github.io/Logging_2404/kartor/A 53351-2024 karta.png", "A 53351-2024")</f>
        <v/>
      </c>
      <c r="V903">
        <f>HYPERLINK("https://klasma.github.io/Logging_2404/klagomål/A 53351-2024 FSC-klagomål.docx", "A 53351-2024")</f>
        <v/>
      </c>
      <c r="W903">
        <f>HYPERLINK("https://klasma.github.io/Logging_2404/klagomålsmail/A 53351-2024 FSC-klagomål mail.docx", "A 53351-2024")</f>
        <v/>
      </c>
      <c r="X903">
        <f>HYPERLINK("https://klasma.github.io/Logging_2404/tillsyn/A 53351-2024 tillsynsbegäran.docx", "A 53351-2024")</f>
        <v/>
      </c>
      <c r="Y903">
        <f>HYPERLINK("https://klasma.github.io/Logging_2404/tillsynsmail/A 53351-2024 tillsynsbegäran mail.docx", "A 53351-2024")</f>
        <v/>
      </c>
    </row>
    <row r="904" ht="15" customHeight="1">
      <c r="A904" t="inlineStr">
        <is>
          <t>A 47118-2024</t>
        </is>
      </c>
      <c r="B904" s="1" t="n">
        <v>45586.56363425926</v>
      </c>
      <c r="C904" s="1" t="n">
        <v>46145</v>
      </c>
      <c r="D904" t="inlineStr">
        <is>
          <t>VÄSTERBOTTENS LÄN</t>
        </is>
      </c>
      <c r="E904" t="inlineStr">
        <is>
          <t>MALÅ</t>
        </is>
      </c>
      <c r="F904" t="inlineStr">
        <is>
          <t>Sveaskog</t>
        </is>
      </c>
      <c r="G904" t="n">
        <v>10.6</v>
      </c>
      <c r="H904" t="n">
        <v>0</v>
      </c>
      <c r="I904" t="n">
        <v>0</v>
      </c>
      <c r="J904" t="n">
        <v>1</v>
      </c>
      <c r="K904" t="n">
        <v>0</v>
      </c>
      <c r="L904" t="n">
        <v>0</v>
      </c>
      <c r="M904" t="n">
        <v>0</v>
      </c>
      <c r="N904" t="n">
        <v>0</v>
      </c>
      <c r="O904" t="n">
        <v>1</v>
      </c>
      <c r="P904" t="n">
        <v>0</v>
      </c>
      <c r="Q904" t="n">
        <v>1</v>
      </c>
      <c r="R904" s="2" t="inlineStr">
        <is>
          <t>Orange taggsvamp</t>
        </is>
      </c>
      <c r="S904">
        <f>HYPERLINK("https://klasma.github.io/Logging_2418/artfynd/A 47118-2024 artfynd.xlsx", "A 47118-2024")</f>
        <v/>
      </c>
      <c r="T904">
        <f>HYPERLINK("https://klasma.github.io/Logging_2418/kartor/A 47118-2024 karta.png", "A 47118-2024")</f>
        <v/>
      </c>
      <c r="V904">
        <f>HYPERLINK("https://klasma.github.io/Logging_2418/klagomål/A 47118-2024 FSC-klagomål.docx", "A 47118-2024")</f>
        <v/>
      </c>
      <c r="W904">
        <f>HYPERLINK("https://klasma.github.io/Logging_2418/klagomålsmail/A 47118-2024 FSC-klagomål mail.docx", "A 47118-2024")</f>
        <v/>
      </c>
      <c r="X904">
        <f>HYPERLINK("https://klasma.github.io/Logging_2418/tillsyn/A 47118-2024 tillsynsbegäran.docx", "A 47118-2024")</f>
        <v/>
      </c>
      <c r="Y904">
        <f>HYPERLINK("https://klasma.github.io/Logging_2418/tillsynsmail/A 47118-2024 tillsynsbegäran mail.docx", "A 47118-2024")</f>
        <v/>
      </c>
    </row>
    <row r="905" ht="15" customHeight="1">
      <c r="A905" t="inlineStr">
        <is>
          <t>A 37669-2024</t>
        </is>
      </c>
      <c r="B905" s="1" t="n">
        <v>45541.57616898148</v>
      </c>
      <c r="C905" s="1" t="n">
        <v>46145</v>
      </c>
      <c r="D905" t="inlineStr">
        <is>
          <t>VÄSTERBOTTENS LÄN</t>
        </is>
      </c>
      <c r="E905" t="inlineStr">
        <is>
          <t>LYCKSELE</t>
        </is>
      </c>
      <c r="F905" t="inlineStr">
        <is>
          <t>Sveaskog</t>
        </is>
      </c>
      <c r="G905" t="n">
        <v>5.5</v>
      </c>
      <c r="H905" t="n">
        <v>0</v>
      </c>
      <c r="I905" t="n">
        <v>1</v>
      </c>
      <c r="J905" t="n">
        <v>0</v>
      </c>
      <c r="K905" t="n">
        <v>0</v>
      </c>
      <c r="L905" t="n">
        <v>0</v>
      </c>
      <c r="M905" t="n">
        <v>0</v>
      </c>
      <c r="N905" t="n">
        <v>0</v>
      </c>
      <c r="O905" t="n">
        <v>0</v>
      </c>
      <c r="P905" t="n">
        <v>0</v>
      </c>
      <c r="Q905" t="n">
        <v>1</v>
      </c>
      <c r="R905" s="2" t="inlineStr">
        <is>
          <t>Dropptaggsvamp</t>
        </is>
      </c>
      <c r="S905">
        <f>HYPERLINK("https://klasma.github.io/Logging_2481/artfynd/A 37669-2024 artfynd.xlsx", "A 37669-2024")</f>
        <v/>
      </c>
      <c r="T905">
        <f>HYPERLINK("https://klasma.github.io/Logging_2481/kartor/A 37669-2024 karta.png", "A 37669-2024")</f>
        <v/>
      </c>
      <c r="V905">
        <f>HYPERLINK("https://klasma.github.io/Logging_2481/klagomål/A 37669-2024 FSC-klagomål.docx", "A 37669-2024")</f>
        <v/>
      </c>
      <c r="W905">
        <f>HYPERLINK("https://klasma.github.io/Logging_2481/klagomålsmail/A 37669-2024 FSC-klagomål mail.docx", "A 37669-2024")</f>
        <v/>
      </c>
      <c r="X905">
        <f>HYPERLINK("https://klasma.github.io/Logging_2481/tillsyn/A 37669-2024 tillsynsbegäran.docx", "A 37669-2024")</f>
        <v/>
      </c>
      <c r="Y905">
        <f>HYPERLINK("https://klasma.github.io/Logging_2481/tillsynsmail/A 37669-2024 tillsynsbegäran mail.docx", "A 37669-2024")</f>
        <v/>
      </c>
    </row>
    <row r="906" ht="15" customHeight="1">
      <c r="A906" t="inlineStr">
        <is>
          <t>A 8302-2025</t>
        </is>
      </c>
      <c r="B906" s="1" t="n">
        <v>45708</v>
      </c>
      <c r="C906" s="1" t="n">
        <v>46145</v>
      </c>
      <c r="D906" t="inlineStr">
        <is>
          <t>VÄSTERBOTTENS LÄN</t>
        </is>
      </c>
      <c r="E906" t="inlineStr">
        <is>
          <t>SKELLEFTEÅ</t>
        </is>
      </c>
      <c r="G906" t="n">
        <v>9.800000000000001</v>
      </c>
      <c r="H906" t="n">
        <v>1</v>
      </c>
      <c r="I906" t="n">
        <v>0</v>
      </c>
      <c r="J906" t="n">
        <v>0</v>
      </c>
      <c r="K906" t="n">
        <v>0</v>
      </c>
      <c r="L906" t="n">
        <v>0</v>
      </c>
      <c r="M906" t="n">
        <v>0</v>
      </c>
      <c r="N906" t="n">
        <v>0</v>
      </c>
      <c r="O906" t="n">
        <v>0</v>
      </c>
      <c r="P906" t="n">
        <v>0</v>
      </c>
      <c r="Q906" t="n">
        <v>1</v>
      </c>
      <c r="R906" s="2" t="inlineStr">
        <is>
          <t>Mattlummer</t>
        </is>
      </c>
      <c r="S906">
        <f>HYPERLINK("https://klasma.github.io/Logging_2482/artfynd/A 8302-2025 artfynd.xlsx", "A 8302-2025")</f>
        <v/>
      </c>
      <c r="T906">
        <f>HYPERLINK("https://klasma.github.io/Logging_2482/kartor/A 8302-2025 karta.png", "A 8302-2025")</f>
        <v/>
      </c>
      <c r="V906">
        <f>HYPERLINK("https://klasma.github.io/Logging_2482/klagomål/A 8302-2025 FSC-klagomål.docx", "A 8302-2025")</f>
        <v/>
      </c>
      <c r="W906">
        <f>HYPERLINK("https://klasma.github.io/Logging_2482/klagomålsmail/A 8302-2025 FSC-klagomål mail.docx", "A 8302-2025")</f>
        <v/>
      </c>
      <c r="X906">
        <f>HYPERLINK("https://klasma.github.io/Logging_2482/tillsyn/A 8302-2025 tillsynsbegäran.docx", "A 8302-2025")</f>
        <v/>
      </c>
      <c r="Y906">
        <f>HYPERLINK("https://klasma.github.io/Logging_2482/tillsynsmail/A 8302-2025 tillsynsbegäran mail.docx", "A 8302-2025")</f>
        <v/>
      </c>
    </row>
    <row r="907" ht="15" customHeight="1">
      <c r="A907" t="inlineStr">
        <is>
          <t>A 26250-2023</t>
        </is>
      </c>
      <c r="B907" s="1" t="n">
        <v>45086</v>
      </c>
      <c r="C907" s="1" t="n">
        <v>46145</v>
      </c>
      <c r="D907" t="inlineStr">
        <is>
          <t>VÄSTERBOTTENS LÄN</t>
        </is>
      </c>
      <c r="E907" t="inlineStr">
        <is>
          <t>UMEÅ</t>
        </is>
      </c>
      <c r="G907" t="n">
        <v>1.3</v>
      </c>
      <c r="H907" t="n">
        <v>1</v>
      </c>
      <c r="I907" t="n">
        <v>0</v>
      </c>
      <c r="J907" t="n">
        <v>0</v>
      </c>
      <c r="K907" t="n">
        <v>0</v>
      </c>
      <c r="L907" t="n">
        <v>0</v>
      </c>
      <c r="M907" t="n">
        <v>0</v>
      </c>
      <c r="N907" t="n">
        <v>0</v>
      </c>
      <c r="O907" t="n">
        <v>0</v>
      </c>
      <c r="P907" t="n">
        <v>0</v>
      </c>
      <c r="Q907" t="n">
        <v>1</v>
      </c>
      <c r="R907" s="2" t="inlineStr">
        <is>
          <t>Huggorm</t>
        </is>
      </c>
      <c r="S907">
        <f>HYPERLINK("https://klasma.github.io/Logging_2480/artfynd/A 26250-2023 artfynd.xlsx", "A 26250-2023")</f>
        <v/>
      </c>
      <c r="T907">
        <f>HYPERLINK("https://klasma.github.io/Logging_2480/kartor/A 26250-2023 karta.png", "A 26250-2023")</f>
        <v/>
      </c>
      <c r="V907">
        <f>HYPERLINK("https://klasma.github.io/Logging_2480/klagomål/A 26250-2023 FSC-klagomål.docx", "A 26250-2023")</f>
        <v/>
      </c>
      <c r="W907">
        <f>HYPERLINK("https://klasma.github.io/Logging_2480/klagomålsmail/A 26250-2023 FSC-klagomål mail.docx", "A 26250-2023")</f>
        <v/>
      </c>
      <c r="X907">
        <f>HYPERLINK("https://klasma.github.io/Logging_2480/tillsyn/A 26250-2023 tillsynsbegäran.docx", "A 26250-2023")</f>
        <v/>
      </c>
      <c r="Y907">
        <f>HYPERLINK("https://klasma.github.io/Logging_2480/tillsynsmail/A 26250-2023 tillsynsbegäran mail.docx", "A 26250-2023")</f>
        <v/>
      </c>
    </row>
    <row r="908" ht="15" customHeight="1">
      <c r="A908" t="inlineStr">
        <is>
          <t>A 60586-2022</t>
        </is>
      </c>
      <c r="B908" s="1" t="n">
        <v>44911</v>
      </c>
      <c r="C908" s="1" t="n">
        <v>46145</v>
      </c>
      <c r="D908" t="inlineStr">
        <is>
          <t>VÄSTERBOTTENS LÄN</t>
        </is>
      </c>
      <c r="E908" t="inlineStr">
        <is>
          <t>SKELLEFTEÅ</t>
        </is>
      </c>
      <c r="F908" t="inlineStr">
        <is>
          <t>Sveaskog</t>
        </is>
      </c>
      <c r="G908" t="n">
        <v>10.8</v>
      </c>
      <c r="H908" t="n">
        <v>0</v>
      </c>
      <c r="I908" t="n">
        <v>0</v>
      </c>
      <c r="J908" t="n">
        <v>1</v>
      </c>
      <c r="K908" t="n">
        <v>0</v>
      </c>
      <c r="L908" t="n">
        <v>0</v>
      </c>
      <c r="M908" t="n">
        <v>0</v>
      </c>
      <c r="N908" t="n">
        <v>0</v>
      </c>
      <c r="O908" t="n">
        <v>1</v>
      </c>
      <c r="P908" t="n">
        <v>0</v>
      </c>
      <c r="Q908" t="n">
        <v>1</v>
      </c>
      <c r="R908" s="2" t="inlineStr">
        <is>
          <t>Garnlav</t>
        </is>
      </c>
      <c r="S908">
        <f>HYPERLINK("https://klasma.github.io/Logging_2482/artfynd/A 60586-2022 artfynd.xlsx", "A 60586-2022")</f>
        <v/>
      </c>
      <c r="T908">
        <f>HYPERLINK("https://klasma.github.io/Logging_2482/kartor/A 60586-2022 karta.png", "A 60586-2022")</f>
        <v/>
      </c>
      <c r="V908">
        <f>HYPERLINK("https://klasma.github.io/Logging_2482/klagomål/A 60586-2022 FSC-klagomål.docx", "A 60586-2022")</f>
        <v/>
      </c>
      <c r="W908">
        <f>HYPERLINK("https://klasma.github.io/Logging_2482/klagomålsmail/A 60586-2022 FSC-klagomål mail.docx", "A 60586-2022")</f>
        <v/>
      </c>
      <c r="X908">
        <f>HYPERLINK("https://klasma.github.io/Logging_2482/tillsyn/A 60586-2022 tillsynsbegäran.docx", "A 60586-2022")</f>
        <v/>
      </c>
      <c r="Y908">
        <f>HYPERLINK("https://klasma.github.io/Logging_2482/tillsynsmail/A 60586-2022 tillsynsbegäran mail.docx", "A 60586-2022")</f>
        <v/>
      </c>
    </row>
    <row r="909" ht="15" customHeight="1">
      <c r="A909" t="inlineStr">
        <is>
          <t>A 46836-2024</t>
        </is>
      </c>
      <c r="B909" s="1" t="n">
        <v>45583</v>
      </c>
      <c r="C909" s="1" t="n">
        <v>46145</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26897-2023</t>
        </is>
      </c>
      <c r="B910" s="1" t="n">
        <v>45093.60384259259</v>
      </c>
      <c r="C910" s="1" t="n">
        <v>46145</v>
      </c>
      <c r="D910" t="inlineStr">
        <is>
          <t>VÄSTERBOTTENS LÄN</t>
        </is>
      </c>
      <c r="E910" t="inlineStr">
        <is>
          <t>ÅSELE</t>
        </is>
      </c>
      <c r="F910" t="inlineStr">
        <is>
          <t>Sveaskog</t>
        </is>
      </c>
      <c r="G910" t="n">
        <v>15</v>
      </c>
      <c r="H910" t="n">
        <v>1</v>
      </c>
      <c r="I910" t="n">
        <v>0</v>
      </c>
      <c r="J910" t="n">
        <v>1</v>
      </c>
      <c r="K910" t="n">
        <v>0</v>
      </c>
      <c r="L910" t="n">
        <v>0</v>
      </c>
      <c r="M910" t="n">
        <v>0</v>
      </c>
      <c r="N910" t="n">
        <v>0</v>
      </c>
      <c r="O910" t="n">
        <v>1</v>
      </c>
      <c r="P910" t="n">
        <v>0</v>
      </c>
      <c r="Q910" t="n">
        <v>1</v>
      </c>
      <c r="R910" s="2" t="inlineStr">
        <is>
          <t>Talltita</t>
        </is>
      </c>
      <c r="S910">
        <f>HYPERLINK("https://klasma.github.io/Logging_2463/artfynd/A 26897-2023 artfynd.xlsx", "A 26897-2023")</f>
        <v/>
      </c>
      <c r="T910">
        <f>HYPERLINK("https://klasma.github.io/Logging_2463/kartor/A 26897-2023 karta.png", "A 26897-2023")</f>
        <v/>
      </c>
      <c r="V910">
        <f>HYPERLINK("https://klasma.github.io/Logging_2463/klagomål/A 26897-2023 FSC-klagomål.docx", "A 26897-2023")</f>
        <v/>
      </c>
      <c r="W910">
        <f>HYPERLINK("https://klasma.github.io/Logging_2463/klagomålsmail/A 26897-2023 FSC-klagomål mail.docx", "A 26897-2023")</f>
        <v/>
      </c>
      <c r="X910">
        <f>HYPERLINK("https://klasma.github.io/Logging_2463/tillsyn/A 26897-2023 tillsynsbegäran.docx", "A 26897-2023")</f>
        <v/>
      </c>
      <c r="Y910">
        <f>HYPERLINK("https://klasma.github.io/Logging_2463/tillsynsmail/A 26897-2023 tillsynsbegäran mail.docx", "A 26897-2023")</f>
        <v/>
      </c>
      <c r="Z910">
        <f>HYPERLINK("https://klasma.github.io/Logging_2463/fåglar/A 26897-2023 prioriterade fågelarter.docx", "A 26897-2023")</f>
        <v/>
      </c>
    </row>
    <row r="911" ht="15" customHeight="1">
      <c r="A911" t="inlineStr">
        <is>
          <t>A 11832-2023</t>
        </is>
      </c>
      <c r="B911" s="1" t="n">
        <v>44994</v>
      </c>
      <c r="C911" s="1" t="n">
        <v>46145</v>
      </c>
      <c r="D911" t="inlineStr">
        <is>
          <t>VÄSTERBOTTENS LÄN</t>
        </is>
      </c>
      <c r="E911" t="inlineStr">
        <is>
          <t>VILHELMINA</t>
        </is>
      </c>
      <c r="F911" t="inlineStr">
        <is>
          <t>SCA</t>
        </is>
      </c>
      <c r="G911" t="n">
        <v>6.7</v>
      </c>
      <c r="H911" t="n">
        <v>0</v>
      </c>
      <c r="I911" t="n">
        <v>0</v>
      </c>
      <c r="J911" t="n">
        <v>1</v>
      </c>
      <c r="K911" t="n">
        <v>0</v>
      </c>
      <c r="L911" t="n">
        <v>0</v>
      </c>
      <c r="M911" t="n">
        <v>0</v>
      </c>
      <c r="N911" t="n">
        <v>0</v>
      </c>
      <c r="O911" t="n">
        <v>1</v>
      </c>
      <c r="P911" t="n">
        <v>0</v>
      </c>
      <c r="Q911" t="n">
        <v>1</v>
      </c>
      <c r="R911" s="2" t="inlineStr">
        <is>
          <t>Granticka</t>
        </is>
      </c>
      <c r="S911">
        <f>HYPERLINK("https://klasma.github.io/Logging_2462/artfynd/A 11832-2023 artfynd.xlsx", "A 11832-2023")</f>
        <v/>
      </c>
      <c r="T911">
        <f>HYPERLINK("https://klasma.github.io/Logging_2462/kartor/A 11832-2023 karta.png", "A 11832-2023")</f>
        <v/>
      </c>
      <c r="V911">
        <f>HYPERLINK("https://klasma.github.io/Logging_2462/klagomål/A 11832-2023 FSC-klagomål.docx", "A 11832-2023")</f>
        <v/>
      </c>
      <c r="W911">
        <f>HYPERLINK("https://klasma.github.io/Logging_2462/klagomålsmail/A 11832-2023 FSC-klagomål mail.docx", "A 11832-2023")</f>
        <v/>
      </c>
      <c r="X911">
        <f>HYPERLINK("https://klasma.github.io/Logging_2462/tillsyn/A 11832-2023 tillsynsbegäran.docx", "A 11832-2023")</f>
        <v/>
      </c>
      <c r="Y911">
        <f>HYPERLINK("https://klasma.github.io/Logging_2462/tillsynsmail/A 11832-2023 tillsynsbegäran mail.docx", "A 11832-2023")</f>
        <v/>
      </c>
    </row>
    <row r="912" ht="15" customHeight="1">
      <c r="A912" t="inlineStr">
        <is>
          <t>A 57618-2022</t>
        </is>
      </c>
      <c r="B912" s="1" t="n">
        <v>44897</v>
      </c>
      <c r="C912" s="1" t="n">
        <v>46145</v>
      </c>
      <c r="D912" t="inlineStr">
        <is>
          <t>VÄSTERBOTTENS LÄN</t>
        </is>
      </c>
      <c r="E912" t="inlineStr">
        <is>
          <t>LYCKSELE</t>
        </is>
      </c>
      <c r="F912" t="inlineStr">
        <is>
          <t>Holmen skog AB</t>
        </is>
      </c>
      <c r="G912" t="n">
        <v>3.4</v>
      </c>
      <c r="H912" t="n">
        <v>0</v>
      </c>
      <c r="I912" t="n">
        <v>0</v>
      </c>
      <c r="J912" t="n">
        <v>0</v>
      </c>
      <c r="K912" t="n">
        <v>0</v>
      </c>
      <c r="L912" t="n">
        <v>1</v>
      </c>
      <c r="M912" t="n">
        <v>0</v>
      </c>
      <c r="N912" t="n">
        <v>0</v>
      </c>
      <c r="O912" t="n">
        <v>1</v>
      </c>
      <c r="P912" t="n">
        <v>1</v>
      </c>
      <c r="Q912" t="n">
        <v>1</v>
      </c>
      <c r="R912" s="2" t="inlineStr">
        <is>
          <t>Flodpärlmussla</t>
        </is>
      </c>
      <c r="S912">
        <f>HYPERLINK("https://klasma.github.io/Logging_2481/artfynd/A 57618-2022 artfynd.xlsx", "A 57618-2022")</f>
        <v/>
      </c>
      <c r="T912">
        <f>HYPERLINK("https://klasma.github.io/Logging_2481/kartor/A 57618-2022 karta.png", "A 57618-2022")</f>
        <v/>
      </c>
      <c r="V912">
        <f>HYPERLINK("https://klasma.github.io/Logging_2481/klagomål/A 57618-2022 FSC-klagomål.docx", "A 57618-2022")</f>
        <v/>
      </c>
      <c r="W912">
        <f>HYPERLINK("https://klasma.github.io/Logging_2481/klagomålsmail/A 57618-2022 FSC-klagomål mail.docx", "A 57618-2022")</f>
        <v/>
      </c>
      <c r="X912">
        <f>HYPERLINK("https://klasma.github.io/Logging_2481/tillsyn/A 57618-2022 tillsynsbegäran.docx", "A 57618-2022")</f>
        <v/>
      </c>
      <c r="Y912">
        <f>HYPERLINK("https://klasma.github.io/Logging_2481/tillsynsmail/A 57618-2022 tillsynsbegäran mail.docx", "A 57618-2022")</f>
        <v/>
      </c>
    </row>
    <row r="913" ht="15" customHeight="1">
      <c r="A913" t="inlineStr">
        <is>
          <t>A 23232-2022</t>
        </is>
      </c>
      <c r="B913" s="1" t="n">
        <v>44719</v>
      </c>
      <c r="C913" s="1" t="n">
        <v>46145</v>
      </c>
      <c r="D913" t="inlineStr">
        <is>
          <t>VÄSTERBOTTENS LÄN</t>
        </is>
      </c>
      <c r="E913" t="inlineStr">
        <is>
          <t>SORSELE</t>
        </is>
      </c>
      <c r="G913" t="n">
        <v>11.5</v>
      </c>
      <c r="H913" t="n">
        <v>1</v>
      </c>
      <c r="I913" t="n">
        <v>0</v>
      </c>
      <c r="J913" t="n">
        <v>1</v>
      </c>
      <c r="K913" t="n">
        <v>0</v>
      </c>
      <c r="L913" t="n">
        <v>0</v>
      </c>
      <c r="M913" t="n">
        <v>0</v>
      </c>
      <c r="N913" t="n">
        <v>0</v>
      </c>
      <c r="O913" t="n">
        <v>1</v>
      </c>
      <c r="P913" t="n">
        <v>0</v>
      </c>
      <c r="Q913" t="n">
        <v>1</v>
      </c>
      <c r="R913" s="2" t="inlineStr">
        <is>
          <t>Tretåig hackspett</t>
        </is>
      </c>
      <c r="S913">
        <f>HYPERLINK("https://klasma.github.io/Logging_2422/artfynd/A 23232-2022 artfynd.xlsx", "A 23232-2022")</f>
        <v/>
      </c>
      <c r="T913">
        <f>HYPERLINK("https://klasma.github.io/Logging_2422/kartor/A 23232-2022 karta.png", "A 23232-2022")</f>
        <v/>
      </c>
      <c r="V913">
        <f>HYPERLINK("https://klasma.github.io/Logging_2422/klagomål/A 23232-2022 FSC-klagomål.docx", "A 23232-2022")</f>
        <v/>
      </c>
      <c r="W913">
        <f>HYPERLINK("https://klasma.github.io/Logging_2422/klagomålsmail/A 23232-2022 FSC-klagomål mail.docx", "A 23232-2022")</f>
        <v/>
      </c>
      <c r="X913">
        <f>HYPERLINK("https://klasma.github.io/Logging_2422/tillsyn/A 23232-2022 tillsynsbegäran.docx", "A 23232-2022")</f>
        <v/>
      </c>
      <c r="Y913">
        <f>HYPERLINK("https://klasma.github.io/Logging_2422/tillsynsmail/A 23232-2022 tillsynsbegäran mail.docx", "A 23232-2022")</f>
        <v/>
      </c>
      <c r="Z913">
        <f>HYPERLINK("https://klasma.github.io/Logging_2422/fåglar/A 23232-2022 prioriterade fågelarter.docx", "A 23232-2022")</f>
        <v/>
      </c>
    </row>
    <row r="914" ht="15" customHeight="1">
      <c r="A914" t="inlineStr">
        <is>
          <t>A 51990-2023</t>
        </is>
      </c>
      <c r="B914" s="1" t="n">
        <v>45216</v>
      </c>
      <c r="C914" s="1" t="n">
        <v>46145</v>
      </c>
      <c r="D914" t="inlineStr">
        <is>
          <t>VÄSTERBOTTENS LÄN</t>
        </is>
      </c>
      <c r="E914" t="inlineStr">
        <is>
          <t>UMEÅ</t>
        </is>
      </c>
      <c r="G914" t="n">
        <v>4.5</v>
      </c>
      <c r="H914" t="n">
        <v>0</v>
      </c>
      <c r="I914" t="n">
        <v>0</v>
      </c>
      <c r="J914" t="n">
        <v>1</v>
      </c>
      <c r="K914" t="n">
        <v>0</v>
      </c>
      <c r="L914" t="n">
        <v>0</v>
      </c>
      <c r="M914" t="n">
        <v>0</v>
      </c>
      <c r="N914" t="n">
        <v>0</v>
      </c>
      <c r="O914" t="n">
        <v>1</v>
      </c>
      <c r="P914" t="n">
        <v>0</v>
      </c>
      <c r="Q914" t="n">
        <v>1</v>
      </c>
      <c r="R914" s="2" t="inlineStr">
        <is>
          <t>Garnlav</t>
        </is>
      </c>
      <c r="S914">
        <f>HYPERLINK("https://klasma.github.io/Logging_2480/artfynd/A 51990-2023 artfynd.xlsx", "A 51990-2023")</f>
        <v/>
      </c>
      <c r="T914">
        <f>HYPERLINK("https://klasma.github.io/Logging_2480/kartor/A 51990-2023 karta.png", "A 51990-2023")</f>
        <v/>
      </c>
      <c r="V914">
        <f>HYPERLINK("https://klasma.github.io/Logging_2480/klagomål/A 51990-2023 FSC-klagomål.docx", "A 51990-2023")</f>
        <v/>
      </c>
      <c r="W914">
        <f>HYPERLINK("https://klasma.github.io/Logging_2480/klagomålsmail/A 51990-2023 FSC-klagomål mail.docx", "A 51990-2023")</f>
        <v/>
      </c>
      <c r="X914">
        <f>HYPERLINK("https://klasma.github.io/Logging_2480/tillsyn/A 51990-2023 tillsynsbegäran.docx", "A 51990-2023")</f>
        <v/>
      </c>
      <c r="Y914">
        <f>HYPERLINK("https://klasma.github.io/Logging_2480/tillsynsmail/A 51990-2023 tillsynsbegäran mail.docx", "A 51990-2023")</f>
        <v/>
      </c>
    </row>
    <row r="915" ht="15" customHeight="1">
      <c r="A915" t="inlineStr">
        <is>
          <t>A 37254-2025</t>
        </is>
      </c>
      <c r="B915" s="1" t="n">
        <v>45875</v>
      </c>
      <c r="C915" s="1" t="n">
        <v>46145</v>
      </c>
      <c r="D915" t="inlineStr">
        <is>
          <t>VÄSTERBOTTENS LÄN</t>
        </is>
      </c>
      <c r="E915" t="inlineStr">
        <is>
          <t>SKELLEFTEÅ</t>
        </is>
      </c>
      <c r="G915" t="n">
        <v>11.4</v>
      </c>
      <c r="H915" t="n">
        <v>0</v>
      </c>
      <c r="I915" t="n">
        <v>0</v>
      </c>
      <c r="J915" t="n">
        <v>1</v>
      </c>
      <c r="K915" t="n">
        <v>0</v>
      </c>
      <c r="L915" t="n">
        <v>0</v>
      </c>
      <c r="M915" t="n">
        <v>0</v>
      </c>
      <c r="N915" t="n">
        <v>0</v>
      </c>
      <c r="O915" t="n">
        <v>1</v>
      </c>
      <c r="P915" t="n">
        <v>0</v>
      </c>
      <c r="Q915" t="n">
        <v>1</v>
      </c>
      <c r="R915" s="2" t="inlineStr">
        <is>
          <t>Äggvaxskivling</t>
        </is>
      </c>
      <c r="S915">
        <f>HYPERLINK("https://klasma.github.io/Logging_2482/artfynd/A 37254-2025 artfynd.xlsx", "A 37254-2025")</f>
        <v/>
      </c>
      <c r="T915">
        <f>HYPERLINK("https://klasma.github.io/Logging_2482/kartor/A 37254-2025 karta.png", "A 37254-2025")</f>
        <v/>
      </c>
      <c r="V915">
        <f>HYPERLINK("https://klasma.github.io/Logging_2482/klagomål/A 37254-2025 FSC-klagomål.docx", "A 37254-2025")</f>
        <v/>
      </c>
      <c r="W915">
        <f>HYPERLINK("https://klasma.github.io/Logging_2482/klagomålsmail/A 37254-2025 FSC-klagomål mail.docx", "A 37254-2025")</f>
        <v/>
      </c>
      <c r="X915">
        <f>HYPERLINK("https://klasma.github.io/Logging_2482/tillsyn/A 37254-2025 tillsynsbegäran.docx", "A 37254-2025")</f>
        <v/>
      </c>
      <c r="Y915">
        <f>HYPERLINK("https://klasma.github.io/Logging_2482/tillsynsmail/A 37254-2025 tillsynsbegäran mail.docx", "A 37254-2025")</f>
        <v/>
      </c>
    </row>
    <row r="916" ht="15" customHeight="1">
      <c r="A916" t="inlineStr">
        <is>
          <t>A 37568-2025</t>
        </is>
      </c>
      <c r="B916" s="1" t="n">
        <v>45880.3647337963</v>
      </c>
      <c r="C916" s="1" t="n">
        <v>46145</v>
      </c>
      <c r="D916" t="inlineStr">
        <is>
          <t>VÄSTERBOTTENS LÄN</t>
        </is>
      </c>
      <c r="E916" t="inlineStr">
        <is>
          <t>ÅSELE</t>
        </is>
      </c>
      <c r="F916" t="inlineStr">
        <is>
          <t>Kyrkan</t>
        </is>
      </c>
      <c r="G916" t="n">
        <v>8</v>
      </c>
      <c r="H916" t="n">
        <v>0</v>
      </c>
      <c r="I916" t="n">
        <v>0</v>
      </c>
      <c r="J916" t="n">
        <v>1</v>
      </c>
      <c r="K916" t="n">
        <v>0</v>
      </c>
      <c r="L916" t="n">
        <v>0</v>
      </c>
      <c r="M916" t="n">
        <v>0</v>
      </c>
      <c r="N916" t="n">
        <v>0</v>
      </c>
      <c r="O916" t="n">
        <v>1</v>
      </c>
      <c r="P916" t="n">
        <v>0</v>
      </c>
      <c r="Q916" t="n">
        <v>1</v>
      </c>
      <c r="R916" s="2" t="inlineStr">
        <is>
          <t>Lunglav</t>
        </is>
      </c>
      <c r="S916">
        <f>HYPERLINK("https://klasma.github.io/Logging_2463/artfynd/A 37568-2025 artfynd.xlsx", "A 37568-2025")</f>
        <v/>
      </c>
      <c r="T916">
        <f>HYPERLINK("https://klasma.github.io/Logging_2463/kartor/A 37568-2025 karta.png", "A 37568-2025")</f>
        <v/>
      </c>
      <c r="V916">
        <f>HYPERLINK("https://klasma.github.io/Logging_2463/klagomål/A 37568-2025 FSC-klagomål.docx", "A 37568-2025")</f>
        <v/>
      </c>
      <c r="W916">
        <f>HYPERLINK("https://klasma.github.io/Logging_2463/klagomålsmail/A 37568-2025 FSC-klagomål mail.docx", "A 37568-2025")</f>
        <v/>
      </c>
      <c r="X916">
        <f>HYPERLINK("https://klasma.github.io/Logging_2463/tillsyn/A 37568-2025 tillsynsbegäran.docx", "A 37568-2025")</f>
        <v/>
      </c>
      <c r="Y916">
        <f>HYPERLINK("https://klasma.github.io/Logging_2463/tillsynsmail/A 37568-2025 tillsynsbegäran mail.docx", "A 37568-2025")</f>
        <v/>
      </c>
    </row>
    <row r="917" ht="15" customHeight="1">
      <c r="A917" t="inlineStr">
        <is>
          <t>A 43550-2024</t>
        </is>
      </c>
      <c r="B917" s="1" t="n">
        <v>45569.38002314815</v>
      </c>
      <c r="C917" s="1" t="n">
        <v>46145</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46145</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59767-2024</t>
        </is>
      </c>
      <c r="B919" s="1" t="n">
        <v>45639.56111111111</v>
      </c>
      <c r="C919" s="1" t="n">
        <v>46145</v>
      </c>
      <c r="D919" t="inlineStr">
        <is>
          <t>VÄSTERBOTTENS LÄN</t>
        </is>
      </c>
      <c r="E919" t="inlineStr">
        <is>
          <t>NORSJÖ</t>
        </is>
      </c>
      <c r="F919" t="inlineStr">
        <is>
          <t>Sveaskog</t>
        </is>
      </c>
      <c r="G919" t="n">
        <v>5.9</v>
      </c>
      <c r="H919" t="n">
        <v>0</v>
      </c>
      <c r="I919" t="n">
        <v>0</v>
      </c>
      <c r="J919" t="n">
        <v>1</v>
      </c>
      <c r="K919" t="n">
        <v>0</v>
      </c>
      <c r="L919" t="n">
        <v>0</v>
      </c>
      <c r="M919" t="n">
        <v>0</v>
      </c>
      <c r="N919" t="n">
        <v>0</v>
      </c>
      <c r="O919" t="n">
        <v>1</v>
      </c>
      <c r="P919" t="n">
        <v>0</v>
      </c>
      <c r="Q919" t="n">
        <v>1</v>
      </c>
      <c r="R919" s="2" t="inlineStr">
        <is>
          <t>Blå taggsvamp</t>
        </is>
      </c>
      <c r="S919">
        <f>HYPERLINK("https://klasma.github.io/Logging_2417/artfynd/A 59767-2024 artfynd.xlsx", "A 59767-2024")</f>
        <v/>
      </c>
      <c r="T919">
        <f>HYPERLINK("https://klasma.github.io/Logging_2417/kartor/A 59767-2024 karta.png", "A 59767-2024")</f>
        <v/>
      </c>
      <c r="V919">
        <f>HYPERLINK("https://klasma.github.io/Logging_2417/klagomål/A 59767-2024 FSC-klagomål.docx", "A 59767-2024")</f>
        <v/>
      </c>
      <c r="W919">
        <f>HYPERLINK("https://klasma.github.io/Logging_2417/klagomålsmail/A 59767-2024 FSC-klagomål mail.docx", "A 59767-2024")</f>
        <v/>
      </c>
      <c r="X919">
        <f>HYPERLINK("https://klasma.github.io/Logging_2417/tillsyn/A 59767-2024 tillsynsbegäran.docx", "A 59767-2024")</f>
        <v/>
      </c>
      <c r="Y919">
        <f>HYPERLINK("https://klasma.github.io/Logging_2417/tillsynsmail/A 59767-2024 tillsynsbegäran mail.docx", "A 59767-2024")</f>
        <v/>
      </c>
    </row>
    <row r="920" ht="15" customHeight="1">
      <c r="A920" t="inlineStr">
        <is>
          <t>A 37828-2025</t>
        </is>
      </c>
      <c r="B920" s="1" t="n">
        <v>45881.41111111111</v>
      </c>
      <c r="C920" s="1" t="n">
        <v>46145</v>
      </c>
      <c r="D920" t="inlineStr">
        <is>
          <t>VÄSTERBOTTENS LÄN</t>
        </is>
      </c>
      <c r="E920" t="inlineStr">
        <is>
          <t>LYCKSELE</t>
        </is>
      </c>
      <c r="F920" t="inlineStr">
        <is>
          <t>Sveaskog</t>
        </is>
      </c>
      <c r="G920" t="n">
        <v>28.4</v>
      </c>
      <c r="H920" t="n">
        <v>1</v>
      </c>
      <c r="I920" t="n">
        <v>0</v>
      </c>
      <c r="J920" t="n">
        <v>0</v>
      </c>
      <c r="K920" t="n">
        <v>0</v>
      </c>
      <c r="L920" t="n">
        <v>0</v>
      </c>
      <c r="M920" t="n">
        <v>0</v>
      </c>
      <c r="N920" t="n">
        <v>0</v>
      </c>
      <c r="O920" t="n">
        <v>0</v>
      </c>
      <c r="P920" t="n">
        <v>0</v>
      </c>
      <c r="Q920" t="n">
        <v>1</v>
      </c>
      <c r="R920" s="2" t="inlineStr">
        <is>
          <t>Fläcknycklar</t>
        </is>
      </c>
      <c r="S920">
        <f>HYPERLINK("https://klasma.github.io/Logging_2481/artfynd/A 37828-2025 artfynd.xlsx", "A 37828-2025")</f>
        <v/>
      </c>
      <c r="T920">
        <f>HYPERLINK("https://klasma.github.io/Logging_2481/kartor/A 37828-2025 karta.png", "A 37828-2025")</f>
        <v/>
      </c>
      <c r="V920">
        <f>HYPERLINK("https://klasma.github.io/Logging_2481/klagomål/A 37828-2025 FSC-klagomål.docx", "A 37828-2025")</f>
        <v/>
      </c>
      <c r="W920">
        <f>HYPERLINK("https://klasma.github.io/Logging_2481/klagomålsmail/A 37828-2025 FSC-klagomål mail.docx", "A 37828-2025")</f>
        <v/>
      </c>
      <c r="X920">
        <f>HYPERLINK("https://klasma.github.io/Logging_2481/tillsyn/A 37828-2025 tillsynsbegäran.docx", "A 37828-2025")</f>
        <v/>
      </c>
      <c r="Y920">
        <f>HYPERLINK("https://klasma.github.io/Logging_2481/tillsynsmail/A 37828-2025 tillsynsbegäran mail.docx", "A 37828-2025")</f>
        <v/>
      </c>
    </row>
    <row r="921" ht="15" customHeight="1">
      <c r="A921" t="inlineStr">
        <is>
          <t>A 37815-2025</t>
        </is>
      </c>
      <c r="B921" s="1" t="n">
        <v>45881.38259259259</v>
      </c>
      <c r="C921" s="1" t="n">
        <v>46145</v>
      </c>
      <c r="D921" t="inlineStr">
        <is>
          <t>VÄSTERBOTTENS LÄN</t>
        </is>
      </c>
      <c r="E921" t="inlineStr">
        <is>
          <t>SKELLEFTEÅ</t>
        </is>
      </c>
      <c r="G921" t="n">
        <v>3.7</v>
      </c>
      <c r="H921" t="n">
        <v>1</v>
      </c>
      <c r="I921" t="n">
        <v>0</v>
      </c>
      <c r="J921" t="n">
        <v>1</v>
      </c>
      <c r="K921" t="n">
        <v>0</v>
      </c>
      <c r="L921" t="n">
        <v>0</v>
      </c>
      <c r="M921" t="n">
        <v>0</v>
      </c>
      <c r="N921" t="n">
        <v>0</v>
      </c>
      <c r="O921" t="n">
        <v>1</v>
      </c>
      <c r="P921" t="n">
        <v>0</v>
      </c>
      <c r="Q921" t="n">
        <v>1</v>
      </c>
      <c r="R921" s="2" t="inlineStr">
        <is>
          <t>Spillkråka</t>
        </is>
      </c>
      <c r="S921">
        <f>HYPERLINK("https://klasma.github.io/Logging_2482/artfynd/A 37815-2025 artfynd.xlsx", "A 37815-2025")</f>
        <v/>
      </c>
      <c r="T921">
        <f>HYPERLINK("https://klasma.github.io/Logging_2482/kartor/A 37815-2025 karta.png", "A 37815-2025")</f>
        <v/>
      </c>
      <c r="V921">
        <f>HYPERLINK("https://klasma.github.io/Logging_2482/klagomål/A 37815-2025 FSC-klagomål.docx", "A 37815-2025")</f>
        <v/>
      </c>
      <c r="W921">
        <f>HYPERLINK("https://klasma.github.io/Logging_2482/klagomålsmail/A 37815-2025 FSC-klagomål mail.docx", "A 37815-2025")</f>
        <v/>
      </c>
      <c r="X921">
        <f>HYPERLINK("https://klasma.github.io/Logging_2482/tillsyn/A 37815-2025 tillsynsbegäran.docx", "A 37815-2025")</f>
        <v/>
      </c>
      <c r="Y921">
        <f>HYPERLINK("https://klasma.github.io/Logging_2482/tillsynsmail/A 37815-2025 tillsynsbegäran mail.docx", "A 37815-2025")</f>
        <v/>
      </c>
      <c r="Z921">
        <f>HYPERLINK("https://klasma.github.io/Logging_2482/fåglar/A 37815-2025 prioriterade fågelarter.docx", "A 37815-2025")</f>
        <v/>
      </c>
    </row>
    <row r="922" ht="15" customHeight="1">
      <c r="A922" t="inlineStr">
        <is>
          <t>A 519-2025</t>
        </is>
      </c>
      <c r="B922" s="1" t="n">
        <v>45660</v>
      </c>
      <c r="C922" s="1" t="n">
        <v>46145</v>
      </c>
      <c r="D922" t="inlineStr">
        <is>
          <t>VÄSTERBOTTENS LÄN</t>
        </is>
      </c>
      <c r="E922" t="inlineStr">
        <is>
          <t>STORUMAN</t>
        </is>
      </c>
      <c r="G922" t="n">
        <v>10.4</v>
      </c>
      <c r="H922" t="n">
        <v>0</v>
      </c>
      <c r="I922" t="n">
        <v>1</v>
      </c>
      <c r="J922" t="n">
        <v>0</v>
      </c>
      <c r="K922" t="n">
        <v>0</v>
      </c>
      <c r="L922" t="n">
        <v>0</v>
      </c>
      <c r="M922" t="n">
        <v>0</v>
      </c>
      <c r="N922" t="n">
        <v>0</v>
      </c>
      <c r="O922" t="n">
        <v>0</v>
      </c>
      <c r="P922" t="n">
        <v>0</v>
      </c>
      <c r="Q922" t="n">
        <v>1</v>
      </c>
      <c r="R922" s="2" t="inlineStr">
        <is>
          <t>Skinnlav</t>
        </is>
      </c>
      <c r="S922">
        <f>HYPERLINK("https://klasma.github.io/Logging_2421/artfynd/A 519-2025 artfynd.xlsx", "A 519-2025")</f>
        <v/>
      </c>
      <c r="T922">
        <f>HYPERLINK("https://klasma.github.io/Logging_2421/kartor/A 519-2025 karta.png", "A 519-2025")</f>
        <v/>
      </c>
      <c r="V922">
        <f>HYPERLINK("https://klasma.github.io/Logging_2421/klagomål/A 519-2025 FSC-klagomål.docx", "A 519-2025")</f>
        <v/>
      </c>
      <c r="W922">
        <f>HYPERLINK("https://klasma.github.io/Logging_2421/klagomålsmail/A 519-2025 FSC-klagomål mail.docx", "A 519-2025")</f>
        <v/>
      </c>
      <c r="X922">
        <f>HYPERLINK("https://klasma.github.io/Logging_2421/tillsyn/A 519-2025 tillsynsbegäran.docx", "A 519-2025")</f>
        <v/>
      </c>
      <c r="Y922">
        <f>HYPERLINK("https://klasma.github.io/Logging_2421/tillsynsmail/A 519-2025 tillsynsbegäran mail.docx", "A 519-2025")</f>
        <v/>
      </c>
    </row>
    <row r="923" ht="15" customHeight="1">
      <c r="A923" t="inlineStr">
        <is>
          <t>A 11056-2023</t>
        </is>
      </c>
      <c r="B923" s="1" t="n">
        <v>44991</v>
      </c>
      <c r="C923" s="1" t="n">
        <v>46145</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38929-2025</t>
        </is>
      </c>
      <c r="B924" s="1" t="n">
        <v>45887</v>
      </c>
      <c r="C924" s="1" t="n">
        <v>46145</v>
      </c>
      <c r="D924" t="inlineStr">
        <is>
          <t>VÄSTERBOTTENS LÄN</t>
        </is>
      </c>
      <c r="E924" t="inlineStr">
        <is>
          <t>VILHELMINA</t>
        </is>
      </c>
      <c r="F924" t="inlineStr">
        <is>
          <t>SCA</t>
        </is>
      </c>
      <c r="G924" t="n">
        <v>3.5</v>
      </c>
      <c r="H924" t="n">
        <v>0</v>
      </c>
      <c r="I924" t="n">
        <v>1</v>
      </c>
      <c r="J924" t="n">
        <v>0</v>
      </c>
      <c r="K924" t="n">
        <v>0</v>
      </c>
      <c r="L924" t="n">
        <v>0</v>
      </c>
      <c r="M924" t="n">
        <v>0</v>
      </c>
      <c r="N924" t="n">
        <v>0</v>
      </c>
      <c r="O924" t="n">
        <v>0</v>
      </c>
      <c r="P924" t="n">
        <v>0</v>
      </c>
      <c r="Q924" t="n">
        <v>1</v>
      </c>
      <c r="R924" s="2" t="inlineStr">
        <is>
          <t>Blodticka</t>
        </is>
      </c>
      <c r="S924">
        <f>HYPERLINK("https://klasma.github.io/Logging_2462/artfynd/A 38929-2025 artfynd.xlsx", "A 38929-2025")</f>
        <v/>
      </c>
      <c r="T924">
        <f>HYPERLINK("https://klasma.github.io/Logging_2462/kartor/A 38929-2025 karta.png", "A 38929-2025")</f>
        <v/>
      </c>
      <c r="V924">
        <f>HYPERLINK("https://klasma.github.io/Logging_2462/klagomål/A 38929-2025 FSC-klagomål.docx", "A 38929-2025")</f>
        <v/>
      </c>
      <c r="W924">
        <f>HYPERLINK("https://klasma.github.io/Logging_2462/klagomålsmail/A 38929-2025 FSC-klagomål mail.docx", "A 38929-2025")</f>
        <v/>
      </c>
      <c r="X924">
        <f>HYPERLINK("https://klasma.github.io/Logging_2462/tillsyn/A 38929-2025 tillsynsbegäran.docx", "A 38929-2025")</f>
        <v/>
      </c>
      <c r="Y924">
        <f>HYPERLINK("https://klasma.github.io/Logging_2462/tillsynsmail/A 38929-2025 tillsynsbegäran mail.docx", "A 38929-2025")</f>
        <v/>
      </c>
    </row>
    <row r="925" ht="15" customHeight="1">
      <c r="A925" t="inlineStr">
        <is>
          <t>A 23496-2022</t>
        </is>
      </c>
      <c r="B925" s="1" t="n">
        <v>44721</v>
      </c>
      <c r="C925" s="1" t="n">
        <v>46145</v>
      </c>
      <c r="D925" t="inlineStr">
        <is>
          <t>VÄSTERBOTTENS LÄN</t>
        </is>
      </c>
      <c r="E925" t="inlineStr">
        <is>
          <t>NORDMALING</t>
        </is>
      </c>
      <c r="G925" t="n">
        <v>0.7</v>
      </c>
      <c r="H925" t="n">
        <v>1</v>
      </c>
      <c r="I925" t="n">
        <v>0</v>
      </c>
      <c r="J925" t="n">
        <v>1</v>
      </c>
      <c r="K925" t="n">
        <v>0</v>
      </c>
      <c r="L925" t="n">
        <v>0</v>
      </c>
      <c r="M925" t="n">
        <v>0</v>
      </c>
      <c r="N925" t="n">
        <v>0</v>
      </c>
      <c r="O925" t="n">
        <v>1</v>
      </c>
      <c r="P925" t="n">
        <v>0</v>
      </c>
      <c r="Q925" t="n">
        <v>1</v>
      </c>
      <c r="R925" s="2" t="inlineStr">
        <is>
          <t>Järpe</t>
        </is>
      </c>
      <c r="S925">
        <f>HYPERLINK("https://klasma.github.io/Logging_2401/artfynd/A 23496-2022 artfynd.xlsx", "A 23496-2022")</f>
        <v/>
      </c>
      <c r="T925">
        <f>HYPERLINK("https://klasma.github.io/Logging_2401/kartor/A 23496-2022 karta.png", "A 23496-2022")</f>
        <v/>
      </c>
      <c r="V925">
        <f>HYPERLINK("https://klasma.github.io/Logging_2401/klagomål/A 23496-2022 FSC-klagomål.docx", "A 23496-2022")</f>
        <v/>
      </c>
      <c r="W925">
        <f>HYPERLINK("https://klasma.github.io/Logging_2401/klagomålsmail/A 23496-2022 FSC-klagomål mail.docx", "A 23496-2022")</f>
        <v/>
      </c>
      <c r="X925">
        <f>HYPERLINK("https://klasma.github.io/Logging_2401/tillsyn/A 23496-2022 tillsynsbegäran.docx", "A 23496-2022")</f>
        <v/>
      </c>
      <c r="Y925">
        <f>HYPERLINK("https://klasma.github.io/Logging_2401/tillsynsmail/A 23496-2022 tillsynsbegäran mail.docx", "A 23496-2022")</f>
        <v/>
      </c>
      <c r="Z925">
        <f>HYPERLINK("https://klasma.github.io/Logging_2401/fåglar/A 23496-2022 prioriterade fågelarter.docx", "A 23496-2022")</f>
        <v/>
      </c>
    </row>
    <row r="926" ht="15" customHeight="1">
      <c r="A926" t="inlineStr">
        <is>
          <t>A 2436-2025</t>
        </is>
      </c>
      <c r="B926" s="1" t="n">
        <v>45673</v>
      </c>
      <c r="C926" s="1" t="n">
        <v>46145</v>
      </c>
      <c r="D926" t="inlineStr">
        <is>
          <t>VÄSTERBOTTENS LÄN</t>
        </is>
      </c>
      <c r="E926" t="inlineStr">
        <is>
          <t>SKELLEFTEÅ</t>
        </is>
      </c>
      <c r="G926" t="n">
        <v>5</v>
      </c>
      <c r="H926" t="n">
        <v>1</v>
      </c>
      <c r="I926" t="n">
        <v>0</v>
      </c>
      <c r="J926" t="n">
        <v>1</v>
      </c>
      <c r="K926" t="n">
        <v>0</v>
      </c>
      <c r="L926" t="n">
        <v>0</v>
      </c>
      <c r="M926" t="n">
        <v>0</v>
      </c>
      <c r="N926" t="n">
        <v>0</v>
      </c>
      <c r="O926" t="n">
        <v>1</v>
      </c>
      <c r="P926" t="n">
        <v>0</v>
      </c>
      <c r="Q926" t="n">
        <v>1</v>
      </c>
      <c r="R926" s="2" t="inlineStr">
        <is>
          <t>Tretåig hackspett</t>
        </is>
      </c>
      <c r="S926">
        <f>HYPERLINK("https://klasma.github.io/Logging_2482/artfynd/A 2436-2025 artfynd.xlsx", "A 2436-2025")</f>
        <v/>
      </c>
      <c r="T926">
        <f>HYPERLINK("https://klasma.github.io/Logging_2482/kartor/A 2436-2025 karta.png", "A 2436-2025")</f>
        <v/>
      </c>
      <c r="V926">
        <f>HYPERLINK("https://klasma.github.io/Logging_2482/klagomål/A 2436-2025 FSC-klagomål.docx", "A 2436-2025")</f>
        <v/>
      </c>
      <c r="W926">
        <f>HYPERLINK("https://klasma.github.io/Logging_2482/klagomålsmail/A 2436-2025 FSC-klagomål mail.docx", "A 2436-2025")</f>
        <v/>
      </c>
      <c r="X926">
        <f>HYPERLINK("https://klasma.github.io/Logging_2482/tillsyn/A 2436-2025 tillsynsbegäran.docx", "A 2436-2025")</f>
        <v/>
      </c>
      <c r="Y926">
        <f>HYPERLINK("https://klasma.github.io/Logging_2482/tillsynsmail/A 2436-2025 tillsynsbegäran mail.docx", "A 2436-2025")</f>
        <v/>
      </c>
      <c r="Z926">
        <f>HYPERLINK("https://klasma.github.io/Logging_2482/fåglar/A 2436-2025 prioriterade fågelarter.docx", "A 2436-2025")</f>
        <v/>
      </c>
    </row>
    <row r="927" ht="15" customHeight="1">
      <c r="A927" t="inlineStr">
        <is>
          <t>A 39231-2025</t>
        </is>
      </c>
      <c r="B927" s="1" t="n">
        <v>45889.29927083333</v>
      </c>
      <c r="C927" s="1" t="n">
        <v>46145</v>
      </c>
      <c r="D927" t="inlineStr">
        <is>
          <t>VÄSTERBOTTENS LÄN</t>
        </is>
      </c>
      <c r="E927" t="inlineStr">
        <is>
          <t>LYCKSELE</t>
        </is>
      </c>
      <c r="F927" t="inlineStr">
        <is>
          <t>Sveaskog</t>
        </is>
      </c>
      <c r="G927" t="n">
        <v>16.3</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39231-2025 artfynd.xlsx", "A 39231-2025")</f>
        <v/>
      </c>
      <c r="T927">
        <f>HYPERLINK("https://klasma.github.io/Logging_2481/kartor/A 39231-2025 karta.png", "A 39231-2025")</f>
        <v/>
      </c>
      <c r="V927">
        <f>HYPERLINK("https://klasma.github.io/Logging_2481/klagomål/A 39231-2025 FSC-klagomål.docx", "A 39231-2025")</f>
        <v/>
      </c>
      <c r="W927">
        <f>HYPERLINK("https://klasma.github.io/Logging_2481/klagomålsmail/A 39231-2025 FSC-klagomål mail.docx", "A 39231-2025")</f>
        <v/>
      </c>
      <c r="X927">
        <f>HYPERLINK("https://klasma.github.io/Logging_2481/tillsyn/A 39231-2025 tillsynsbegäran.docx", "A 39231-2025")</f>
        <v/>
      </c>
      <c r="Y927">
        <f>HYPERLINK("https://klasma.github.io/Logging_2481/tillsynsmail/A 39231-2025 tillsynsbegäran mail.docx", "A 39231-2025")</f>
        <v/>
      </c>
    </row>
    <row r="928" ht="15" customHeight="1">
      <c r="A928" t="inlineStr">
        <is>
          <t>A 39280-2025</t>
        </is>
      </c>
      <c r="B928" s="1" t="n">
        <v>45889.40121527778</v>
      </c>
      <c r="C928" s="1" t="n">
        <v>46145</v>
      </c>
      <c r="D928" t="inlineStr">
        <is>
          <t>VÄSTERBOTTENS LÄN</t>
        </is>
      </c>
      <c r="E928" t="inlineStr">
        <is>
          <t>LYCKSELE</t>
        </is>
      </c>
      <c r="F928" t="inlineStr">
        <is>
          <t>Sveaskog</t>
        </is>
      </c>
      <c r="G928" t="n">
        <v>9.199999999999999</v>
      </c>
      <c r="H928" t="n">
        <v>0</v>
      </c>
      <c r="I928" t="n">
        <v>0</v>
      </c>
      <c r="J928" t="n">
        <v>1</v>
      </c>
      <c r="K928" t="n">
        <v>0</v>
      </c>
      <c r="L928" t="n">
        <v>0</v>
      </c>
      <c r="M928" t="n">
        <v>0</v>
      </c>
      <c r="N928" t="n">
        <v>0</v>
      </c>
      <c r="O928" t="n">
        <v>1</v>
      </c>
      <c r="P928" t="n">
        <v>0</v>
      </c>
      <c r="Q928" t="n">
        <v>1</v>
      </c>
      <c r="R928" s="2" t="inlineStr">
        <is>
          <t>Lunglav</t>
        </is>
      </c>
      <c r="S928">
        <f>HYPERLINK("https://klasma.github.io/Logging_2481/artfynd/A 39280-2025 artfynd.xlsx", "A 39280-2025")</f>
        <v/>
      </c>
      <c r="T928">
        <f>HYPERLINK("https://klasma.github.io/Logging_2481/kartor/A 39280-2025 karta.png", "A 39280-2025")</f>
        <v/>
      </c>
      <c r="V928">
        <f>HYPERLINK("https://klasma.github.io/Logging_2481/klagomål/A 39280-2025 FSC-klagomål.docx", "A 39280-2025")</f>
        <v/>
      </c>
      <c r="W928">
        <f>HYPERLINK("https://klasma.github.io/Logging_2481/klagomålsmail/A 39280-2025 FSC-klagomål mail.docx", "A 39280-2025")</f>
        <v/>
      </c>
      <c r="X928">
        <f>HYPERLINK("https://klasma.github.io/Logging_2481/tillsyn/A 39280-2025 tillsynsbegäran.docx", "A 39280-2025")</f>
        <v/>
      </c>
      <c r="Y928">
        <f>HYPERLINK("https://klasma.github.io/Logging_2481/tillsynsmail/A 39280-2025 tillsynsbegäran mail.docx", "A 39280-2025")</f>
        <v/>
      </c>
    </row>
    <row r="929" ht="15" customHeight="1">
      <c r="A929" t="inlineStr">
        <is>
          <t>A 39289-2025</t>
        </is>
      </c>
      <c r="B929" s="1" t="n">
        <v>45889.40774305556</v>
      </c>
      <c r="C929" s="1" t="n">
        <v>46145</v>
      </c>
      <c r="D929" t="inlineStr">
        <is>
          <t>VÄSTERBOTTENS LÄN</t>
        </is>
      </c>
      <c r="E929" t="inlineStr">
        <is>
          <t>NORSJÖ</t>
        </is>
      </c>
      <c r="F929" t="inlineStr">
        <is>
          <t>Sveaskog</t>
        </is>
      </c>
      <c r="G929" t="n">
        <v>21.4</v>
      </c>
      <c r="H929" t="n">
        <v>0</v>
      </c>
      <c r="I929" t="n">
        <v>0</v>
      </c>
      <c r="J929" t="n">
        <v>1</v>
      </c>
      <c r="K929" t="n">
        <v>0</v>
      </c>
      <c r="L929" t="n">
        <v>0</v>
      </c>
      <c r="M929" t="n">
        <v>0</v>
      </c>
      <c r="N929" t="n">
        <v>0</v>
      </c>
      <c r="O929" t="n">
        <v>1</v>
      </c>
      <c r="P929" t="n">
        <v>0</v>
      </c>
      <c r="Q929" t="n">
        <v>1</v>
      </c>
      <c r="R929" s="2" t="inlineStr">
        <is>
          <t>Lunglav</t>
        </is>
      </c>
      <c r="S929">
        <f>HYPERLINK("https://klasma.github.io/Logging_2417/artfynd/A 39289-2025 artfynd.xlsx", "A 39289-2025")</f>
        <v/>
      </c>
      <c r="T929">
        <f>HYPERLINK("https://klasma.github.io/Logging_2417/kartor/A 39289-2025 karta.png", "A 39289-2025")</f>
        <v/>
      </c>
      <c r="V929">
        <f>HYPERLINK("https://klasma.github.io/Logging_2417/klagomål/A 39289-2025 FSC-klagomål.docx", "A 39289-2025")</f>
        <v/>
      </c>
      <c r="W929">
        <f>HYPERLINK("https://klasma.github.io/Logging_2417/klagomålsmail/A 39289-2025 FSC-klagomål mail.docx", "A 39289-2025")</f>
        <v/>
      </c>
      <c r="X929">
        <f>HYPERLINK("https://klasma.github.io/Logging_2417/tillsyn/A 39289-2025 tillsynsbegäran.docx", "A 39289-2025")</f>
        <v/>
      </c>
      <c r="Y929">
        <f>HYPERLINK("https://klasma.github.io/Logging_2417/tillsynsmail/A 39289-2025 tillsynsbegäran mail.docx", "A 39289-2025")</f>
        <v/>
      </c>
    </row>
    <row r="930" ht="15" customHeight="1">
      <c r="A930" t="inlineStr">
        <is>
          <t>A 39293-2025</t>
        </is>
      </c>
      <c r="B930" s="1" t="n">
        <v>45889.41836805556</v>
      </c>
      <c r="C930" s="1" t="n">
        <v>46145</v>
      </c>
      <c r="D930" t="inlineStr">
        <is>
          <t>VÄSTERBOTTENS LÄN</t>
        </is>
      </c>
      <c r="E930" t="inlineStr">
        <is>
          <t>NORSJÖ</t>
        </is>
      </c>
      <c r="F930" t="inlineStr">
        <is>
          <t>Sveaskog</t>
        </is>
      </c>
      <c r="G930" t="n">
        <v>12.6</v>
      </c>
      <c r="H930" t="n">
        <v>0</v>
      </c>
      <c r="I930" t="n">
        <v>0</v>
      </c>
      <c r="J930" t="n">
        <v>1</v>
      </c>
      <c r="K930" t="n">
        <v>0</v>
      </c>
      <c r="L930" t="n">
        <v>0</v>
      </c>
      <c r="M930" t="n">
        <v>0</v>
      </c>
      <c r="N930" t="n">
        <v>0</v>
      </c>
      <c r="O930" t="n">
        <v>1</v>
      </c>
      <c r="P930" t="n">
        <v>0</v>
      </c>
      <c r="Q930" t="n">
        <v>1</v>
      </c>
      <c r="R930" s="2" t="inlineStr">
        <is>
          <t>Lunglav</t>
        </is>
      </c>
      <c r="S930">
        <f>HYPERLINK("https://klasma.github.io/Logging_2417/artfynd/A 39293-2025 artfynd.xlsx", "A 39293-2025")</f>
        <v/>
      </c>
      <c r="T930">
        <f>HYPERLINK("https://klasma.github.io/Logging_2417/kartor/A 39293-2025 karta.png", "A 39293-2025")</f>
        <v/>
      </c>
      <c r="V930">
        <f>HYPERLINK("https://klasma.github.io/Logging_2417/klagomål/A 39293-2025 FSC-klagomål.docx", "A 39293-2025")</f>
        <v/>
      </c>
      <c r="W930">
        <f>HYPERLINK("https://klasma.github.io/Logging_2417/klagomålsmail/A 39293-2025 FSC-klagomål mail.docx", "A 39293-2025")</f>
        <v/>
      </c>
      <c r="X930">
        <f>HYPERLINK("https://klasma.github.io/Logging_2417/tillsyn/A 39293-2025 tillsynsbegäran.docx", "A 39293-2025")</f>
        <v/>
      </c>
      <c r="Y930">
        <f>HYPERLINK("https://klasma.github.io/Logging_2417/tillsynsmail/A 39293-2025 tillsynsbegäran mail.docx", "A 39293-2025")</f>
        <v/>
      </c>
    </row>
    <row r="931" ht="15" customHeight="1">
      <c r="A931" t="inlineStr">
        <is>
          <t>A 39821-2025</t>
        </is>
      </c>
      <c r="B931" s="1" t="n">
        <v>45891.53680555556</v>
      </c>
      <c r="C931" s="1" t="n">
        <v>46145</v>
      </c>
      <c r="D931" t="inlineStr">
        <is>
          <t>VÄSTERBOTTENS LÄN</t>
        </is>
      </c>
      <c r="E931" t="inlineStr">
        <is>
          <t>ROBERTSFORS</t>
        </is>
      </c>
      <c r="F931" t="inlineStr">
        <is>
          <t>Holmen skog AB</t>
        </is>
      </c>
      <c r="G931" t="n">
        <v>12.8</v>
      </c>
      <c r="H931" t="n">
        <v>0</v>
      </c>
      <c r="I931" t="n">
        <v>0</v>
      </c>
      <c r="J931" t="n">
        <v>1</v>
      </c>
      <c r="K931" t="n">
        <v>0</v>
      </c>
      <c r="L931" t="n">
        <v>0</v>
      </c>
      <c r="M931" t="n">
        <v>0</v>
      </c>
      <c r="N931" t="n">
        <v>0</v>
      </c>
      <c r="O931" t="n">
        <v>1</v>
      </c>
      <c r="P931" t="n">
        <v>0</v>
      </c>
      <c r="Q931" t="n">
        <v>1</v>
      </c>
      <c r="R931" s="2" t="inlineStr">
        <is>
          <t>Garnlav</t>
        </is>
      </c>
      <c r="S931">
        <f>HYPERLINK("https://klasma.github.io/Logging_2409/artfynd/A 39821-2025 artfynd.xlsx", "A 39821-2025")</f>
        <v/>
      </c>
      <c r="T931">
        <f>HYPERLINK("https://klasma.github.io/Logging_2409/kartor/A 39821-2025 karta.png", "A 39821-2025")</f>
        <v/>
      </c>
      <c r="V931">
        <f>HYPERLINK("https://klasma.github.io/Logging_2409/klagomål/A 39821-2025 FSC-klagomål.docx", "A 39821-2025")</f>
        <v/>
      </c>
      <c r="W931">
        <f>HYPERLINK("https://klasma.github.io/Logging_2409/klagomålsmail/A 39821-2025 FSC-klagomål mail.docx", "A 39821-2025")</f>
        <v/>
      </c>
      <c r="X931">
        <f>HYPERLINK("https://klasma.github.io/Logging_2409/tillsyn/A 39821-2025 tillsynsbegäran.docx", "A 39821-2025")</f>
        <v/>
      </c>
      <c r="Y931">
        <f>HYPERLINK("https://klasma.github.io/Logging_2409/tillsynsmail/A 39821-2025 tillsynsbegäran mail.docx", "A 39821-2025")</f>
        <v/>
      </c>
    </row>
    <row r="932" ht="15" customHeight="1">
      <c r="A932" t="inlineStr">
        <is>
          <t>A 61794-2023</t>
        </is>
      </c>
      <c r="B932" s="1" t="n">
        <v>45265</v>
      </c>
      <c r="C932" s="1" t="n">
        <v>46145</v>
      </c>
      <c r="D932" t="inlineStr">
        <is>
          <t>VÄSTERBOTTENS LÄN</t>
        </is>
      </c>
      <c r="E932" t="inlineStr">
        <is>
          <t>NORDMALING</t>
        </is>
      </c>
      <c r="F932" t="inlineStr">
        <is>
          <t>SCA</t>
        </is>
      </c>
      <c r="G932" t="n">
        <v>2.2</v>
      </c>
      <c r="H932" t="n">
        <v>0</v>
      </c>
      <c r="I932" t="n">
        <v>0</v>
      </c>
      <c r="J932" t="n">
        <v>1</v>
      </c>
      <c r="K932" t="n">
        <v>0</v>
      </c>
      <c r="L932" t="n">
        <v>0</v>
      </c>
      <c r="M932" t="n">
        <v>0</v>
      </c>
      <c r="N932" t="n">
        <v>0</v>
      </c>
      <c r="O932" t="n">
        <v>1</v>
      </c>
      <c r="P932" t="n">
        <v>0</v>
      </c>
      <c r="Q932" t="n">
        <v>1</v>
      </c>
      <c r="R932" s="2" t="inlineStr">
        <is>
          <t>Ullticka</t>
        </is>
      </c>
      <c r="S932">
        <f>HYPERLINK("https://klasma.github.io/Logging_2401/artfynd/A 61794-2023 artfynd.xlsx", "A 61794-2023")</f>
        <v/>
      </c>
      <c r="T932">
        <f>HYPERLINK("https://klasma.github.io/Logging_2401/kartor/A 61794-2023 karta.png", "A 61794-2023")</f>
        <v/>
      </c>
      <c r="V932">
        <f>HYPERLINK("https://klasma.github.io/Logging_2401/klagomål/A 61794-2023 FSC-klagomål.docx", "A 61794-2023")</f>
        <v/>
      </c>
      <c r="W932">
        <f>HYPERLINK("https://klasma.github.io/Logging_2401/klagomålsmail/A 61794-2023 FSC-klagomål mail.docx", "A 61794-2023")</f>
        <v/>
      </c>
      <c r="X932">
        <f>HYPERLINK("https://klasma.github.io/Logging_2401/tillsyn/A 61794-2023 tillsynsbegäran.docx", "A 61794-2023")</f>
        <v/>
      </c>
      <c r="Y932">
        <f>HYPERLINK("https://klasma.github.io/Logging_2401/tillsynsmail/A 61794-2023 tillsynsbegäran mail.docx", "A 61794-2023")</f>
        <v/>
      </c>
    </row>
    <row r="933" ht="15" customHeight="1">
      <c r="A933" t="inlineStr">
        <is>
          <t>A 37745-2023</t>
        </is>
      </c>
      <c r="B933" s="1" t="n">
        <v>45156</v>
      </c>
      <c r="C933" s="1" t="n">
        <v>46145</v>
      </c>
      <c r="D933" t="inlineStr">
        <is>
          <t>VÄSTERBOTTENS LÄN</t>
        </is>
      </c>
      <c r="E933" t="inlineStr">
        <is>
          <t>SORSELE</t>
        </is>
      </c>
      <c r="G933" t="n">
        <v>8.6</v>
      </c>
      <c r="H933" t="n">
        <v>1</v>
      </c>
      <c r="I933" t="n">
        <v>1</v>
      </c>
      <c r="J933" t="n">
        <v>0</v>
      </c>
      <c r="K933" t="n">
        <v>0</v>
      </c>
      <c r="L933" t="n">
        <v>0</v>
      </c>
      <c r="M933" t="n">
        <v>0</v>
      </c>
      <c r="N933" t="n">
        <v>0</v>
      </c>
      <c r="O933" t="n">
        <v>0</v>
      </c>
      <c r="P933" t="n">
        <v>0</v>
      </c>
      <c r="Q933" t="n">
        <v>1</v>
      </c>
      <c r="R933" s="2" t="inlineStr">
        <is>
          <t>Lappranunkel</t>
        </is>
      </c>
      <c r="S933">
        <f>HYPERLINK("https://klasma.github.io/Logging_2422/artfynd/A 37745-2023 artfynd.xlsx", "A 37745-2023")</f>
        <v/>
      </c>
      <c r="T933">
        <f>HYPERLINK("https://klasma.github.io/Logging_2422/kartor/A 37745-2023 karta.png", "A 37745-2023")</f>
        <v/>
      </c>
      <c r="V933">
        <f>HYPERLINK("https://klasma.github.io/Logging_2422/klagomål/A 37745-2023 FSC-klagomål.docx", "A 37745-2023")</f>
        <v/>
      </c>
      <c r="W933">
        <f>HYPERLINK("https://klasma.github.io/Logging_2422/klagomålsmail/A 37745-2023 FSC-klagomål mail.docx", "A 37745-2023")</f>
        <v/>
      </c>
      <c r="X933">
        <f>HYPERLINK("https://klasma.github.io/Logging_2422/tillsyn/A 37745-2023 tillsynsbegäran.docx", "A 37745-2023")</f>
        <v/>
      </c>
      <c r="Y933">
        <f>HYPERLINK("https://klasma.github.io/Logging_2422/tillsynsmail/A 37745-2023 tillsynsbegäran mail.docx", "A 37745-2023")</f>
        <v/>
      </c>
    </row>
    <row r="934" ht="15" customHeight="1">
      <c r="A934" t="inlineStr">
        <is>
          <t>A 8729-2025</t>
        </is>
      </c>
      <c r="B934" s="1" t="n">
        <v>45712.53144675926</v>
      </c>
      <c r="C934" s="1" t="n">
        <v>46145</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44286-2024</t>
        </is>
      </c>
      <c r="B935" s="1" t="n">
        <v>45573</v>
      </c>
      <c r="C935" s="1" t="n">
        <v>46145</v>
      </c>
      <c r="D935" t="inlineStr">
        <is>
          <t>VÄSTERBOTTENS LÄN</t>
        </is>
      </c>
      <c r="E935" t="inlineStr">
        <is>
          <t>VILHELMINA</t>
        </is>
      </c>
      <c r="G935" t="n">
        <v>29.2</v>
      </c>
      <c r="H935" t="n">
        <v>1</v>
      </c>
      <c r="I935" t="n">
        <v>0</v>
      </c>
      <c r="J935" t="n">
        <v>1</v>
      </c>
      <c r="K935" t="n">
        <v>0</v>
      </c>
      <c r="L935" t="n">
        <v>0</v>
      </c>
      <c r="M935" t="n">
        <v>0</v>
      </c>
      <c r="N935" t="n">
        <v>0</v>
      </c>
      <c r="O935" t="n">
        <v>1</v>
      </c>
      <c r="P935" t="n">
        <v>0</v>
      </c>
      <c r="Q935" t="n">
        <v>1</v>
      </c>
      <c r="R935" s="2" t="inlineStr">
        <is>
          <t>Videsparv</t>
        </is>
      </c>
      <c r="S935">
        <f>HYPERLINK("https://klasma.github.io/Logging_2462/artfynd/A 44286-2024 artfynd.xlsx", "A 44286-2024")</f>
        <v/>
      </c>
      <c r="T935">
        <f>HYPERLINK("https://klasma.github.io/Logging_2462/kartor/A 44286-2024 karta.png", "A 44286-2024")</f>
        <v/>
      </c>
      <c r="V935">
        <f>HYPERLINK("https://klasma.github.io/Logging_2462/klagomål/A 44286-2024 FSC-klagomål.docx", "A 44286-2024")</f>
        <v/>
      </c>
      <c r="W935">
        <f>HYPERLINK("https://klasma.github.io/Logging_2462/klagomålsmail/A 44286-2024 FSC-klagomål mail.docx", "A 44286-2024")</f>
        <v/>
      </c>
      <c r="X935">
        <f>HYPERLINK("https://klasma.github.io/Logging_2462/tillsyn/A 44286-2024 tillsynsbegäran.docx", "A 44286-2024")</f>
        <v/>
      </c>
      <c r="Y935">
        <f>HYPERLINK("https://klasma.github.io/Logging_2462/tillsynsmail/A 44286-2024 tillsynsbegäran mail.docx", "A 44286-2024")</f>
        <v/>
      </c>
      <c r="Z935">
        <f>HYPERLINK("https://klasma.github.io/Logging_2462/fåglar/A 44286-2024 prioriterade fågelarter.docx", "A 44286-2024")</f>
        <v/>
      </c>
    </row>
    <row r="936" ht="15" customHeight="1">
      <c r="A936" t="inlineStr">
        <is>
          <t>A 41078-2025</t>
        </is>
      </c>
      <c r="B936" s="1" t="n">
        <v>45898</v>
      </c>
      <c r="C936" s="1" t="n">
        <v>46145</v>
      </c>
      <c r="D936" t="inlineStr">
        <is>
          <t>VÄSTERBOTTENS LÄN</t>
        </is>
      </c>
      <c r="E936" t="inlineStr">
        <is>
          <t>ÅSELE</t>
        </is>
      </c>
      <c r="F936" t="inlineStr">
        <is>
          <t>SCA</t>
        </is>
      </c>
      <c r="G936" t="n">
        <v>14.6</v>
      </c>
      <c r="H936" t="n">
        <v>0</v>
      </c>
      <c r="I936" t="n">
        <v>0</v>
      </c>
      <c r="J936" t="n">
        <v>1</v>
      </c>
      <c r="K936" t="n">
        <v>0</v>
      </c>
      <c r="L936" t="n">
        <v>0</v>
      </c>
      <c r="M936" t="n">
        <v>0</v>
      </c>
      <c r="N936" t="n">
        <v>0</v>
      </c>
      <c r="O936" t="n">
        <v>1</v>
      </c>
      <c r="P936" t="n">
        <v>0</v>
      </c>
      <c r="Q936" t="n">
        <v>1</v>
      </c>
      <c r="R936" s="2" t="inlineStr">
        <is>
          <t>Granticka</t>
        </is>
      </c>
      <c r="S936">
        <f>HYPERLINK("https://klasma.github.io/Logging_2463/artfynd/A 41078-2025 artfynd.xlsx", "A 41078-2025")</f>
        <v/>
      </c>
      <c r="T936">
        <f>HYPERLINK("https://klasma.github.io/Logging_2463/kartor/A 41078-2025 karta.png", "A 41078-2025")</f>
        <v/>
      </c>
      <c r="V936">
        <f>HYPERLINK("https://klasma.github.io/Logging_2463/klagomål/A 41078-2025 FSC-klagomål.docx", "A 41078-2025")</f>
        <v/>
      </c>
      <c r="W936">
        <f>HYPERLINK("https://klasma.github.io/Logging_2463/klagomålsmail/A 41078-2025 FSC-klagomål mail.docx", "A 41078-2025")</f>
        <v/>
      </c>
      <c r="X936">
        <f>HYPERLINK("https://klasma.github.io/Logging_2463/tillsyn/A 41078-2025 tillsynsbegäran.docx", "A 41078-2025")</f>
        <v/>
      </c>
      <c r="Y936">
        <f>HYPERLINK("https://klasma.github.io/Logging_2463/tillsynsmail/A 41078-2025 tillsynsbegäran mail.docx", "A 41078-2025")</f>
        <v/>
      </c>
    </row>
    <row r="937" ht="15" customHeight="1">
      <c r="A937" t="inlineStr">
        <is>
          <t>A 43097-2023</t>
        </is>
      </c>
      <c r="B937" s="1" t="n">
        <v>45182</v>
      </c>
      <c r="C937" s="1" t="n">
        <v>46145</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25111-2023</t>
        </is>
      </c>
      <c r="B938" s="1" t="n">
        <v>45078</v>
      </c>
      <c r="C938" s="1" t="n">
        <v>46145</v>
      </c>
      <c r="D938" t="inlineStr">
        <is>
          <t>VÄSTERBOTTENS LÄN</t>
        </is>
      </c>
      <c r="E938" t="inlineStr">
        <is>
          <t>STORUMAN</t>
        </is>
      </c>
      <c r="F938" t="inlineStr">
        <is>
          <t>Övriga statliga verk och myndigheter</t>
        </is>
      </c>
      <c r="G938" t="n">
        <v>445.5</v>
      </c>
      <c r="H938" t="n">
        <v>0</v>
      </c>
      <c r="I938" t="n">
        <v>0</v>
      </c>
      <c r="J938" t="n">
        <v>0</v>
      </c>
      <c r="K938" t="n">
        <v>0</v>
      </c>
      <c r="L938" t="n">
        <v>0</v>
      </c>
      <c r="M938" t="n">
        <v>0</v>
      </c>
      <c r="N938" t="n">
        <v>0</v>
      </c>
      <c r="O938" t="n">
        <v>1</v>
      </c>
      <c r="P938" t="n">
        <v>0</v>
      </c>
      <c r="Q938" t="n">
        <v>1</v>
      </c>
      <c r="R938" s="2" t="inlineStr">
        <is>
          <t>Hieracium duplicaticeps</t>
        </is>
      </c>
      <c r="S938">
        <f>HYPERLINK("https://klasma.github.io/Logging_2421/artfynd/A 25111-2023 artfynd.xlsx", "A 25111-2023")</f>
        <v/>
      </c>
      <c r="T938">
        <f>HYPERLINK("https://klasma.github.io/Logging_2421/kartor/A 25111-2023 karta.png", "A 25111-2023")</f>
        <v/>
      </c>
      <c r="V938">
        <f>HYPERLINK("https://klasma.github.io/Logging_2421/klagomål/A 25111-2023 FSC-klagomål.docx", "A 25111-2023")</f>
        <v/>
      </c>
      <c r="W938">
        <f>HYPERLINK("https://klasma.github.io/Logging_2421/klagomålsmail/A 25111-2023 FSC-klagomål mail.docx", "A 25111-2023")</f>
        <v/>
      </c>
      <c r="X938">
        <f>HYPERLINK("https://klasma.github.io/Logging_2421/tillsyn/A 25111-2023 tillsynsbegäran.docx", "A 25111-2023")</f>
        <v/>
      </c>
      <c r="Y938">
        <f>HYPERLINK("https://klasma.github.io/Logging_2421/tillsynsmail/A 25111-2023 tillsynsbegäran mail.docx", "A 25111-2023")</f>
        <v/>
      </c>
    </row>
    <row r="939" ht="15" customHeight="1">
      <c r="A939" t="inlineStr">
        <is>
          <t>A 313-2025</t>
        </is>
      </c>
      <c r="B939" s="1" t="n">
        <v>45656</v>
      </c>
      <c r="C939" s="1" t="n">
        <v>46145</v>
      </c>
      <c r="D939" t="inlineStr">
        <is>
          <t>VÄSTERBOTTENS LÄN</t>
        </is>
      </c>
      <c r="E939" t="inlineStr">
        <is>
          <t>ROBERTSFORS</t>
        </is>
      </c>
      <c r="G939" t="n">
        <v>3.9</v>
      </c>
      <c r="H939" t="n">
        <v>1</v>
      </c>
      <c r="I939" t="n">
        <v>0</v>
      </c>
      <c r="J939" t="n">
        <v>1</v>
      </c>
      <c r="K939" t="n">
        <v>0</v>
      </c>
      <c r="L939" t="n">
        <v>0</v>
      </c>
      <c r="M939" t="n">
        <v>0</v>
      </c>
      <c r="N939" t="n">
        <v>0</v>
      </c>
      <c r="O939" t="n">
        <v>1</v>
      </c>
      <c r="P939" t="n">
        <v>0</v>
      </c>
      <c r="Q939" t="n">
        <v>1</v>
      </c>
      <c r="R939" s="2" t="inlineStr">
        <is>
          <t>Spillkråka</t>
        </is>
      </c>
      <c r="S939">
        <f>HYPERLINK("https://klasma.github.io/Logging_2409/artfynd/A 313-2025 artfynd.xlsx", "A 313-2025")</f>
        <v/>
      </c>
      <c r="T939">
        <f>HYPERLINK("https://klasma.github.io/Logging_2409/kartor/A 313-2025 karta.png", "A 313-2025")</f>
        <v/>
      </c>
      <c r="V939">
        <f>HYPERLINK("https://klasma.github.io/Logging_2409/klagomål/A 313-2025 FSC-klagomål.docx", "A 313-2025")</f>
        <v/>
      </c>
      <c r="W939">
        <f>HYPERLINK("https://klasma.github.io/Logging_2409/klagomålsmail/A 313-2025 FSC-klagomål mail.docx", "A 313-2025")</f>
        <v/>
      </c>
      <c r="X939">
        <f>HYPERLINK("https://klasma.github.io/Logging_2409/tillsyn/A 313-2025 tillsynsbegäran.docx", "A 313-2025")</f>
        <v/>
      </c>
      <c r="Y939">
        <f>HYPERLINK("https://klasma.github.io/Logging_2409/tillsynsmail/A 313-2025 tillsynsbegäran mail.docx", "A 313-2025")</f>
        <v/>
      </c>
      <c r="Z939">
        <f>HYPERLINK("https://klasma.github.io/Logging_2409/fåglar/A 313-2025 prioriterade fågelarter.docx", "A 313-2025")</f>
        <v/>
      </c>
    </row>
    <row r="940" ht="15" customHeight="1">
      <c r="A940" t="inlineStr">
        <is>
          <t>A 41409-2025</t>
        </is>
      </c>
      <c r="B940" s="1" t="n">
        <v>45901.34798611111</v>
      </c>
      <c r="C940" s="1" t="n">
        <v>46145</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49359-2023</t>
        </is>
      </c>
      <c r="B941" s="1" t="n">
        <v>45211.33486111111</v>
      </c>
      <c r="C941" s="1" t="n">
        <v>46145</v>
      </c>
      <c r="D941" t="inlineStr">
        <is>
          <t>VÄSTERBOTTENS LÄN</t>
        </is>
      </c>
      <c r="E941" t="inlineStr">
        <is>
          <t>UMEÅ</t>
        </is>
      </c>
      <c r="G941" t="n">
        <v>5.2</v>
      </c>
      <c r="H941" t="n">
        <v>1</v>
      </c>
      <c r="I941" t="n">
        <v>0</v>
      </c>
      <c r="J941" t="n">
        <v>0</v>
      </c>
      <c r="K941" t="n">
        <v>0</v>
      </c>
      <c r="L941" t="n">
        <v>0</v>
      </c>
      <c r="M941" t="n">
        <v>0</v>
      </c>
      <c r="N941" t="n">
        <v>0</v>
      </c>
      <c r="O941" t="n">
        <v>0</v>
      </c>
      <c r="P941" t="n">
        <v>0</v>
      </c>
      <c r="Q941" t="n">
        <v>1</v>
      </c>
      <c r="R941" s="2" t="inlineStr">
        <is>
          <t>Orre</t>
        </is>
      </c>
      <c r="S941">
        <f>HYPERLINK("https://klasma.github.io/Logging_2480/artfynd/A 49359-2023 artfynd.xlsx", "A 49359-2023")</f>
        <v/>
      </c>
      <c r="T941">
        <f>HYPERLINK("https://klasma.github.io/Logging_2480/kartor/A 49359-2023 karta.png", "A 49359-2023")</f>
        <v/>
      </c>
      <c r="V941">
        <f>HYPERLINK("https://klasma.github.io/Logging_2480/klagomål/A 49359-2023 FSC-klagomål.docx", "A 49359-2023")</f>
        <v/>
      </c>
      <c r="W941">
        <f>HYPERLINK("https://klasma.github.io/Logging_2480/klagomålsmail/A 49359-2023 FSC-klagomål mail.docx", "A 49359-2023")</f>
        <v/>
      </c>
      <c r="X941">
        <f>HYPERLINK("https://klasma.github.io/Logging_2480/tillsyn/A 49359-2023 tillsynsbegäran.docx", "A 49359-2023")</f>
        <v/>
      </c>
      <c r="Y941">
        <f>HYPERLINK("https://klasma.github.io/Logging_2480/tillsynsmail/A 49359-2023 tillsynsbegäran mail.docx", "A 49359-2023")</f>
        <v/>
      </c>
      <c r="Z941">
        <f>HYPERLINK("https://klasma.github.io/Logging_2480/fåglar/A 49359-2023 prioriterade fågelarter.docx", "A 49359-2023")</f>
        <v/>
      </c>
    </row>
    <row r="942" ht="15" customHeight="1">
      <c r="A942" t="inlineStr">
        <is>
          <t>A 5683-2025</t>
        </is>
      </c>
      <c r="B942" s="1" t="n">
        <v>45694.35394675926</v>
      </c>
      <c r="C942" s="1" t="n">
        <v>46145</v>
      </c>
      <c r="D942" t="inlineStr">
        <is>
          <t>VÄSTERBOTTENS LÄN</t>
        </is>
      </c>
      <c r="E942" t="inlineStr">
        <is>
          <t>LYCKSELE</t>
        </is>
      </c>
      <c r="G942" t="n">
        <v>4.4</v>
      </c>
      <c r="H942" t="n">
        <v>0</v>
      </c>
      <c r="I942" t="n">
        <v>0</v>
      </c>
      <c r="J942" t="n">
        <v>1</v>
      </c>
      <c r="K942" t="n">
        <v>0</v>
      </c>
      <c r="L942" t="n">
        <v>0</v>
      </c>
      <c r="M942" t="n">
        <v>0</v>
      </c>
      <c r="N942" t="n">
        <v>0</v>
      </c>
      <c r="O942" t="n">
        <v>1</v>
      </c>
      <c r="P942" t="n">
        <v>0</v>
      </c>
      <c r="Q942" t="n">
        <v>1</v>
      </c>
      <c r="R942" s="2" t="inlineStr">
        <is>
          <t>Vitgrynig nållav</t>
        </is>
      </c>
      <c r="S942">
        <f>HYPERLINK("https://klasma.github.io/Logging_2481/artfynd/A 5683-2025 artfynd.xlsx", "A 5683-2025")</f>
        <v/>
      </c>
      <c r="T942">
        <f>HYPERLINK("https://klasma.github.io/Logging_2481/kartor/A 5683-2025 karta.png", "A 5683-2025")</f>
        <v/>
      </c>
      <c r="V942">
        <f>HYPERLINK("https://klasma.github.io/Logging_2481/klagomål/A 5683-2025 FSC-klagomål.docx", "A 5683-2025")</f>
        <v/>
      </c>
      <c r="W942">
        <f>HYPERLINK("https://klasma.github.io/Logging_2481/klagomålsmail/A 5683-2025 FSC-klagomål mail.docx", "A 5683-2025")</f>
        <v/>
      </c>
      <c r="X942">
        <f>HYPERLINK("https://klasma.github.io/Logging_2481/tillsyn/A 5683-2025 tillsynsbegäran.docx", "A 5683-2025")</f>
        <v/>
      </c>
      <c r="Y942">
        <f>HYPERLINK("https://klasma.github.io/Logging_2481/tillsynsmail/A 5683-2025 tillsynsbegäran mail.docx", "A 5683-2025")</f>
        <v/>
      </c>
    </row>
    <row r="943" ht="15" customHeight="1">
      <c r="A943" t="inlineStr">
        <is>
          <t>A 9012-2025</t>
        </is>
      </c>
      <c r="B943" s="1" t="n">
        <v>45713.58675925926</v>
      </c>
      <c r="C943" s="1" t="n">
        <v>46145</v>
      </c>
      <c r="D943" t="inlineStr">
        <is>
          <t>VÄSTERBOTTENS LÄN</t>
        </is>
      </c>
      <c r="E943" t="inlineStr">
        <is>
          <t>NORDMALING</t>
        </is>
      </c>
      <c r="G943" t="n">
        <v>6.3</v>
      </c>
      <c r="H943" t="n">
        <v>1</v>
      </c>
      <c r="I943" t="n">
        <v>0</v>
      </c>
      <c r="J943" t="n">
        <v>1</v>
      </c>
      <c r="K943" t="n">
        <v>0</v>
      </c>
      <c r="L943" t="n">
        <v>0</v>
      </c>
      <c r="M943" t="n">
        <v>0</v>
      </c>
      <c r="N943" t="n">
        <v>0</v>
      </c>
      <c r="O943" t="n">
        <v>1</v>
      </c>
      <c r="P943" t="n">
        <v>0</v>
      </c>
      <c r="Q943" t="n">
        <v>1</v>
      </c>
      <c r="R943" s="2" t="inlineStr">
        <is>
          <t>Talltita</t>
        </is>
      </c>
      <c r="S943">
        <f>HYPERLINK("https://klasma.github.io/Logging_2401/artfynd/A 9012-2025 artfynd.xlsx", "A 9012-2025")</f>
        <v/>
      </c>
      <c r="T943">
        <f>HYPERLINK("https://klasma.github.io/Logging_2401/kartor/A 9012-2025 karta.png", "A 9012-2025")</f>
        <v/>
      </c>
      <c r="V943">
        <f>HYPERLINK("https://klasma.github.io/Logging_2401/klagomål/A 9012-2025 FSC-klagomål.docx", "A 9012-2025")</f>
        <v/>
      </c>
      <c r="W943">
        <f>HYPERLINK("https://klasma.github.io/Logging_2401/klagomålsmail/A 9012-2025 FSC-klagomål mail.docx", "A 9012-2025")</f>
        <v/>
      </c>
      <c r="X943">
        <f>HYPERLINK("https://klasma.github.io/Logging_2401/tillsyn/A 9012-2025 tillsynsbegäran.docx", "A 9012-2025")</f>
        <v/>
      </c>
      <c r="Y943">
        <f>HYPERLINK("https://klasma.github.io/Logging_2401/tillsynsmail/A 9012-2025 tillsynsbegäran mail.docx", "A 9012-2025")</f>
        <v/>
      </c>
      <c r="Z943">
        <f>HYPERLINK("https://klasma.github.io/Logging_2401/fåglar/A 9012-2025 prioriterade fågelarter.docx", "A 9012-2025")</f>
        <v/>
      </c>
    </row>
    <row r="944" ht="15" customHeight="1">
      <c r="A944" t="inlineStr">
        <is>
          <t>A 42090-2025</t>
        </is>
      </c>
      <c r="B944" s="1" t="n">
        <v>45903.69844907407</v>
      </c>
      <c r="C944" s="1" t="n">
        <v>46145</v>
      </c>
      <c r="D944" t="inlineStr">
        <is>
          <t>VÄSTERBOTTENS LÄN</t>
        </is>
      </c>
      <c r="E944" t="inlineStr">
        <is>
          <t>ÅSELE</t>
        </is>
      </c>
      <c r="F944" t="inlineStr">
        <is>
          <t>SCA</t>
        </is>
      </c>
      <c r="G944" t="n">
        <v>2.8</v>
      </c>
      <c r="H944" t="n">
        <v>0</v>
      </c>
      <c r="I944" t="n">
        <v>0</v>
      </c>
      <c r="J944" t="n">
        <v>1</v>
      </c>
      <c r="K944" t="n">
        <v>0</v>
      </c>
      <c r="L944" t="n">
        <v>0</v>
      </c>
      <c r="M944" t="n">
        <v>0</v>
      </c>
      <c r="N944" t="n">
        <v>0</v>
      </c>
      <c r="O944" t="n">
        <v>1</v>
      </c>
      <c r="P944" t="n">
        <v>0</v>
      </c>
      <c r="Q944" t="n">
        <v>1</v>
      </c>
      <c r="R944" s="2" t="inlineStr">
        <is>
          <t>Granticka</t>
        </is>
      </c>
      <c r="S944">
        <f>HYPERLINK("https://klasma.github.io/Logging_2463/artfynd/A 42090-2025 artfynd.xlsx", "A 42090-2025")</f>
        <v/>
      </c>
      <c r="T944">
        <f>HYPERLINK("https://klasma.github.io/Logging_2463/kartor/A 42090-2025 karta.png", "A 42090-2025")</f>
        <v/>
      </c>
      <c r="V944">
        <f>HYPERLINK("https://klasma.github.io/Logging_2463/klagomål/A 42090-2025 FSC-klagomål.docx", "A 42090-2025")</f>
        <v/>
      </c>
      <c r="W944">
        <f>HYPERLINK("https://klasma.github.io/Logging_2463/klagomålsmail/A 42090-2025 FSC-klagomål mail.docx", "A 42090-2025")</f>
        <v/>
      </c>
      <c r="X944">
        <f>HYPERLINK("https://klasma.github.io/Logging_2463/tillsyn/A 42090-2025 tillsynsbegäran.docx", "A 42090-2025")</f>
        <v/>
      </c>
      <c r="Y944">
        <f>HYPERLINK("https://klasma.github.io/Logging_2463/tillsynsmail/A 42090-2025 tillsynsbegäran mail.docx", "A 42090-2025")</f>
        <v/>
      </c>
    </row>
    <row r="945" ht="15" customHeight="1">
      <c r="A945" t="inlineStr">
        <is>
          <t>A 15699-2024</t>
        </is>
      </c>
      <c r="B945" s="1" t="n">
        <v>45404</v>
      </c>
      <c r="C945" s="1" t="n">
        <v>46145</v>
      </c>
      <c r="D945" t="inlineStr">
        <is>
          <t>VÄSTERBOTTENS LÄN</t>
        </is>
      </c>
      <c r="E945" t="inlineStr">
        <is>
          <t>BJURHOLM</t>
        </is>
      </c>
      <c r="G945" t="n">
        <v>2.2</v>
      </c>
      <c r="H945" t="n">
        <v>0</v>
      </c>
      <c r="I945" t="n">
        <v>1</v>
      </c>
      <c r="J945" t="n">
        <v>0</v>
      </c>
      <c r="K945" t="n">
        <v>0</v>
      </c>
      <c r="L945" t="n">
        <v>0</v>
      </c>
      <c r="M945" t="n">
        <v>0</v>
      </c>
      <c r="N945" t="n">
        <v>0</v>
      </c>
      <c r="O945" t="n">
        <v>0</v>
      </c>
      <c r="P945" t="n">
        <v>0</v>
      </c>
      <c r="Q945" t="n">
        <v>1</v>
      </c>
      <c r="R945" s="2" t="inlineStr">
        <is>
          <t>Dropptaggsvamp</t>
        </is>
      </c>
      <c r="S945">
        <f>HYPERLINK("https://klasma.github.io/Logging_2403/artfynd/A 15699-2024 artfynd.xlsx", "A 15699-2024")</f>
        <v/>
      </c>
      <c r="T945">
        <f>HYPERLINK("https://klasma.github.io/Logging_2403/kartor/A 15699-2024 karta.png", "A 15699-2024")</f>
        <v/>
      </c>
      <c r="V945">
        <f>HYPERLINK("https://klasma.github.io/Logging_2403/klagomål/A 15699-2024 FSC-klagomål.docx", "A 15699-2024")</f>
        <v/>
      </c>
      <c r="W945">
        <f>HYPERLINK("https://klasma.github.io/Logging_2403/klagomålsmail/A 15699-2024 FSC-klagomål mail.docx", "A 15699-2024")</f>
        <v/>
      </c>
      <c r="X945">
        <f>HYPERLINK("https://klasma.github.io/Logging_2403/tillsyn/A 15699-2024 tillsynsbegäran.docx", "A 15699-2024")</f>
        <v/>
      </c>
      <c r="Y945">
        <f>HYPERLINK("https://klasma.github.io/Logging_2403/tillsynsmail/A 15699-2024 tillsynsbegäran mail.docx", "A 15699-2024")</f>
        <v/>
      </c>
    </row>
    <row r="946" ht="15" customHeight="1">
      <c r="A946" t="inlineStr">
        <is>
          <t>A 28716-2023</t>
        </is>
      </c>
      <c r="B946" s="1" t="n">
        <v>45103</v>
      </c>
      <c r="C946" s="1" t="n">
        <v>46145</v>
      </c>
      <c r="D946" t="inlineStr">
        <is>
          <t>VÄSTERBOTTENS LÄN</t>
        </is>
      </c>
      <c r="E946" t="inlineStr">
        <is>
          <t>DOROTEA</t>
        </is>
      </c>
      <c r="F946" t="inlineStr">
        <is>
          <t>Sveaskog</t>
        </is>
      </c>
      <c r="G946" t="n">
        <v>10</v>
      </c>
      <c r="H946" t="n">
        <v>0</v>
      </c>
      <c r="I946" t="n">
        <v>1</v>
      </c>
      <c r="J946" t="n">
        <v>0</v>
      </c>
      <c r="K946" t="n">
        <v>0</v>
      </c>
      <c r="L946" t="n">
        <v>0</v>
      </c>
      <c r="M946" t="n">
        <v>0</v>
      </c>
      <c r="N946" t="n">
        <v>0</v>
      </c>
      <c r="O946" t="n">
        <v>0</v>
      </c>
      <c r="P946" t="n">
        <v>0</v>
      </c>
      <c r="Q946" t="n">
        <v>1</v>
      </c>
      <c r="R946" s="2" t="inlineStr">
        <is>
          <t>Bårdlav</t>
        </is>
      </c>
      <c r="S946">
        <f>HYPERLINK("https://klasma.github.io/Logging_2425/artfynd/A 28716-2023 artfynd.xlsx", "A 28716-2023")</f>
        <v/>
      </c>
      <c r="T946">
        <f>HYPERLINK("https://klasma.github.io/Logging_2425/kartor/A 28716-2023 karta.png", "A 28716-2023")</f>
        <v/>
      </c>
      <c r="V946">
        <f>HYPERLINK("https://klasma.github.io/Logging_2425/klagomål/A 28716-2023 FSC-klagomål.docx", "A 28716-2023")</f>
        <v/>
      </c>
      <c r="W946">
        <f>HYPERLINK("https://klasma.github.io/Logging_2425/klagomålsmail/A 28716-2023 FSC-klagomål mail.docx", "A 28716-2023")</f>
        <v/>
      </c>
      <c r="X946">
        <f>HYPERLINK("https://klasma.github.io/Logging_2425/tillsyn/A 28716-2023 tillsynsbegäran.docx", "A 28716-2023")</f>
        <v/>
      </c>
      <c r="Y946">
        <f>HYPERLINK("https://klasma.github.io/Logging_2425/tillsynsmail/A 28716-2023 tillsynsbegäran mail.docx", "A 28716-2023")</f>
        <v/>
      </c>
    </row>
    <row r="947" ht="15" customHeight="1">
      <c r="A947" t="inlineStr">
        <is>
          <t>A 62046-2024</t>
        </is>
      </c>
      <c r="B947" s="1" t="n">
        <v>45656</v>
      </c>
      <c r="C947" s="1" t="n">
        <v>46145</v>
      </c>
      <c r="D947" t="inlineStr">
        <is>
          <t>VÄSTERBOTTENS LÄN</t>
        </is>
      </c>
      <c r="E947" t="inlineStr">
        <is>
          <t>BJURHOLM</t>
        </is>
      </c>
      <c r="G947" t="n">
        <v>21.9</v>
      </c>
      <c r="H947" t="n">
        <v>1</v>
      </c>
      <c r="I947" t="n">
        <v>0</v>
      </c>
      <c r="J947" t="n">
        <v>0</v>
      </c>
      <c r="K947" t="n">
        <v>0</v>
      </c>
      <c r="L947" t="n">
        <v>0</v>
      </c>
      <c r="M947" t="n">
        <v>0</v>
      </c>
      <c r="N947" t="n">
        <v>0</v>
      </c>
      <c r="O947" t="n">
        <v>0</v>
      </c>
      <c r="P947" t="n">
        <v>0</v>
      </c>
      <c r="Q947" t="n">
        <v>1</v>
      </c>
      <c r="R947" s="2" t="inlineStr">
        <is>
          <t>Fläcknycklar</t>
        </is>
      </c>
      <c r="S947">
        <f>HYPERLINK("https://klasma.github.io/Logging_2403/artfynd/A 62046-2024 artfynd.xlsx", "A 62046-2024")</f>
        <v/>
      </c>
      <c r="T947">
        <f>HYPERLINK("https://klasma.github.io/Logging_2403/kartor/A 62046-2024 karta.png", "A 62046-2024")</f>
        <v/>
      </c>
      <c r="V947">
        <f>HYPERLINK("https://klasma.github.io/Logging_2403/klagomål/A 62046-2024 FSC-klagomål.docx", "A 62046-2024")</f>
        <v/>
      </c>
      <c r="W947">
        <f>HYPERLINK("https://klasma.github.io/Logging_2403/klagomålsmail/A 62046-2024 FSC-klagomål mail.docx", "A 62046-2024")</f>
        <v/>
      </c>
      <c r="X947">
        <f>HYPERLINK("https://klasma.github.io/Logging_2403/tillsyn/A 62046-2024 tillsynsbegäran.docx", "A 62046-2024")</f>
        <v/>
      </c>
      <c r="Y947">
        <f>HYPERLINK("https://klasma.github.io/Logging_2403/tillsynsmail/A 62046-2024 tillsynsbegäran mail.docx", "A 62046-2024")</f>
        <v/>
      </c>
    </row>
    <row r="948" ht="15" customHeight="1">
      <c r="A948" t="inlineStr">
        <is>
          <t>A 42849-2025</t>
        </is>
      </c>
      <c r="B948" s="1" t="n">
        <v>45908.59594907407</v>
      </c>
      <c r="C948" s="1" t="n">
        <v>46145</v>
      </c>
      <c r="D948" t="inlineStr">
        <is>
          <t>VÄSTERBOTTENS LÄN</t>
        </is>
      </c>
      <c r="E948" t="inlineStr">
        <is>
          <t>ROBERTSFORS</t>
        </is>
      </c>
      <c r="G948" t="n">
        <v>13.1</v>
      </c>
      <c r="H948" t="n">
        <v>0</v>
      </c>
      <c r="I948" t="n">
        <v>0</v>
      </c>
      <c r="J948" t="n">
        <v>1</v>
      </c>
      <c r="K948" t="n">
        <v>0</v>
      </c>
      <c r="L948" t="n">
        <v>0</v>
      </c>
      <c r="M948" t="n">
        <v>0</v>
      </c>
      <c r="N948" t="n">
        <v>0</v>
      </c>
      <c r="O948" t="n">
        <v>1</v>
      </c>
      <c r="P948" t="n">
        <v>0</v>
      </c>
      <c r="Q948" t="n">
        <v>1</v>
      </c>
      <c r="R948" s="2" t="inlineStr">
        <is>
          <t>Garnlav</t>
        </is>
      </c>
      <c r="S948">
        <f>HYPERLINK("https://klasma.github.io/Logging_2409/artfynd/A 42849-2025 artfynd.xlsx", "A 42849-2025")</f>
        <v/>
      </c>
      <c r="T948">
        <f>HYPERLINK("https://klasma.github.io/Logging_2409/kartor/A 42849-2025 karta.png", "A 42849-2025")</f>
        <v/>
      </c>
      <c r="V948">
        <f>HYPERLINK("https://klasma.github.io/Logging_2409/klagomål/A 42849-2025 FSC-klagomål.docx", "A 42849-2025")</f>
        <v/>
      </c>
      <c r="W948">
        <f>HYPERLINK("https://klasma.github.io/Logging_2409/klagomålsmail/A 42849-2025 FSC-klagomål mail.docx", "A 42849-2025")</f>
        <v/>
      </c>
      <c r="X948">
        <f>HYPERLINK("https://klasma.github.io/Logging_2409/tillsyn/A 42849-2025 tillsynsbegäran.docx", "A 42849-2025")</f>
        <v/>
      </c>
      <c r="Y948">
        <f>HYPERLINK("https://klasma.github.io/Logging_2409/tillsynsmail/A 42849-2025 tillsynsbegäran mail.docx", "A 42849-2025")</f>
        <v/>
      </c>
    </row>
    <row r="949" ht="15" customHeight="1">
      <c r="A949" t="inlineStr">
        <is>
          <t>A 13727-2022</t>
        </is>
      </c>
      <c r="B949" s="1" t="n">
        <v>44648</v>
      </c>
      <c r="C949" s="1" t="n">
        <v>46145</v>
      </c>
      <c r="D949" t="inlineStr">
        <is>
          <t>VÄSTERBOTTENS LÄN</t>
        </is>
      </c>
      <c r="E949" t="inlineStr">
        <is>
          <t>SORSELE</t>
        </is>
      </c>
      <c r="G949" t="n">
        <v>45.5</v>
      </c>
      <c r="H949" t="n">
        <v>0</v>
      </c>
      <c r="I949" t="n">
        <v>0</v>
      </c>
      <c r="J949" t="n">
        <v>1</v>
      </c>
      <c r="K949" t="n">
        <v>0</v>
      </c>
      <c r="L949" t="n">
        <v>0</v>
      </c>
      <c r="M949" t="n">
        <v>0</v>
      </c>
      <c r="N949" t="n">
        <v>0</v>
      </c>
      <c r="O949" t="n">
        <v>1</v>
      </c>
      <c r="P949" t="n">
        <v>0</v>
      </c>
      <c r="Q949" t="n">
        <v>1</v>
      </c>
      <c r="R949" s="2" t="inlineStr">
        <is>
          <t>Knottrig blåslav</t>
        </is>
      </c>
      <c r="S949">
        <f>HYPERLINK("https://klasma.github.io/Logging_2422/artfynd/A 13727-2022 artfynd.xlsx", "A 13727-2022")</f>
        <v/>
      </c>
      <c r="T949">
        <f>HYPERLINK("https://klasma.github.io/Logging_2422/kartor/A 13727-2022 karta.png", "A 13727-2022")</f>
        <v/>
      </c>
      <c r="V949">
        <f>HYPERLINK("https://klasma.github.io/Logging_2422/klagomål/A 13727-2022 FSC-klagomål.docx", "A 13727-2022")</f>
        <v/>
      </c>
      <c r="W949">
        <f>HYPERLINK("https://klasma.github.io/Logging_2422/klagomålsmail/A 13727-2022 FSC-klagomål mail.docx", "A 13727-2022")</f>
        <v/>
      </c>
      <c r="X949">
        <f>HYPERLINK("https://klasma.github.io/Logging_2422/tillsyn/A 13727-2022 tillsynsbegäran.docx", "A 13727-2022")</f>
        <v/>
      </c>
      <c r="Y949">
        <f>HYPERLINK("https://klasma.github.io/Logging_2422/tillsynsmail/A 13727-2022 tillsynsbegäran mail.docx", "A 13727-2022")</f>
        <v/>
      </c>
    </row>
    <row r="950" ht="15" customHeight="1">
      <c r="A950" t="inlineStr">
        <is>
          <t>A 43228-2025</t>
        </is>
      </c>
      <c r="B950" s="1" t="n">
        <v>45910.49400462963</v>
      </c>
      <c r="C950" s="1" t="n">
        <v>46145</v>
      </c>
      <c r="D950" t="inlineStr">
        <is>
          <t>VÄSTERBOTTENS LÄN</t>
        </is>
      </c>
      <c r="E950" t="inlineStr">
        <is>
          <t>SKELLEFTEÅ</t>
        </is>
      </c>
      <c r="G950" t="n">
        <v>2.9</v>
      </c>
      <c r="H950" t="n">
        <v>0</v>
      </c>
      <c r="I950" t="n">
        <v>0</v>
      </c>
      <c r="J950" t="n">
        <v>1</v>
      </c>
      <c r="K950" t="n">
        <v>0</v>
      </c>
      <c r="L950" t="n">
        <v>0</v>
      </c>
      <c r="M950" t="n">
        <v>0</v>
      </c>
      <c r="N950" t="n">
        <v>0</v>
      </c>
      <c r="O950" t="n">
        <v>1</v>
      </c>
      <c r="P950" t="n">
        <v>0</v>
      </c>
      <c r="Q950" t="n">
        <v>1</v>
      </c>
      <c r="R950" s="2" t="inlineStr">
        <is>
          <t>Ullticka</t>
        </is>
      </c>
      <c r="S950">
        <f>HYPERLINK("https://klasma.github.io/Logging_2482/artfynd/A 43228-2025 artfynd.xlsx", "A 43228-2025")</f>
        <v/>
      </c>
      <c r="T950">
        <f>HYPERLINK("https://klasma.github.io/Logging_2482/kartor/A 43228-2025 karta.png", "A 43228-2025")</f>
        <v/>
      </c>
      <c r="V950">
        <f>HYPERLINK("https://klasma.github.io/Logging_2482/klagomål/A 43228-2025 FSC-klagomål.docx", "A 43228-2025")</f>
        <v/>
      </c>
      <c r="W950">
        <f>HYPERLINK("https://klasma.github.io/Logging_2482/klagomålsmail/A 43228-2025 FSC-klagomål mail.docx", "A 43228-2025")</f>
        <v/>
      </c>
      <c r="X950">
        <f>HYPERLINK("https://klasma.github.io/Logging_2482/tillsyn/A 43228-2025 tillsynsbegäran.docx", "A 43228-2025")</f>
        <v/>
      </c>
      <c r="Y950">
        <f>HYPERLINK("https://klasma.github.io/Logging_2482/tillsynsmail/A 43228-2025 tillsynsbegäran mail.docx", "A 43228-2025")</f>
        <v/>
      </c>
    </row>
    <row r="951" ht="15" customHeight="1">
      <c r="A951" t="inlineStr">
        <is>
          <t>A 43701-2025</t>
        </is>
      </c>
      <c r="B951" s="1" t="n">
        <v>45912</v>
      </c>
      <c r="C951" s="1" t="n">
        <v>46145</v>
      </c>
      <c r="D951" t="inlineStr">
        <is>
          <t>VÄSTERBOTTENS LÄN</t>
        </is>
      </c>
      <c r="E951" t="inlineStr">
        <is>
          <t>ROBERTSFORS</t>
        </is>
      </c>
      <c r="F951" t="inlineStr">
        <is>
          <t>Holmen skog AB</t>
        </is>
      </c>
      <c r="G951" t="n">
        <v>1.7</v>
      </c>
      <c r="H951" t="n">
        <v>0</v>
      </c>
      <c r="I951" t="n">
        <v>1</v>
      </c>
      <c r="J951" t="n">
        <v>0</v>
      </c>
      <c r="K951" t="n">
        <v>0</v>
      </c>
      <c r="L951" t="n">
        <v>0</v>
      </c>
      <c r="M951" t="n">
        <v>0</v>
      </c>
      <c r="N951" t="n">
        <v>0</v>
      </c>
      <c r="O951" t="n">
        <v>0</v>
      </c>
      <c r="P951" t="n">
        <v>0</v>
      </c>
      <c r="Q951" t="n">
        <v>1</v>
      </c>
      <c r="R951" s="2" t="inlineStr">
        <is>
          <t>Björksplintborre</t>
        </is>
      </c>
      <c r="S951">
        <f>HYPERLINK("https://klasma.github.io/Logging_2409/artfynd/A 43701-2025 artfynd.xlsx", "A 43701-2025")</f>
        <v/>
      </c>
      <c r="T951">
        <f>HYPERLINK("https://klasma.github.io/Logging_2409/kartor/A 43701-2025 karta.png", "A 43701-2025")</f>
        <v/>
      </c>
      <c r="V951">
        <f>HYPERLINK("https://klasma.github.io/Logging_2409/klagomål/A 43701-2025 FSC-klagomål.docx", "A 43701-2025")</f>
        <v/>
      </c>
      <c r="W951">
        <f>HYPERLINK("https://klasma.github.io/Logging_2409/klagomålsmail/A 43701-2025 FSC-klagomål mail.docx", "A 43701-2025")</f>
        <v/>
      </c>
      <c r="X951">
        <f>HYPERLINK("https://klasma.github.io/Logging_2409/tillsyn/A 43701-2025 tillsynsbegäran.docx", "A 43701-2025")</f>
        <v/>
      </c>
      <c r="Y951">
        <f>HYPERLINK("https://klasma.github.io/Logging_2409/tillsynsmail/A 43701-2025 tillsynsbegäran mail.docx", "A 43701-2025")</f>
        <v/>
      </c>
    </row>
    <row r="952" ht="15" customHeight="1">
      <c r="A952" t="inlineStr">
        <is>
          <t>A 4552-2025</t>
        </is>
      </c>
      <c r="B952" s="1" t="n">
        <v>45687.42112268518</v>
      </c>
      <c r="C952" s="1" t="n">
        <v>46145</v>
      </c>
      <c r="D952" t="inlineStr">
        <is>
          <t>VÄSTERBOTTENS LÄN</t>
        </is>
      </c>
      <c r="E952" t="inlineStr">
        <is>
          <t>ROBERTSFORS</t>
        </is>
      </c>
      <c r="G952" t="n">
        <v>4.4</v>
      </c>
      <c r="H952" t="n">
        <v>1</v>
      </c>
      <c r="I952" t="n">
        <v>0</v>
      </c>
      <c r="J952" t="n">
        <v>0</v>
      </c>
      <c r="K952" t="n">
        <v>0</v>
      </c>
      <c r="L952" t="n">
        <v>0</v>
      </c>
      <c r="M952" t="n">
        <v>0</v>
      </c>
      <c r="N952" t="n">
        <v>0</v>
      </c>
      <c r="O952" t="n">
        <v>0</v>
      </c>
      <c r="P952" t="n">
        <v>0</v>
      </c>
      <c r="Q952" t="n">
        <v>1</v>
      </c>
      <c r="R952" s="2" t="inlineStr">
        <is>
          <t>Tjäder</t>
        </is>
      </c>
      <c r="S952">
        <f>HYPERLINK("https://klasma.github.io/Logging_2409/artfynd/A 4552-2025 artfynd.xlsx", "A 4552-2025")</f>
        <v/>
      </c>
      <c r="T952">
        <f>HYPERLINK("https://klasma.github.io/Logging_2409/kartor/A 4552-2025 karta.png", "A 4552-2025")</f>
        <v/>
      </c>
      <c r="V952">
        <f>HYPERLINK("https://klasma.github.io/Logging_2409/klagomål/A 4552-2025 FSC-klagomål.docx", "A 4552-2025")</f>
        <v/>
      </c>
      <c r="W952">
        <f>HYPERLINK("https://klasma.github.io/Logging_2409/klagomålsmail/A 4552-2025 FSC-klagomål mail.docx", "A 4552-2025")</f>
        <v/>
      </c>
      <c r="X952">
        <f>HYPERLINK("https://klasma.github.io/Logging_2409/tillsyn/A 4552-2025 tillsynsbegäran.docx", "A 4552-2025")</f>
        <v/>
      </c>
      <c r="Y952">
        <f>HYPERLINK("https://klasma.github.io/Logging_2409/tillsynsmail/A 4552-2025 tillsynsbegäran mail.docx", "A 4552-2025")</f>
        <v/>
      </c>
      <c r="Z952">
        <f>HYPERLINK("https://klasma.github.io/Logging_2409/fåglar/A 4552-2025 prioriterade fågelarter.docx", "A 4552-2025")</f>
        <v/>
      </c>
    </row>
    <row r="953" ht="15" customHeight="1">
      <c r="A953" t="inlineStr">
        <is>
          <t>A 66924-2021</t>
        </is>
      </c>
      <c r="B953" s="1" t="n">
        <v>44522</v>
      </c>
      <c r="C953" s="1" t="n">
        <v>46145</v>
      </c>
      <c r="D953" t="inlineStr">
        <is>
          <t>VÄSTERBOTTENS LÄN</t>
        </is>
      </c>
      <c r="E953" t="inlineStr">
        <is>
          <t>VILHELMINA</t>
        </is>
      </c>
      <c r="F953" t="inlineStr">
        <is>
          <t>Allmännings- och besparingsskogar</t>
        </is>
      </c>
      <c r="G953" t="n">
        <v>335.4</v>
      </c>
      <c r="H953" t="n">
        <v>1</v>
      </c>
      <c r="I953" t="n">
        <v>0</v>
      </c>
      <c r="J953" t="n">
        <v>1</v>
      </c>
      <c r="K953" t="n">
        <v>0</v>
      </c>
      <c r="L953" t="n">
        <v>0</v>
      </c>
      <c r="M953" t="n">
        <v>0</v>
      </c>
      <c r="N953" t="n">
        <v>0</v>
      </c>
      <c r="O953" t="n">
        <v>1</v>
      </c>
      <c r="P953" t="n">
        <v>0</v>
      </c>
      <c r="Q953" t="n">
        <v>1</v>
      </c>
      <c r="R953" s="2" t="inlineStr">
        <is>
          <t>Utter</t>
        </is>
      </c>
      <c r="S953">
        <f>HYPERLINK("https://klasma.github.io/Logging_2462/artfynd/A 66924-2021 artfynd.xlsx", "A 66924-2021")</f>
        <v/>
      </c>
      <c r="T953">
        <f>HYPERLINK("https://klasma.github.io/Logging_2462/kartor/A 66924-2021 karta.png", "A 66924-2021")</f>
        <v/>
      </c>
      <c r="V953">
        <f>HYPERLINK("https://klasma.github.io/Logging_2462/klagomål/A 66924-2021 FSC-klagomål.docx", "A 66924-2021")</f>
        <v/>
      </c>
      <c r="W953">
        <f>HYPERLINK("https://klasma.github.io/Logging_2462/klagomålsmail/A 66924-2021 FSC-klagomål mail.docx", "A 66924-2021")</f>
        <v/>
      </c>
      <c r="X953">
        <f>HYPERLINK("https://klasma.github.io/Logging_2462/tillsyn/A 66924-2021 tillsynsbegäran.docx", "A 66924-2021")</f>
        <v/>
      </c>
      <c r="Y953">
        <f>HYPERLINK("https://klasma.github.io/Logging_2462/tillsynsmail/A 66924-2021 tillsynsbegäran mail.docx", "A 66924-2021")</f>
        <v/>
      </c>
    </row>
    <row r="954" ht="15" customHeight="1">
      <c r="A954" t="inlineStr">
        <is>
          <t>A 44331-2025</t>
        </is>
      </c>
      <c r="B954" s="1" t="n">
        <v>45916.42150462963</v>
      </c>
      <c r="C954" s="1" t="n">
        <v>46145</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44079-2025</t>
        </is>
      </c>
      <c r="B955" s="1" t="n">
        <v>45915.55253472222</v>
      </c>
      <c r="C955" s="1" t="n">
        <v>46145</v>
      </c>
      <c r="D955" t="inlineStr">
        <is>
          <t>VÄSTERBOTTENS LÄN</t>
        </is>
      </c>
      <c r="E955" t="inlineStr">
        <is>
          <t>BJURHOLM</t>
        </is>
      </c>
      <c r="F955" t="inlineStr">
        <is>
          <t>SCA</t>
        </is>
      </c>
      <c r="G955" t="n">
        <v>3.6</v>
      </c>
      <c r="H955" t="n">
        <v>0</v>
      </c>
      <c r="I955" t="n">
        <v>1</v>
      </c>
      <c r="J955" t="n">
        <v>0</v>
      </c>
      <c r="K955" t="n">
        <v>0</v>
      </c>
      <c r="L955" t="n">
        <v>0</v>
      </c>
      <c r="M955" t="n">
        <v>0</v>
      </c>
      <c r="N955" t="n">
        <v>0</v>
      </c>
      <c r="O955" t="n">
        <v>0</v>
      </c>
      <c r="P955" t="n">
        <v>0</v>
      </c>
      <c r="Q955" t="n">
        <v>1</v>
      </c>
      <c r="R955" s="2" t="inlineStr">
        <is>
          <t>Dropptaggsvamp</t>
        </is>
      </c>
      <c r="S955">
        <f>HYPERLINK("https://klasma.github.io/Logging_2403/artfynd/A 44079-2025 artfynd.xlsx", "A 44079-2025")</f>
        <v/>
      </c>
      <c r="T955">
        <f>HYPERLINK("https://klasma.github.io/Logging_2403/kartor/A 44079-2025 karta.png", "A 44079-2025")</f>
        <v/>
      </c>
      <c r="V955">
        <f>HYPERLINK("https://klasma.github.io/Logging_2403/klagomål/A 44079-2025 FSC-klagomål.docx", "A 44079-2025")</f>
        <v/>
      </c>
      <c r="W955">
        <f>HYPERLINK("https://klasma.github.io/Logging_2403/klagomålsmail/A 44079-2025 FSC-klagomål mail.docx", "A 44079-2025")</f>
        <v/>
      </c>
      <c r="X955">
        <f>HYPERLINK("https://klasma.github.io/Logging_2403/tillsyn/A 44079-2025 tillsynsbegäran.docx", "A 44079-2025")</f>
        <v/>
      </c>
      <c r="Y955">
        <f>HYPERLINK("https://klasma.github.io/Logging_2403/tillsynsmail/A 44079-2025 tillsynsbegäran mail.docx", "A 44079-2025")</f>
        <v/>
      </c>
    </row>
    <row r="956" ht="15" customHeight="1">
      <c r="A956" t="inlineStr">
        <is>
          <t>A 43519-2022</t>
        </is>
      </c>
      <c r="B956" s="1" t="n">
        <v>44837</v>
      </c>
      <c r="C956" s="1" t="n">
        <v>46145</v>
      </c>
      <c r="D956" t="inlineStr">
        <is>
          <t>VÄSTERBOTTENS LÄN</t>
        </is>
      </c>
      <c r="E956" t="inlineStr">
        <is>
          <t>UMEÅ</t>
        </is>
      </c>
      <c r="G956" t="n">
        <v>4.2</v>
      </c>
      <c r="H956" t="n">
        <v>0</v>
      </c>
      <c r="I956" t="n">
        <v>0</v>
      </c>
      <c r="J956" t="n">
        <v>1</v>
      </c>
      <c r="K956" t="n">
        <v>0</v>
      </c>
      <c r="L956" t="n">
        <v>0</v>
      </c>
      <c r="M956" t="n">
        <v>0</v>
      </c>
      <c r="N956" t="n">
        <v>0</v>
      </c>
      <c r="O956" t="n">
        <v>1</v>
      </c>
      <c r="P956" t="n">
        <v>0</v>
      </c>
      <c r="Q956" t="n">
        <v>1</v>
      </c>
      <c r="R956" s="2" t="inlineStr">
        <is>
          <t>Skogshare</t>
        </is>
      </c>
      <c r="S956">
        <f>HYPERLINK("https://klasma.github.io/Logging_2480/artfynd/A 43519-2022 artfynd.xlsx", "A 43519-2022")</f>
        <v/>
      </c>
      <c r="T956">
        <f>HYPERLINK("https://klasma.github.io/Logging_2480/kartor/A 43519-2022 karta.png", "A 43519-2022")</f>
        <v/>
      </c>
      <c r="V956">
        <f>HYPERLINK("https://klasma.github.io/Logging_2480/klagomål/A 43519-2022 FSC-klagomål.docx", "A 43519-2022")</f>
        <v/>
      </c>
      <c r="W956">
        <f>HYPERLINK("https://klasma.github.io/Logging_2480/klagomålsmail/A 43519-2022 FSC-klagomål mail.docx", "A 43519-2022")</f>
        <v/>
      </c>
      <c r="X956">
        <f>HYPERLINK("https://klasma.github.io/Logging_2480/tillsyn/A 43519-2022 tillsynsbegäran.docx", "A 43519-2022")</f>
        <v/>
      </c>
      <c r="Y956">
        <f>HYPERLINK("https://klasma.github.io/Logging_2480/tillsynsmail/A 43519-2022 tillsynsbegäran mail.docx", "A 43519-2022")</f>
        <v/>
      </c>
    </row>
    <row r="957" ht="15" customHeight="1">
      <c r="A957" t="inlineStr">
        <is>
          <t>A 44809-2025</t>
        </is>
      </c>
      <c r="B957" s="1" t="n">
        <v>45918.36953703704</v>
      </c>
      <c r="C957" s="1" t="n">
        <v>46145</v>
      </c>
      <c r="D957" t="inlineStr">
        <is>
          <t>VÄSTERBOTTENS LÄN</t>
        </is>
      </c>
      <c r="E957" t="inlineStr">
        <is>
          <t>SKELLEFTEÅ</t>
        </is>
      </c>
      <c r="F957" t="inlineStr">
        <is>
          <t>Holmen skog AB</t>
        </is>
      </c>
      <c r="G957" t="n">
        <v>1.9</v>
      </c>
      <c r="H957" t="n">
        <v>1</v>
      </c>
      <c r="I957" t="n">
        <v>0</v>
      </c>
      <c r="J957" t="n">
        <v>1</v>
      </c>
      <c r="K957" t="n">
        <v>0</v>
      </c>
      <c r="L957" t="n">
        <v>0</v>
      </c>
      <c r="M957" t="n">
        <v>0</v>
      </c>
      <c r="N957" t="n">
        <v>0</v>
      </c>
      <c r="O957" t="n">
        <v>1</v>
      </c>
      <c r="P957" t="n">
        <v>0</v>
      </c>
      <c r="Q957" t="n">
        <v>1</v>
      </c>
      <c r="R957" s="2" t="inlineStr">
        <is>
          <t>Utter</t>
        </is>
      </c>
      <c r="S957">
        <f>HYPERLINK("https://klasma.github.io/Logging_2482/artfynd/A 44809-2025 artfynd.xlsx", "A 44809-2025")</f>
        <v/>
      </c>
      <c r="T957">
        <f>HYPERLINK("https://klasma.github.io/Logging_2482/kartor/A 44809-2025 karta.png", "A 44809-2025")</f>
        <v/>
      </c>
      <c r="V957">
        <f>HYPERLINK("https://klasma.github.io/Logging_2482/klagomål/A 44809-2025 FSC-klagomål.docx", "A 44809-2025")</f>
        <v/>
      </c>
      <c r="W957">
        <f>HYPERLINK("https://klasma.github.io/Logging_2482/klagomålsmail/A 44809-2025 FSC-klagomål mail.docx", "A 44809-2025")</f>
        <v/>
      </c>
      <c r="X957">
        <f>HYPERLINK("https://klasma.github.io/Logging_2482/tillsyn/A 44809-2025 tillsynsbegäran.docx", "A 44809-2025")</f>
        <v/>
      </c>
      <c r="Y957">
        <f>HYPERLINK("https://klasma.github.io/Logging_2482/tillsynsmail/A 44809-2025 tillsynsbegäran mail.docx", "A 44809-2025")</f>
        <v/>
      </c>
    </row>
    <row r="958" ht="15" customHeight="1">
      <c r="A958" t="inlineStr">
        <is>
          <t>A 44974-2025</t>
        </is>
      </c>
      <c r="B958" s="1" t="n">
        <v>45918.64247685186</v>
      </c>
      <c r="C958" s="1" t="n">
        <v>46145</v>
      </c>
      <c r="D958" t="inlineStr">
        <is>
          <t>VÄSTERBOTTENS LÄN</t>
        </is>
      </c>
      <c r="E958" t="inlineStr">
        <is>
          <t>LYCKSELE</t>
        </is>
      </c>
      <c r="F958" t="inlineStr">
        <is>
          <t>Sveaskog</t>
        </is>
      </c>
      <c r="G958" t="n">
        <v>19.2</v>
      </c>
      <c r="H958" t="n">
        <v>0</v>
      </c>
      <c r="I958" t="n">
        <v>0</v>
      </c>
      <c r="J958" t="n">
        <v>1</v>
      </c>
      <c r="K958" t="n">
        <v>0</v>
      </c>
      <c r="L958" t="n">
        <v>0</v>
      </c>
      <c r="M958" t="n">
        <v>0</v>
      </c>
      <c r="N958" t="n">
        <v>0</v>
      </c>
      <c r="O958" t="n">
        <v>1</v>
      </c>
      <c r="P958" t="n">
        <v>0</v>
      </c>
      <c r="Q958" t="n">
        <v>1</v>
      </c>
      <c r="R958" s="2" t="inlineStr">
        <is>
          <t>Kolflarnlav</t>
        </is>
      </c>
      <c r="S958">
        <f>HYPERLINK("https://klasma.github.io/Logging_2481/artfynd/A 44974-2025 artfynd.xlsx", "A 44974-2025")</f>
        <v/>
      </c>
      <c r="T958">
        <f>HYPERLINK("https://klasma.github.io/Logging_2481/kartor/A 44974-2025 karta.png", "A 44974-2025")</f>
        <v/>
      </c>
      <c r="V958">
        <f>HYPERLINK("https://klasma.github.io/Logging_2481/klagomål/A 44974-2025 FSC-klagomål.docx", "A 44974-2025")</f>
        <v/>
      </c>
      <c r="W958">
        <f>HYPERLINK("https://klasma.github.io/Logging_2481/klagomålsmail/A 44974-2025 FSC-klagomål mail.docx", "A 44974-2025")</f>
        <v/>
      </c>
      <c r="X958">
        <f>HYPERLINK("https://klasma.github.io/Logging_2481/tillsyn/A 44974-2025 tillsynsbegäran.docx", "A 44974-2025")</f>
        <v/>
      </c>
      <c r="Y958">
        <f>HYPERLINK("https://klasma.github.io/Logging_2481/tillsynsmail/A 44974-2025 tillsynsbegäran mail.docx", "A 44974-2025")</f>
        <v/>
      </c>
    </row>
    <row r="959" ht="15" customHeight="1">
      <c r="A959" t="inlineStr">
        <is>
          <t>A 45473-2025</t>
        </is>
      </c>
      <c r="B959" s="1" t="n">
        <v>45922.51494212963</v>
      </c>
      <c r="C959" s="1" t="n">
        <v>46145</v>
      </c>
      <c r="D959" t="inlineStr">
        <is>
          <t>VÄSTERBOTTENS LÄN</t>
        </is>
      </c>
      <c r="E959" t="inlineStr">
        <is>
          <t>SORSELE</t>
        </is>
      </c>
      <c r="G959" t="n">
        <v>4.2</v>
      </c>
      <c r="H959" t="n">
        <v>0</v>
      </c>
      <c r="I959" t="n">
        <v>0</v>
      </c>
      <c r="J959" t="n">
        <v>1</v>
      </c>
      <c r="K959" t="n">
        <v>0</v>
      </c>
      <c r="L959" t="n">
        <v>0</v>
      </c>
      <c r="M959" t="n">
        <v>0</v>
      </c>
      <c r="N959" t="n">
        <v>0</v>
      </c>
      <c r="O959" t="n">
        <v>1</v>
      </c>
      <c r="P959" t="n">
        <v>0</v>
      </c>
      <c r="Q959" t="n">
        <v>1</v>
      </c>
      <c r="R959" s="2" t="inlineStr">
        <is>
          <t>Lunglav</t>
        </is>
      </c>
      <c r="S959">
        <f>HYPERLINK("https://klasma.github.io/Logging_2422/artfynd/A 45473-2025 artfynd.xlsx", "A 45473-2025")</f>
        <v/>
      </c>
      <c r="T959">
        <f>HYPERLINK("https://klasma.github.io/Logging_2422/kartor/A 45473-2025 karta.png", "A 45473-2025")</f>
        <v/>
      </c>
      <c r="V959">
        <f>HYPERLINK("https://klasma.github.io/Logging_2422/klagomål/A 45473-2025 FSC-klagomål.docx", "A 45473-2025")</f>
        <v/>
      </c>
      <c r="W959">
        <f>HYPERLINK("https://klasma.github.io/Logging_2422/klagomålsmail/A 45473-2025 FSC-klagomål mail.docx", "A 45473-2025")</f>
        <v/>
      </c>
      <c r="X959">
        <f>HYPERLINK("https://klasma.github.io/Logging_2422/tillsyn/A 45473-2025 tillsynsbegäran.docx", "A 45473-2025")</f>
        <v/>
      </c>
      <c r="Y959">
        <f>HYPERLINK("https://klasma.github.io/Logging_2422/tillsynsmail/A 45473-2025 tillsynsbegäran mail.docx", "A 45473-2025")</f>
        <v/>
      </c>
    </row>
    <row r="960" ht="15" customHeight="1">
      <c r="A960" t="inlineStr">
        <is>
          <t>A 45074-2025</t>
        </is>
      </c>
      <c r="B960" s="1" t="n">
        <v>45919.36138888889</v>
      </c>
      <c r="C960" s="1" t="n">
        <v>46145</v>
      </c>
      <c r="D960" t="inlineStr">
        <is>
          <t>VÄSTERBOTTENS LÄN</t>
        </is>
      </c>
      <c r="E960" t="inlineStr">
        <is>
          <t>VINDELN</t>
        </is>
      </c>
      <c r="G960" t="n">
        <v>11.3</v>
      </c>
      <c r="H960" t="n">
        <v>0</v>
      </c>
      <c r="I960" t="n">
        <v>0</v>
      </c>
      <c r="J960" t="n">
        <v>1</v>
      </c>
      <c r="K960" t="n">
        <v>0</v>
      </c>
      <c r="L960" t="n">
        <v>0</v>
      </c>
      <c r="M960" t="n">
        <v>0</v>
      </c>
      <c r="N960" t="n">
        <v>0</v>
      </c>
      <c r="O960" t="n">
        <v>1</v>
      </c>
      <c r="P960" t="n">
        <v>0</v>
      </c>
      <c r="Q960" t="n">
        <v>1</v>
      </c>
      <c r="R960" s="2" t="inlineStr">
        <is>
          <t>Lunglav</t>
        </is>
      </c>
      <c r="S960">
        <f>HYPERLINK("https://klasma.github.io/Logging_2404/artfynd/A 45074-2025 artfynd.xlsx", "A 45074-2025")</f>
        <v/>
      </c>
      <c r="T960">
        <f>HYPERLINK("https://klasma.github.io/Logging_2404/kartor/A 45074-2025 karta.png", "A 45074-2025")</f>
        <v/>
      </c>
      <c r="V960">
        <f>HYPERLINK("https://klasma.github.io/Logging_2404/klagomål/A 45074-2025 FSC-klagomål.docx", "A 45074-2025")</f>
        <v/>
      </c>
      <c r="W960">
        <f>HYPERLINK("https://klasma.github.io/Logging_2404/klagomålsmail/A 45074-2025 FSC-klagomål mail.docx", "A 45074-2025")</f>
        <v/>
      </c>
      <c r="X960">
        <f>HYPERLINK("https://klasma.github.io/Logging_2404/tillsyn/A 45074-2025 tillsynsbegäran.docx", "A 45074-2025")</f>
        <v/>
      </c>
      <c r="Y960">
        <f>HYPERLINK("https://klasma.github.io/Logging_2404/tillsynsmail/A 45074-2025 tillsynsbegäran mail.docx", "A 45074-2025")</f>
        <v/>
      </c>
    </row>
    <row r="961" ht="15" customHeight="1">
      <c r="A961" t="inlineStr">
        <is>
          <t>A 45127-2025</t>
        </is>
      </c>
      <c r="B961" s="1" t="n">
        <v>45919.43388888889</v>
      </c>
      <c r="C961" s="1" t="n">
        <v>46145</v>
      </c>
      <c r="D961" t="inlineStr">
        <is>
          <t>VÄSTERBOTTENS LÄN</t>
        </is>
      </c>
      <c r="E961" t="inlineStr">
        <is>
          <t>LYCKSELE</t>
        </is>
      </c>
      <c r="F961" t="inlineStr">
        <is>
          <t>Sveaskog</t>
        </is>
      </c>
      <c r="G961" t="n">
        <v>21.6</v>
      </c>
      <c r="H961" t="n">
        <v>0</v>
      </c>
      <c r="I961" t="n">
        <v>0</v>
      </c>
      <c r="J961" t="n">
        <v>1</v>
      </c>
      <c r="K961" t="n">
        <v>0</v>
      </c>
      <c r="L961" t="n">
        <v>0</v>
      </c>
      <c r="M961" t="n">
        <v>0</v>
      </c>
      <c r="N961" t="n">
        <v>0</v>
      </c>
      <c r="O961" t="n">
        <v>1</v>
      </c>
      <c r="P961" t="n">
        <v>0</v>
      </c>
      <c r="Q961" t="n">
        <v>1</v>
      </c>
      <c r="R961" s="2" t="inlineStr">
        <is>
          <t>Kolflarnlav</t>
        </is>
      </c>
      <c r="S961">
        <f>HYPERLINK("https://klasma.github.io/Logging_2481/artfynd/A 45127-2025 artfynd.xlsx", "A 45127-2025")</f>
        <v/>
      </c>
      <c r="T961">
        <f>HYPERLINK("https://klasma.github.io/Logging_2481/kartor/A 45127-2025 karta.png", "A 45127-2025")</f>
        <v/>
      </c>
      <c r="V961">
        <f>HYPERLINK("https://klasma.github.io/Logging_2481/klagomål/A 45127-2025 FSC-klagomål.docx", "A 45127-2025")</f>
        <v/>
      </c>
      <c r="W961">
        <f>HYPERLINK("https://klasma.github.io/Logging_2481/klagomålsmail/A 45127-2025 FSC-klagomål mail.docx", "A 45127-2025")</f>
        <v/>
      </c>
      <c r="X961">
        <f>HYPERLINK("https://klasma.github.io/Logging_2481/tillsyn/A 45127-2025 tillsynsbegäran.docx", "A 45127-2025")</f>
        <v/>
      </c>
      <c r="Y961">
        <f>HYPERLINK("https://klasma.github.io/Logging_2481/tillsynsmail/A 45127-2025 tillsynsbegäran mail.docx", "A 45127-2025")</f>
        <v/>
      </c>
    </row>
    <row r="962" ht="15" customHeight="1">
      <c r="A962" t="inlineStr">
        <is>
          <t>A 45294-2025</t>
        </is>
      </c>
      <c r="B962" s="1" t="n">
        <v>45920.55261574074</v>
      </c>
      <c r="C962" s="1" t="n">
        <v>46145</v>
      </c>
      <c r="D962" t="inlineStr">
        <is>
          <t>VÄSTERBOTTENS LÄN</t>
        </is>
      </c>
      <c r="E962" t="inlineStr">
        <is>
          <t>NORDMALING</t>
        </is>
      </c>
      <c r="F962" t="inlineStr">
        <is>
          <t>SCA</t>
        </is>
      </c>
      <c r="G962" t="n">
        <v>7.2</v>
      </c>
      <c r="H962" t="n">
        <v>0</v>
      </c>
      <c r="I962" t="n">
        <v>1</v>
      </c>
      <c r="J962" t="n">
        <v>0</v>
      </c>
      <c r="K962" t="n">
        <v>0</v>
      </c>
      <c r="L962" t="n">
        <v>0</v>
      </c>
      <c r="M962" t="n">
        <v>0</v>
      </c>
      <c r="N962" t="n">
        <v>0</v>
      </c>
      <c r="O962" t="n">
        <v>0</v>
      </c>
      <c r="P962" t="n">
        <v>0</v>
      </c>
      <c r="Q962" t="n">
        <v>1</v>
      </c>
      <c r="R962" s="2" t="inlineStr">
        <is>
          <t>Skarp dropptaggsvamp</t>
        </is>
      </c>
      <c r="S962">
        <f>HYPERLINK("https://klasma.github.io/Logging_2401/artfynd/A 45294-2025 artfynd.xlsx", "A 45294-2025")</f>
        <v/>
      </c>
      <c r="T962">
        <f>HYPERLINK("https://klasma.github.io/Logging_2401/kartor/A 45294-2025 karta.png", "A 45294-2025")</f>
        <v/>
      </c>
      <c r="V962">
        <f>HYPERLINK("https://klasma.github.io/Logging_2401/klagomål/A 45294-2025 FSC-klagomål.docx", "A 45294-2025")</f>
        <v/>
      </c>
      <c r="W962">
        <f>HYPERLINK("https://klasma.github.io/Logging_2401/klagomålsmail/A 45294-2025 FSC-klagomål mail.docx", "A 45294-2025")</f>
        <v/>
      </c>
      <c r="X962">
        <f>HYPERLINK("https://klasma.github.io/Logging_2401/tillsyn/A 45294-2025 tillsynsbegäran.docx", "A 45294-2025")</f>
        <v/>
      </c>
      <c r="Y962">
        <f>HYPERLINK("https://klasma.github.io/Logging_2401/tillsynsmail/A 45294-2025 tillsynsbegäran mail.docx", "A 45294-2025")</f>
        <v/>
      </c>
    </row>
    <row r="963" ht="15" customHeight="1">
      <c r="A963" t="inlineStr">
        <is>
          <t>A 54741-2023</t>
        </is>
      </c>
      <c r="B963" s="1" t="n">
        <v>45236.40642361111</v>
      </c>
      <c r="C963" s="1" t="n">
        <v>46145</v>
      </c>
      <c r="D963" t="inlineStr">
        <is>
          <t>VÄSTERBOTTENS LÄN</t>
        </is>
      </c>
      <c r="E963" t="inlineStr">
        <is>
          <t>ÅSELE</t>
        </is>
      </c>
      <c r="F963" t="inlineStr">
        <is>
          <t>Sveaskog</t>
        </is>
      </c>
      <c r="G963" t="n">
        <v>23.4</v>
      </c>
      <c r="H963" t="n">
        <v>0</v>
      </c>
      <c r="I963" t="n">
        <v>0</v>
      </c>
      <c r="J963" t="n">
        <v>1</v>
      </c>
      <c r="K963" t="n">
        <v>0</v>
      </c>
      <c r="L963" t="n">
        <v>0</v>
      </c>
      <c r="M963" t="n">
        <v>0</v>
      </c>
      <c r="N963" t="n">
        <v>0</v>
      </c>
      <c r="O963" t="n">
        <v>1</v>
      </c>
      <c r="P963" t="n">
        <v>0</v>
      </c>
      <c r="Q963" t="n">
        <v>1</v>
      </c>
      <c r="R963" s="2" t="inlineStr">
        <is>
          <t>Garnlav</t>
        </is>
      </c>
      <c r="S963">
        <f>HYPERLINK("https://klasma.github.io/Logging_2463/artfynd/A 54741-2023 artfynd.xlsx", "A 54741-2023")</f>
        <v/>
      </c>
      <c r="T963">
        <f>HYPERLINK("https://klasma.github.io/Logging_2463/kartor/A 54741-2023 karta.png", "A 54741-2023")</f>
        <v/>
      </c>
      <c r="V963">
        <f>HYPERLINK("https://klasma.github.io/Logging_2463/klagomål/A 54741-2023 FSC-klagomål.docx", "A 54741-2023")</f>
        <v/>
      </c>
      <c r="W963">
        <f>HYPERLINK("https://klasma.github.io/Logging_2463/klagomålsmail/A 54741-2023 FSC-klagomål mail.docx", "A 54741-2023")</f>
        <v/>
      </c>
      <c r="X963">
        <f>HYPERLINK("https://klasma.github.io/Logging_2463/tillsyn/A 54741-2023 tillsynsbegäran.docx", "A 54741-2023")</f>
        <v/>
      </c>
      <c r="Y963">
        <f>HYPERLINK("https://klasma.github.io/Logging_2463/tillsynsmail/A 54741-2023 tillsynsbegäran mail.docx", "A 54741-2023")</f>
        <v/>
      </c>
    </row>
    <row r="964" ht="15" customHeight="1">
      <c r="A964" t="inlineStr">
        <is>
          <t>A 45754-2025</t>
        </is>
      </c>
      <c r="B964" s="1" t="n">
        <v>45923.50239583333</v>
      </c>
      <c r="C964" s="1" t="n">
        <v>46145</v>
      </c>
      <c r="D964" t="inlineStr">
        <is>
          <t>VÄSTERBOTTENS LÄN</t>
        </is>
      </c>
      <c r="E964" t="inlineStr">
        <is>
          <t>STORUMAN</t>
        </is>
      </c>
      <c r="G964" t="n">
        <v>16.2</v>
      </c>
      <c r="H964" t="n">
        <v>1</v>
      </c>
      <c r="I964" t="n">
        <v>0</v>
      </c>
      <c r="J964" t="n">
        <v>0</v>
      </c>
      <c r="K964" t="n">
        <v>0</v>
      </c>
      <c r="L964" t="n">
        <v>0</v>
      </c>
      <c r="M964" t="n">
        <v>0</v>
      </c>
      <c r="N964" t="n">
        <v>0</v>
      </c>
      <c r="O964" t="n">
        <v>0</v>
      </c>
      <c r="P964" t="n">
        <v>0</v>
      </c>
      <c r="Q964" t="n">
        <v>1</v>
      </c>
      <c r="R964" s="2" t="inlineStr">
        <is>
          <t>Tjäder</t>
        </is>
      </c>
      <c r="S964">
        <f>HYPERLINK("https://klasma.github.io/Logging_2421/artfynd/A 45754-2025 artfynd.xlsx", "A 45754-2025")</f>
        <v/>
      </c>
      <c r="T964">
        <f>HYPERLINK("https://klasma.github.io/Logging_2421/kartor/A 45754-2025 karta.png", "A 45754-2025")</f>
        <v/>
      </c>
      <c r="V964">
        <f>HYPERLINK("https://klasma.github.io/Logging_2421/klagomål/A 45754-2025 FSC-klagomål.docx", "A 45754-2025")</f>
        <v/>
      </c>
      <c r="W964">
        <f>HYPERLINK("https://klasma.github.io/Logging_2421/klagomålsmail/A 45754-2025 FSC-klagomål mail.docx", "A 45754-2025")</f>
        <v/>
      </c>
      <c r="X964">
        <f>HYPERLINK("https://klasma.github.io/Logging_2421/tillsyn/A 45754-2025 tillsynsbegäran.docx", "A 45754-2025")</f>
        <v/>
      </c>
      <c r="Y964">
        <f>HYPERLINK("https://klasma.github.io/Logging_2421/tillsynsmail/A 45754-2025 tillsynsbegäran mail.docx", "A 45754-2025")</f>
        <v/>
      </c>
      <c r="Z964">
        <f>HYPERLINK("https://klasma.github.io/Logging_2421/fåglar/A 45754-2025 prioriterade fågelarter.docx", "A 45754-2025")</f>
        <v/>
      </c>
    </row>
    <row r="965" ht="15" customHeight="1">
      <c r="A965" t="inlineStr">
        <is>
          <t>A 46731-2025</t>
        </is>
      </c>
      <c r="B965" s="1" t="n">
        <v>45926.59231481481</v>
      </c>
      <c r="C965" s="1" t="n">
        <v>46145</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46743-2025</t>
        </is>
      </c>
      <c r="B966" s="1" t="n">
        <v>45926</v>
      </c>
      <c r="C966" s="1" t="n">
        <v>46145</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46249-2025</t>
        </is>
      </c>
      <c r="B967" s="1" t="n">
        <v>45925.34439814815</v>
      </c>
      <c r="C967" s="1" t="n">
        <v>46145</v>
      </c>
      <c r="D967" t="inlineStr">
        <is>
          <t>VÄSTERBOTTENS LÄN</t>
        </is>
      </c>
      <c r="E967" t="inlineStr">
        <is>
          <t>ÅSELE</t>
        </is>
      </c>
      <c r="F967" t="inlineStr">
        <is>
          <t>SCA</t>
        </is>
      </c>
      <c r="G967" t="n">
        <v>16.1</v>
      </c>
      <c r="H967" t="n">
        <v>0</v>
      </c>
      <c r="I967" t="n">
        <v>0</v>
      </c>
      <c r="J967" t="n">
        <v>1</v>
      </c>
      <c r="K967" t="n">
        <v>0</v>
      </c>
      <c r="L967" t="n">
        <v>0</v>
      </c>
      <c r="M967" t="n">
        <v>0</v>
      </c>
      <c r="N967" t="n">
        <v>0</v>
      </c>
      <c r="O967" t="n">
        <v>1</v>
      </c>
      <c r="P967" t="n">
        <v>0</v>
      </c>
      <c r="Q967" t="n">
        <v>1</v>
      </c>
      <c r="R967" s="2" t="inlineStr">
        <is>
          <t>Gammelgransskål</t>
        </is>
      </c>
      <c r="S967">
        <f>HYPERLINK("https://klasma.github.io/Logging_2463/artfynd/A 46249-2025 artfynd.xlsx", "A 46249-2025")</f>
        <v/>
      </c>
      <c r="T967">
        <f>HYPERLINK("https://klasma.github.io/Logging_2463/kartor/A 46249-2025 karta.png", "A 46249-2025")</f>
        <v/>
      </c>
      <c r="V967">
        <f>HYPERLINK("https://klasma.github.io/Logging_2463/klagomål/A 46249-2025 FSC-klagomål.docx", "A 46249-2025")</f>
        <v/>
      </c>
      <c r="W967">
        <f>HYPERLINK("https://klasma.github.io/Logging_2463/klagomålsmail/A 46249-2025 FSC-klagomål mail.docx", "A 46249-2025")</f>
        <v/>
      </c>
      <c r="X967">
        <f>HYPERLINK("https://klasma.github.io/Logging_2463/tillsyn/A 46249-2025 tillsynsbegäran.docx", "A 46249-2025")</f>
        <v/>
      </c>
      <c r="Y967">
        <f>HYPERLINK("https://klasma.github.io/Logging_2463/tillsynsmail/A 46249-2025 tillsynsbegäran mail.docx", "A 46249-2025")</f>
        <v/>
      </c>
    </row>
    <row r="968" ht="15" customHeight="1">
      <c r="A968" t="inlineStr">
        <is>
          <t>A 17091-2025</t>
        </is>
      </c>
      <c r="B968" s="1" t="n">
        <v>45755.64905092592</v>
      </c>
      <c r="C968" s="1" t="n">
        <v>46145</v>
      </c>
      <c r="D968" t="inlineStr">
        <is>
          <t>VÄSTERBOTTENS LÄN</t>
        </is>
      </c>
      <c r="E968" t="inlineStr">
        <is>
          <t>UMEÅ</t>
        </is>
      </c>
      <c r="G968" t="n">
        <v>2.2</v>
      </c>
      <c r="H968" t="n">
        <v>0</v>
      </c>
      <c r="I968" t="n">
        <v>0</v>
      </c>
      <c r="J968" t="n">
        <v>1</v>
      </c>
      <c r="K968" t="n">
        <v>0</v>
      </c>
      <c r="L968" t="n">
        <v>0</v>
      </c>
      <c r="M968" t="n">
        <v>0</v>
      </c>
      <c r="N968" t="n">
        <v>0</v>
      </c>
      <c r="O968" t="n">
        <v>1</v>
      </c>
      <c r="P968" t="n">
        <v>0</v>
      </c>
      <c r="Q968" t="n">
        <v>1</v>
      </c>
      <c r="R968" s="2" t="inlineStr">
        <is>
          <t>Motaggsvamp</t>
        </is>
      </c>
      <c r="S968">
        <f>HYPERLINK("https://klasma.github.io/Logging_2480/artfynd/A 17091-2025 artfynd.xlsx", "A 17091-2025")</f>
        <v/>
      </c>
      <c r="T968">
        <f>HYPERLINK("https://klasma.github.io/Logging_2480/kartor/A 17091-2025 karta.png", "A 17091-2025")</f>
        <v/>
      </c>
      <c r="V968">
        <f>HYPERLINK("https://klasma.github.io/Logging_2480/klagomål/A 17091-2025 FSC-klagomål.docx", "A 17091-2025")</f>
        <v/>
      </c>
      <c r="W968">
        <f>HYPERLINK("https://klasma.github.io/Logging_2480/klagomålsmail/A 17091-2025 FSC-klagomål mail.docx", "A 17091-2025")</f>
        <v/>
      </c>
      <c r="X968">
        <f>HYPERLINK("https://klasma.github.io/Logging_2480/tillsyn/A 17091-2025 tillsynsbegäran.docx", "A 17091-2025")</f>
        <v/>
      </c>
      <c r="Y968">
        <f>HYPERLINK("https://klasma.github.io/Logging_2480/tillsynsmail/A 17091-2025 tillsynsbegäran mail.docx", "A 17091-2025")</f>
        <v/>
      </c>
    </row>
    <row r="969" ht="15" customHeight="1">
      <c r="A969" t="inlineStr">
        <is>
          <t>A 47014-2025</t>
        </is>
      </c>
      <c r="B969" s="1" t="n">
        <v>45929.5741087963</v>
      </c>
      <c r="C969" s="1" t="n">
        <v>46145</v>
      </c>
      <c r="D969" t="inlineStr">
        <is>
          <t>VÄSTERBOTTENS LÄN</t>
        </is>
      </c>
      <c r="E969" t="inlineStr">
        <is>
          <t>BJURHOLM</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HYPERLINK("https://klasma.github.io/Logging_2403/artfynd/A 47014-2025 artfynd.xlsx", "A 47014-2025")</f>
        <v/>
      </c>
      <c r="T969">
        <f>HYPERLINK("https://klasma.github.io/Logging_2403/kartor/A 47014-2025 karta.png", "A 47014-2025")</f>
        <v/>
      </c>
      <c r="V969">
        <f>HYPERLINK("https://klasma.github.io/Logging_2403/klagomål/A 47014-2025 FSC-klagomål.docx", "A 47014-2025")</f>
        <v/>
      </c>
      <c r="W969">
        <f>HYPERLINK("https://klasma.github.io/Logging_2403/klagomålsmail/A 47014-2025 FSC-klagomål mail.docx", "A 47014-2025")</f>
        <v/>
      </c>
      <c r="X969">
        <f>HYPERLINK("https://klasma.github.io/Logging_2403/tillsyn/A 47014-2025 tillsynsbegäran.docx", "A 47014-2025")</f>
        <v/>
      </c>
      <c r="Y969">
        <f>HYPERLINK("https://klasma.github.io/Logging_2403/tillsynsmail/A 47014-2025 tillsynsbegäran mail.docx", "A 47014-2025")</f>
        <v/>
      </c>
    </row>
    <row r="970" ht="15" customHeight="1">
      <c r="A970" t="inlineStr">
        <is>
          <t>A 47354-2025</t>
        </is>
      </c>
      <c r="B970" s="1" t="n">
        <v>45930.57769675926</v>
      </c>
      <c r="C970" s="1" t="n">
        <v>46145</v>
      </c>
      <c r="D970" t="inlineStr">
        <is>
          <t>VÄSTERBOTTENS LÄN</t>
        </is>
      </c>
      <c r="E970" t="inlineStr">
        <is>
          <t>SKELLEFTEÅ</t>
        </is>
      </c>
      <c r="G970" t="n">
        <v>0.5</v>
      </c>
      <c r="H970" t="n">
        <v>1</v>
      </c>
      <c r="I970" t="n">
        <v>0</v>
      </c>
      <c r="J970" t="n">
        <v>0</v>
      </c>
      <c r="K970" t="n">
        <v>0</v>
      </c>
      <c r="L970" t="n">
        <v>0</v>
      </c>
      <c r="M970" t="n">
        <v>0</v>
      </c>
      <c r="N970" t="n">
        <v>0</v>
      </c>
      <c r="O970" t="n">
        <v>0</v>
      </c>
      <c r="P970" t="n">
        <v>0</v>
      </c>
      <c r="Q970" t="n">
        <v>1</v>
      </c>
      <c r="R970" s="2" t="inlineStr">
        <is>
          <t>Mindre vattensalamander</t>
        </is>
      </c>
      <c r="S970">
        <f>HYPERLINK("https://klasma.github.io/Logging_2482/artfynd/A 47354-2025 artfynd.xlsx", "A 47354-2025")</f>
        <v/>
      </c>
      <c r="T970">
        <f>HYPERLINK("https://klasma.github.io/Logging_2482/kartor/A 47354-2025 karta.png", "A 47354-2025")</f>
        <v/>
      </c>
      <c r="V970">
        <f>HYPERLINK("https://klasma.github.io/Logging_2482/klagomål/A 47354-2025 FSC-klagomål.docx", "A 47354-2025")</f>
        <v/>
      </c>
      <c r="W970">
        <f>HYPERLINK("https://klasma.github.io/Logging_2482/klagomålsmail/A 47354-2025 FSC-klagomål mail.docx", "A 47354-2025")</f>
        <v/>
      </c>
      <c r="X970">
        <f>HYPERLINK("https://klasma.github.io/Logging_2482/tillsyn/A 47354-2025 tillsynsbegäran.docx", "A 47354-2025")</f>
        <v/>
      </c>
      <c r="Y970">
        <f>HYPERLINK("https://klasma.github.io/Logging_2482/tillsynsmail/A 47354-2025 tillsynsbegäran mail.docx", "A 47354-2025")</f>
        <v/>
      </c>
    </row>
    <row r="971" ht="15" customHeight="1">
      <c r="A971" t="inlineStr">
        <is>
          <t>A 47454-2025</t>
        </is>
      </c>
      <c r="B971" s="1" t="n">
        <v>45930.65238425926</v>
      </c>
      <c r="C971" s="1" t="n">
        <v>46145</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10945-2025</t>
        </is>
      </c>
      <c r="B972" s="1" t="n">
        <v>45723.33811342593</v>
      </c>
      <c r="C972" s="1" t="n">
        <v>46145</v>
      </c>
      <c r="D972" t="inlineStr">
        <is>
          <t>VÄSTERBOTTENS LÄN</t>
        </is>
      </c>
      <c r="E972" t="inlineStr">
        <is>
          <t>UMEÅ</t>
        </is>
      </c>
      <c r="G972" t="n">
        <v>1.6</v>
      </c>
      <c r="H972" t="n">
        <v>0</v>
      </c>
      <c r="I972" t="n">
        <v>0</v>
      </c>
      <c r="J972" t="n">
        <v>1</v>
      </c>
      <c r="K972" t="n">
        <v>0</v>
      </c>
      <c r="L972" t="n">
        <v>0</v>
      </c>
      <c r="M972" t="n">
        <v>0</v>
      </c>
      <c r="N972" t="n">
        <v>0</v>
      </c>
      <c r="O972" t="n">
        <v>1</v>
      </c>
      <c r="P972" t="n">
        <v>0</v>
      </c>
      <c r="Q972" t="n">
        <v>1</v>
      </c>
      <c r="R972" s="2" t="inlineStr">
        <is>
          <t>Garnlav</t>
        </is>
      </c>
      <c r="S972">
        <f>HYPERLINK("https://klasma.github.io/Logging_2480/artfynd/A 10945-2025 artfynd.xlsx", "A 10945-2025")</f>
        <v/>
      </c>
      <c r="T972">
        <f>HYPERLINK("https://klasma.github.io/Logging_2480/kartor/A 10945-2025 karta.png", "A 10945-2025")</f>
        <v/>
      </c>
      <c r="V972">
        <f>HYPERLINK("https://klasma.github.io/Logging_2480/klagomål/A 10945-2025 FSC-klagomål.docx", "A 10945-2025")</f>
        <v/>
      </c>
      <c r="W972">
        <f>HYPERLINK("https://klasma.github.io/Logging_2480/klagomålsmail/A 10945-2025 FSC-klagomål mail.docx", "A 10945-2025")</f>
        <v/>
      </c>
      <c r="X972">
        <f>HYPERLINK("https://klasma.github.io/Logging_2480/tillsyn/A 10945-2025 tillsynsbegäran.docx", "A 10945-2025")</f>
        <v/>
      </c>
      <c r="Y972">
        <f>HYPERLINK("https://klasma.github.io/Logging_2480/tillsynsmail/A 10945-2025 tillsynsbegäran mail.docx", "A 10945-2025")</f>
        <v/>
      </c>
    </row>
    <row r="973" ht="15" customHeight="1">
      <c r="A973" t="inlineStr">
        <is>
          <t>A 23330-2023</t>
        </is>
      </c>
      <c r="B973" s="1" t="n">
        <v>45071</v>
      </c>
      <c r="C973" s="1" t="n">
        <v>46145</v>
      </c>
      <c r="D973" t="inlineStr">
        <is>
          <t>VÄSTERBOTTENS LÄN</t>
        </is>
      </c>
      <c r="E973" t="inlineStr">
        <is>
          <t>SORSELE</t>
        </is>
      </c>
      <c r="G973" t="n">
        <v>3.2</v>
      </c>
      <c r="H973" t="n">
        <v>0</v>
      </c>
      <c r="I973" t="n">
        <v>1</v>
      </c>
      <c r="J973" t="n">
        <v>0</v>
      </c>
      <c r="K973" t="n">
        <v>0</v>
      </c>
      <c r="L973" t="n">
        <v>0</v>
      </c>
      <c r="M973" t="n">
        <v>0</v>
      </c>
      <c r="N973" t="n">
        <v>0</v>
      </c>
      <c r="O973" t="n">
        <v>0</v>
      </c>
      <c r="P973" t="n">
        <v>0</v>
      </c>
      <c r="Q973" t="n">
        <v>1</v>
      </c>
      <c r="R973" s="2" t="inlineStr">
        <is>
          <t>Vedticka</t>
        </is>
      </c>
      <c r="S973">
        <f>HYPERLINK("https://klasma.github.io/Logging_2422/artfynd/A 23330-2023 artfynd.xlsx", "A 23330-2023")</f>
        <v/>
      </c>
      <c r="T973">
        <f>HYPERLINK("https://klasma.github.io/Logging_2422/kartor/A 23330-2023 karta.png", "A 23330-2023")</f>
        <v/>
      </c>
      <c r="V973">
        <f>HYPERLINK("https://klasma.github.io/Logging_2422/klagomål/A 23330-2023 FSC-klagomål.docx", "A 23330-2023")</f>
        <v/>
      </c>
      <c r="W973">
        <f>HYPERLINK("https://klasma.github.io/Logging_2422/klagomålsmail/A 23330-2023 FSC-klagomål mail.docx", "A 23330-2023")</f>
        <v/>
      </c>
      <c r="X973">
        <f>HYPERLINK("https://klasma.github.io/Logging_2422/tillsyn/A 23330-2023 tillsynsbegäran.docx", "A 23330-2023")</f>
        <v/>
      </c>
      <c r="Y973">
        <f>HYPERLINK("https://klasma.github.io/Logging_2422/tillsynsmail/A 23330-2023 tillsynsbegäran mail.docx", "A 23330-2023")</f>
        <v/>
      </c>
    </row>
    <row r="974" ht="15" customHeight="1">
      <c r="A974" t="inlineStr">
        <is>
          <t>A 36318-2024</t>
        </is>
      </c>
      <c r="B974" s="1" t="n">
        <v>45534</v>
      </c>
      <c r="C974" s="1" t="n">
        <v>46145</v>
      </c>
      <c r="D974" t="inlineStr">
        <is>
          <t>VÄSTERBOTTENS LÄN</t>
        </is>
      </c>
      <c r="E974" t="inlineStr">
        <is>
          <t>DOROTEA</t>
        </is>
      </c>
      <c r="F974" t="inlineStr">
        <is>
          <t>SCA</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HYPERLINK("https://klasma.github.io/Logging_2425/artfynd/A 36318-2024 artfynd.xlsx", "A 36318-2024")</f>
        <v/>
      </c>
      <c r="T974">
        <f>HYPERLINK("https://klasma.github.io/Logging_2425/kartor/A 36318-2024 karta.png", "A 36318-2024")</f>
        <v/>
      </c>
      <c r="V974">
        <f>HYPERLINK("https://klasma.github.io/Logging_2425/klagomål/A 36318-2024 FSC-klagomål.docx", "A 36318-2024")</f>
        <v/>
      </c>
      <c r="W974">
        <f>HYPERLINK("https://klasma.github.io/Logging_2425/klagomålsmail/A 36318-2024 FSC-klagomål mail.docx", "A 36318-2024")</f>
        <v/>
      </c>
      <c r="X974">
        <f>HYPERLINK("https://klasma.github.io/Logging_2425/tillsyn/A 36318-2024 tillsynsbegäran.docx", "A 36318-2024")</f>
        <v/>
      </c>
      <c r="Y974">
        <f>HYPERLINK("https://klasma.github.io/Logging_2425/tillsynsmail/A 36318-2024 tillsynsbegäran mail.docx", "A 36318-2024")</f>
        <v/>
      </c>
    </row>
    <row r="975" ht="15" customHeight="1">
      <c r="A975" t="inlineStr">
        <is>
          <t>A 42835-2025</t>
        </is>
      </c>
      <c r="B975" s="1" t="n">
        <v>45908</v>
      </c>
      <c r="C975" s="1" t="n">
        <v>46145</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47835-2025</t>
        </is>
      </c>
      <c r="B976" s="1" t="n">
        <v>45932.36537037037</v>
      </c>
      <c r="C976" s="1" t="n">
        <v>46145</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48651-2025</t>
        </is>
      </c>
      <c r="B977" s="1" t="n">
        <v>45936.55251157407</v>
      </c>
      <c r="C977" s="1" t="n">
        <v>46145</v>
      </c>
      <c r="D977" t="inlineStr">
        <is>
          <t>VÄSTERBOTTENS LÄN</t>
        </is>
      </c>
      <c r="E977" t="inlineStr">
        <is>
          <t>VILHELMINA</t>
        </is>
      </c>
      <c r="F977" t="inlineStr">
        <is>
          <t>SCA</t>
        </is>
      </c>
      <c r="G977" t="n">
        <v>2.2</v>
      </c>
      <c r="H977" t="n">
        <v>1</v>
      </c>
      <c r="I977" t="n">
        <v>0</v>
      </c>
      <c r="J977" t="n">
        <v>0</v>
      </c>
      <c r="K977" t="n">
        <v>0</v>
      </c>
      <c r="L977" t="n">
        <v>0</v>
      </c>
      <c r="M977" t="n">
        <v>0</v>
      </c>
      <c r="N977" t="n">
        <v>0</v>
      </c>
      <c r="O977" t="n">
        <v>0</v>
      </c>
      <c r="P977" t="n">
        <v>0</v>
      </c>
      <c r="Q977" t="n">
        <v>1</v>
      </c>
      <c r="R977" s="2" t="inlineStr">
        <is>
          <t>Orre</t>
        </is>
      </c>
      <c r="S977">
        <f>HYPERLINK("https://klasma.github.io/Logging_2462/artfynd/A 48651-2025 artfynd.xlsx", "A 48651-2025")</f>
        <v/>
      </c>
      <c r="T977">
        <f>HYPERLINK("https://klasma.github.io/Logging_2462/kartor/A 48651-2025 karta.png", "A 48651-2025")</f>
        <v/>
      </c>
      <c r="V977">
        <f>HYPERLINK("https://klasma.github.io/Logging_2462/klagomål/A 48651-2025 FSC-klagomål.docx", "A 48651-2025")</f>
        <v/>
      </c>
      <c r="W977">
        <f>HYPERLINK("https://klasma.github.io/Logging_2462/klagomålsmail/A 48651-2025 FSC-klagomål mail.docx", "A 48651-2025")</f>
        <v/>
      </c>
      <c r="X977">
        <f>HYPERLINK("https://klasma.github.io/Logging_2462/tillsyn/A 48651-2025 tillsynsbegäran.docx", "A 48651-2025")</f>
        <v/>
      </c>
      <c r="Y977">
        <f>HYPERLINK("https://klasma.github.io/Logging_2462/tillsynsmail/A 48651-2025 tillsynsbegäran mail.docx", "A 48651-2025")</f>
        <v/>
      </c>
      <c r="Z977">
        <f>HYPERLINK("https://klasma.github.io/Logging_2462/fåglar/A 48651-2025 prioriterade fågelarter.docx", "A 48651-2025")</f>
        <v/>
      </c>
    </row>
    <row r="978" ht="15" customHeight="1">
      <c r="A978" t="inlineStr">
        <is>
          <t>A 28448-2023</t>
        </is>
      </c>
      <c r="B978" s="1" t="n">
        <v>45103</v>
      </c>
      <c r="C978" s="1" t="n">
        <v>46145</v>
      </c>
      <c r="D978" t="inlineStr">
        <is>
          <t>VÄSTERBOTTENS LÄN</t>
        </is>
      </c>
      <c r="E978" t="inlineStr">
        <is>
          <t>SKELLEFTEÅ</t>
        </is>
      </c>
      <c r="F978" t="inlineStr">
        <is>
          <t>Kyrkan</t>
        </is>
      </c>
      <c r="G978" t="n">
        <v>9.4</v>
      </c>
      <c r="H978" t="n">
        <v>0</v>
      </c>
      <c r="I978" t="n">
        <v>0</v>
      </c>
      <c r="J978" t="n">
        <v>1</v>
      </c>
      <c r="K978" t="n">
        <v>0</v>
      </c>
      <c r="L978" t="n">
        <v>0</v>
      </c>
      <c r="M978" t="n">
        <v>0</v>
      </c>
      <c r="N978" t="n">
        <v>0</v>
      </c>
      <c r="O978" t="n">
        <v>1</v>
      </c>
      <c r="P978" t="n">
        <v>0</v>
      </c>
      <c r="Q978" t="n">
        <v>1</v>
      </c>
      <c r="R978" s="2" t="inlineStr">
        <is>
          <t>Tallriska</t>
        </is>
      </c>
      <c r="S978">
        <f>HYPERLINK("https://klasma.github.io/Logging_2482/artfynd/A 28448-2023 artfynd.xlsx", "A 28448-2023")</f>
        <v/>
      </c>
      <c r="T978">
        <f>HYPERLINK("https://klasma.github.io/Logging_2482/kartor/A 28448-2023 karta.png", "A 28448-2023")</f>
        <v/>
      </c>
      <c r="V978">
        <f>HYPERLINK("https://klasma.github.io/Logging_2482/klagomål/A 28448-2023 FSC-klagomål.docx", "A 28448-2023")</f>
        <v/>
      </c>
      <c r="W978">
        <f>HYPERLINK("https://klasma.github.io/Logging_2482/klagomålsmail/A 28448-2023 FSC-klagomål mail.docx", "A 28448-2023")</f>
        <v/>
      </c>
      <c r="X978">
        <f>HYPERLINK("https://klasma.github.io/Logging_2482/tillsyn/A 28448-2023 tillsynsbegäran.docx", "A 28448-2023")</f>
        <v/>
      </c>
      <c r="Y978">
        <f>HYPERLINK("https://klasma.github.io/Logging_2482/tillsynsmail/A 28448-2023 tillsynsbegäran mail.docx", "A 28448-2023")</f>
        <v/>
      </c>
    </row>
    <row r="979" ht="15" customHeight="1">
      <c r="A979" t="inlineStr">
        <is>
          <t>A 48594-2025</t>
        </is>
      </c>
      <c r="B979" s="1" t="n">
        <v>45936.46305555556</v>
      </c>
      <c r="C979" s="1" t="n">
        <v>46145</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49050-2025</t>
        </is>
      </c>
      <c r="B980" s="1" t="n">
        <v>45937.63756944444</v>
      </c>
      <c r="C980" s="1" t="n">
        <v>46145</v>
      </c>
      <c r="D980" t="inlineStr">
        <is>
          <t>VÄSTERBOTTENS LÄN</t>
        </is>
      </c>
      <c r="E980" t="inlineStr">
        <is>
          <t>ÅSELE</t>
        </is>
      </c>
      <c r="F980" t="inlineStr">
        <is>
          <t>SCA</t>
        </is>
      </c>
      <c r="G980" t="n">
        <v>9.300000000000001</v>
      </c>
      <c r="H980" t="n">
        <v>1</v>
      </c>
      <c r="I980" t="n">
        <v>0</v>
      </c>
      <c r="J980" t="n">
        <v>0</v>
      </c>
      <c r="K980" t="n">
        <v>0</v>
      </c>
      <c r="L980" t="n">
        <v>0</v>
      </c>
      <c r="M980" t="n">
        <v>0</v>
      </c>
      <c r="N980" t="n">
        <v>0</v>
      </c>
      <c r="O980" t="n">
        <v>0</v>
      </c>
      <c r="P980" t="n">
        <v>0</v>
      </c>
      <c r="Q980" t="n">
        <v>1</v>
      </c>
      <c r="R980" s="2" t="inlineStr">
        <is>
          <t>Orre</t>
        </is>
      </c>
      <c r="S980">
        <f>HYPERLINK("https://klasma.github.io/Logging_2463/artfynd/A 49050-2025 artfynd.xlsx", "A 49050-2025")</f>
        <v/>
      </c>
      <c r="T980">
        <f>HYPERLINK("https://klasma.github.io/Logging_2463/kartor/A 49050-2025 karta.png", "A 49050-2025")</f>
        <v/>
      </c>
      <c r="V980">
        <f>HYPERLINK("https://klasma.github.io/Logging_2463/klagomål/A 49050-2025 FSC-klagomål.docx", "A 49050-2025")</f>
        <v/>
      </c>
      <c r="W980">
        <f>HYPERLINK("https://klasma.github.io/Logging_2463/klagomålsmail/A 49050-2025 FSC-klagomål mail.docx", "A 49050-2025")</f>
        <v/>
      </c>
      <c r="X980">
        <f>HYPERLINK("https://klasma.github.io/Logging_2463/tillsyn/A 49050-2025 tillsynsbegäran.docx", "A 49050-2025")</f>
        <v/>
      </c>
      <c r="Y980">
        <f>HYPERLINK("https://klasma.github.io/Logging_2463/tillsynsmail/A 49050-2025 tillsynsbegäran mail.docx", "A 49050-2025")</f>
        <v/>
      </c>
      <c r="Z980">
        <f>HYPERLINK("https://klasma.github.io/Logging_2463/fåglar/A 49050-2025 prioriterade fågelarter.docx", "A 49050-2025")</f>
        <v/>
      </c>
    </row>
    <row r="981" ht="15" customHeight="1">
      <c r="A981" t="inlineStr">
        <is>
          <t>A 36628-2023</t>
        </is>
      </c>
      <c r="B981" s="1" t="n">
        <v>45153</v>
      </c>
      <c r="C981" s="1" t="n">
        <v>46145</v>
      </c>
      <c r="D981" t="inlineStr">
        <is>
          <t>VÄSTERBOTTENS LÄN</t>
        </is>
      </c>
      <c r="E981" t="inlineStr">
        <is>
          <t>SKELLEFTEÅ</t>
        </is>
      </c>
      <c r="F981" t="inlineStr">
        <is>
          <t>Holmen skog AB</t>
        </is>
      </c>
      <c r="G981" t="n">
        <v>4.6</v>
      </c>
      <c r="H981" t="n">
        <v>0</v>
      </c>
      <c r="I981" t="n">
        <v>0</v>
      </c>
      <c r="J981" t="n">
        <v>1</v>
      </c>
      <c r="K981" t="n">
        <v>0</v>
      </c>
      <c r="L981" t="n">
        <v>0</v>
      </c>
      <c r="M981" t="n">
        <v>0</v>
      </c>
      <c r="N981" t="n">
        <v>0</v>
      </c>
      <c r="O981" t="n">
        <v>1</v>
      </c>
      <c r="P981" t="n">
        <v>0</v>
      </c>
      <c r="Q981" t="n">
        <v>1</v>
      </c>
      <c r="R981" s="2" t="inlineStr">
        <is>
          <t>Gultoppig fingersvamp</t>
        </is>
      </c>
      <c r="S981">
        <f>HYPERLINK("https://klasma.github.io/Logging_2482/artfynd/A 36628-2023 artfynd.xlsx", "A 36628-2023")</f>
        <v/>
      </c>
      <c r="T981">
        <f>HYPERLINK("https://klasma.github.io/Logging_2482/kartor/A 36628-2023 karta.png", "A 36628-2023")</f>
        <v/>
      </c>
      <c r="V981">
        <f>HYPERLINK("https://klasma.github.io/Logging_2482/klagomål/A 36628-2023 FSC-klagomål.docx", "A 36628-2023")</f>
        <v/>
      </c>
      <c r="W981">
        <f>HYPERLINK("https://klasma.github.io/Logging_2482/klagomålsmail/A 36628-2023 FSC-klagomål mail.docx", "A 36628-2023")</f>
        <v/>
      </c>
      <c r="X981">
        <f>HYPERLINK("https://klasma.github.io/Logging_2482/tillsyn/A 36628-2023 tillsynsbegäran.docx", "A 36628-2023")</f>
        <v/>
      </c>
      <c r="Y981">
        <f>HYPERLINK("https://klasma.github.io/Logging_2482/tillsynsmail/A 36628-2023 tillsynsbegäran mail.docx", "A 36628-2023")</f>
        <v/>
      </c>
    </row>
    <row r="982" ht="15" customHeight="1">
      <c r="A982" t="inlineStr">
        <is>
          <t>A 46666-2024</t>
        </is>
      </c>
      <c r="B982" s="1" t="n">
        <v>45583.37048611111</v>
      </c>
      <c r="C982" s="1" t="n">
        <v>46145</v>
      </c>
      <c r="D982" t="inlineStr">
        <is>
          <t>VÄSTERBOTTENS LÄN</t>
        </is>
      </c>
      <c r="E982" t="inlineStr">
        <is>
          <t>NORSJÖ</t>
        </is>
      </c>
      <c r="F982" t="inlineStr">
        <is>
          <t>Sveaskog</t>
        </is>
      </c>
      <c r="G982" t="n">
        <v>6.7</v>
      </c>
      <c r="H982" t="n">
        <v>0</v>
      </c>
      <c r="I982" t="n">
        <v>1</v>
      </c>
      <c r="J982" t="n">
        <v>0</v>
      </c>
      <c r="K982" t="n">
        <v>0</v>
      </c>
      <c r="L982" t="n">
        <v>0</v>
      </c>
      <c r="M982" t="n">
        <v>0</v>
      </c>
      <c r="N982" t="n">
        <v>0</v>
      </c>
      <c r="O982" t="n">
        <v>0</v>
      </c>
      <c r="P982" t="n">
        <v>0</v>
      </c>
      <c r="Q982" t="n">
        <v>1</v>
      </c>
      <c r="R982" s="2" t="inlineStr">
        <is>
          <t>Dropptaggsvamp</t>
        </is>
      </c>
      <c r="S982">
        <f>HYPERLINK("https://klasma.github.io/Logging_2417/artfynd/A 46666-2024 artfynd.xlsx", "A 46666-2024")</f>
        <v/>
      </c>
      <c r="T982">
        <f>HYPERLINK("https://klasma.github.io/Logging_2417/kartor/A 46666-2024 karta.png", "A 46666-2024")</f>
        <v/>
      </c>
      <c r="V982">
        <f>HYPERLINK("https://klasma.github.io/Logging_2417/klagomål/A 46666-2024 FSC-klagomål.docx", "A 46666-2024")</f>
        <v/>
      </c>
      <c r="W982">
        <f>HYPERLINK("https://klasma.github.io/Logging_2417/klagomålsmail/A 46666-2024 FSC-klagomål mail.docx", "A 46666-2024")</f>
        <v/>
      </c>
      <c r="X982">
        <f>HYPERLINK("https://klasma.github.io/Logging_2417/tillsyn/A 46666-2024 tillsynsbegäran.docx", "A 46666-2024")</f>
        <v/>
      </c>
      <c r="Y982">
        <f>HYPERLINK("https://klasma.github.io/Logging_2417/tillsynsmail/A 46666-2024 tillsynsbegäran mail.docx", "A 46666-2024")</f>
        <v/>
      </c>
    </row>
    <row r="983" ht="15" customHeight="1">
      <c r="A983" t="inlineStr">
        <is>
          <t>A 49256-2025</t>
        </is>
      </c>
      <c r="B983" s="1" t="n">
        <v>45938.49196759259</v>
      </c>
      <c r="C983" s="1" t="n">
        <v>46145</v>
      </c>
      <c r="D983" t="inlineStr">
        <is>
          <t>VÄSTERBOTTENS LÄN</t>
        </is>
      </c>
      <c r="E983" t="inlineStr">
        <is>
          <t>DOROTEA</t>
        </is>
      </c>
      <c r="F983" t="inlineStr">
        <is>
          <t>SCA</t>
        </is>
      </c>
      <c r="G983" t="n">
        <v>15.7</v>
      </c>
      <c r="H983" t="n">
        <v>0</v>
      </c>
      <c r="I983" t="n">
        <v>1</v>
      </c>
      <c r="J983" t="n">
        <v>0</v>
      </c>
      <c r="K983" t="n">
        <v>0</v>
      </c>
      <c r="L983" t="n">
        <v>0</v>
      </c>
      <c r="M983" t="n">
        <v>0</v>
      </c>
      <c r="N983" t="n">
        <v>0</v>
      </c>
      <c r="O983" t="n">
        <v>0</v>
      </c>
      <c r="P983" t="n">
        <v>0</v>
      </c>
      <c r="Q983" t="n">
        <v>1</v>
      </c>
      <c r="R983" s="2" t="inlineStr">
        <is>
          <t>Skinnlav</t>
        </is>
      </c>
      <c r="S983">
        <f>HYPERLINK("https://klasma.github.io/Logging_2425/artfynd/A 49256-2025 artfynd.xlsx", "A 49256-2025")</f>
        <v/>
      </c>
      <c r="T983">
        <f>HYPERLINK("https://klasma.github.io/Logging_2425/kartor/A 49256-2025 karta.png", "A 49256-2025")</f>
        <v/>
      </c>
      <c r="V983">
        <f>HYPERLINK("https://klasma.github.io/Logging_2425/klagomål/A 49256-2025 FSC-klagomål.docx", "A 49256-2025")</f>
        <v/>
      </c>
      <c r="W983">
        <f>HYPERLINK("https://klasma.github.io/Logging_2425/klagomålsmail/A 49256-2025 FSC-klagomål mail.docx", "A 49256-2025")</f>
        <v/>
      </c>
      <c r="X983">
        <f>HYPERLINK("https://klasma.github.io/Logging_2425/tillsyn/A 49256-2025 tillsynsbegäran.docx", "A 49256-2025")</f>
        <v/>
      </c>
      <c r="Y983">
        <f>HYPERLINK("https://klasma.github.io/Logging_2425/tillsynsmail/A 49256-2025 tillsynsbegäran mail.docx", "A 49256-2025")</f>
        <v/>
      </c>
    </row>
    <row r="984" ht="15" customHeight="1">
      <c r="A984" t="inlineStr">
        <is>
          <t>A 49363-2025</t>
        </is>
      </c>
      <c r="B984" s="1" t="n">
        <v>45938.61984953703</v>
      </c>
      <c r="C984" s="1" t="n">
        <v>46145</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48895-2025</t>
        </is>
      </c>
      <c r="B985" s="1" t="n">
        <v>45937.47490740741</v>
      </c>
      <c r="C985" s="1" t="n">
        <v>46145</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46145</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46145</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49497-2025</t>
        </is>
      </c>
      <c r="B988" s="1" t="n">
        <v>45939.36646990741</v>
      </c>
      <c r="C988" s="1" t="n">
        <v>46145</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44195-2024</t>
        </is>
      </c>
      <c r="B989" s="1" t="n">
        <v>45573</v>
      </c>
      <c r="C989" s="1" t="n">
        <v>46145</v>
      </c>
      <c r="D989" t="inlineStr">
        <is>
          <t>VÄSTERBOTTENS LÄN</t>
        </is>
      </c>
      <c r="E989" t="inlineStr">
        <is>
          <t>NORDMALING</t>
        </is>
      </c>
      <c r="G989" t="n">
        <v>8.4</v>
      </c>
      <c r="H989" t="n">
        <v>0</v>
      </c>
      <c r="I989" t="n">
        <v>0</v>
      </c>
      <c r="J989" t="n">
        <v>1</v>
      </c>
      <c r="K989" t="n">
        <v>0</v>
      </c>
      <c r="L989" t="n">
        <v>0</v>
      </c>
      <c r="M989" t="n">
        <v>0</v>
      </c>
      <c r="N989" t="n">
        <v>0</v>
      </c>
      <c r="O989" t="n">
        <v>1</v>
      </c>
      <c r="P989" t="n">
        <v>0</v>
      </c>
      <c r="Q989" t="n">
        <v>1</v>
      </c>
      <c r="R989" s="2" t="inlineStr">
        <is>
          <t>Lunglav</t>
        </is>
      </c>
      <c r="S989">
        <f>HYPERLINK("https://klasma.github.io/Logging_2401/artfynd/A 44195-2024 artfynd.xlsx", "A 44195-2024")</f>
        <v/>
      </c>
      <c r="T989">
        <f>HYPERLINK("https://klasma.github.io/Logging_2401/kartor/A 44195-2024 karta.png", "A 44195-2024")</f>
        <v/>
      </c>
      <c r="V989">
        <f>HYPERLINK("https://klasma.github.io/Logging_2401/klagomål/A 44195-2024 FSC-klagomål.docx", "A 44195-2024")</f>
        <v/>
      </c>
      <c r="W989">
        <f>HYPERLINK("https://klasma.github.io/Logging_2401/klagomålsmail/A 44195-2024 FSC-klagomål mail.docx", "A 44195-2024")</f>
        <v/>
      </c>
      <c r="X989">
        <f>HYPERLINK("https://klasma.github.io/Logging_2401/tillsyn/A 44195-2024 tillsynsbegäran.docx", "A 44195-2024")</f>
        <v/>
      </c>
      <c r="Y989">
        <f>HYPERLINK("https://klasma.github.io/Logging_2401/tillsynsmail/A 44195-2024 tillsynsbegäran mail.docx", "A 44195-2024")</f>
        <v/>
      </c>
    </row>
    <row r="990" ht="15" customHeight="1">
      <c r="A990" t="inlineStr">
        <is>
          <t>A 61867-2024</t>
        </is>
      </c>
      <c r="B990" s="1" t="n">
        <v>45651.46909722222</v>
      </c>
      <c r="C990" s="1" t="n">
        <v>46145</v>
      </c>
      <c r="D990" t="inlineStr">
        <is>
          <t>VÄSTERBOTTENS LÄN</t>
        </is>
      </c>
      <c r="E990" t="inlineStr">
        <is>
          <t>NORDMALING</t>
        </is>
      </c>
      <c r="F990" t="inlineStr">
        <is>
          <t>SCA</t>
        </is>
      </c>
      <c r="G990" t="n">
        <v>4.5</v>
      </c>
      <c r="H990" t="n">
        <v>0</v>
      </c>
      <c r="I990" t="n">
        <v>0</v>
      </c>
      <c r="J990" t="n">
        <v>1</v>
      </c>
      <c r="K990" t="n">
        <v>0</v>
      </c>
      <c r="L990" t="n">
        <v>0</v>
      </c>
      <c r="M990" t="n">
        <v>0</v>
      </c>
      <c r="N990" t="n">
        <v>0</v>
      </c>
      <c r="O990" t="n">
        <v>1</v>
      </c>
      <c r="P990" t="n">
        <v>0</v>
      </c>
      <c r="Q990" t="n">
        <v>1</v>
      </c>
      <c r="R990" s="2" t="inlineStr">
        <is>
          <t>Tallticka</t>
        </is>
      </c>
      <c r="S990">
        <f>HYPERLINK("https://klasma.github.io/Logging_2401/artfynd/A 61867-2024 artfynd.xlsx", "A 61867-2024")</f>
        <v/>
      </c>
      <c r="T990">
        <f>HYPERLINK("https://klasma.github.io/Logging_2401/kartor/A 61867-2024 karta.png", "A 61867-2024")</f>
        <v/>
      </c>
      <c r="V990">
        <f>HYPERLINK("https://klasma.github.io/Logging_2401/klagomål/A 61867-2024 FSC-klagomål.docx", "A 61867-2024")</f>
        <v/>
      </c>
      <c r="W990">
        <f>HYPERLINK("https://klasma.github.io/Logging_2401/klagomålsmail/A 61867-2024 FSC-klagomål mail.docx", "A 61867-2024")</f>
        <v/>
      </c>
      <c r="X990">
        <f>HYPERLINK("https://klasma.github.io/Logging_2401/tillsyn/A 61867-2024 tillsynsbegäran.docx", "A 61867-2024")</f>
        <v/>
      </c>
      <c r="Y990">
        <f>HYPERLINK("https://klasma.github.io/Logging_2401/tillsynsmail/A 61867-2024 tillsynsbegäran mail.docx", "A 61867-2024")</f>
        <v/>
      </c>
    </row>
    <row r="991" ht="15" customHeight="1">
      <c r="A991" t="inlineStr">
        <is>
          <t>A 28262-2023</t>
        </is>
      </c>
      <c r="B991" s="1" t="n">
        <v>45099</v>
      </c>
      <c r="C991" s="1" t="n">
        <v>46145</v>
      </c>
      <c r="D991" t="inlineStr">
        <is>
          <t>VÄSTERBOTTENS LÄN</t>
        </is>
      </c>
      <c r="E991" t="inlineStr">
        <is>
          <t>UMEÅ</t>
        </is>
      </c>
      <c r="F991" t="inlineStr">
        <is>
          <t>Holmen skog AB</t>
        </is>
      </c>
      <c r="G991" t="n">
        <v>2.6</v>
      </c>
      <c r="H991" t="n">
        <v>0</v>
      </c>
      <c r="I991" t="n">
        <v>1</v>
      </c>
      <c r="J991" t="n">
        <v>0</v>
      </c>
      <c r="K991" t="n">
        <v>0</v>
      </c>
      <c r="L991" t="n">
        <v>0</v>
      </c>
      <c r="M991" t="n">
        <v>0</v>
      </c>
      <c r="N991" t="n">
        <v>0</v>
      </c>
      <c r="O991" t="n">
        <v>0</v>
      </c>
      <c r="P991" t="n">
        <v>0</v>
      </c>
      <c r="Q991" t="n">
        <v>1</v>
      </c>
      <c r="R991" s="2" t="inlineStr">
        <is>
          <t>Gulskölding</t>
        </is>
      </c>
      <c r="S991">
        <f>HYPERLINK("https://klasma.github.io/Logging_2480/artfynd/A 28262-2023 artfynd.xlsx", "A 28262-2023")</f>
        <v/>
      </c>
      <c r="T991">
        <f>HYPERLINK("https://klasma.github.io/Logging_2480/kartor/A 28262-2023 karta.png", "A 28262-2023")</f>
        <v/>
      </c>
      <c r="V991">
        <f>HYPERLINK("https://klasma.github.io/Logging_2480/klagomål/A 28262-2023 FSC-klagomål.docx", "A 28262-2023")</f>
        <v/>
      </c>
      <c r="W991">
        <f>HYPERLINK("https://klasma.github.io/Logging_2480/klagomålsmail/A 28262-2023 FSC-klagomål mail.docx", "A 28262-2023")</f>
        <v/>
      </c>
      <c r="X991">
        <f>HYPERLINK("https://klasma.github.io/Logging_2480/tillsyn/A 28262-2023 tillsynsbegäran.docx", "A 28262-2023")</f>
        <v/>
      </c>
      <c r="Y991">
        <f>HYPERLINK("https://klasma.github.io/Logging_2480/tillsynsmail/A 28262-2023 tillsynsbegäran mail.docx", "A 28262-2023")</f>
        <v/>
      </c>
    </row>
    <row r="992" ht="15" customHeight="1">
      <c r="A992" t="inlineStr">
        <is>
          <t>A 50292-2025</t>
        </is>
      </c>
      <c r="B992" s="1" t="n">
        <v>45944.40802083333</v>
      </c>
      <c r="C992" s="1" t="n">
        <v>46145</v>
      </c>
      <c r="D992" t="inlineStr">
        <is>
          <t>VÄSTERBOTTENS LÄN</t>
        </is>
      </c>
      <c r="E992" t="inlineStr">
        <is>
          <t>VINDELN</t>
        </is>
      </c>
      <c r="G992" t="n">
        <v>10.1</v>
      </c>
      <c r="H992" t="n">
        <v>1</v>
      </c>
      <c r="I992" t="n">
        <v>0</v>
      </c>
      <c r="J992" t="n">
        <v>1</v>
      </c>
      <c r="K992" t="n">
        <v>0</v>
      </c>
      <c r="L992" t="n">
        <v>0</v>
      </c>
      <c r="M992" t="n">
        <v>0</v>
      </c>
      <c r="N992" t="n">
        <v>0</v>
      </c>
      <c r="O992" t="n">
        <v>1</v>
      </c>
      <c r="P992" t="n">
        <v>0</v>
      </c>
      <c r="Q992" t="n">
        <v>1</v>
      </c>
      <c r="R992" s="2" t="inlineStr">
        <is>
          <t>Järpe</t>
        </is>
      </c>
      <c r="S992">
        <f>HYPERLINK("https://klasma.github.io/Logging_2404/artfynd/A 50292-2025 artfynd.xlsx", "A 50292-2025")</f>
        <v/>
      </c>
      <c r="T992">
        <f>HYPERLINK("https://klasma.github.io/Logging_2404/kartor/A 50292-2025 karta.png", "A 50292-2025")</f>
        <v/>
      </c>
      <c r="V992">
        <f>HYPERLINK("https://klasma.github.io/Logging_2404/klagomål/A 50292-2025 FSC-klagomål.docx", "A 50292-2025")</f>
        <v/>
      </c>
      <c r="W992">
        <f>HYPERLINK("https://klasma.github.io/Logging_2404/klagomålsmail/A 50292-2025 FSC-klagomål mail.docx", "A 50292-2025")</f>
        <v/>
      </c>
      <c r="X992">
        <f>HYPERLINK("https://klasma.github.io/Logging_2404/tillsyn/A 50292-2025 tillsynsbegäran.docx", "A 50292-2025")</f>
        <v/>
      </c>
      <c r="Y992">
        <f>HYPERLINK("https://klasma.github.io/Logging_2404/tillsynsmail/A 50292-2025 tillsynsbegäran mail.docx", "A 50292-2025")</f>
        <v/>
      </c>
      <c r="Z992">
        <f>HYPERLINK("https://klasma.github.io/Logging_2404/fåglar/A 50292-2025 prioriterade fågelarter.docx", "A 50292-2025")</f>
        <v/>
      </c>
    </row>
    <row r="993" ht="15" customHeight="1">
      <c r="A993" t="inlineStr">
        <is>
          <t>A 61826-2022</t>
        </is>
      </c>
      <c r="B993" s="1" t="n">
        <v>44917</v>
      </c>
      <c r="C993" s="1" t="n">
        <v>46145</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50463-2025</t>
        </is>
      </c>
      <c r="B994" s="1" t="n">
        <v>45945.34695601852</v>
      </c>
      <c r="C994" s="1" t="n">
        <v>46145</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50463-2025 artfynd.xlsx", "A 50463-2025")</f>
        <v/>
      </c>
      <c r="T994">
        <f>HYPERLINK("https://klasma.github.io/Logging_2481/kartor/A 50463-2025 karta.png", "A 50463-2025")</f>
        <v/>
      </c>
      <c r="V994">
        <f>HYPERLINK("https://klasma.github.io/Logging_2481/klagomål/A 50463-2025 FSC-klagomål.docx", "A 50463-2025")</f>
        <v/>
      </c>
      <c r="W994">
        <f>HYPERLINK("https://klasma.github.io/Logging_2481/klagomålsmail/A 50463-2025 FSC-klagomål mail.docx", "A 50463-2025")</f>
        <v/>
      </c>
      <c r="X994">
        <f>HYPERLINK("https://klasma.github.io/Logging_2481/tillsyn/A 50463-2025 tillsynsbegäran.docx", "A 50463-2025")</f>
        <v/>
      </c>
      <c r="Y994">
        <f>HYPERLINK("https://klasma.github.io/Logging_2481/tillsynsmail/A 50463-2025 tillsynsbegäran mail.docx", "A 50463-2025")</f>
        <v/>
      </c>
    </row>
    <row r="995" ht="15" customHeight="1">
      <c r="A995" t="inlineStr">
        <is>
          <t>A 51288-2025</t>
        </is>
      </c>
      <c r="B995" s="1" t="n">
        <v>45950.34547453704</v>
      </c>
      <c r="C995" s="1" t="n">
        <v>46145</v>
      </c>
      <c r="D995" t="inlineStr">
        <is>
          <t>VÄSTERBOTTENS LÄN</t>
        </is>
      </c>
      <c r="E995" t="inlineStr">
        <is>
          <t>SKELLEFTEÅ</t>
        </is>
      </c>
      <c r="F995" t="inlineStr">
        <is>
          <t>SCA</t>
        </is>
      </c>
      <c r="G995" t="n">
        <v>6.5</v>
      </c>
      <c r="H995" t="n">
        <v>0</v>
      </c>
      <c r="I995" t="n">
        <v>0</v>
      </c>
      <c r="J995" t="n">
        <v>1</v>
      </c>
      <c r="K995" t="n">
        <v>0</v>
      </c>
      <c r="L995" t="n">
        <v>0</v>
      </c>
      <c r="M995" t="n">
        <v>0</v>
      </c>
      <c r="N995" t="n">
        <v>0</v>
      </c>
      <c r="O995" t="n">
        <v>1</v>
      </c>
      <c r="P995" t="n">
        <v>0</v>
      </c>
      <c r="Q995" t="n">
        <v>1</v>
      </c>
      <c r="R995" s="2" t="inlineStr">
        <is>
          <t>Blå taggsvamp</t>
        </is>
      </c>
      <c r="S995">
        <f>HYPERLINK("https://klasma.github.io/Logging_2482/artfynd/A 51288-2025 artfynd.xlsx", "A 51288-2025")</f>
        <v/>
      </c>
      <c r="T995">
        <f>HYPERLINK("https://klasma.github.io/Logging_2482/kartor/A 51288-2025 karta.png", "A 51288-2025")</f>
        <v/>
      </c>
      <c r="V995">
        <f>HYPERLINK("https://klasma.github.io/Logging_2482/klagomål/A 51288-2025 FSC-klagomål.docx", "A 51288-2025")</f>
        <v/>
      </c>
      <c r="W995">
        <f>HYPERLINK("https://klasma.github.io/Logging_2482/klagomålsmail/A 51288-2025 FSC-klagomål mail.docx", "A 51288-2025")</f>
        <v/>
      </c>
      <c r="X995">
        <f>HYPERLINK("https://klasma.github.io/Logging_2482/tillsyn/A 51288-2025 tillsynsbegäran.docx", "A 51288-2025")</f>
        <v/>
      </c>
      <c r="Y995">
        <f>HYPERLINK("https://klasma.github.io/Logging_2482/tillsynsmail/A 51288-2025 tillsynsbegäran mail.docx", "A 51288-2025")</f>
        <v/>
      </c>
    </row>
    <row r="996" ht="15" customHeight="1">
      <c r="A996" t="inlineStr">
        <is>
          <t>A 7138-2025</t>
        </is>
      </c>
      <c r="B996" s="1" t="n">
        <v>45702.36715277778</v>
      </c>
      <c r="C996" s="1" t="n">
        <v>46145</v>
      </c>
      <c r="D996" t="inlineStr">
        <is>
          <t>VÄSTERBOTTENS LÄN</t>
        </is>
      </c>
      <c r="E996" t="inlineStr">
        <is>
          <t>MALÅ</t>
        </is>
      </c>
      <c r="F996" t="inlineStr">
        <is>
          <t>Sveaskog</t>
        </is>
      </c>
      <c r="G996" t="n">
        <v>8.199999999999999</v>
      </c>
      <c r="H996" t="n">
        <v>0</v>
      </c>
      <c r="I996" t="n">
        <v>1</v>
      </c>
      <c r="J996" t="n">
        <v>0</v>
      </c>
      <c r="K996" t="n">
        <v>0</v>
      </c>
      <c r="L996" t="n">
        <v>0</v>
      </c>
      <c r="M996" t="n">
        <v>0</v>
      </c>
      <c r="N996" t="n">
        <v>0</v>
      </c>
      <c r="O996" t="n">
        <v>0</v>
      </c>
      <c r="P996" t="n">
        <v>0</v>
      </c>
      <c r="Q996" t="n">
        <v>1</v>
      </c>
      <c r="R996" s="2" t="inlineStr">
        <is>
          <t>Dropptaggsvamp</t>
        </is>
      </c>
      <c r="S996">
        <f>HYPERLINK("https://klasma.github.io/Logging_2418/artfynd/A 7138-2025 artfynd.xlsx", "A 7138-2025")</f>
        <v/>
      </c>
      <c r="T996">
        <f>HYPERLINK("https://klasma.github.io/Logging_2418/kartor/A 7138-2025 karta.png", "A 7138-2025")</f>
        <v/>
      </c>
      <c r="V996">
        <f>HYPERLINK("https://klasma.github.io/Logging_2418/klagomål/A 7138-2025 FSC-klagomål.docx", "A 7138-2025")</f>
        <v/>
      </c>
      <c r="W996">
        <f>HYPERLINK("https://klasma.github.io/Logging_2418/klagomålsmail/A 7138-2025 FSC-klagomål mail.docx", "A 7138-2025")</f>
        <v/>
      </c>
      <c r="X996">
        <f>HYPERLINK("https://klasma.github.io/Logging_2418/tillsyn/A 7138-2025 tillsynsbegäran.docx", "A 7138-2025")</f>
        <v/>
      </c>
      <c r="Y996">
        <f>HYPERLINK("https://klasma.github.io/Logging_2418/tillsynsmail/A 7138-2025 tillsynsbegäran mail.docx", "A 7138-2025")</f>
        <v/>
      </c>
    </row>
    <row r="997" ht="15" customHeight="1">
      <c r="A997" t="inlineStr">
        <is>
          <t>A 57865-2021</t>
        </is>
      </c>
      <c r="B997" s="1" t="n">
        <v>44484</v>
      </c>
      <c r="C997" s="1" t="n">
        <v>46145</v>
      </c>
      <c r="D997" t="inlineStr">
        <is>
          <t>VÄSTERBOTTENS LÄN</t>
        </is>
      </c>
      <c r="E997" t="inlineStr">
        <is>
          <t>BJURHOLM</t>
        </is>
      </c>
      <c r="F997" t="inlineStr">
        <is>
          <t>SCA</t>
        </is>
      </c>
      <c r="G997" t="n">
        <v>2.6</v>
      </c>
      <c r="H997" t="n">
        <v>0</v>
      </c>
      <c r="I997" t="n">
        <v>1</v>
      </c>
      <c r="J997" t="n">
        <v>0</v>
      </c>
      <c r="K997" t="n">
        <v>0</v>
      </c>
      <c r="L997" t="n">
        <v>0</v>
      </c>
      <c r="M997" t="n">
        <v>0</v>
      </c>
      <c r="N997" t="n">
        <v>0</v>
      </c>
      <c r="O997" t="n">
        <v>0</v>
      </c>
      <c r="P997" t="n">
        <v>0</v>
      </c>
      <c r="Q997" t="n">
        <v>1</v>
      </c>
      <c r="R997" s="2" t="inlineStr">
        <is>
          <t>Stor aspticka</t>
        </is>
      </c>
      <c r="S997">
        <f>HYPERLINK("https://klasma.github.io/Logging_2403/artfynd/A 57865-2021 artfynd.xlsx", "A 57865-2021")</f>
        <v/>
      </c>
      <c r="T997">
        <f>HYPERLINK("https://klasma.github.io/Logging_2403/kartor/A 57865-2021 karta.png", "A 57865-2021")</f>
        <v/>
      </c>
      <c r="V997">
        <f>HYPERLINK("https://klasma.github.io/Logging_2403/klagomål/A 57865-2021 FSC-klagomål.docx", "A 57865-2021")</f>
        <v/>
      </c>
      <c r="W997">
        <f>HYPERLINK("https://klasma.github.io/Logging_2403/klagomålsmail/A 57865-2021 FSC-klagomål mail.docx", "A 57865-2021")</f>
        <v/>
      </c>
      <c r="X997">
        <f>HYPERLINK("https://klasma.github.io/Logging_2403/tillsyn/A 57865-2021 tillsynsbegäran.docx", "A 57865-2021")</f>
        <v/>
      </c>
      <c r="Y997">
        <f>HYPERLINK("https://klasma.github.io/Logging_2403/tillsynsmail/A 57865-2021 tillsynsbegäran mail.docx", "A 57865-2021")</f>
        <v/>
      </c>
    </row>
    <row r="998" ht="15" customHeight="1">
      <c r="A998" t="inlineStr">
        <is>
          <t>A 56247-2023</t>
        </is>
      </c>
      <c r="B998" s="1" t="n">
        <v>45240</v>
      </c>
      <c r="C998" s="1" t="n">
        <v>46145</v>
      </c>
      <c r="D998" t="inlineStr">
        <is>
          <t>VÄSTERBOTTENS LÄN</t>
        </is>
      </c>
      <c r="E998" t="inlineStr">
        <is>
          <t>VILHELMINA</t>
        </is>
      </c>
      <c r="F998" t="inlineStr">
        <is>
          <t>SCA</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HYPERLINK("https://klasma.github.io/Logging_2462/artfynd/A 56247-2023 artfynd.xlsx", "A 56247-2023")</f>
        <v/>
      </c>
      <c r="T998">
        <f>HYPERLINK("https://klasma.github.io/Logging_2462/kartor/A 56247-2023 karta.png", "A 56247-2023")</f>
        <v/>
      </c>
      <c r="V998">
        <f>HYPERLINK("https://klasma.github.io/Logging_2462/klagomål/A 56247-2023 FSC-klagomål.docx", "A 56247-2023")</f>
        <v/>
      </c>
      <c r="W998">
        <f>HYPERLINK("https://klasma.github.io/Logging_2462/klagomålsmail/A 56247-2023 FSC-klagomål mail.docx", "A 56247-2023")</f>
        <v/>
      </c>
      <c r="X998">
        <f>HYPERLINK("https://klasma.github.io/Logging_2462/tillsyn/A 56247-2023 tillsynsbegäran.docx", "A 56247-2023")</f>
        <v/>
      </c>
      <c r="Y998">
        <f>HYPERLINK("https://klasma.github.io/Logging_2462/tillsynsmail/A 56247-2023 tillsynsbegäran mail.docx", "A 56247-2023")</f>
        <v/>
      </c>
    </row>
    <row r="999" ht="15" customHeight="1">
      <c r="A999" t="inlineStr">
        <is>
          <t>A 17253-2025</t>
        </is>
      </c>
      <c r="B999" s="1" t="n">
        <v>45756</v>
      </c>
      <c r="C999" s="1" t="n">
        <v>46145</v>
      </c>
      <c r="D999" t="inlineStr">
        <is>
          <t>VÄSTERBOTTENS LÄN</t>
        </is>
      </c>
      <c r="E999" t="inlineStr">
        <is>
          <t>VILHELMINA</t>
        </is>
      </c>
      <c r="F999" t="inlineStr">
        <is>
          <t>SCA</t>
        </is>
      </c>
      <c r="G999" t="n">
        <v>6.5</v>
      </c>
      <c r="H999" t="n">
        <v>0</v>
      </c>
      <c r="I999" t="n">
        <v>0</v>
      </c>
      <c r="J999" t="n">
        <v>1</v>
      </c>
      <c r="K999" t="n">
        <v>0</v>
      </c>
      <c r="L999" t="n">
        <v>0</v>
      </c>
      <c r="M999" t="n">
        <v>0</v>
      </c>
      <c r="N999" t="n">
        <v>0</v>
      </c>
      <c r="O999" t="n">
        <v>1</v>
      </c>
      <c r="P999" t="n">
        <v>0</v>
      </c>
      <c r="Q999" t="n">
        <v>1</v>
      </c>
      <c r="R999" s="2" t="inlineStr">
        <is>
          <t>Granticka</t>
        </is>
      </c>
      <c r="S999">
        <f>HYPERLINK("https://klasma.github.io/Logging_2462/artfynd/A 17253-2025 artfynd.xlsx", "A 17253-2025")</f>
        <v/>
      </c>
      <c r="T999">
        <f>HYPERLINK("https://klasma.github.io/Logging_2462/kartor/A 17253-2025 karta.png", "A 17253-2025")</f>
        <v/>
      </c>
      <c r="V999">
        <f>HYPERLINK("https://klasma.github.io/Logging_2462/klagomål/A 17253-2025 FSC-klagomål.docx", "A 17253-2025")</f>
        <v/>
      </c>
      <c r="W999">
        <f>HYPERLINK("https://klasma.github.io/Logging_2462/klagomålsmail/A 17253-2025 FSC-klagomål mail.docx", "A 17253-2025")</f>
        <v/>
      </c>
      <c r="X999">
        <f>HYPERLINK("https://klasma.github.io/Logging_2462/tillsyn/A 17253-2025 tillsynsbegäran.docx", "A 17253-2025")</f>
        <v/>
      </c>
      <c r="Y999">
        <f>HYPERLINK("https://klasma.github.io/Logging_2462/tillsynsmail/A 17253-2025 tillsynsbegäran mail.docx", "A 17253-2025")</f>
        <v/>
      </c>
    </row>
    <row r="1000" ht="15" customHeight="1">
      <c r="A1000" t="inlineStr">
        <is>
          <t>A 51640-2021</t>
        </is>
      </c>
      <c r="B1000" s="1" t="n">
        <v>44462</v>
      </c>
      <c r="C1000" s="1" t="n">
        <v>46145</v>
      </c>
      <c r="D1000" t="inlineStr">
        <is>
          <t>VÄSTERBOTTENS LÄN</t>
        </is>
      </c>
      <c r="E1000" t="inlineStr">
        <is>
          <t>NORSJÖ</t>
        </is>
      </c>
      <c r="F1000" t="inlineStr">
        <is>
          <t>Sveaskog</t>
        </is>
      </c>
      <c r="G1000" t="n">
        <v>7.5</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51640-2021 artfynd.xlsx", "A 51640-2021")</f>
        <v/>
      </c>
      <c r="T1000">
        <f>HYPERLINK("https://klasma.github.io/Logging_2417/kartor/A 51640-2021 karta.png", "A 51640-2021")</f>
        <v/>
      </c>
      <c r="V1000">
        <f>HYPERLINK("https://klasma.github.io/Logging_2417/klagomål/A 51640-2021 FSC-klagomål.docx", "A 51640-2021")</f>
        <v/>
      </c>
      <c r="W1000">
        <f>HYPERLINK("https://klasma.github.io/Logging_2417/klagomålsmail/A 51640-2021 FSC-klagomål mail.docx", "A 51640-2021")</f>
        <v/>
      </c>
      <c r="X1000">
        <f>HYPERLINK("https://klasma.github.io/Logging_2417/tillsyn/A 51640-2021 tillsynsbegäran.docx", "A 51640-2021")</f>
        <v/>
      </c>
      <c r="Y1000">
        <f>HYPERLINK("https://klasma.github.io/Logging_2417/tillsynsmail/A 51640-2021 tillsynsbegäran mail.docx", "A 51640-2021")</f>
        <v/>
      </c>
    </row>
    <row r="1001" ht="15" customHeight="1">
      <c r="A1001" t="inlineStr">
        <is>
          <t>A 61896-2024</t>
        </is>
      </c>
      <c r="B1001" s="1" t="n">
        <v>45652.74872685185</v>
      </c>
      <c r="C1001" s="1" t="n">
        <v>46145</v>
      </c>
      <c r="D1001" t="inlineStr">
        <is>
          <t>VÄSTERBOTTENS LÄN</t>
        </is>
      </c>
      <c r="E1001" t="inlineStr">
        <is>
          <t>LYCKSELE</t>
        </is>
      </c>
      <c r="G1001" t="n">
        <v>6.6</v>
      </c>
      <c r="H1001" t="n">
        <v>0</v>
      </c>
      <c r="I1001" t="n">
        <v>0</v>
      </c>
      <c r="J1001" t="n">
        <v>1</v>
      </c>
      <c r="K1001" t="n">
        <v>0</v>
      </c>
      <c r="L1001" t="n">
        <v>0</v>
      </c>
      <c r="M1001" t="n">
        <v>0</v>
      </c>
      <c r="N1001" t="n">
        <v>0</v>
      </c>
      <c r="O1001" t="n">
        <v>1</v>
      </c>
      <c r="P1001" t="n">
        <v>0</v>
      </c>
      <c r="Q1001" t="n">
        <v>1</v>
      </c>
      <c r="R1001" s="2" t="inlineStr">
        <is>
          <t>Harticka</t>
        </is>
      </c>
      <c r="S1001">
        <f>HYPERLINK("https://klasma.github.io/Logging_2481/artfynd/A 61896-2024 artfynd.xlsx", "A 61896-2024")</f>
        <v/>
      </c>
      <c r="T1001">
        <f>HYPERLINK("https://klasma.github.io/Logging_2481/kartor/A 61896-2024 karta.png", "A 61896-2024")</f>
        <v/>
      </c>
      <c r="V1001">
        <f>HYPERLINK("https://klasma.github.io/Logging_2481/klagomål/A 61896-2024 FSC-klagomål.docx", "A 61896-2024")</f>
        <v/>
      </c>
      <c r="W1001">
        <f>HYPERLINK("https://klasma.github.io/Logging_2481/klagomålsmail/A 61896-2024 FSC-klagomål mail.docx", "A 61896-2024")</f>
        <v/>
      </c>
      <c r="X1001">
        <f>HYPERLINK("https://klasma.github.io/Logging_2481/tillsyn/A 61896-2024 tillsynsbegäran.docx", "A 61896-2024")</f>
        <v/>
      </c>
      <c r="Y1001">
        <f>HYPERLINK("https://klasma.github.io/Logging_2481/tillsynsmail/A 61896-2024 tillsynsbegäran mail.docx", "A 61896-2024")</f>
        <v/>
      </c>
    </row>
    <row r="1002" ht="15" customHeight="1">
      <c r="A1002" t="inlineStr">
        <is>
          <t>A 73357-2021</t>
        </is>
      </c>
      <c r="B1002" s="1" t="n">
        <v>44551.40773148148</v>
      </c>
      <c r="C1002" s="1" t="n">
        <v>46145</v>
      </c>
      <c r="D1002" t="inlineStr">
        <is>
          <t>VÄSTERBOTTENS LÄN</t>
        </is>
      </c>
      <c r="E1002" t="inlineStr">
        <is>
          <t>LYCKSELE</t>
        </is>
      </c>
      <c r="G1002" t="n">
        <v>11.3</v>
      </c>
      <c r="H1002" t="n">
        <v>0</v>
      </c>
      <c r="I1002" t="n">
        <v>0</v>
      </c>
      <c r="J1002" t="n">
        <v>1</v>
      </c>
      <c r="K1002" t="n">
        <v>0</v>
      </c>
      <c r="L1002" t="n">
        <v>0</v>
      </c>
      <c r="M1002" t="n">
        <v>0</v>
      </c>
      <c r="N1002" t="n">
        <v>0</v>
      </c>
      <c r="O1002" t="n">
        <v>1</v>
      </c>
      <c r="P1002" t="n">
        <v>0</v>
      </c>
      <c r="Q1002" t="n">
        <v>1</v>
      </c>
      <c r="R1002" s="2" t="inlineStr">
        <is>
          <t>Garnlav</t>
        </is>
      </c>
      <c r="S1002">
        <f>HYPERLINK("https://klasma.github.io/Logging_2481/artfynd/A 73357-2021 artfynd.xlsx", "A 73357-2021")</f>
        <v/>
      </c>
      <c r="T1002">
        <f>HYPERLINK("https://klasma.github.io/Logging_2481/kartor/A 73357-2021 karta.png", "A 73357-2021")</f>
        <v/>
      </c>
      <c r="V1002">
        <f>HYPERLINK("https://klasma.github.io/Logging_2481/klagomål/A 73357-2021 FSC-klagomål.docx", "A 73357-2021")</f>
        <v/>
      </c>
      <c r="W1002">
        <f>HYPERLINK("https://klasma.github.io/Logging_2481/klagomålsmail/A 73357-2021 FSC-klagomål mail.docx", "A 73357-2021")</f>
        <v/>
      </c>
      <c r="X1002">
        <f>HYPERLINK("https://klasma.github.io/Logging_2481/tillsyn/A 73357-2021 tillsynsbegäran.docx", "A 73357-2021")</f>
        <v/>
      </c>
      <c r="Y1002">
        <f>HYPERLINK("https://klasma.github.io/Logging_2481/tillsynsmail/A 73357-2021 tillsynsbegäran mail.docx", "A 73357-2021")</f>
        <v/>
      </c>
    </row>
    <row r="1003" ht="15" customHeight="1">
      <c r="A1003" t="inlineStr">
        <is>
          <t>A 52299-2025</t>
        </is>
      </c>
      <c r="B1003" s="1" t="n">
        <v>45953.61414351852</v>
      </c>
      <c r="C1003" s="1" t="n">
        <v>46145</v>
      </c>
      <c r="D1003" t="inlineStr">
        <is>
          <t>VÄSTERBOTTENS LÄN</t>
        </is>
      </c>
      <c r="E1003" t="inlineStr">
        <is>
          <t>SKELLEFTEÅ</t>
        </is>
      </c>
      <c r="G1003" t="n">
        <v>1.4</v>
      </c>
      <c r="H1003" t="n">
        <v>0</v>
      </c>
      <c r="I1003" t="n">
        <v>0</v>
      </c>
      <c r="J1003" t="n">
        <v>1</v>
      </c>
      <c r="K1003" t="n">
        <v>0</v>
      </c>
      <c r="L1003" t="n">
        <v>0</v>
      </c>
      <c r="M1003" t="n">
        <v>0</v>
      </c>
      <c r="N1003" t="n">
        <v>0</v>
      </c>
      <c r="O1003" t="n">
        <v>1</v>
      </c>
      <c r="P1003" t="n">
        <v>0</v>
      </c>
      <c r="Q1003" t="n">
        <v>1</v>
      </c>
      <c r="R1003" s="2" t="inlineStr">
        <is>
          <t>Månlåsbräken</t>
        </is>
      </c>
      <c r="S1003">
        <f>HYPERLINK("https://klasma.github.io/Logging_2482/artfynd/A 52299-2025 artfynd.xlsx", "A 52299-2025")</f>
        <v/>
      </c>
      <c r="T1003">
        <f>HYPERLINK("https://klasma.github.io/Logging_2482/kartor/A 52299-2025 karta.png", "A 52299-2025")</f>
        <v/>
      </c>
      <c r="V1003">
        <f>HYPERLINK("https://klasma.github.io/Logging_2482/klagomål/A 52299-2025 FSC-klagomål.docx", "A 52299-2025")</f>
        <v/>
      </c>
      <c r="W1003">
        <f>HYPERLINK("https://klasma.github.io/Logging_2482/klagomålsmail/A 52299-2025 FSC-klagomål mail.docx", "A 52299-2025")</f>
        <v/>
      </c>
      <c r="X1003">
        <f>HYPERLINK("https://klasma.github.io/Logging_2482/tillsyn/A 52299-2025 tillsynsbegäran.docx", "A 52299-2025")</f>
        <v/>
      </c>
      <c r="Y1003">
        <f>HYPERLINK("https://klasma.github.io/Logging_2482/tillsynsmail/A 52299-2025 tillsynsbegäran mail.docx", "A 52299-2025")</f>
        <v/>
      </c>
    </row>
    <row r="1004" ht="15" customHeight="1">
      <c r="A1004" t="inlineStr">
        <is>
          <t>A 53250-2025</t>
        </is>
      </c>
      <c r="B1004" s="1" t="n">
        <v>45958.66072916667</v>
      </c>
      <c r="C1004" s="1" t="n">
        <v>46145</v>
      </c>
      <c r="D1004" t="inlineStr">
        <is>
          <t>VÄSTERBOTTENS LÄN</t>
        </is>
      </c>
      <c r="E1004" t="inlineStr">
        <is>
          <t>STORUMAN</t>
        </is>
      </c>
      <c r="F1004" t="inlineStr">
        <is>
          <t>Sveaskog</t>
        </is>
      </c>
      <c r="G1004" t="n">
        <v>55.9</v>
      </c>
      <c r="H1004" t="n">
        <v>0</v>
      </c>
      <c r="I1004" t="n">
        <v>0</v>
      </c>
      <c r="J1004" t="n">
        <v>1</v>
      </c>
      <c r="K1004" t="n">
        <v>0</v>
      </c>
      <c r="L1004" t="n">
        <v>0</v>
      </c>
      <c r="M1004" t="n">
        <v>0</v>
      </c>
      <c r="N1004" t="n">
        <v>0</v>
      </c>
      <c r="O1004" t="n">
        <v>1</v>
      </c>
      <c r="P1004" t="n">
        <v>0</v>
      </c>
      <c r="Q1004" t="n">
        <v>1</v>
      </c>
      <c r="R1004" s="2" t="inlineStr">
        <is>
          <t>Gränsticka</t>
        </is>
      </c>
      <c r="S1004">
        <f>HYPERLINK("https://klasma.github.io/Logging_2421/artfynd/A 53250-2025 artfynd.xlsx", "A 53250-2025")</f>
        <v/>
      </c>
      <c r="T1004">
        <f>HYPERLINK("https://klasma.github.io/Logging_2421/kartor/A 53250-2025 karta.png", "A 53250-2025")</f>
        <v/>
      </c>
      <c r="V1004">
        <f>HYPERLINK("https://klasma.github.io/Logging_2421/klagomål/A 53250-2025 FSC-klagomål.docx", "A 53250-2025")</f>
        <v/>
      </c>
      <c r="W1004">
        <f>HYPERLINK("https://klasma.github.io/Logging_2421/klagomålsmail/A 53250-2025 FSC-klagomål mail.docx", "A 53250-2025")</f>
        <v/>
      </c>
      <c r="X1004">
        <f>HYPERLINK("https://klasma.github.io/Logging_2421/tillsyn/A 53250-2025 tillsynsbegäran.docx", "A 53250-2025")</f>
        <v/>
      </c>
      <c r="Y1004">
        <f>HYPERLINK("https://klasma.github.io/Logging_2421/tillsynsmail/A 53250-2025 tillsynsbegäran mail.docx", "A 53250-2025")</f>
        <v/>
      </c>
    </row>
    <row r="1005" ht="15" customHeight="1">
      <c r="A1005" t="inlineStr">
        <is>
          <t>A 36467-2024</t>
        </is>
      </c>
      <c r="B1005" s="1" t="n">
        <v>45537</v>
      </c>
      <c r="C1005" s="1" t="n">
        <v>46145</v>
      </c>
      <c r="D1005" t="inlineStr">
        <is>
          <t>VÄSTERBOTTENS LÄN</t>
        </is>
      </c>
      <c r="E1005" t="inlineStr">
        <is>
          <t>NORDMALING</t>
        </is>
      </c>
      <c r="F1005" t="inlineStr">
        <is>
          <t>SCA</t>
        </is>
      </c>
      <c r="G1005" t="n">
        <v>4.1</v>
      </c>
      <c r="H1005" t="n">
        <v>0</v>
      </c>
      <c r="I1005" t="n">
        <v>0</v>
      </c>
      <c r="J1005" t="n">
        <v>1</v>
      </c>
      <c r="K1005" t="n">
        <v>0</v>
      </c>
      <c r="L1005" t="n">
        <v>0</v>
      </c>
      <c r="M1005" t="n">
        <v>0</v>
      </c>
      <c r="N1005" t="n">
        <v>0</v>
      </c>
      <c r="O1005" t="n">
        <v>1</v>
      </c>
      <c r="P1005" t="n">
        <v>0</v>
      </c>
      <c r="Q1005" t="n">
        <v>1</v>
      </c>
      <c r="R1005" s="2" t="inlineStr">
        <is>
          <t>Lunglav</t>
        </is>
      </c>
      <c r="S1005">
        <f>HYPERLINK("https://klasma.github.io/Logging_2401/artfynd/A 36467-2024 artfynd.xlsx", "A 36467-2024")</f>
        <v/>
      </c>
      <c r="T1005">
        <f>HYPERLINK("https://klasma.github.io/Logging_2401/kartor/A 36467-2024 karta.png", "A 36467-2024")</f>
        <v/>
      </c>
      <c r="V1005">
        <f>HYPERLINK("https://klasma.github.io/Logging_2401/klagomål/A 36467-2024 FSC-klagomål.docx", "A 36467-2024")</f>
        <v/>
      </c>
      <c r="W1005">
        <f>HYPERLINK("https://klasma.github.io/Logging_2401/klagomålsmail/A 36467-2024 FSC-klagomål mail.docx", "A 36467-2024")</f>
        <v/>
      </c>
      <c r="X1005">
        <f>HYPERLINK("https://klasma.github.io/Logging_2401/tillsyn/A 36467-2024 tillsynsbegäran.docx", "A 36467-2024")</f>
        <v/>
      </c>
      <c r="Y1005">
        <f>HYPERLINK("https://klasma.github.io/Logging_2401/tillsynsmail/A 36467-2024 tillsynsbegäran mail.docx", "A 36467-2024")</f>
        <v/>
      </c>
    </row>
    <row r="1006" ht="15" customHeight="1">
      <c r="A1006" t="inlineStr">
        <is>
          <t>A 53108-2025</t>
        </is>
      </c>
      <c r="B1006" s="1" t="n">
        <v>45958.43690972222</v>
      </c>
      <c r="C1006" s="1" t="n">
        <v>46145</v>
      </c>
      <c r="D1006" t="inlineStr">
        <is>
          <t>VÄSTERBOTTENS LÄN</t>
        </is>
      </c>
      <c r="E1006" t="inlineStr">
        <is>
          <t>LYCKSELE</t>
        </is>
      </c>
      <c r="F1006" t="inlineStr">
        <is>
          <t>Sveaskog</t>
        </is>
      </c>
      <c r="G1006" t="n">
        <v>14.1</v>
      </c>
      <c r="H1006" t="n">
        <v>0</v>
      </c>
      <c r="I1006" t="n">
        <v>1</v>
      </c>
      <c r="J1006" t="n">
        <v>0</v>
      </c>
      <c r="K1006" t="n">
        <v>0</v>
      </c>
      <c r="L1006" t="n">
        <v>0</v>
      </c>
      <c r="M1006" t="n">
        <v>0</v>
      </c>
      <c r="N1006" t="n">
        <v>0</v>
      </c>
      <c r="O1006" t="n">
        <v>0</v>
      </c>
      <c r="P1006" t="n">
        <v>0</v>
      </c>
      <c r="Q1006" t="n">
        <v>1</v>
      </c>
      <c r="R1006" s="2" t="inlineStr">
        <is>
          <t>Bårdlav</t>
        </is>
      </c>
      <c r="S1006">
        <f>HYPERLINK("https://klasma.github.io/Logging_2481/artfynd/A 53108-2025 artfynd.xlsx", "A 53108-2025")</f>
        <v/>
      </c>
      <c r="T1006">
        <f>HYPERLINK("https://klasma.github.io/Logging_2481/kartor/A 53108-2025 karta.png", "A 53108-2025")</f>
        <v/>
      </c>
      <c r="V1006">
        <f>HYPERLINK("https://klasma.github.io/Logging_2481/klagomål/A 53108-2025 FSC-klagomål.docx", "A 53108-2025")</f>
        <v/>
      </c>
      <c r="W1006">
        <f>HYPERLINK("https://klasma.github.io/Logging_2481/klagomålsmail/A 53108-2025 FSC-klagomål mail.docx", "A 53108-2025")</f>
        <v/>
      </c>
      <c r="X1006">
        <f>HYPERLINK("https://klasma.github.io/Logging_2481/tillsyn/A 53108-2025 tillsynsbegäran.docx", "A 53108-2025")</f>
        <v/>
      </c>
      <c r="Y1006">
        <f>HYPERLINK("https://klasma.github.io/Logging_2481/tillsynsmail/A 53108-2025 tillsynsbegäran mail.docx", "A 53108-2025")</f>
        <v/>
      </c>
    </row>
    <row r="1007" ht="15" customHeight="1">
      <c r="A1007" t="inlineStr">
        <is>
          <t>A 53110-2025</t>
        </is>
      </c>
      <c r="B1007" s="1" t="n">
        <v>45958.44224537037</v>
      </c>
      <c r="C1007" s="1" t="n">
        <v>46145</v>
      </c>
      <c r="D1007" t="inlineStr">
        <is>
          <t>VÄSTERBOTTENS LÄN</t>
        </is>
      </c>
      <c r="E1007" t="inlineStr">
        <is>
          <t>LYCKSELE</t>
        </is>
      </c>
      <c r="F1007" t="inlineStr">
        <is>
          <t>Sveaskog</t>
        </is>
      </c>
      <c r="G1007" t="n">
        <v>16.2</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53110-2025 artfynd.xlsx", "A 53110-2025")</f>
        <v/>
      </c>
      <c r="T1007">
        <f>HYPERLINK("https://klasma.github.io/Logging_2481/kartor/A 53110-2025 karta.png", "A 53110-2025")</f>
        <v/>
      </c>
      <c r="V1007">
        <f>HYPERLINK("https://klasma.github.io/Logging_2481/klagomål/A 53110-2025 FSC-klagomål.docx", "A 53110-2025")</f>
        <v/>
      </c>
      <c r="W1007">
        <f>HYPERLINK("https://klasma.github.io/Logging_2481/klagomålsmail/A 53110-2025 FSC-klagomål mail.docx", "A 53110-2025")</f>
        <v/>
      </c>
      <c r="X1007">
        <f>HYPERLINK("https://klasma.github.io/Logging_2481/tillsyn/A 53110-2025 tillsynsbegäran.docx", "A 53110-2025")</f>
        <v/>
      </c>
      <c r="Y1007">
        <f>HYPERLINK("https://klasma.github.io/Logging_2481/tillsynsmail/A 53110-2025 tillsynsbegäran mail.docx", "A 53110-2025")</f>
        <v/>
      </c>
    </row>
    <row r="1008" ht="15" customHeight="1">
      <c r="A1008" t="inlineStr">
        <is>
          <t>A 53119-2025</t>
        </is>
      </c>
      <c r="B1008" s="1" t="n">
        <v>45958.44869212963</v>
      </c>
      <c r="C1008" s="1" t="n">
        <v>46145</v>
      </c>
      <c r="D1008" t="inlineStr">
        <is>
          <t>VÄSTERBOTTENS LÄN</t>
        </is>
      </c>
      <c r="E1008" t="inlineStr">
        <is>
          <t>LYCKSELE</t>
        </is>
      </c>
      <c r="F1008" t="inlineStr">
        <is>
          <t>Sveaskog</t>
        </is>
      </c>
      <c r="G1008" t="n">
        <v>16</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53119-2025 artfynd.xlsx", "A 53119-2025")</f>
        <v/>
      </c>
      <c r="T1008">
        <f>HYPERLINK("https://klasma.github.io/Logging_2481/kartor/A 53119-2025 karta.png", "A 53119-2025")</f>
        <v/>
      </c>
      <c r="V1008">
        <f>HYPERLINK("https://klasma.github.io/Logging_2481/klagomål/A 53119-2025 FSC-klagomål.docx", "A 53119-2025")</f>
        <v/>
      </c>
      <c r="W1008">
        <f>HYPERLINK("https://klasma.github.io/Logging_2481/klagomålsmail/A 53119-2025 FSC-klagomål mail.docx", "A 53119-2025")</f>
        <v/>
      </c>
      <c r="X1008">
        <f>HYPERLINK("https://klasma.github.io/Logging_2481/tillsyn/A 53119-2025 tillsynsbegäran.docx", "A 53119-2025")</f>
        <v/>
      </c>
      <c r="Y1008">
        <f>HYPERLINK("https://klasma.github.io/Logging_2481/tillsynsmail/A 53119-2025 tillsynsbegäran mail.docx", "A 53119-2025")</f>
        <v/>
      </c>
    </row>
    <row r="1009" ht="15" customHeight="1">
      <c r="A1009" t="inlineStr">
        <is>
          <t>A 33852-2024</t>
        </is>
      </c>
      <c r="B1009" s="1" t="n">
        <v>45520.63962962963</v>
      </c>
      <c r="C1009" s="1" t="n">
        <v>46145</v>
      </c>
      <c r="D1009" t="inlineStr">
        <is>
          <t>VÄSTERBOTTENS LÄN</t>
        </is>
      </c>
      <c r="E1009" t="inlineStr">
        <is>
          <t>STORUMAN</t>
        </is>
      </c>
      <c r="F1009" t="inlineStr">
        <is>
          <t>Sveaskog</t>
        </is>
      </c>
      <c r="G1009" t="n">
        <v>1.9</v>
      </c>
      <c r="H1009" t="n">
        <v>0</v>
      </c>
      <c r="I1009" t="n">
        <v>0</v>
      </c>
      <c r="J1009" t="n">
        <v>1</v>
      </c>
      <c r="K1009" t="n">
        <v>0</v>
      </c>
      <c r="L1009" t="n">
        <v>0</v>
      </c>
      <c r="M1009" t="n">
        <v>0</v>
      </c>
      <c r="N1009" t="n">
        <v>0</v>
      </c>
      <c r="O1009" t="n">
        <v>1</v>
      </c>
      <c r="P1009" t="n">
        <v>0</v>
      </c>
      <c r="Q1009" t="n">
        <v>1</v>
      </c>
      <c r="R1009" s="2" t="inlineStr">
        <is>
          <t>Lunglav</t>
        </is>
      </c>
      <c r="S1009">
        <f>HYPERLINK("https://klasma.github.io/Logging_2421/artfynd/A 33852-2024 artfynd.xlsx", "A 33852-2024")</f>
        <v/>
      </c>
      <c r="T1009">
        <f>HYPERLINK("https://klasma.github.io/Logging_2421/kartor/A 33852-2024 karta.png", "A 33852-2024")</f>
        <v/>
      </c>
      <c r="V1009">
        <f>HYPERLINK("https://klasma.github.io/Logging_2421/klagomål/A 33852-2024 FSC-klagomål.docx", "A 33852-2024")</f>
        <v/>
      </c>
      <c r="W1009">
        <f>HYPERLINK("https://klasma.github.io/Logging_2421/klagomålsmail/A 33852-2024 FSC-klagomål mail.docx", "A 33852-2024")</f>
        <v/>
      </c>
      <c r="X1009">
        <f>HYPERLINK("https://klasma.github.io/Logging_2421/tillsyn/A 33852-2024 tillsynsbegäran.docx", "A 33852-2024")</f>
        <v/>
      </c>
      <c r="Y1009">
        <f>HYPERLINK("https://klasma.github.io/Logging_2421/tillsynsmail/A 33852-2024 tillsynsbegäran mail.docx", "A 33852-2024")</f>
        <v/>
      </c>
    </row>
    <row r="1010" ht="15" customHeight="1">
      <c r="A1010" t="inlineStr">
        <is>
          <t>A 39554-2023</t>
        </is>
      </c>
      <c r="B1010" s="1" t="n">
        <v>45167</v>
      </c>
      <c r="C1010" s="1" t="n">
        <v>46145</v>
      </c>
      <c r="D1010" t="inlineStr">
        <is>
          <t>VÄSTERBOTTENS LÄN</t>
        </is>
      </c>
      <c r="E1010" t="inlineStr">
        <is>
          <t>UMEÅ</t>
        </is>
      </c>
      <c r="F1010" t="inlineStr">
        <is>
          <t>Holmen skog AB</t>
        </is>
      </c>
      <c r="G1010" t="n">
        <v>3.5</v>
      </c>
      <c r="H1010" t="n">
        <v>0</v>
      </c>
      <c r="I1010" t="n">
        <v>0</v>
      </c>
      <c r="J1010" t="n">
        <v>1</v>
      </c>
      <c r="K1010" t="n">
        <v>0</v>
      </c>
      <c r="L1010" t="n">
        <v>0</v>
      </c>
      <c r="M1010" t="n">
        <v>0</v>
      </c>
      <c r="N1010" t="n">
        <v>0</v>
      </c>
      <c r="O1010" t="n">
        <v>1</v>
      </c>
      <c r="P1010" t="n">
        <v>0</v>
      </c>
      <c r="Q1010" t="n">
        <v>1</v>
      </c>
      <c r="R1010" s="2" t="inlineStr">
        <is>
          <t>Blanksvart spiklav</t>
        </is>
      </c>
      <c r="S1010">
        <f>HYPERLINK("https://klasma.github.io/Logging_2480/artfynd/A 39554-2023 artfynd.xlsx", "A 39554-2023")</f>
        <v/>
      </c>
      <c r="T1010">
        <f>HYPERLINK("https://klasma.github.io/Logging_2480/kartor/A 39554-2023 karta.png", "A 39554-2023")</f>
        <v/>
      </c>
      <c r="V1010">
        <f>HYPERLINK("https://klasma.github.io/Logging_2480/klagomål/A 39554-2023 FSC-klagomål.docx", "A 39554-2023")</f>
        <v/>
      </c>
      <c r="W1010">
        <f>HYPERLINK("https://klasma.github.io/Logging_2480/klagomålsmail/A 39554-2023 FSC-klagomål mail.docx", "A 39554-2023")</f>
        <v/>
      </c>
      <c r="X1010">
        <f>HYPERLINK("https://klasma.github.io/Logging_2480/tillsyn/A 39554-2023 tillsynsbegäran.docx", "A 39554-2023")</f>
        <v/>
      </c>
      <c r="Y1010">
        <f>HYPERLINK("https://klasma.github.io/Logging_2480/tillsynsmail/A 39554-2023 tillsynsbegäran mail.docx", "A 39554-2023")</f>
        <v/>
      </c>
    </row>
    <row r="1011" ht="15" customHeight="1">
      <c r="A1011" t="inlineStr">
        <is>
          <t>A 53502-2025</t>
        </is>
      </c>
      <c r="B1011" s="1" t="n">
        <v>45960.34290509259</v>
      </c>
      <c r="C1011" s="1" t="n">
        <v>46145</v>
      </c>
      <c r="D1011" t="inlineStr">
        <is>
          <t>VÄSTERBOTTENS LÄN</t>
        </is>
      </c>
      <c r="E1011" t="inlineStr">
        <is>
          <t>NORSJÖ</t>
        </is>
      </c>
      <c r="F1011" t="inlineStr">
        <is>
          <t>Sveaskog</t>
        </is>
      </c>
      <c r="G1011" t="n">
        <v>5.5</v>
      </c>
      <c r="H1011" t="n">
        <v>0</v>
      </c>
      <c r="I1011" t="n">
        <v>1</v>
      </c>
      <c r="J1011" t="n">
        <v>0</v>
      </c>
      <c r="K1011" t="n">
        <v>0</v>
      </c>
      <c r="L1011" t="n">
        <v>0</v>
      </c>
      <c r="M1011" t="n">
        <v>0</v>
      </c>
      <c r="N1011" t="n">
        <v>0</v>
      </c>
      <c r="O1011" t="n">
        <v>0</v>
      </c>
      <c r="P1011" t="n">
        <v>0</v>
      </c>
      <c r="Q1011" t="n">
        <v>1</v>
      </c>
      <c r="R1011" s="2" t="inlineStr">
        <is>
          <t>Tibast</t>
        </is>
      </c>
      <c r="S1011">
        <f>HYPERLINK("https://klasma.github.io/Logging_2417/artfynd/A 53502-2025 artfynd.xlsx", "A 53502-2025")</f>
        <v/>
      </c>
      <c r="T1011">
        <f>HYPERLINK("https://klasma.github.io/Logging_2417/kartor/A 53502-2025 karta.png", "A 53502-2025")</f>
        <v/>
      </c>
      <c r="V1011">
        <f>HYPERLINK("https://klasma.github.io/Logging_2417/klagomål/A 53502-2025 FSC-klagomål.docx", "A 53502-2025")</f>
        <v/>
      </c>
      <c r="W1011">
        <f>HYPERLINK("https://klasma.github.io/Logging_2417/klagomålsmail/A 53502-2025 FSC-klagomål mail.docx", "A 53502-2025")</f>
        <v/>
      </c>
      <c r="X1011">
        <f>HYPERLINK("https://klasma.github.io/Logging_2417/tillsyn/A 53502-2025 tillsynsbegäran.docx", "A 53502-2025")</f>
        <v/>
      </c>
      <c r="Y1011">
        <f>HYPERLINK("https://klasma.github.io/Logging_2417/tillsynsmail/A 53502-2025 tillsynsbegäran mail.docx", "A 53502-2025")</f>
        <v/>
      </c>
    </row>
    <row r="1012" ht="15" customHeight="1">
      <c r="A1012" t="inlineStr">
        <is>
          <t>A 24114-2025</t>
        </is>
      </c>
      <c r="B1012" s="1" t="n">
        <v>45796.61449074074</v>
      </c>
      <c r="C1012" s="1" t="n">
        <v>46145</v>
      </c>
      <c r="D1012" t="inlineStr">
        <is>
          <t>VÄSTERBOTTENS LÄN</t>
        </is>
      </c>
      <c r="E1012" t="inlineStr">
        <is>
          <t>ROBERTSFORS</t>
        </is>
      </c>
      <c r="F1012" t="inlineStr">
        <is>
          <t>Holmen skog AB</t>
        </is>
      </c>
      <c r="G1012" t="n">
        <v>9.699999999999999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24114-2025 artfynd.xlsx", "A 24114-2025")</f>
        <v/>
      </c>
      <c r="T1012">
        <f>HYPERLINK("https://klasma.github.io/Logging_2409/kartor/A 24114-2025 karta.png", "A 24114-2025")</f>
        <v/>
      </c>
      <c r="V1012">
        <f>HYPERLINK("https://klasma.github.io/Logging_2409/klagomål/A 24114-2025 FSC-klagomål.docx", "A 24114-2025")</f>
        <v/>
      </c>
      <c r="W1012">
        <f>HYPERLINK("https://klasma.github.io/Logging_2409/klagomålsmail/A 24114-2025 FSC-klagomål mail.docx", "A 24114-2025")</f>
        <v/>
      </c>
      <c r="X1012">
        <f>HYPERLINK("https://klasma.github.io/Logging_2409/tillsyn/A 24114-2025 tillsynsbegäran.docx", "A 24114-2025")</f>
        <v/>
      </c>
      <c r="Y1012">
        <f>HYPERLINK("https://klasma.github.io/Logging_2409/tillsynsmail/A 24114-2025 tillsynsbegäran mail.docx", "A 24114-2025")</f>
        <v/>
      </c>
    </row>
    <row r="1013" ht="15" customHeight="1">
      <c r="A1013" t="inlineStr">
        <is>
          <t>A 35641-2025</t>
        </is>
      </c>
      <c r="B1013" s="1" t="n">
        <v>45859</v>
      </c>
      <c r="C1013" s="1" t="n">
        <v>46145</v>
      </c>
      <c r="D1013" t="inlineStr">
        <is>
          <t>VÄSTERBOTTENS LÄN</t>
        </is>
      </c>
      <c r="E1013" t="inlineStr">
        <is>
          <t>STORUMAN</t>
        </is>
      </c>
      <c r="G1013" t="n">
        <v>23.7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35641-2025 artfynd.xlsx", "A 35641-2025")</f>
        <v/>
      </c>
      <c r="T1013">
        <f>HYPERLINK("https://klasma.github.io/Logging_2421/kartor/A 35641-2025 karta.png", "A 35641-2025")</f>
        <v/>
      </c>
      <c r="V1013">
        <f>HYPERLINK("https://klasma.github.io/Logging_2421/klagomål/A 35641-2025 FSC-klagomål.docx", "A 35641-2025")</f>
        <v/>
      </c>
      <c r="W1013">
        <f>HYPERLINK("https://klasma.github.io/Logging_2421/klagomålsmail/A 35641-2025 FSC-klagomål mail.docx", "A 35641-2025")</f>
        <v/>
      </c>
      <c r="X1013">
        <f>HYPERLINK("https://klasma.github.io/Logging_2421/tillsyn/A 35641-2025 tillsynsbegäran.docx", "A 35641-2025")</f>
        <v/>
      </c>
      <c r="Y1013">
        <f>HYPERLINK("https://klasma.github.io/Logging_2421/tillsynsmail/A 35641-2025 tillsynsbegäran mail.docx", "A 35641-2025")</f>
        <v/>
      </c>
      <c r="Z1013">
        <f>HYPERLINK("https://klasma.github.io/Logging_2421/fåglar/A 35641-2025 prioriterade fågelarter.docx", "A 35641-2025")</f>
        <v/>
      </c>
    </row>
    <row r="1014" ht="15" customHeight="1">
      <c r="A1014" t="inlineStr">
        <is>
          <t>A 72131-2021</t>
        </is>
      </c>
      <c r="B1014" s="1" t="n">
        <v>44543</v>
      </c>
      <c r="C1014" s="1" t="n">
        <v>46145</v>
      </c>
      <c r="D1014" t="inlineStr">
        <is>
          <t>VÄSTERBOTTENS LÄN</t>
        </is>
      </c>
      <c r="E1014" t="inlineStr">
        <is>
          <t>LYCKSELE</t>
        </is>
      </c>
      <c r="G1014" t="n">
        <v>19.1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72131-2021 artfynd.xlsx", "A 72131-2021")</f>
        <v/>
      </c>
      <c r="T1014">
        <f>HYPERLINK("https://klasma.github.io/Logging_2481/kartor/A 72131-2021 karta.png", "A 72131-2021")</f>
        <v/>
      </c>
      <c r="V1014">
        <f>HYPERLINK("https://klasma.github.io/Logging_2481/klagomål/A 72131-2021 FSC-klagomål.docx", "A 72131-2021")</f>
        <v/>
      </c>
      <c r="W1014">
        <f>HYPERLINK("https://klasma.github.io/Logging_2481/klagomålsmail/A 72131-2021 FSC-klagomål mail.docx", "A 72131-2021")</f>
        <v/>
      </c>
      <c r="X1014">
        <f>HYPERLINK("https://klasma.github.io/Logging_2481/tillsyn/A 72131-2021 tillsynsbegäran.docx", "A 72131-2021")</f>
        <v/>
      </c>
      <c r="Y1014">
        <f>HYPERLINK("https://klasma.github.io/Logging_2481/tillsynsmail/A 72131-2021 tillsynsbegäran mail.docx", "A 72131-2021")</f>
        <v/>
      </c>
      <c r="Z1014">
        <f>HYPERLINK("https://klasma.github.io/Logging_2481/fåglar/A 72131-2021 prioriterade fågelarter.docx", "A 72131-2021")</f>
        <v/>
      </c>
    </row>
    <row r="1015" ht="15" customHeight="1">
      <c r="A1015" t="inlineStr">
        <is>
          <t>A 50903-2025</t>
        </is>
      </c>
      <c r="B1015" s="1" t="n">
        <v>45946</v>
      </c>
      <c r="C1015" s="1" t="n">
        <v>46145</v>
      </c>
      <c r="D1015" t="inlineStr">
        <is>
          <t>VÄSTERBOTTENS LÄN</t>
        </is>
      </c>
      <c r="E1015" t="inlineStr">
        <is>
          <t>NORSJÖ</t>
        </is>
      </c>
      <c r="G1015" t="n">
        <v>23.8</v>
      </c>
      <c r="H1015" t="n">
        <v>1</v>
      </c>
      <c r="I1015" t="n">
        <v>0</v>
      </c>
      <c r="J1015" t="n">
        <v>1</v>
      </c>
      <c r="K1015" t="n">
        <v>0</v>
      </c>
      <c r="L1015" t="n">
        <v>0</v>
      </c>
      <c r="M1015" t="n">
        <v>0</v>
      </c>
      <c r="N1015" t="n">
        <v>0</v>
      </c>
      <c r="O1015" t="n">
        <v>1</v>
      </c>
      <c r="P1015" t="n">
        <v>0</v>
      </c>
      <c r="Q1015" t="n">
        <v>1</v>
      </c>
      <c r="R1015" s="2" t="inlineStr">
        <is>
          <t>Talltita</t>
        </is>
      </c>
      <c r="S1015">
        <f>HYPERLINK("https://klasma.github.io/Logging_2417/artfynd/A 50903-2025 artfynd.xlsx", "A 50903-2025")</f>
        <v/>
      </c>
      <c r="T1015">
        <f>HYPERLINK("https://klasma.github.io/Logging_2417/kartor/A 50903-2025 karta.png", "A 50903-2025")</f>
        <v/>
      </c>
      <c r="V1015">
        <f>HYPERLINK("https://klasma.github.io/Logging_2417/klagomål/A 50903-2025 FSC-klagomål.docx", "A 50903-2025")</f>
        <v/>
      </c>
      <c r="W1015">
        <f>HYPERLINK("https://klasma.github.io/Logging_2417/klagomålsmail/A 50903-2025 FSC-klagomål mail.docx", "A 50903-2025")</f>
        <v/>
      </c>
      <c r="X1015">
        <f>HYPERLINK("https://klasma.github.io/Logging_2417/tillsyn/A 50903-2025 tillsynsbegäran.docx", "A 50903-2025")</f>
        <v/>
      </c>
      <c r="Y1015">
        <f>HYPERLINK("https://klasma.github.io/Logging_2417/tillsynsmail/A 50903-2025 tillsynsbegäran mail.docx", "A 50903-2025")</f>
        <v/>
      </c>
      <c r="Z1015">
        <f>HYPERLINK("https://klasma.github.io/Logging_2417/fåglar/A 50903-2025 prioriterade fågelarter.docx", "A 50903-2025")</f>
        <v/>
      </c>
    </row>
    <row r="1016" ht="15" customHeight="1">
      <c r="A1016" t="inlineStr">
        <is>
          <t>A 39572-2024</t>
        </is>
      </c>
      <c r="B1016" s="1" t="n">
        <v>45552.36100694445</v>
      </c>
      <c r="C1016" s="1" t="n">
        <v>46145</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57653-2024</t>
        </is>
      </c>
      <c r="B1017" s="1" t="n">
        <v>45630</v>
      </c>
      <c r="C1017" s="1" t="n">
        <v>46145</v>
      </c>
      <c r="D1017" t="inlineStr">
        <is>
          <t>VÄSTERBOTTENS LÄN</t>
        </is>
      </c>
      <c r="E1017" t="inlineStr">
        <is>
          <t>ROBERTSFORS</t>
        </is>
      </c>
      <c r="G1017" t="n">
        <v>6</v>
      </c>
      <c r="H1017" t="n">
        <v>1</v>
      </c>
      <c r="I1017" t="n">
        <v>0</v>
      </c>
      <c r="J1017" t="n">
        <v>1</v>
      </c>
      <c r="K1017" t="n">
        <v>0</v>
      </c>
      <c r="L1017" t="n">
        <v>0</v>
      </c>
      <c r="M1017" t="n">
        <v>0</v>
      </c>
      <c r="N1017" t="n">
        <v>0</v>
      </c>
      <c r="O1017" t="n">
        <v>1</v>
      </c>
      <c r="P1017" t="n">
        <v>0</v>
      </c>
      <c r="Q1017" t="n">
        <v>1</v>
      </c>
      <c r="R1017" s="2" t="inlineStr">
        <is>
          <t>Blå kärrhök</t>
        </is>
      </c>
      <c r="S1017">
        <f>HYPERLINK("https://klasma.github.io/Logging_2409/artfynd/A 57653-2024 artfynd.xlsx", "A 57653-2024")</f>
        <v/>
      </c>
      <c r="T1017">
        <f>HYPERLINK("https://klasma.github.io/Logging_2409/kartor/A 57653-2024 karta.png", "A 57653-2024")</f>
        <v/>
      </c>
      <c r="V1017">
        <f>HYPERLINK("https://klasma.github.io/Logging_2409/klagomål/A 57653-2024 FSC-klagomål.docx", "A 57653-2024")</f>
        <v/>
      </c>
      <c r="W1017">
        <f>HYPERLINK("https://klasma.github.io/Logging_2409/klagomålsmail/A 57653-2024 FSC-klagomål mail.docx", "A 57653-2024")</f>
        <v/>
      </c>
      <c r="X1017">
        <f>HYPERLINK("https://klasma.github.io/Logging_2409/tillsyn/A 57653-2024 tillsynsbegäran.docx", "A 57653-2024")</f>
        <v/>
      </c>
      <c r="Y1017">
        <f>HYPERLINK("https://klasma.github.io/Logging_2409/tillsynsmail/A 57653-2024 tillsynsbegäran mail.docx", "A 57653-2024")</f>
        <v/>
      </c>
      <c r="Z1017">
        <f>HYPERLINK("https://klasma.github.io/Logging_2409/fåglar/A 57653-2024 prioriterade fågelarter.docx", "A 57653-2024")</f>
        <v/>
      </c>
    </row>
    <row r="1018" ht="15" customHeight="1">
      <c r="A1018" t="inlineStr">
        <is>
          <t>A 29434-2025</t>
        </is>
      </c>
      <c r="B1018" s="1" t="n">
        <v>45824</v>
      </c>
      <c r="C1018" s="1" t="n">
        <v>46145</v>
      </c>
      <c r="D1018" t="inlineStr">
        <is>
          <t>VÄSTERBOTTENS LÄN</t>
        </is>
      </c>
      <c r="E1018" t="inlineStr">
        <is>
          <t>VILHELMINA</t>
        </is>
      </c>
      <c r="F1018" t="inlineStr">
        <is>
          <t>SCA</t>
        </is>
      </c>
      <c r="G1018" t="n">
        <v>5.9</v>
      </c>
      <c r="H1018" t="n">
        <v>0</v>
      </c>
      <c r="I1018" t="n">
        <v>1</v>
      </c>
      <c r="J1018" t="n">
        <v>0</v>
      </c>
      <c r="K1018" t="n">
        <v>0</v>
      </c>
      <c r="L1018" t="n">
        <v>0</v>
      </c>
      <c r="M1018" t="n">
        <v>0</v>
      </c>
      <c r="N1018" t="n">
        <v>0</v>
      </c>
      <c r="O1018" t="n">
        <v>0</v>
      </c>
      <c r="P1018" t="n">
        <v>0</v>
      </c>
      <c r="Q1018" t="n">
        <v>1</v>
      </c>
      <c r="R1018" s="2" t="inlineStr">
        <is>
          <t>Tibast</t>
        </is>
      </c>
      <c r="S1018">
        <f>HYPERLINK("https://klasma.github.io/Logging_2462/artfynd/A 29434-2025 artfynd.xlsx", "A 29434-2025")</f>
        <v/>
      </c>
      <c r="T1018">
        <f>HYPERLINK("https://klasma.github.io/Logging_2462/kartor/A 29434-2025 karta.png", "A 29434-2025")</f>
        <v/>
      </c>
      <c r="V1018">
        <f>HYPERLINK("https://klasma.github.io/Logging_2462/klagomål/A 29434-2025 FSC-klagomål.docx", "A 29434-2025")</f>
        <v/>
      </c>
      <c r="W1018">
        <f>HYPERLINK("https://klasma.github.io/Logging_2462/klagomålsmail/A 29434-2025 FSC-klagomål mail.docx", "A 29434-2025")</f>
        <v/>
      </c>
      <c r="X1018">
        <f>HYPERLINK("https://klasma.github.io/Logging_2462/tillsyn/A 29434-2025 tillsynsbegäran.docx", "A 29434-2025")</f>
        <v/>
      </c>
      <c r="Y1018">
        <f>HYPERLINK("https://klasma.github.io/Logging_2462/tillsynsmail/A 29434-2025 tillsynsbegäran mail.docx", "A 29434-2025")</f>
        <v/>
      </c>
    </row>
    <row r="1019" ht="15" customHeight="1">
      <c r="A1019" t="inlineStr">
        <is>
          <t>A 13523-2025</t>
        </is>
      </c>
      <c r="B1019" s="1" t="n">
        <v>45736</v>
      </c>
      <c r="C1019" s="1" t="n">
        <v>46145</v>
      </c>
      <c r="D1019" t="inlineStr">
        <is>
          <t>VÄSTERBOTTENS LÄN</t>
        </is>
      </c>
      <c r="E1019" t="inlineStr">
        <is>
          <t>VILHELMINA</t>
        </is>
      </c>
      <c r="F1019" t="inlineStr">
        <is>
          <t>SCA</t>
        </is>
      </c>
      <c r="G1019" t="n">
        <v>1.9</v>
      </c>
      <c r="H1019" t="n">
        <v>0</v>
      </c>
      <c r="I1019" t="n">
        <v>0</v>
      </c>
      <c r="J1019" t="n">
        <v>1</v>
      </c>
      <c r="K1019" t="n">
        <v>0</v>
      </c>
      <c r="L1019" t="n">
        <v>0</v>
      </c>
      <c r="M1019" t="n">
        <v>0</v>
      </c>
      <c r="N1019" t="n">
        <v>0</v>
      </c>
      <c r="O1019" t="n">
        <v>1</v>
      </c>
      <c r="P1019" t="n">
        <v>0</v>
      </c>
      <c r="Q1019" t="n">
        <v>1</v>
      </c>
      <c r="R1019" s="2" t="inlineStr">
        <is>
          <t>Lunglav</t>
        </is>
      </c>
      <c r="S1019">
        <f>HYPERLINK("https://klasma.github.io/Logging_2462/artfynd/A 13523-2025 artfynd.xlsx", "A 13523-2025")</f>
        <v/>
      </c>
      <c r="T1019">
        <f>HYPERLINK("https://klasma.github.io/Logging_2462/kartor/A 13523-2025 karta.png", "A 13523-2025")</f>
        <v/>
      </c>
      <c r="V1019">
        <f>HYPERLINK("https://klasma.github.io/Logging_2462/klagomål/A 13523-2025 FSC-klagomål.docx", "A 13523-2025")</f>
        <v/>
      </c>
      <c r="W1019">
        <f>HYPERLINK("https://klasma.github.io/Logging_2462/klagomålsmail/A 13523-2025 FSC-klagomål mail.docx", "A 13523-2025")</f>
        <v/>
      </c>
      <c r="X1019">
        <f>HYPERLINK("https://klasma.github.io/Logging_2462/tillsyn/A 13523-2025 tillsynsbegäran.docx", "A 13523-2025")</f>
        <v/>
      </c>
      <c r="Y1019">
        <f>HYPERLINK("https://klasma.github.io/Logging_2462/tillsynsmail/A 13523-2025 tillsynsbegäran mail.docx", "A 13523-2025")</f>
        <v/>
      </c>
    </row>
    <row r="1020" ht="15" customHeight="1">
      <c r="A1020" t="inlineStr">
        <is>
          <t>A 56072-2025</t>
        </is>
      </c>
      <c r="B1020" s="1" t="n">
        <v>45973.6524074074</v>
      </c>
      <c r="C1020" s="1" t="n">
        <v>46145</v>
      </c>
      <c r="D1020" t="inlineStr">
        <is>
          <t>VÄSTERBOTTENS LÄN</t>
        </is>
      </c>
      <c r="E1020" t="inlineStr">
        <is>
          <t>SKELLEFTEÅ</t>
        </is>
      </c>
      <c r="G1020" t="n">
        <v>4</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56072-2025 artfynd.xlsx", "A 56072-2025")</f>
        <v/>
      </c>
      <c r="T1020">
        <f>HYPERLINK("https://klasma.github.io/Logging_2482/kartor/A 56072-2025 karta.png", "A 56072-2025")</f>
        <v/>
      </c>
      <c r="V1020">
        <f>HYPERLINK("https://klasma.github.io/Logging_2482/klagomål/A 56072-2025 FSC-klagomål.docx", "A 56072-2025")</f>
        <v/>
      </c>
      <c r="W1020">
        <f>HYPERLINK("https://klasma.github.io/Logging_2482/klagomålsmail/A 56072-2025 FSC-klagomål mail.docx", "A 56072-2025")</f>
        <v/>
      </c>
      <c r="X1020">
        <f>HYPERLINK("https://klasma.github.io/Logging_2482/tillsyn/A 56072-2025 tillsynsbegäran.docx", "A 56072-2025")</f>
        <v/>
      </c>
      <c r="Y1020">
        <f>HYPERLINK("https://klasma.github.io/Logging_2482/tillsynsmail/A 56072-2025 tillsynsbegäran mail.docx", "A 56072-2025")</f>
        <v/>
      </c>
    </row>
    <row r="1021" ht="15" customHeight="1">
      <c r="A1021" t="inlineStr">
        <is>
          <t>A 73985-2021</t>
        </is>
      </c>
      <c r="B1021" s="1" t="n">
        <v>44555</v>
      </c>
      <c r="C1021" s="1" t="n">
        <v>46145</v>
      </c>
      <c r="D1021" t="inlineStr">
        <is>
          <t>VÄSTERBOTTENS LÄN</t>
        </is>
      </c>
      <c r="E1021" t="inlineStr">
        <is>
          <t>SKELLEFTEÅ</t>
        </is>
      </c>
      <c r="G1021" t="n">
        <v>1.8</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HYPERLINK("https://klasma.github.io/Logging_2482/artfynd/A 73985-2021 artfynd.xlsx", "A 73985-2021")</f>
        <v/>
      </c>
      <c r="T1021">
        <f>HYPERLINK("https://klasma.github.io/Logging_2482/kartor/A 73985-2021 karta.png", "A 73985-2021")</f>
        <v/>
      </c>
      <c r="V1021">
        <f>HYPERLINK("https://klasma.github.io/Logging_2482/klagomål/A 73985-2021 FSC-klagomål.docx", "A 73985-2021")</f>
        <v/>
      </c>
      <c r="W1021">
        <f>HYPERLINK("https://klasma.github.io/Logging_2482/klagomålsmail/A 73985-2021 FSC-klagomål mail.docx", "A 73985-2021")</f>
        <v/>
      </c>
      <c r="X1021">
        <f>HYPERLINK("https://klasma.github.io/Logging_2482/tillsyn/A 73985-2021 tillsynsbegäran.docx", "A 73985-2021")</f>
        <v/>
      </c>
      <c r="Y1021">
        <f>HYPERLINK("https://klasma.github.io/Logging_2482/tillsynsmail/A 73985-2021 tillsynsbegäran mail.docx", "A 73985-2021")</f>
        <v/>
      </c>
    </row>
    <row r="1022" ht="15" customHeight="1">
      <c r="A1022" t="inlineStr">
        <is>
          <t>A 56064-2025</t>
        </is>
      </c>
      <c r="B1022" s="1" t="n">
        <v>45973.64320601852</v>
      </c>
      <c r="C1022" s="1" t="n">
        <v>46145</v>
      </c>
      <c r="D1022" t="inlineStr">
        <is>
          <t>VÄSTERBOTTENS LÄN</t>
        </is>
      </c>
      <c r="E1022" t="inlineStr">
        <is>
          <t>VINDELN</t>
        </is>
      </c>
      <c r="G1022" t="n">
        <v>7.9</v>
      </c>
      <c r="H1022" t="n">
        <v>0</v>
      </c>
      <c r="I1022" t="n">
        <v>0</v>
      </c>
      <c r="J1022" t="n">
        <v>1</v>
      </c>
      <c r="K1022" t="n">
        <v>0</v>
      </c>
      <c r="L1022" t="n">
        <v>0</v>
      </c>
      <c r="M1022" t="n">
        <v>0</v>
      </c>
      <c r="N1022" t="n">
        <v>0</v>
      </c>
      <c r="O1022" t="n">
        <v>1</v>
      </c>
      <c r="P1022" t="n">
        <v>0</v>
      </c>
      <c r="Q1022" t="n">
        <v>1</v>
      </c>
      <c r="R1022" s="2" t="inlineStr">
        <is>
          <t>Barrpraktbagge</t>
        </is>
      </c>
      <c r="S1022">
        <f>HYPERLINK("https://klasma.github.io/Logging_2404/artfynd/A 56064-2025 artfynd.xlsx", "A 56064-2025")</f>
        <v/>
      </c>
      <c r="T1022">
        <f>HYPERLINK("https://klasma.github.io/Logging_2404/kartor/A 56064-2025 karta.png", "A 56064-2025")</f>
        <v/>
      </c>
      <c r="V1022">
        <f>HYPERLINK("https://klasma.github.io/Logging_2404/klagomål/A 56064-2025 FSC-klagomål.docx", "A 56064-2025")</f>
        <v/>
      </c>
      <c r="W1022">
        <f>HYPERLINK("https://klasma.github.io/Logging_2404/klagomålsmail/A 56064-2025 FSC-klagomål mail.docx", "A 56064-2025")</f>
        <v/>
      </c>
      <c r="X1022">
        <f>HYPERLINK("https://klasma.github.io/Logging_2404/tillsyn/A 56064-2025 tillsynsbegäran.docx", "A 56064-2025")</f>
        <v/>
      </c>
      <c r="Y1022">
        <f>HYPERLINK("https://klasma.github.io/Logging_2404/tillsynsmail/A 56064-2025 tillsynsbegäran mail.docx", "A 56064-2025")</f>
        <v/>
      </c>
    </row>
    <row r="1023" ht="15" customHeight="1">
      <c r="A1023" t="inlineStr">
        <is>
          <t>A 56442-2025</t>
        </is>
      </c>
      <c r="B1023" s="1" t="n">
        <v>45975.34778935185</v>
      </c>
      <c r="C1023" s="1" t="n">
        <v>46145</v>
      </c>
      <c r="D1023" t="inlineStr">
        <is>
          <t>VÄSTERBOTTENS LÄN</t>
        </is>
      </c>
      <c r="E1023" t="inlineStr">
        <is>
          <t>BJURHOLM</t>
        </is>
      </c>
      <c r="F1023" t="inlineStr">
        <is>
          <t>SCA</t>
        </is>
      </c>
      <c r="G1023" t="n">
        <v>6.5</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56442-2025 artfynd.xlsx", "A 56442-2025")</f>
        <v/>
      </c>
      <c r="T1023">
        <f>HYPERLINK("https://klasma.github.io/Logging_2403/kartor/A 56442-2025 karta.png", "A 56442-2025")</f>
        <v/>
      </c>
      <c r="V1023">
        <f>HYPERLINK("https://klasma.github.io/Logging_2403/klagomål/A 56442-2025 FSC-klagomål.docx", "A 56442-2025")</f>
        <v/>
      </c>
      <c r="W1023">
        <f>HYPERLINK("https://klasma.github.io/Logging_2403/klagomålsmail/A 56442-2025 FSC-klagomål mail.docx", "A 56442-2025")</f>
        <v/>
      </c>
      <c r="X1023">
        <f>HYPERLINK("https://klasma.github.io/Logging_2403/tillsyn/A 56442-2025 tillsynsbegäran.docx", "A 56442-2025")</f>
        <v/>
      </c>
      <c r="Y1023">
        <f>HYPERLINK("https://klasma.github.io/Logging_2403/tillsynsmail/A 56442-2025 tillsynsbegäran mail.docx", "A 56442-2025")</f>
        <v/>
      </c>
    </row>
    <row r="1024" ht="15" customHeight="1">
      <c r="A1024" t="inlineStr">
        <is>
          <t>A 26857-2024</t>
        </is>
      </c>
      <c r="B1024" s="1" t="n">
        <v>45470</v>
      </c>
      <c r="C1024" s="1" t="n">
        <v>46145</v>
      </c>
      <c r="D1024" t="inlineStr">
        <is>
          <t>VÄSTERBOTTENS LÄN</t>
        </is>
      </c>
      <c r="E1024" t="inlineStr">
        <is>
          <t>LYCKSELE</t>
        </is>
      </c>
      <c r="F1024" t="inlineStr">
        <is>
          <t>Sveaskog</t>
        </is>
      </c>
      <c r="G1024" t="n">
        <v>24.2</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26857-2024 artfynd.xlsx", "A 26857-2024")</f>
        <v/>
      </c>
      <c r="T1024">
        <f>HYPERLINK("https://klasma.github.io/Logging_2481/kartor/A 26857-2024 karta.png", "A 26857-2024")</f>
        <v/>
      </c>
      <c r="V1024">
        <f>HYPERLINK("https://klasma.github.io/Logging_2481/klagomål/A 26857-2024 FSC-klagomål.docx", "A 26857-2024")</f>
        <v/>
      </c>
      <c r="W1024">
        <f>HYPERLINK("https://klasma.github.io/Logging_2481/klagomålsmail/A 26857-2024 FSC-klagomål mail.docx", "A 26857-2024")</f>
        <v/>
      </c>
      <c r="X1024">
        <f>HYPERLINK("https://klasma.github.io/Logging_2481/tillsyn/A 26857-2024 tillsynsbegäran.docx", "A 26857-2024")</f>
        <v/>
      </c>
      <c r="Y1024">
        <f>HYPERLINK("https://klasma.github.io/Logging_2481/tillsynsmail/A 26857-2024 tillsynsbegäran mail.docx", "A 26857-2024")</f>
        <v/>
      </c>
    </row>
    <row r="1025" ht="15" customHeight="1">
      <c r="A1025" t="inlineStr">
        <is>
          <t>A 31311-2023</t>
        </is>
      </c>
      <c r="B1025" s="1" t="n">
        <v>45104</v>
      </c>
      <c r="C1025" s="1" t="n">
        <v>46145</v>
      </c>
      <c r="D1025" t="inlineStr">
        <is>
          <t>VÄSTERBOTTENS LÄN</t>
        </is>
      </c>
      <c r="E1025" t="inlineStr">
        <is>
          <t>UMEÅ</t>
        </is>
      </c>
      <c r="G1025" t="n">
        <v>3.2</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31311-2023 artfynd.xlsx", "A 31311-2023")</f>
        <v/>
      </c>
      <c r="T1025">
        <f>HYPERLINK("https://klasma.github.io/Logging_2480/kartor/A 31311-2023 karta.png", "A 31311-2023")</f>
        <v/>
      </c>
      <c r="V1025">
        <f>HYPERLINK("https://klasma.github.io/Logging_2480/klagomål/A 31311-2023 FSC-klagomål.docx", "A 31311-2023")</f>
        <v/>
      </c>
      <c r="W1025">
        <f>HYPERLINK("https://klasma.github.io/Logging_2480/klagomålsmail/A 31311-2023 FSC-klagomål mail.docx", "A 31311-2023")</f>
        <v/>
      </c>
      <c r="X1025">
        <f>HYPERLINK("https://klasma.github.io/Logging_2480/tillsyn/A 31311-2023 tillsynsbegäran.docx", "A 31311-2023")</f>
        <v/>
      </c>
      <c r="Y1025">
        <f>HYPERLINK("https://klasma.github.io/Logging_2480/tillsynsmail/A 31311-2023 tillsynsbegäran mail.docx", "A 31311-2023")</f>
        <v/>
      </c>
    </row>
    <row r="1026" ht="15" customHeight="1">
      <c r="A1026" t="inlineStr">
        <is>
          <t>A 26932-2024</t>
        </is>
      </c>
      <c r="B1026" s="1" t="n">
        <v>45470</v>
      </c>
      <c r="C1026" s="1" t="n">
        <v>46145</v>
      </c>
      <c r="D1026" t="inlineStr">
        <is>
          <t>VÄSTERBOTTENS LÄN</t>
        </is>
      </c>
      <c r="E1026" t="inlineStr">
        <is>
          <t>UMEÅ</t>
        </is>
      </c>
      <c r="G1026" t="n">
        <v>4</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HYPERLINK("https://klasma.github.io/Logging_2480/artfynd/A 26932-2024 artfynd.xlsx", "A 26932-2024")</f>
        <v/>
      </c>
      <c r="T1026">
        <f>HYPERLINK("https://klasma.github.io/Logging_2480/kartor/A 26932-2024 karta.png", "A 26932-2024")</f>
        <v/>
      </c>
      <c r="V1026">
        <f>HYPERLINK("https://klasma.github.io/Logging_2480/klagomål/A 26932-2024 FSC-klagomål.docx", "A 26932-2024")</f>
        <v/>
      </c>
      <c r="W1026">
        <f>HYPERLINK("https://klasma.github.io/Logging_2480/klagomålsmail/A 26932-2024 FSC-klagomål mail.docx", "A 26932-2024")</f>
        <v/>
      </c>
      <c r="X1026">
        <f>HYPERLINK("https://klasma.github.io/Logging_2480/tillsyn/A 26932-2024 tillsynsbegäran.docx", "A 26932-2024")</f>
        <v/>
      </c>
      <c r="Y1026">
        <f>HYPERLINK("https://klasma.github.io/Logging_2480/tillsynsmail/A 26932-2024 tillsynsbegäran mail.docx", "A 26932-2024")</f>
        <v/>
      </c>
    </row>
    <row r="1027" ht="15" customHeight="1">
      <c r="A1027" t="inlineStr">
        <is>
          <t>A 57206-2025</t>
        </is>
      </c>
      <c r="B1027" s="1" t="n">
        <v>45979.59435185185</v>
      </c>
      <c r="C1027" s="1" t="n">
        <v>46145</v>
      </c>
      <c r="D1027" t="inlineStr">
        <is>
          <t>VÄSTERBOTTENS LÄN</t>
        </is>
      </c>
      <c r="E1027" t="inlineStr">
        <is>
          <t>VÄNNÄS</t>
        </is>
      </c>
      <c r="F1027" t="inlineStr">
        <is>
          <t>Sveaskog</t>
        </is>
      </c>
      <c r="G1027" t="n">
        <v>12.2</v>
      </c>
      <c r="H1027" t="n">
        <v>1</v>
      </c>
      <c r="I1027" t="n">
        <v>0</v>
      </c>
      <c r="J1027" t="n">
        <v>0</v>
      </c>
      <c r="K1027" t="n">
        <v>0</v>
      </c>
      <c r="L1027" t="n">
        <v>0</v>
      </c>
      <c r="M1027" t="n">
        <v>0</v>
      </c>
      <c r="N1027" t="n">
        <v>0</v>
      </c>
      <c r="O1027" t="n">
        <v>0</v>
      </c>
      <c r="P1027" t="n">
        <v>0</v>
      </c>
      <c r="Q1027" t="n">
        <v>1</v>
      </c>
      <c r="R1027" s="2" t="inlineStr">
        <is>
          <t>Huggorm</t>
        </is>
      </c>
      <c r="S1027">
        <f>HYPERLINK("https://klasma.github.io/Logging_2460/artfynd/A 57206-2025 artfynd.xlsx", "A 57206-2025")</f>
        <v/>
      </c>
      <c r="T1027">
        <f>HYPERLINK("https://klasma.github.io/Logging_2460/kartor/A 57206-2025 karta.png", "A 57206-2025")</f>
        <v/>
      </c>
      <c r="V1027">
        <f>HYPERLINK("https://klasma.github.io/Logging_2460/klagomål/A 57206-2025 FSC-klagomål.docx", "A 57206-2025")</f>
        <v/>
      </c>
      <c r="W1027">
        <f>HYPERLINK("https://klasma.github.io/Logging_2460/klagomålsmail/A 57206-2025 FSC-klagomål mail.docx", "A 57206-2025")</f>
        <v/>
      </c>
      <c r="X1027">
        <f>HYPERLINK("https://klasma.github.io/Logging_2460/tillsyn/A 57206-2025 tillsynsbegäran.docx", "A 57206-2025")</f>
        <v/>
      </c>
      <c r="Y1027">
        <f>HYPERLINK("https://klasma.github.io/Logging_2460/tillsynsmail/A 57206-2025 tillsynsbegäran mail.docx", "A 57206-2025")</f>
        <v/>
      </c>
    </row>
    <row r="1028" ht="15" customHeight="1">
      <c r="A1028" t="inlineStr">
        <is>
          <t>A 58071-2025</t>
        </is>
      </c>
      <c r="B1028" s="1" t="n">
        <v>45982.5507175926</v>
      </c>
      <c r="C1028" s="1" t="n">
        <v>46145</v>
      </c>
      <c r="D1028" t="inlineStr">
        <is>
          <t>VÄSTERBOTTENS LÄN</t>
        </is>
      </c>
      <c r="E1028" t="inlineStr">
        <is>
          <t>LYCKSELE</t>
        </is>
      </c>
      <c r="F1028" t="inlineStr">
        <is>
          <t>Sveaskog</t>
        </is>
      </c>
      <c r="G1028" t="n">
        <v>3.1</v>
      </c>
      <c r="H1028" t="n">
        <v>0</v>
      </c>
      <c r="I1028" t="n">
        <v>1</v>
      </c>
      <c r="J1028" t="n">
        <v>0</v>
      </c>
      <c r="K1028" t="n">
        <v>0</v>
      </c>
      <c r="L1028" t="n">
        <v>0</v>
      </c>
      <c r="M1028" t="n">
        <v>0</v>
      </c>
      <c r="N1028" t="n">
        <v>0</v>
      </c>
      <c r="O1028" t="n">
        <v>0</v>
      </c>
      <c r="P1028" t="n">
        <v>0</v>
      </c>
      <c r="Q1028" t="n">
        <v>1</v>
      </c>
      <c r="R1028" s="2" t="inlineStr">
        <is>
          <t>Stuplav</t>
        </is>
      </c>
      <c r="S1028">
        <f>HYPERLINK("https://klasma.github.io/Logging_2481/artfynd/A 58071-2025 artfynd.xlsx", "A 58071-2025")</f>
        <v/>
      </c>
      <c r="T1028">
        <f>HYPERLINK("https://klasma.github.io/Logging_2481/kartor/A 58071-2025 karta.png", "A 58071-2025")</f>
        <v/>
      </c>
      <c r="V1028">
        <f>HYPERLINK("https://klasma.github.io/Logging_2481/klagomål/A 58071-2025 FSC-klagomål.docx", "A 58071-2025")</f>
        <v/>
      </c>
      <c r="W1028">
        <f>HYPERLINK("https://klasma.github.io/Logging_2481/klagomålsmail/A 58071-2025 FSC-klagomål mail.docx", "A 58071-2025")</f>
        <v/>
      </c>
      <c r="X1028">
        <f>HYPERLINK("https://klasma.github.io/Logging_2481/tillsyn/A 58071-2025 tillsynsbegäran.docx", "A 58071-2025")</f>
        <v/>
      </c>
      <c r="Y1028">
        <f>HYPERLINK("https://klasma.github.io/Logging_2481/tillsynsmail/A 58071-2025 tillsynsbegäran mail.docx", "A 58071-2025")</f>
        <v/>
      </c>
    </row>
    <row r="1029" ht="15" customHeight="1">
      <c r="A1029" t="inlineStr">
        <is>
          <t>A 28838-2024</t>
        </is>
      </c>
      <c r="B1029" s="1" t="n">
        <v>45478.68777777778</v>
      </c>
      <c r="C1029" s="1" t="n">
        <v>46145</v>
      </c>
      <c r="D1029" t="inlineStr">
        <is>
          <t>VÄSTERBOTTENS LÄN</t>
        </is>
      </c>
      <c r="E1029" t="inlineStr">
        <is>
          <t>LYCKSELE</t>
        </is>
      </c>
      <c r="F1029" t="inlineStr">
        <is>
          <t>Sveaskog</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28838-2024 artfynd.xlsx", "A 28838-2024")</f>
        <v/>
      </c>
      <c r="T1029">
        <f>HYPERLINK("https://klasma.github.io/Logging_2481/kartor/A 28838-2024 karta.png", "A 28838-2024")</f>
        <v/>
      </c>
      <c r="V1029">
        <f>HYPERLINK("https://klasma.github.io/Logging_2481/klagomål/A 28838-2024 FSC-klagomål.docx", "A 28838-2024")</f>
        <v/>
      </c>
      <c r="W1029">
        <f>HYPERLINK("https://klasma.github.io/Logging_2481/klagomålsmail/A 28838-2024 FSC-klagomål mail.docx", "A 28838-2024")</f>
        <v/>
      </c>
      <c r="X1029">
        <f>HYPERLINK("https://klasma.github.io/Logging_2481/tillsyn/A 28838-2024 tillsynsbegäran.docx", "A 28838-2024")</f>
        <v/>
      </c>
      <c r="Y1029">
        <f>HYPERLINK("https://klasma.github.io/Logging_2481/tillsynsmail/A 28838-2024 tillsynsbegäran mail.docx", "A 28838-2024")</f>
        <v/>
      </c>
    </row>
    <row r="1030" ht="15" customHeight="1">
      <c r="A1030" t="inlineStr">
        <is>
          <t>A 57992-2025</t>
        </is>
      </c>
      <c r="B1030" s="1" t="n">
        <v>45982.42826388889</v>
      </c>
      <c r="C1030" s="1" t="n">
        <v>46145</v>
      </c>
      <c r="D1030" t="inlineStr">
        <is>
          <t>VÄSTERBOTTENS LÄN</t>
        </is>
      </c>
      <c r="E1030" t="inlineStr">
        <is>
          <t>SKELLEFTEÅ</t>
        </is>
      </c>
      <c r="F1030" t="inlineStr">
        <is>
          <t>Sveaskog</t>
        </is>
      </c>
      <c r="G1030" t="n">
        <v>13.6</v>
      </c>
      <c r="H1030" t="n">
        <v>1</v>
      </c>
      <c r="I1030" t="n">
        <v>0</v>
      </c>
      <c r="J1030" t="n">
        <v>0</v>
      </c>
      <c r="K1030" t="n">
        <v>0</v>
      </c>
      <c r="L1030" t="n">
        <v>0</v>
      </c>
      <c r="M1030" t="n">
        <v>0</v>
      </c>
      <c r="N1030" t="n">
        <v>0</v>
      </c>
      <c r="O1030" t="n">
        <v>0</v>
      </c>
      <c r="P1030" t="n">
        <v>0</v>
      </c>
      <c r="Q1030" t="n">
        <v>1</v>
      </c>
      <c r="R1030" s="2" t="inlineStr">
        <is>
          <t>Tjäder</t>
        </is>
      </c>
      <c r="S1030">
        <f>HYPERLINK("https://klasma.github.io/Logging_2482/artfynd/A 57992-2025 artfynd.xlsx", "A 57992-2025")</f>
        <v/>
      </c>
      <c r="T1030">
        <f>HYPERLINK("https://klasma.github.io/Logging_2482/kartor/A 57992-2025 karta.png", "A 57992-2025")</f>
        <v/>
      </c>
      <c r="V1030">
        <f>HYPERLINK("https://klasma.github.io/Logging_2482/klagomål/A 57992-2025 FSC-klagomål.docx", "A 57992-2025")</f>
        <v/>
      </c>
      <c r="W1030">
        <f>HYPERLINK("https://klasma.github.io/Logging_2482/klagomålsmail/A 57992-2025 FSC-klagomål mail.docx", "A 57992-2025")</f>
        <v/>
      </c>
      <c r="X1030">
        <f>HYPERLINK("https://klasma.github.io/Logging_2482/tillsyn/A 57992-2025 tillsynsbegäran.docx", "A 57992-2025")</f>
        <v/>
      </c>
      <c r="Y1030">
        <f>HYPERLINK("https://klasma.github.io/Logging_2482/tillsynsmail/A 57992-2025 tillsynsbegäran mail.docx", "A 57992-2025")</f>
        <v/>
      </c>
      <c r="Z1030">
        <f>HYPERLINK("https://klasma.github.io/Logging_2482/fåglar/A 57992-2025 prioriterade fågelarter.docx", "A 57992-2025")</f>
        <v/>
      </c>
    </row>
    <row r="1031" ht="15" customHeight="1">
      <c r="A1031" t="inlineStr">
        <is>
          <t>A 57601-2025</t>
        </is>
      </c>
      <c r="B1031" s="1" t="n">
        <v>45981.30391203704</v>
      </c>
      <c r="C1031" s="1" t="n">
        <v>46145</v>
      </c>
      <c r="D1031" t="inlineStr">
        <is>
          <t>VÄSTERBOTTENS LÄN</t>
        </is>
      </c>
      <c r="E1031" t="inlineStr">
        <is>
          <t>BJURHOLM</t>
        </is>
      </c>
      <c r="F1031" t="inlineStr">
        <is>
          <t>Holmen skog AB</t>
        </is>
      </c>
      <c r="G1031" t="n">
        <v>6.3</v>
      </c>
      <c r="H1031" t="n">
        <v>1</v>
      </c>
      <c r="I1031" t="n">
        <v>0</v>
      </c>
      <c r="J1031" t="n">
        <v>0</v>
      </c>
      <c r="K1031" t="n">
        <v>0</v>
      </c>
      <c r="L1031" t="n">
        <v>0</v>
      </c>
      <c r="M1031" t="n">
        <v>0</v>
      </c>
      <c r="N1031" t="n">
        <v>0</v>
      </c>
      <c r="O1031" t="n">
        <v>0</v>
      </c>
      <c r="P1031" t="n">
        <v>0</v>
      </c>
      <c r="Q1031" t="n">
        <v>1</v>
      </c>
      <c r="R1031" s="2" t="inlineStr">
        <is>
          <t>Fläcknycklar</t>
        </is>
      </c>
      <c r="S1031">
        <f>HYPERLINK("https://klasma.github.io/Logging_2403/artfynd/A 57601-2025 artfynd.xlsx", "A 57601-2025")</f>
        <v/>
      </c>
      <c r="T1031">
        <f>HYPERLINK("https://klasma.github.io/Logging_2403/kartor/A 57601-2025 karta.png", "A 57601-2025")</f>
        <v/>
      </c>
      <c r="V1031">
        <f>HYPERLINK("https://klasma.github.io/Logging_2403/klagomål/A 57601-2025 FSC-klagomål.docx", "A 57601-2025")</f>
        <v/>
      </c>
      <c r="W1031">
        <f>HYPERLINK("https://klasma.github.io/Logging_2403/klagomålsmail/A 57601-2025 FSC-klagomål mail.docx", "A 57601-2025")</f>
        <v/>
      </c>
      <c r="X1031">
        <f>HYPERLINK("https://klasma.github.io/Logging_2403/tillsyn/A 57601-2025 tillsynsbegäran.docx", "A 57601-2025")</f>
        <v/>
      </c>
      <c r="Y1031">
        <f>HYPERLINK("https://klasma.github.io/Logging_2403/tillsynsmail/A 57601-2025 tillsynsbegäran mail.docx", "A 57601-2025")</f>
        <v/>
      </c>
    </row>
    <row r="1032" ht="15" customHeight="1">
      <c r="A1032" t="inlineStr">
        <is>
          <t>A 58390-2025</t>
        </is>
      </c>
      <c r="B1032" s="1" t="n">
        <v>45985.54884259259</v>
      </c>
      <c r="C1032" s="1" t="n">
        <v>46145</v>
      </c>
      <c r="D1032" t="inlineStr">
        <is>
          <t>VÄSTERBOTTENS LÄN</t>
        </is>
      </c>
      <c r="E1032" t="inlineStr">
        <is>
          <t>LYCKSELE</t>
        </is>
      </c>
      <c r="F1032" t="inlineStr">
        <is>
          <t>Sveaskog</t>
        </is>
      </c>
      <c r="G1032" t="n">
        <v>9.1</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58390-2025 artfynd.xlsx", "A 58390-2025")</f>
        <v/>
      </c>
      <c r="T1032">
        <f>HYPERLINK("https://klasma.github.io/Logging_2481/kartor/A 58390-2025 karta.png", "A 58390-2025")</f>
        <v/>
      </c>
      <c r="V1032">
        <f>HYPERLINK("https://klasma.github.io/Logging_2481/klagomål/A 58390-2025 FSC-klagomål.docx", "A 58390-2025")</f>
        <v/>
      </c>
      <c r="W1032">
        <f>HYPERLINK("https://klasma.github.io/Logging_2481/klagomålsmail/A 58390-2025 FSC-klagomål mail.docx", "A 58390-2025")</f>
        <v/>
      </c>
      <c r="X1032">
        <f>HYPERLINK("https://klasma.github.io/Logging_2481/tillsyn/A 58390-2025 tillsynsbegäran.docx", "A 58390-2025")</f>
        <v/>
      </c>
      <c r="Y1032">
        <f>HYPERLINK("https://klasma.github.io/Logging_2481/tillsynsmail/A 58390-2025 tillsynsbegäran mail.docx", "A 58390-2025")</f>
        <v/>
      </c>
    </row>
    <row r="1033" ht="15" customHeight="1">
      <c r="A1033" t="inlineStr">
        <is>
          <t>A 277-2025</t>
        </is>
      </c>
      <c r="B1033" s="1" t="n">
        <v>45660.49072916667</v>
      </c>
      <c r="C1033" s="1" t="n">
        <v>46145</v>
      </c>
      <c r="D1033" t="inlineStr">
        <is>
          <t>VÄSTERBOTTENS LÄN</t>
        </is>
      </c>
      <c r="E1033" t="inlineStr">
        <is>
          <t>SKELLEFTEÅ</t>
        </is>
      </c>
      <c r="G1033" t="n">
        <v>17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277-2025 artfynd.xlsx", "A 277-2025")</f>
        <v/>
      </c>
      <c r="T1033">
        <f>HYPERLINK("https://klasma.github.io/Logging_2482/kartor/A 277-2025 karta.png", "A 277-2025")</f>
        <v/>
      </c>
      <c r="V1033">
        <f>HYPERLINK("https://klasma.github.io/Logging_2482/klagomål/A 277-2025 FSC-klagomål.docx", "A 277-2025")</f>
        <v/>
      </c>
      <c r="W1033">
        <f>HYPERLINK("https://klasma.github.io/Logging_2482/klagomålsmail/A 277-2025 FSC-klagomål mail.docx", "A 277-2025")</f>
        <v/>
      </c>
      <c r="X1033">
        <f>HYPERLINK("https://klasma.github.io/Logging_2482/tillsyn/A 277-2025 tillsynsbegäran.docx", "A 277-2025")</f>
        <v/>
      </c>
      <c r="Y1033">
        <f>HYPERLINK("https://klasma.github.io/Logging_2482/tillsynsmail/A 277-2025 tillsynsbegäran mail.docx", "A 277-2025")</f>
        <v/>
      </c>
      <c r="Z1033">
        <f>HYPERLINK("https://klasma.github.io/Logging_2482/fåglar/A 277-2025 prioriterade fågelarter.docx", "A 277-2025")</f>
        <v/>
      </c>
    </row>
    <row r="1034" ht="15" customHeight="1">
      <c r="A1034" t="inlineStr">
        <is>
          <t>A 18000-2025</t>
        </is>
      </c>
      <c r="B1034" s="1" t="n">
        <v>45761</v>
      </c>
      <c r="C1034" s="1" t="n">
        <v>46145</v>
      </c>
      <c r="D1034" t="inlineStr">
        <is>
          <t>VÄSTERBOTTENS LÄN</t>
        </is>
      </c>
      <c r="E1034" t="inlineStr">
        <is>
          <t>ÅSELE</t>
        </is>
      </c>
      <c r="G1034" t="n">
        <v>4.2</v>
      </c>
      <c r="H1034" t="n">
        <v>0</v>
      </c>
      <c r="I1034" t="n">
        <v>0</v>
      </c>
      <c r="J1034" t="n">
        <v>1</v>
      </c>
      <c r="K1034" t="n">
        <v>0</v>
      </c>
      <c r="L1034" t="n">
        <v>0</v>
      </c>
      <c r="M1034" t="n">
        <v>0</v>
      </c>
      <c r="N1034" t="n">
        <v>0</v>
      </c>
      <c r="O1034" t="n">
        <v>1</v>
      </c>
      <c r="P1034" t="n">
        <v>0</v>
      </c>
      <c r="Q1034" t="n">
        <v>1</v>
      </c>
      <c r="R1034" s="2" t="inlineStr">
        <is>
          <t>Månlåsbräken</t>
        </is>
      </c>
      <c r="S1034">
        <f>HYPERLINK("https://klasma.github.io/Logging_2463/artfynd/A 18000-2025 artfynd.xlsx", "A 18000-2025")</f>
        <v/>
      </c>
      <c r="T1034">
        <f>HYPERLINK("https://klasma.github.io/Logging_2463/kartor/A 18000-2025 karta.png", "A 18000-2025")</f>
        <v/>
      </c>
      <c r="V1034">
        <f>HYPERLINK("https://klasma.github.io/Logging_2463/klagomål/A 18000-2025 FSC-klagomål.docx", "A 18000-2025")</f>
        <v/>
      </c>
      <c r="W1034">
        <f>HYPERLINK("https://klasma.github.io/Logging_2463/klagomålsmail/A 18000-2025 FSC-klagomål mail.docx", "A 18000-2025")</f>
        <v/>
      </c>
      <c r="X1034">
        <f>HYPERLINK("https://klasma.github.io/Logging_2463/tillsyn/A 18000-2025 tillsynsbegäran.docx", "A 18000-2025")</f>
        <v/>
      </c>
      <c r="Y1034">
        <f>HYPERLINK("https://klasma.github.io/Logging_2463/tillsynsmail/A 18000-2025 tillsynsbegäran mail.docx", "A 18000-2025")</f>
        <v/>
      </c>
    </row>
    <row r="1035" ht="15" customHeight="1">
      <c r="A1035" t="inlineStr">
        <is>
          <t>A 45633-2024</t>
        </is>
      </c>
      <c r="B1035" s="1" t="n">
        <v>45579</v>
      </c>
      <c r="C1035" s="1" t="n">
        <v>46145</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25368-2024</t>
        </is>
      </c>
      <c r="B1036" s="1" t="n">
        <v>45462</v>
      </c>
      <c r="C1036" s="1" t="n">
        <v>46145</v>
      </c>
      <c r="D1036" t="inlineStr">
        <is>
          <t>VÄSTERBOTTENS LÄN</t>
        </is>
      </c>
      <c r="E1036" t="inlineStr">
        <is>
          <t>VILHELMINA</t>
        </is>
      </c>
      <c r="F1036" t="inlineStr">
        <is>
          <t>SCA</t>
        </is>
      </c>
      <c r="G1036" t="n">
        <v>2.5</v>
      </c>
      <c r="H1036" t="n">
        <v>1</v>
      </c>
      <c r="I1036" t="n">
        <v>0</v>
      </c>
      <c r="J1036" t="n">
        <v>1</v>
      </c>
      <c r="K1036" t="n">
        <v>0</v>
      </c>
      <c r="L1036" t="n">
        <v>0</v>
      </c>
      <c r="M1036" t="n">
        <v>0</v>
      </c>
      <c r="N1036" t="n">
        <v>0</v>
      </c>
      <c r="O1036" t="n">
        <v>1</v>
      </c>
      <c r="P1036" t="n">
        <v>0</v>
      </c>
      <c r="Q1036" t="n">
        <v>1</v>
      </c>
      <c r="R1036" s="2" t="inlineStr">
        <is>
          <t>Utter</t>
        </is>
      </c>
      <c r="S1036">
        <f>HYPERLINK("https://klasma.github.io/Logging_2462/artfynd/A 25368-2024 artfynd.xlsx", "A 25368-2024")</f>
        <v/>
      </c>
      <c r="T1036">
        <f>HYPERLINK("https://klasma.github.io/Logging_2462/kartor/A 25368-2024 karta.png", "A 25368-2024")</f>
        <v/>
      </c>
      <c r="V1036">
        <f>HYPERLINK("https://klasma.github.io/Logging_2462/klagomål/A 25368-2024 FSC-klagomål.docx", "A 25368-2024")</f>
        <v/>
      </c>
      <c r="W1036">
        <f>HYPERLINK("https://klasma.github.io/Logging_2462/klagomålsmail/A 25368-2024 FSC-klagomål mail.docx", "A 25368-2024")</f>
        <v/>
      </c>
      <c r="X1036">
        <f>HYPERLINK("https://klasma.github.io/Logging_2462/tillsyn/A 25368-2024 tillsynsbegäran.docx", "A 25368-2024")</f>
        <v/>
      </c>
      <c r="Y1036">
        <f>HYPERLINK("https://klasma.github.io/Logging_2462/tillsynsmail/A 25368-2024 tillsynsbegäran mail.docx", "A 25368-2024")</f>
        <v/>
      </c>
    </row>
    <row r="1037" ht="15" customHeight="1">
      <c r="A1037" t="inlineStr">
        <is>
          <t>A 59097-2025</t>
        </is>
      </c>
      <c r="B1037" s="1" t="n">
        <v>45988.45326388889</v>
      </c>
      <c r="C1037" s="1" t="n">
        <v>46145</v>
      </c>
      <c r="D1037" t="inlineStr">
        <is>
          <t>VÄSTERBOTTENS LÄN</t>
        </is>
      </c>
      <c r="E1037" t="inlineStr">
        <is>
          <t>SKELLEFTEÅ</t>
        </is>
      </c>
      <c r="F1037" t="inlineStr">
        <is>
          <t>Sveaskog</t>
        </is>
      </c>
      <c r="G1037" t="n">
        <v>11.6</v>
      </c>
      <c r="H1037" t="n">
        <v>1</v>
      </c>
      <c r="I1037" t="n">
        <v>0</v>
      </c>
      <c r="J1037" t="n">
        <v>0</v>
      </c>
      <c r="K1037" t="n">
        <v>0</v>
      </c>
      <c r="L1037" t="n">
        <v>0</v>
      </c>
      <c r="M1037" t="n">
        <v>0</v>
      </c>
      <c r="N1037" t="n">
        <v>0</v>
      </c>
      <c r="O1037" t="n">
        <v>0</v>
      </c>
      <c r="P1037" t="n">
        <v>0</v>
      </c>
      <c r="Q1037" t="n">
        <v>1</v>
      </c>
      <c r="R1037" s="2" t="inlineStr">
        <is>
          <t>Huggorm</t>
        </is>
      </c>
      <c r="S1037">
        <f>HYPERLINK("https://klasma.github.io/Logging_2482/artfynd/A 59097-2025 artfynd.xlsx", "A 59097-2025")</f>
        <v/>
      </c>
      <c r="T1037">
        <f>HYPERLINK("https://klasma.github.io/Logging_2482/kartor/A 59097-2025 karta.png", "A 59097-2025")</f>
        <v/>
      </c>
      <c r="V1037">
        <f>HYPERLINK("https://klasma.github.io/Logging_2482/klagomål/A 59097-2025 FSC-klagomål.docx", "A 59097-2025")</f>
        <v/>
      </c>
      <c r="W1037">
        <f>HYPERLINK("https://klasma.github.io/Logging_2482/klagomålsmail/A 59097-2025 FSC-klagomål mail.docx", "A 59097-2025")</f>
        <v/>
      </c>
      <c r="X1037">
        <f>HYPERLINK("https://klasma.github.io/Logging_2482/tillsyn/A 59097-2025 tillsynsbegäran.docx", "A 59097-2025")</f>
        <v/>
      </c>
      <c r="Y1037">
        <f>HYPERLINK("https://klasma.github.io/Logging_2482/tillsynsmail/A 59097-2025 tillsynsbegäran mail.docx", "A 59097-2025")</f>
        <v/>
      </c>
    </row>
    <row r="1038" ht="15" customHeight="1">
      <c r="A1038" t="inlineStr">
        <is>
          <t>A 57058-2024</t>
        </is>
      </c>
      <c r="B1038" s="1" t="n">
        <v>45629</v>
      </c>
      <c r="C1038" s="1" t="n">
        <v>46145</v>
      </c>
      <c r="D1038" t="inlineStr">
        <is>
          <t>VÄSTERBOTTENS LÄN</t>
        </is>
      </c>
      <c r="E1038" t="inlineStr">
        <is>
          <t>DOROTEA</t>
        </is>
      </c>
      <c r="F1038" t="inlineStr">
        <is>
          <t>SCA</t>
        </is>
      </c>
      <c r="G1038" t="n">
        <v>2.4</v>
      </c>
      <c r="H1038" t="n">
        <v>0</v>
      </c>
      <c r="I1038" t="n">
        <v>0</v>
      </c>
      <c r="J1038" t="n">
        <v>1</v>
      </c>
      <c r="K1038" t="n">
        <v>0</v>
      </c>
      <c r="L1038" t="n">
        <v>0</v>
      </c>
      <c r="M1038" t="n">
        <v>0</v>
      </c>
      <c r="N1038" t="n">
        <v>0</v>
      </c>
      <c r="O1038" t="n">
        <v>1</v>
      </c>
      <c r="P1038" t="n">
        <v>0</v>
      </c>
      <c r="Q1038" t="n">
        <v>1</v>
      </c>
      <c r="R1038" s="2" t="inlineStr">
        <is>
          <t>Granticka</t>
        </is>
      </c>
      <c r="S1038">
        <f>HYPERLINK("https://klasma.github.io/Logging_2425/artfynd/A 57058-2024 artfynd.xlsx", "A 57058-2024")</f>
        <v/>
      </c>
      <c r="T1038">
        <f>HYPERLINK("https://klasma.github.io/Logging_2425/kartor/A 57058-2024 karta.png", "A 57058-2024")</f>
        <v/>
      </c>
      <c r="V1038">
        <f>HYPERLINK("https://klasma.github.io/Logging_2425/klagomål/A 57058-2024 FSC-klagomål.docx", "A 57058-2024")</f>
        <v/>
      </c>
      <c r="W1038">
        <f>HYPERLINK("https://klasma.github.io/Logging_2425/klagomålsmail/A 57058-2024 FSC-klagomål mail.docx", "A 57058-2024")</f>
        <v/>
      </c>
      <c r="X1038">
        <f>HYPERLINK("https://klasma.github.io/Logging_2425/tillsyn/A 57058-2024 tillsynsbegäran.docx", "A 57058-2024")</f>
        <v/>
      </c>
      <c r="Y1038">
        <f>HYPERLINK("https://klasma.github.io/Logging_2425/tillsynsmail/A 57058-2024 tillsynsbegäran mail.docx", "A 57058-2024")</f>
        <v/>
      </c>
    </row>
    <row r="1039" ht="15" customHeight="1">
      <c r="A1039" t="inlineStr">
        <is>
          <t>A 56202-2024</t>
        </is>
      </c>
      <c r="B1039" s="1" t="n">
        <v>45624</v>
      </c>
      <c r="C1039" s="1" t="n">
        <v>46145</v>
      </c>
      <c r="D1039" t="inlineStr">
        <is>
          <t>VÄSTERBOTTENS LÄN</t>
        </is>
      </c>
      <c r="E1039" t="inlineStr">
        <is>
          <t>DOROTEA</t>
        </is>
      </c>
      <c r="F1039" t="inlineStr">
        <is>
          <t>SCA</t>
        </is>
      </c>
      <c r="G1039" t="n">
        <v>6.2</v>
      </c>
      <c r="H1039" t="n">
        <v>0</v>
      </c>
      <c r="I1039" t="n">
        <v>0</v>
      </c>
      <c r="J1039" t="n">
        <v>1</v>
      </c>
      <c r="K1039" t="n">
        <v>0</v>
      </c>
      <c r="L1039" t="n">
        <v>0</v>
      </c>
      <c r="M1039" t="n">
        <v>0</v>
      </c>
      <c r="N1039" t="n">
        <v>0</v>
      </c>
      <c r="O1039" t="n">
        <v>1</v>
      </c>
      <c r="P1039" t="n">
        <v>0</v>
      </c>
      <c r="Q1039" t="n">
        <v>1</v>
      </c>
      <c r="R1039" s="2" t="inlineStr">
        <is>
          <t>Ullticka</t>
        </is>
      </c>
      <c r="S1039">
        <f>HYPERLINK("https://klasma.github.io/Logging_2425/artfynd/A 56202-2024 artfynd.xlsx", "A 56202-2024")</f>
        <v/>
      </c>
      <c r="T1039">
        <f>HYPERLINK("https://klasma.github.io/Logging_2425/kartor/A 56202-2024 karta.png", "A 56202-2024")</f>
        <v/>
      </c>
      <c r="V1039">
        <f>HYPERLINK("https://klasma.github.io/Logging_2425/klagomål/A 56202-2024 FSC-klagomål.docx", "A 56202-2024")</f>
        <v/>
      </c>
      <c r="W1039">
        <f>HYPERLINK("https://klasma.github.io/Logging_2425/klagomålsmail/A 56202-2024 FSC-klagomål mail.docx", "A 56202-2024")</f>
        <v/>
      </c>
      <c r="X1039">
        <f>HYPERLINK("https://klasma.github.io/Logging_2425/tillsyn/A 56202-2024 tillsynsbegäran.docx", "A 56202-2024")</f>
        <v/>
      </c>
      <c r="Y1039">
        <f>HYPERLINK("https://klasma.github.io/Logging_2425/tillsynsmail/A 56202-2024 tillsynsbegäran mail.docx", "A 56202-2024")</f>
        <v/>
      </c>
    </row>
    <row r="1040" ht="15" customHeight="1">
      <c r="A1040" t="inlineStr">
        <is>
          <t>A 41055-2023</t>
        </is>
      </c>
      <c r="B1040" s="1" t="n">
        <v>45173</v>
      </c>
      <c r="C1040" s="1" t="n">
        <v>46145</v>
      </c>
      <c r="D1040" t="inlineStr">
        <is>
          <t>VÄSTERBOTTENS LÄN</t>
        </is>
      </c>
      <c r="E1040" t="inlineStr">
        <is>
          <t>SKELLEFTEÅ</t>
        </is>
      </c>
      <c r="F1040" t="inlineStr">
        <is>
          <t>Holmen skog AB</t>
        </is>
      </c>
      <c r="G1040" t="n">
        <v>4.4</v>
      </c>
      <c r="H1040" t="n">
        <v>0</v>
      </c>
      <c r="I1040" t="n">
        <v>0</v>
      </c>
      <c r="J1040" t="n">
        <v>0</v>
      </c>
      <c r="K1040" t="n">
        <v>0</v>
      </c>
      <c r="L1040" t="n">
        <v>1</v>
      </c>
      <c r="M1040" t="n">
        <v>0</v>
      </c>
      <c r="N1040" t="n">
        <v>0</v>
      </c>
      <c r="O1040" t="n">
        <v>1</v>
      </c>
      <c r="P1040" t="n">
        <v>1</v>
      </c>
      <c r="Q1040" t="n">
        <v>1</v>
      </c>
      <c r="R1040" s="2" t="inlineStr">
        <is>
          <t>Flodpärlmussla</t>
        </is>
      </c>
      <c r="S1040">
        <f>HYPERLINK("https://klasma.github.io/Logging_2482/artfynd/A 41055-2023 artfynd.xlsx", "A 41055-2023")</f>
        <v/>
      </c>
      <c r="T1040">
        <f>HYPERLINK("https://klasma.github.io/Logging_2482/kartor/A 41055-2023 karta.png", "A 41055-2023")</f>
        <v/>
      </c>
      <c r="V1040">
        <f>HYPERLINK("https://klasma.github.io/Logging_2482/klagomål/A 41055-2023 FSC-klagomål.docx", "A 41055-2023")</f>
        <v/>
      </c>
      <c r="W1040">
        <f>HYPERLINK("https://klasma.github.io/Logging_2482/klagomålsmail/A 41055-2023 FSC-klagomål mail.docx", "A 41055-2023")</f>
        <v/>
      </c>
      <c r="X1040">
        <f>HYPERLINK("https://klasma.github.io/Logging_2482/tillsyn/A 41055-2023 tillsynsbegäran.docx", "A 41055-2023")</f>
        <v/>
      </c>
      <c r="Y1040">
        <f>HYPERLINK("https://klasma.github.io/Logging_2482/tillsynsmail/A 41055-2023 tillsynsbegäran mail.docx", "A 41055-2023")</f>
        <v/>
      </c>
    </row>
    <row r="1041" ht="15" customHeight="1">
      <c r="A1041" t="inlineStr">
        <is>
          <t>A 41848-2024</t>
        </is>
      </c>
      <c r="B1041" s="1" t="n">
        <v>45561.43266203703</v>
      </c>
      <c r="C1041" s="1" t="n">
        <v>46145</v>
      </c>
      <c r="D1041" t="inlineStr">
        <is>
          <t>VÄSTERBOTTENS LÄN</t>
        </is>
      </c>
      <c r="E1041" t="inlineStr">
        <is>
          <t>STORUMAN</t>
        </is>
      </c>
      <c r="F1041" t="inlineStr">
        <is>
          <t>Sveaskog</t>
        </is>
      </c>
      <c r="G1041" t="n">
        <v>4.1</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HYPERLINK("https://klasma.github.io/Logging_2421/artfynd/A 41848-2024 artfynd.xlsx", "A 41848-2024")</f>
        <v/>
      </c>
      <c r="T1041">
        <f>HYPERLINK("https://klasma.github.io/Logging_2421/kartor/A 41848-2024 karta.png", "A 41848-2024")</f>
        <v/>
      </c>
      <c r="V1041">
        <f>HYPERLINK("https://klasma.github.io/Logging_2421/klagomål/A 41848-2024 FSC-klagomål.docx", "A 41848-2024")</f>
        <v/>
      </c>
      <c r="W1041">
        <f>HYPERLINK("https://klasma.github.io/Logging_2421/klagomålsmail/A 41848-2024 FSC-klagomål mail.docx", "A 41848-2024")</f>
        <v/>
      </c>
      <c r="X1041">
        <f>HYPERLINK("https://klasma.github.io/Logging_2421/tillsyn/A 41848-2024 tillsynsbegäran.docx", "A 41848-2024")</f>
        <v/>
      </c>
      <c r="Y1041">
        <f>HYPERLINK("https://klasma.github.io/Logging_2421/tillsynsmail/A 41848-2024 tillsynsbegäran mail.docx", "A 41848-2024")</f>
        <v/>
      </c>
    </row>
    <row r="1042" ht="15" customHeight="1">
      <c r="A1042" t="inlineStr">
        <is>
          <t>A 55566-2024</t>
        </is>
      </c>
      <c r="B1042" s="1" t="n">
        <v>45622</v>
      </c>
      <c r="C1042" s="1" t="n">
        <v>46145</v>
      </c>
      <c r="D1042" t="inlineStr">
        <is>
          <t>VÄSTERBOTTENS LÄN</t>
        </is>
      </c>
      <c r="E1042" t="inlineStr">
        <is>
          <t>LYCKSELE</t>
        </is>
      </c>
      <c r="F1042" t="inlineStr">
        <is>
          <t>Sveaskog</t>
        </is>
      </c>
      <c r="G1042" t="n">
        <v>1.8</v>
      </c>
      <c r="H1042" t="n">
        <v>0</v>
      </c>
      <c r="I1042" t="n">
        <v>0</v>
      </c>
      <c r="J1042" t="n">
        <v>1</v>
      </c>
      <c r="K1042" t="n">
        <v>0</v>
      </c>
      <c r="L1042" t="n">
        <v>0</v>
      </c>
      <c r="M1042" t="n">
        <v>0</v>
      </c>
      <c r="N1042" t="n">
        <v>0</v>
      </c>
      <c r="O1042" t="n">
        <v>1</v>
      </c>
      <c r="P1042" t="n">
        <v>0</v>
      </c>
      <c r="Q1042" t="n">
        <v>1</v>
      </c>
      <c r="R1042" s="2" t="inlineStr">
        <is>
          <t>Harticka</t>
        </is>
      </c>
      <c r="S1042">
        <f>HYPERLINK("https://klasma.github.io/Logging_2481/artfynd/A 55566-2024 artfynd.xlsx", "A 55566-2024")</f>
        <v/>
      </c>
      <c r="T1042">
        <f>HYPERLINK("https://klasma.github.io/Logging_2481/kartor/A 55566-2024 karta.png", "A 55566-2024")</f>
        <v/>
      </c>
      <c r="V1042">
        <f>HYPERLINK("https://klasma.github.io/Logging_2481/klagomål/A 55566-2024 FSC-klagomål.docx", "A 55566-2024")</f>
        <v/>
      </c>
      <c r="W1042">
        <f>HYPERLINK("https://klasma.github.io/Logging_2481/klagomålsmail/A 55566-2024 FSC-klagomål mail.docx", "A 55566-2024")</f>
        <v/>
      </c>
      <c r="X1042">
        <f>HYPERLINK("https://klasma.github.io/Logging_2481/tillsyn/A 55566-2024 tillsynsbegäran.docx", "A 55566-2024")</f>
        <v/>
      </c>
      <c r="Y1042">
        <f>HYPERLINK("https://klasma.github.io/Logging_2481/tillsynsmail/A 55566-2024 tillsynsbegäran mail.docx", "A 55566-2024")</f>
        <v/>
      </c>
    </row>
    <row r="1043" ht="15" customHeight="1">
      <c r="A1043" t="inlineStr">
        <is>
          <t>A 60010-2025</t>
        </is>
      </c>
      <c r="B1043" s="1" t="n">
        <v>45993.59423611111</v>
      </c>
      <c r="C1043" s="1" t="n">
        <v>46145</v>
      </c>
      <c r="D1043" t="inlineStr">
        <is>
          <t>VÄSTERBOTTENS LÄN</t>
        </is>
      </c>
      <c r="E1043" t="inlineStr">
        <is>
          <t>SKELLEFTEÅ</t>
        </is>
      </c>
      <c r="G1043" t="n">
        <v>25.1</v>
      </c>
      <c r="H1043" t="n">
        <v>1</v>
      </c>
      <c r="I1043" t="n">
        <v>0</v>
      </c>
      <c r="J1043" t="n">
        <v>1</v>
      </c>
      <c r="K1043" t="n">
        <v>0</v>
      </c>
      <c r="L1043" t="n">
        <v>0</v>
      </c>
      <c r="M1043" t="n">
        <v>0</v>
      </c>
      <c r="N1043" t="n">
        <v>0</v>
      </c>
      <c r="O1043" t="n">
        <v>1</v>
      </c>
      <c r="P1043" t="n">
        <v>0</v>
      </c>
      <c r="Q1043" t="n">
        <v>1</v>
      </c>
      <c r="R1043" s="2" t="inlineStr">
        <is>
          <t>Spillkråka</t>
        </is>
      </c>
      <c r="S1043">
        <f>HYPERLINK("https://klasma.github.io/Logging_2482/artfynd/A 60010-2025 artfynd.xlsx", "A 60010-2025")</f>
        <v/>
      </c>
      <c r="T1043">
        <f>HYPERLINK("https://klasma.github.io/Logging_2482/kartor/A 60010-2025 karta.png", "A 60010-2025")</f>
        <v/>
      </c>
      <c r="V1043">
        <f>HYPERLINK("https://klasma.github.io/Logging_2482/klagomål/A 60010-2025 FSC-klagomål.docx", "A 60010-2025")</f>
        <v/>
      </c>
      <c r="W1043">
        <f>HYPERLINK("https://klasma.github.io/Logging_2482/klagomålsmail/A 60010-2025 FSC-klagomål mail.docx", "A 60010-2025")</f>
        <v/>
      </c>
      <c r="X1043">
        <f>HYPERLINK("https://klasma.github.io/Logging_2482/tillsyn/A 60010-2025 tillsynsbegäran.docx", "A 60010-2025")</f>
        <v/>
      </c>
      <c r="Y1043">
        <f>HYPERLINK("https://klasma.github.io/Logging_2482/tillsynsmail/A 60010-2025 tillsynsbegäran mail.docx", "A 60010-2025")</f>
        <v/>
      </c>
      <c r="Z1043">
        <f>HYPERLINK("https://klasma.github.io/Logging_2482/fåglar/A 60010-2025 prioriterade fågelarter.docx", "A 60010-2025")</f>
        <v/>
      </c>
    </row>
    <row r="1044" ht="15" customHeight="1">
      <c r="A1044" t="inlineStr">
        <is>
          <t>A 16839-2022</t>
        </is>
      </c>
      <c r="B1044" s="1" t="n">
        <v>44673</v>
      </c>
      <c r="C1044" s="1" t="n">
        <v>46145</v>
      </c>
      <c r="D1044" t="inlineStr">
        <is>
          <t>VÄSTERBOTTENS LÄN</t>
        </is>
      </c>
      <c r="E1044" t="inlineStr">
        <is>
          <t>UMEÅ</t>
        </is>
      </c>
      <c r="G1044" t="n">
        <v>3</v>
      </c>
      <c r="H1044" t="n">
        <v>1</v>
      </c>
      <c r="I1044" t="n">
        <v>0</v>
      </c>
      <c r="J1044" t="n">
        <v>1</v>
      </c>
      <c r="K1044" t="n">
        <v>0</v>
      </c>
      <c r="L1044" t="n">
        <v>0</v>
      </c>
      <c r="M1044" t="n">
        <v>0</v>
      </c>
      <c r="N1044" t="n">
        <v>0</v>
      </c>
      <c r="O1044" t="n">
        <v>1</v>
      </c>
      <c r="P1044" t="n">
        <v>0</v>
      </c>
      <c r="Q1044" t="n">
        <v>1</v>
      </c>
      <c r="R1044" s="2" t="inlineStr">
        <is>
          <t>Kråka</t>
        </is>
      </c>
      <c r="S1044">
        <f>HYPERLINK("https://klasma.github.io/Logging_2480/artfynd/A 16839-2022 artfynd.xlsx", "A 16839-2022")</f>
        <v/>
      </c>
      <c r="T1044">
        <f>HYPERLINK("https://klasma.github.io/Logging_2480/kartor/A 16839-2022 karta.png", "A 16839-2022")</f>
        <v/>
      </c>
      <c r="V1044">
        <f>HYPERLINK("https://klasma.github.io/Logging_2480/klagomål/A 16839-2022 FSC-klagomål.docx", "A 16839-2022")</f>
        <v/>
      </c>
      <c r="W1044">
        <f>HYPERLINK("https://klasma.github.io/Logging_2480/klagomålsmail/A 16839-2022 FSC-klagomål mail.docx", "A 16839-2022")</f>
        <v/>
      </c>
      <c r="X1044">
        <f>HYPERLINK("https://klasma.github.io/Logging_2480/tillsyn/A 16839-2022 tillsynsbegäran.docx", "A 16839-2022")</f>
        <v/>
      </c>
      <c r="Y1044">
        <f>HYPERLINK("https://klasma.github.io/Logging_2480/tillsynsmail/A 16839-2022 tillsynsbegäran mail.docx", "A 16839-2022")</f>
        <v/>
      </c>
      <c r="Z1044">
        <f>HYPERLINK("https://klasma.github.io/Logging_2480/fåglar/A 16839-2022 prioriterade fågelarter.docx", "A 16839-2022")</f>
        <v/>
      </c>
    </row>
    <row r="1045" ht="15" customHeight="1">
      <c r="A1045" t="inlineStr">
        <is>
          <t>A 59935-2025</t>
        </is>
      </c>
      <c r="B1045" s="1" t="n">
        <v>45993.41291666667</v>
      </c>
      <c r="C1045" s="1" t="n">
        <v>46145</v>
      </c>
      <c r="D1045" t="inlineStr">
        <is>
          <t>VÄSTERBOTTENS LÄN</t>
        </is>
      </c>
      <c r="E1045" t="inlineStr">
        <is>
          <t>STORUMAN</t>
        </is>
      </c>
      <c r="G1045" t="n">
        <v>3.4</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HYPERLINK("https://klasma.github.io/Logging_2421/artfynd/A 59935-2025 artfynd.xlsx", "A 59935-2025")</f>
        <v/>
      </c>
      <c r="T1045">
        <f>HYPERLINK("https://klasma.github.io/Logging_2421/kartor/A 59935-2025 karta.png", "A 59935-2025")</f>
        <v/>
      </c>
      <c r="V1045">
        <f>HYPERLINK("https://klasma.github.io/Logging_2421/klagomål/A 59935-2025 FSC-klagomål.docx", "A 59935-2025")</f>
        <v/>
      </c>
      <c r="W1045">
        <f>HYPERLINK("https://klasma.github.io/Logging_2421/klagomålsmail/A 59935-2025 FSC-klagomål mail.docx", "A 59935-2025")</f>
        <v/>
      </c>
      <c r="X1045">
        <f>HYPERLINK("https://klasma.github.io/Logging_2421/tillsyn/A 59935-2025 tillsynsbegäran.docx", "A 59935-2025")</f>
        <v/>
      </c>
      <c r="Y1045">
        <f>HYPERLINK("https://klasma.github.io/Logging_2421/tillsynsmail/A 59935-2025 tillsynsbegäran mail.docx", "A 59935-2025")</f>
        <v/>
      </c>
    </row>
    <row r="1046" ht="15" customHeight="1">
      <c r="A1046" t="inlineStr">
        <is>
          <t>A 59883-2025</t>
        </is>
      </c>
      <c r="B1046" s="1" t="n">
        <v>45993.3181712963</v>
      </c>
      <c r="C1046" s="1" t="n">
        <v>46145</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59883-2025 artfynd.xlsx", "A 59883-2025")</f>
        <v/>
      </c>
      <c r="T1046">
        <f>HYPERLINK("https://klasma.github.io/Logging_2481/kartor/A 59883-2025 karta.png", "A 59883-2025")</f>
        <v/>
      </c>
      <c r="V1046">
        <f>HYPERLINK("https://klasma.github.io/Logging_2481/klagomål/A 59883-2025 FSC-klagomål.docx", "A 59883-2025")</f>
        <v/>
      </c>
      <c r="W1046">
        <f>HYPERLINK("https://klasma.github.io/Logging_2481/klagomålsmail/A 59883-2025 FSC-klagomål mail.docx", "A 59883-2025")</f>
        <v/>
      </c>
      <c r="X1046">
        <f>HYPERLINK("https://klasma.github.io/Logging_2481/tillsyn/A 59883-2025 tillsynsbegäran.docx", "A 59883-2025")</f>
        <v/>
      </c>
      <c r="Y1046">
        <f>HYPERLINK("https://klasma.github.io/Logging_2481/tillsynsmail/A 59883-2025 tillsynsbegäran mail.docx", "A 59883-2025")</f>
        <v/>
      </c>
    </row>
    <row r="1047" ht="15" customHeight="1">
      <c r="A1047" t="inlineStr">
        <is>
          <t>A 50942-2024</t>
        </is>
      </c>
      <c r="B1047" s="1" t="n">
        <v>45602</v>
      </c>
      <c r="C1047" s="1" t="n">
        <v>46145</v>
      </c>
      <c r="D1047" t="inlineStr">
        <is>
          <t>VÄSTERBOTTENS LÄN</t>
        </is>
      </c>
      <c r="E1047" t="inlineStr">
        <is>
          <t>STORUMAN</t>
        </is>
      </c>
      <c r="G1047" t="n">
        <v>9.1</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50942-2024 artfynd.xlsx", "A 50942-2024")</f>
        <v/>
      </c>
      <c r="T1047">
        <f>HYPERLINK("https://klasma.github.io/Logging_2421/kartor/A 50942-2024 karta.png", "A 50942-2024")</f>
        <v/>
      </c>
      <c r="U1047">
        <f>HYPERLINK("https://klasma.github.io/Logging_2421/knärot/A 50942-2024 karta knärot.png", "A 50942-2024")</f>
        <v/>
      </c>
      <c r="V1047">
        <f>HYPERLINK("https://klasma.github.io/Logging_2421/klagomål/A 50942-2024 FSC-klagomål.docx", "A 50942-2024")</f>
        <v/>
      </c>
      <c r="W1047">
        <f>HYPERLINK("https://klasma.github.io/Logging_2421/klagomålsmail/A 50942-2024 FSC-klagomål mail.docx", "A 50942-2024")</f>
        <v/>
      </c>
      <c r="X1047">
        <f>HYPERLINK("https://klasma.github.io/Logging_2421/tillsyn/A 50942-2024 tillsynsbegäran.docx", "A 50942-2024")</f>
        <v/>
      </c>
      <c r="Y1047">
        <f>HYPERLINK("https://klasma.github.io/Logging_2421/tillsynsmail/A 50942-2024 tillsynsbegäran mail.docx", "A 50942-2024")</f>
        <v/>
      </c>
    </row>
    <row r="1048" ht="15" customHeight="1">
      <c r="A1048" t="inlineStr">
        <is>
          <t>A 38282-2024</t>
        </is>
      </c>
      <c r="B1048" s="1" t="n">
        <v>45545</v>
      </c>
      <c r="C1048" s="1" t="n">
        <v>46145</v>
      </c>
      <c r="D1048" t="inlineStr">
        <is>
          <t>VÄSTERBOTTENS LÄN</t>
        </is>
      </c>
      <c r="E1048" t="inlineStr">
        <is>
          <t>VILHELMINA</t>
        </is>
      </c>
      <c r="F1048" t="inlineStr">
        <is>
          <t>SCA</t>
        </is>
      </c>
      <c r="G1048" t="n">
        <v>3.4</v>
      </c>
      <c r="H1048" t="n">
        <v>0</v>
      </c>
      <c r="I1048" t="n">
        <v>0</v>
      </c>
      <c r="J1048" t="n">
        <v>1</v>
      </c>
      <c r="K1048" t="n">
        <v>0</v>
      </c>
      <c r="L1048" t="n">
        <v>0</v>
      </c>
      <c r="M1048" t="n">
        <v>0</v>
      </c>
      <c r="N1048" t="n">
        <v>0</v>
      </c>
      <c r="O1048" t="n">
        <v>1</v>
      </c>
      <c r="P1048" t="n">
        <v>0</v>
      </c>
      <c r="Q1048" t="n">
        <v>1</v>
      </c>
      <c r="R1048" s="2" t="inlineStr">
        <is>
          <t>Gränsticka</t>
        </is>
      </c>
      <c r="S1048">
        <f>HYPERLINK("https://klasma.github.io/Logging_2462/artfynd/A 38282-2024 artfynd.xlsx", "A 38282-2024")</f>
        <v/>
      </c>
      <c r="T1048">
        <f>HYPERLINK("https://klasma.github.io/Logging_2462/kartor/A 38282-2024 karta.png", "A 38282-2024")</f>
        <v/>
      </c>
      <c r="V1048">
        <f>HYPERLINK("https://klasma.github.io/Logging_2462/klagomål/A 38282-2024 FSC-klagomål.docx", "A 38282-2024")</f>
        <v/>
      </c>
      <c r="W1048">
        <f>HYPERLINK("https://klasma.github.io/Logging_2462/klagomålsmail/A 38282-2024 FSC-klagomål mail.docx", "A 38282-2024")</f>
        <v/>
      </c>
      <c r="X1048">
        <f>HYPERLINK("https://klasma.github.io/Logging_2462/tillsyn/A 38282-2024 tillsynsbegäran.docx", "A 38282-2024")</f>
        <v/>
      </c>
      <c r="Y1048">
        <f>HYPERLINK("https://klasma.github.io/Logging_2462/tillsynsmail/A 38282-2024 tillsynsbegäran mail.docx", "A 38282-2024")</f>
        <v/>
      </c>
    </row>
    <row r="1049" ht="15" customHeight="1">
      <c r="A1049" t="inlineStr">
        <is>
          <t>A 60756-2025</t>
        </is>
      </c>
      <c r="B1049" s="1" t="n">
        <v>45999.38415509259</v>
      </c>
      <c r="C1049" s="1" t="n">
        <v>46145</v>
      </c>
      <c r="D1049" t="inlineStr">
        <is>
          <t>VÄSTERBOTTENS LÄN</t>
        </is>
      </c>
      <c r="E1049" t="inlineStr">
        <is>
          <t>NORDMALING</t>
        </is>
      </c>
      <c r="F1049" t="inlineStr">
        <is>
          <t>Holmen skog AB</t>
        </is>
      </c>
      <c r="G1049" t="n">
        <v>8.800000000000001</v>
      </c>
      <c r="H1049" t="n">
        <v>0</v>
      </c>
      <c r="I1049" t="n">
        <v>0</v>
      </c>
      <c r="J1049" t="n">
        <v>1</v>
      </c>
      <c r="K1049" t="n">
        <v>0</v>
      </c>
      <c r="L1049" t="n">
        <v>0</v>
      </c>
      <c r="M1049" t="n">
        <v>0</v>
      </c>
      <c r="N1049" t="n">
        <v>0</v>
      </c>
      <c r="O1049" t="n">
        <v>1</v>
      </c>
      <c r="P1049" t="n">
        <v>0</v>
      </c>
      <c r="Q1049" t="n">
        <v>1</v>
      </c>
      <c r="R1049" s="2" t="inlineStr">
        <is>
          <t>Motaggsvamp</t>
        </is>
      </c>
      <c r="S1049">
        <f>HYPERLINK("https://klasma.github.io/Logging_2401/artfynd/A 60756-2025 artfynd.xlsx", "A 60756-2025")</f>
        <v/>
      </c>
      <c r="T1049">
        <f>HYPERLINK("https://klasma.github.io/Logging_2401/kartor/A 60756-2025 karta.png", "A 60756-2025")</f>
        <v/>
      </c>
      <c r="V1049">
        <f>HYPERLINK("https://klasma.github.io/Logging_2401/klagomål/A 60756-2025 FSC-klagomål.docx", "A 60756-2025")</f>
        <v/>
      </c>
      <c r="W1049">
        <f>HYPERLINK("https://klasma.github.io/Logging_2401/klagomålsmail/A 60756-2025 FSC-klagomål mail.docx", "A 60756-2025")</f>
        <v/>
      </c>
      <c r="X1049">
        <f>HYPERLINK("https://klasma.github.io/Logging_2401/tillsyn/A 60756-2025 tillsynsbegäran.docx", "A 60756-2025")</f>
        <v/>
      </c>
      <c r="Y1049">
        <f>HYPERLINK("https://klasma.github.io/Logging_2401/tillsynsmail/A 60756-2025 tillsynsbegäran mail.docx", "A 60756-2025")</f>
        <v/>
      </c>
    </row>
    <row r="1050" ht="15" customHeight="1">
      <c r="A1050" t="inlineStr">
        <is>
          <t>A 60849-2025</t>
        </is>
      </c>
      <c r="B1050" s="1" t="n">
        <v>45999.50113425926</v>
      </c>
      <c r="C1050" s="1" t="n">
        <v>46145</v>
      </c>
      <c r="D1050" t="inlineStr">
        <is>
          <t>VÄSTERBOTTENS LÄN</t>
        </is>
      </c>
      <c r="E1050" t="inlineStr">
        <is>
          <t>NORDMALING</t>
        </is>
      </c>
      <c r="G1050" t="n">
        <v>13.5</v>
      </c>
      <c r="H1050" t="n">
        <v>0</v>
      </c>
      <c r="I1050" t="n">
        <v>0</v>
      </c>
      <c r="J1050" t="n">
        <v>1</v>
      </c>
      <c r="K1050" t="n">
        <v>0</v>
      </c>
      <c r="L1050" t="n">
        <v>0</v>
      </c>
      <c r="M1050" t="n">
        <v>0</v>
      </c>
      <c r="N1050" t="n">
        <v>0</v>
      </c>
      <c r="O1050" t="n">
        <v>1</v>
      </c>
      <c r="P1050" t="n">
        <v>0</v>
      </c>
      <c r="Q1050" t="n">
        <v>1</v>
      </c>
      <c r="R1050" s="2" t="inlineStr">
        <is>
          <t>Garnlav</t>
        </is>
      </c>
      <c r="S1050">
        <f>HYPERLINK("https://klasma.github.io/Logging_2401/artfynd/A 60849-2025 artfynd.xlsx", "A 60849-2025")</f>
        <v/>
      </c>
      <c r="T1050">
        <f>HYPERLINK("https://klasma.github.io/Logging_2401/kartor/A 60849-2025 karta.png", "A 60849-2025")</f>
        <v/>
      </c>
      <c r="V1050">
        <f>HYPERLINK("https://klasma.github.io/Logging_2401/klagomål/A 60849-2025 FSC-klagomål.docx", "A 60849-2025")</f>
        <v/>
      </c>
      <c r="W1050">
        <f>HYPERLINK("https://klasma.github.io/Logging_2401/klagomålsmail/A 60849-2025 FSC-klagomål mail.docx", "A 60849-2025")</f>
        <v/>
      </c>
      <c r="X1050">
        <f>HYPERLINK("https://klasma.github.io/Logging_2401/tillsyn/A 60849-2025 tillsynsbegäran.docx", "A 60849-2025")</f>
        <v/>
      </c>
      <c r="Y1050">
        <f>HYPERLINK("https://klasma.github.io/Logging_2401/tillsynsmail/A 60849-2025 tillsynsbegäran mail.docx", "A 60849-2025")</f>
        <v/>
      </c>
    </row>
    <row r="1051" ht="15" customHeight="1">
      <c r="A1051" t="inlineStr">
        <is>
          <t>A 60929-2025</t>
        </is>
      </c>
      <c r="B1051" s="1" t="n">
        <v>45999.63458333333</v>
      </c>
      <c r="C1051" s="1" t="n">
        <v>46145</v>
      </c>
      <c r="D1051" t="inlineStr">
        <is>
          <t>VÄSTERBOTTENS LÄN</t>
        </is>
      </c>
      <c r="E1051" t="inlineStr">
        <is>
          <t>SKELLEFTEÅ</t>
        </is>
      </c>
      <c r="F1051" t="inlineStr">
        <is>
          <t>Kommuner</t>
        </is>
      </c>
      <c r="G1051" t="n">
        <v>8</v>
      </c>
      <c r="H1051" t="n">
        <v>1</v>
      </c>
      <c r="I1051" t="n">
        <v>0</v>
      </c>
      <c r="J1051" t="n">
        <v>1</v>
      </c>
      <c r="K1051" t="n">
        <v>0</v>
      </c>
      <c r="L1051" t="n">
        <v>0</v>
      </c>
      <c r="M1051" t="n">
        <v>0</v>
      </c>
      <c r="N1051" t="n">
        <v>0</v>
      </c>
      <c r="O1051" t="n">
        <v>1</v>
      </c>
      <c r="P1051" t="n">
        <v>0</v>
      </c>
      <c r="Q1051" t="n">
        <v>1</v>
      </c>
      <c r="R1051" s="2" t="inlineStr">
        <is>
          <t>Spillkråka</t>
        </is>
      </c>
      <c r="S1051">
        <f>HYPERLINK("https://klasma.github.io/Logging_2482/artfynd/A 60929-2025 artfynd.xlsx", "A 60929-2025")</f>
        <v/>
      </c>
      <c r="T1051">
        <f>HYPERLINK("https://klasma.github.io/Logging_2482/kartor/A 60929-2025 karta.png", "A 60929-2025")</f>
        <v/>
      </c>
      <c r="V1051">
        <f>HYPERLINK("https://klasma.github.io/Logging_2482/klagomål/A 60929-2025 FSC-klagomål.docx", "A 60929-2025")</f>
        <v/>
      </c>
      <c r="W1051">
        <f>HYPERLINK("https://klasma.github.io/Logging_2482/klagomålsmail/A 60929-2025 FSC-klagomål mail.docx", "A 60929-2025")</f>
        <v/>
      </c>
      <c r="X1051">
        <f>HYPERLINK("https://klasma.github.io/Logging_2482/tillsyn/A 60929-2025 tillsynsbegäran.docx", "A 60929-2025")</f>
        <v/>
      </c>
      <c r="Y1051">
        <f>HYPERLINK("https://klasma.github.io/Logging_2482/tillsynsmail/A 60929-2025 tillsynsbegäran mail.docx", "A 60929-2025")</f>
        <v/>
      </c>
      <c r="Z1051">
        <f>HYPERLINK("https://klasma.github.io/Logging_2482/fåglar/A 60929-2025 prioriterade fågelarter.docx", "A 60929-2025")</f>
        <v/>
      </c>
    </row>
    <row r="1052" ht="15" customHeight="1">
      <c r="A1052" t="inlineStr">
        <is>
          <t>A 61224-2025</t>
        </is>
      </c>
      <c r="B1052" s="1" t="n">
        <v>46000.62998842593</v>
      </c>
      <c r="C1052" s="1" t="n">
        <v>46145</v>
      </c>
      <c r="D1052" t="inlineStr">
        <is>
          <t>VÄSTERBOTTENS LÄN</t>
        </is>
      </c>
      <c r="E1052" t="inlineStr">
        <is>
          <t>VÄNNÄS</t>
        </is>
      </c>
      <c r="G1052" t="n">
        <v>3.2</v>
      </c>
      <c r="H1052" t="n">
        <v>0</v>
      </c>
      <c r="I1052" t="n">
        <v>0</v>
      </c>
      <c r="J1052" t="n">
        <v>1</v>
      </c>
      <c r="K1052" t="n">
        <v>0</v>
      </c>
      <c r="L1052" t="n">
        <v>0</v>
      </c>
      <c r="M1052" t="n">
        <v>0</v>
      </c>
      <c r="N1052" t="n">
        <v>0</v>
      </c>
      <c r="O1052" t="n">
        <v>1</v>
      </c>
      <c r="P1052" t="n">
        <v>0</v>
      </c>
      <c r="Q1052" t="n">
        <v>1</v>
      </c>
      <c r="R1052" s="2" t="inlineStr">
        <is>
          <t>Älvstarr</t>
        </is>
      </c>
      <c r="S1052">
        <f>HYPERLINK("https://klasma.github.io/Logging_2460/artfynd/A 61224-2025 artfynd.xlsx", "A 61224-2025")</f>
        <v/>
      </c>
      <c r="T1052">
        <f>HYPERLINK("https://klasma.github.io/Logging_2460/kartor/A 61224-2025 karta.png", "A 61224-2025")</f>
        <v/>
      </c>
      <c r="V1052">
        <f>HYPERLINK("https://klasma.github.io/Logging_2460/klagomål/A 61224-2025 FSC-klagomål.docx", "A 61224-2025")</f>
        <v/>
      </c>
      <c r="W1052">
        <f>HYPERLINK("https://klasma.github.io/Logging_2460/klagomålsmail/A 61224-2025 FSC-klagomål mail.docx", "A 61224-2025")</f>
        <v/>
      </c>
      <c r="X1052">
        <f>HYPERLINK("https://klasma.github.io/Logging_2460/tillsyn/A 61224-2025 tillsynsbegäran.docx", "A 61224-2025")</f>
        <v/>
      </c>
      <c r="Y1052">
        <f>HYPERLINK("https://klasma.github.io/Logging_2460/tillsynsmail/A 61224-2025 tillsynsbegäran mail.docx", "A 61224-2025")</f>
        <v/>
      </c>
    </row>
    <row r="1053" ht="15" customHeight="1">
      <c r="A1053" t="inlineStr">
        <is>
          <t>A 60773-2025</t>
        </is>
      </c>
      <c r="B1053" s="1" t="n">
        <v>45999.38724537037</v>
      </c>
      <c r="C1053" s="1" t="n">
        <v>46145</v>
      </c>
      <c r="D1053" t="inlineStr">
        <is>
          <t>VÄSTERBOTTENS LÄN</t>
        </is>
      </c>
      <c r="E1053" t="inlineStr">
        <is>
          <t>NORDMALING</t>
        </is>
      </c>
      <c r="G1053" t="n">
        <v>6.6</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HYPERLINK("https://klasma.github.io/Logging_2401/artfynd/A 60773-2025 artfynd.xlsx", "A 60773-2025")</f>
        <v/>
      </c>
      <c r="T1053">
        <f>HYPERLINK("https://klasma.github.io/Logging_2401/kartor/A 60773-2025 karta.png", "A 60773-2025")</f>
        <v/>
      </c>
      <c r="V1053">
        <f>HYPERLINK("https://klasma.github.io/Logging_2401/klagomål/A 60773-2025 FSC-klagomål.docx", "A 60773-2025")</f>
        <v/>
      </c>
      <c r="W1053">
        <f>HYPERLINK("https://klasma.github.io/Logging_2401/klagomålsmail/A 60773-2025 FSC-klagomål mail.docx", "A 60773-2025")</f>
        <v/>
      </c>
      <c r="X1053">
        <f>HYPERLINK("https://klasma.github.io/Logging_2401/tillsyn/A 60773-2025 tillsynsbegäran.docx", "A 60773-2025")</f>
        <v/>
      </c>
      <c r="Y1053">
        <f>HYPERLINK("https://klasma.github.io/Logging_2401/tillsynsmail/A 60773-2025 tillsynsbegäran mail.docx", "A 60773-2025")</f>
        <v/>
      </c>
    </row>
    <row r="1054" ht="15" customHeight="1">
      <c r="A1054" t="inlineStr">
        <is>
          <t>A 61521-2025</t>
        </is>
      </c>
      <c r="B1054" s="1" t="n">
        <v>46001.68668981481</v>
      </c>
      <c r="C1054" s="1" t="n">
        <v>46145</v>
      </c>
      <c r="D1054" t="inlineStr">
        <is>
          <t>VÄSTERBOTTENS LÄN</t>
        </is>
      </c>
      <c r="E1054" t="inlineStr">
        <is>
          <t>BJURHOLM</t>
        </is>
      </c>
      <c r="F1054" t="inlineStr">
        <is>
          <t>SCA</t>
        </is>
      </c>
      <c r="G1054" t="n">
        <v>4.2</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HYPERLINK("https://klasma.github.io/Logging_2403/artfynd/A 61521-2025 artfynd.xlsx", "A 61521-2025")</f>
        <v/>
      </c>
      <c r="T1054">
        <f>HYPERLINK("https://klasma.github.io/Logging_2403/kartor/A 61521-2025 karta.png", "A 61521-2025")</f>
        <v/>
      </c>
      <c r="V1054">
        <f>HYPERLINK("https://klasma.github.io/Logging_2403/klagomål/A 61521-2025 FSC-klagomål.docx", "A 61521-2025")</f>
        <v/>
      </c>
      <c r="W1054">
        <f>HYPERLINK("https://klasma.github.io/Logging_2403/klagomålsmail/A 61521-2025 FSC-klagomål mail.docx", "A 61521-2025")</f>
        <v/>
      </c>
      <c r="X1054">
        <f>HYPERLINK("https://klasma.github.io/Logging_2403/tillsyn/A 61521-2025 tillsynsbegäran.docx", "A 61521-2025")</f>
        <v/>
      </c>
      <c r="Y1054">
        <f>HYPERLINK("https://klasma.github.io/Logging_2403/tillsynsmail/A 61521-2025 tillsynsbegäran mail.docx", "A 61521-2025")</f>
        <v/>
      </c>
    </row>
    <row r="1055" ht="15" customHeight="1">
      <c r="A1055" t="inlineStr">
        <is>
          <t>A 55622-2024</t>
        </is>
      </c>
      <c r="B1055" s="1" t="n">
        <v>45622.59461805555</v>
      </c>
      <c r="C1055" s="1" t="n">
        <v>46145</v>
      </c>
      <c r="D1055" t="inlineStr">
        <is>
          <t>VÄSTERBOTTENS LÄN</t>
        </is>
      </c>
      <c r="E1055" t="inlineStr">
        <is>
          <t>DOROTEA</t>
        </is>
      </c>
      <c r="F1055" t="inlineStr">
        <is>
          <t>SCA</t>
        </is>
      </c>
      <c r="G1055" t="n">
        <v>5.7</v>
      </c>
      <c r="H1055" t="n">
        <v>1</v>
      </c>
      <c r="I1055" t="n">
        <v>0</v>
      </c>
      <c r="J1055" t="n">
        <v>0</v>
      </c>
      <c r="K1055" t="n">
        <v>0</v>
      </c>
      <c r="L1055" t="n">
        <v>0</v>
      </c>
      <c r="M1055" t="n">
        <v>0</v>
      </c>
      <c r="N1055" t="n">
        <v>0</v>
      </c>
      <c r="O1055" t="n">
        <v>0</v>
      </c>
      <c r="P1055" t="n">
        <v>0</v>
      </c>
      <c r="Q1055" t="n">
        <v>1</v>
      </c>
      <c r="R1055" s="2" t="inlineStr">
        <is>
          <t>Fläcknycklar</t>
        </is>
      </c>
      <c r="S1055">
        <f>HYPERLINK("https://klasma.github.io/Logging_2425/artfynd/A 55622-2024 artfynd.xlsx", "A 55622-2024")</f>
        <v/>
      </c>
      <c r="T1055">
        <f>HYPERLINK("https://klasma.github.io/Logging_2425/kartor/A 55622-2024 karta.png", "A 55622-2024")</f>
        <v/>
      </c>
      <c r="V1055">
        <f>HYPERLINK("https://klasma.github.io/Logging_2425/klagomål/A 55622-2024 FSC-klagomål.docx", "A 55622-2024")</f>
        <v/>
      </c>
      <c r="W1055">
        <f>HYPERLINK("https://klasma.github.io/Logging_2425/klagomålsmail/A 55622-2024 FSC-klagomål mail.docx", "A 55622-2024")</f>
        <v/>
      </c>
      <c r="X1055">
        <f>HYPERLINK("https://klasma.github.io/Logging_2425/tillsyn/A 55622-2024 tillsynsbegäran.docx", "A 55622-2024")</f>
        <v/>
      </c>
      <c r="Y1055">
        <f>HYPERLINK("https://klasma.github.io/Logging_2425/tillsynsmail/A 55622-2024 tillsynsbegäran mail.docx", "A 55622-2024")</f>
        <v/>
      </c>
    </row>
    <row r="1056" ht="15" customHeight="1">
      <c r="A1056" t="inlineStr">
        <is>
          <t>A 43276-2025</t>
        </is>
      </c>
      <c r="B1056" s="1" t="n">
        <v>45910</v>
      </c>
      <c r="C1056" s="1" t="n">
        <v>46145</v>
      </c>
      <c r="D1056" t="inlineStr">
        <is>
          <t>VÄSTERBOTTENS LÄN</t>
        </is>
      </c>
      <c r="E1056" t="inlineStr">
        <is>
          <t>ÅSELE</t>
        </is>
      </c>
      <c r="F1056" t="inlineStr">
        <is>
          <t>Kyrkan</t>
        </is>
      </c>
      <c r="G1056" t="n">
        <v>4.9</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HYPERLINK("https://klasma.github.io/Logging_2463/artfynd/A 43276-2025 artfynd.xlsx", "A 43276-2025")</f>
        <v/>
      </c>
      <c r="T1056">
        <f>HYPERLINK("https://klasma.github.io/Logging_2463/kartor/A 43276-2025 karta.png", "A 43276-2025")</f>
        <v/>
      </c>
      <c r="V1056">
        <f>HYPERLINK("https://klasma.github.io/Logging_2463/klagomål/A 43276-2025 FSC-klagomål.docx", "A 43276-2025")</f>
        <v/>
      </c>
      <c r="W1056">
        <f>HYPERLINK("https://klasma.github.io/Logging_2463/klagomålsmail/A 43276-2025 FSC-klagomål mail.docx", "A 43276-2025")</f>
        <v/>
      </c>
      <c r="X1056">
        <f>HYPERLINK("https://klasma.github.io/Logging_2463/tillsyn/A 43276-2025 tillsynsbegäran.docx", "A 43276-2025")</f>
        <v/>
      </c>
      <c r="Y1056">
        <f>HYPERLINK("https://klasma.github.io/Logging_2463/tillsynsmail/A 43276-2025 tillsynsbegäran mail.docx", "A 43276-2025")</f>
        <v/>
      </c>
      <c r="Z1056">
        <f>HYPERLINK("https://klasma.github.io/Logging_2463/fåglar/A 43276-2025 prioriterade fågelarter.docx", "A 43276-2025")</f>
        <v/>
      </c>
    </row>
    <row r="1057" ht="15" customHeight="1">
      <c r="A1057" t="inlineStr">
        <is>
          <t>A 30266-2023</t>
        </is>
      </c>
      <c r="B1057" s="1" t="n">
        <v>45110</v>
      </c>
      <c r="C1057" s="1" t="n">
        <v>46145</v>
      </c>
      <c r="D1057" t="inlineStr">
        <is>
          <t>VÄSTERBOTTENS LÄN</t>
        </is>
      </c>
      <c r="E1057" t="inlineStr">
        <is>
          <t>UMEÅ</t>
        </is>
      </c>
      <c r="F1057" t="inlineStr">
        <is>
          <t>Holmen skog AB</t>
        </is>
      </c>
      <c r="G1057" t="n">
        <v>4.7</v>
      </c>
      <c r="H1057" t="n">
        <v>0</v>
      </c>
      <c r="I1057" t="n">
        <v>0</v>
      </c>
      <c r="J1057" t="n">
        <v>1</v>
      </c>
      <c r="K1057" t="n">
        <v>0</v>
      </c>
      <c r="L1057" t="n">
        <v>0</v>
      </c>
      <c r="M1057" t="n">
        <v>0</v>
      </c>
      <c r="N1057" t="n">
        <v>0</v>
      </c>
      <c r="O1057" t="n">
        <v>1</v>
      </c>
      <c r="P1057" t="n">
        <v>0</v>
      </c>
      <c r="Q1057" t="n">
        <v>1</v>
      </c>
      <c r="R1057" s="2" t="inlineStr">
        <is>
          <t>Tallticka</t>
        </is>
      </c>
      <c r="S1057">
        <f>HYPERLINK("https://klasma.github.io/Logging_2480/artfynd/A 30266-2023 artfynd.xlsx", "A 30266-2023")</f>
        <v/>
      </c>
      <c r="T1057">
        <f>HYPERLINK("https://klasma.github.io/Logging_2480/kartor/A 30266-2023 karta.png", "A 30266-2023")</f>
        <v/>
      </c>
      <c r="V1057">
        <f>HYPERLINK("https://klasma.github.io/Logging_2480/klagomål/A 30266-2023 FSC-klagomål.docx", "A 30266-2023")</f>
        <v/>
      </c>
      <c r="W1057">
        <f>HYPERLINK("https://klasma.github.io/Logging_2480/klagomålsmail/A 30266-2023 FSC-klagomål mail.docx", "A 30266-2023")</f>
        <v/>
      </c>
      <c r="X1057">
        <f>HYPERLINK("https://klasma.github.io/Logging_2480/tillsyn/A 30266-2023 tillsynsbegäran.docx", "A 30266-2023")</f>
        <v/>
      </c>
      <c r="Y1057">
        <f>HYPERLINK("https://klasma.github.io/Logging_2480/tillsynsmail/A 30266-2023 tillsynsbegäran mail.docx", "A 30266-2023")</f>
        <v/>
      </c>
    </row>
    <row r="1058" ht="15" customHeight="1">
      <c r="A1058" t="inlineStr">
        <is>
          <t>A 62111-2025</t>
        </is>
      </c>
      <c r="B1058" s="1" t="n">
        <v>46006.43400462963</v>
      </c>
      <c r="C1058" s="1" t="n">
        <v>46145</v>
      </c>
      <c r="D1058" t="inlineStr">
        <is>
          <t>VÄSTERBOTTENS LÄN</t>
        </is>
      </c>
      <c r="E1058" t="inlineStr">
        <is>
          <t>VINDELN</t>
        </is>
      </c>
      <c r="F1058" t="inlineStr">
        <is>
          <t>Sveaskog</t>
        </is>
      </c>
      <c r="G1058" t="n">
        <v>1.1</v>
      </c>
      <c r="H1058" t="n">
        <v>0</v>
      </c>
      <c r="I1058" t="n">
        <v>0</v>
      </c>
      <c r="J1058" t="n">
        <v>1</v>
      </c>
      <c r="K1058" t="n">
        <v>0</v>
      </c>
      <c r="L1058" t="n">
        <v>0</v>
      </c>
      <c r="M1058" t="n">
        <v>0</v>
      </c>
      <c r="N1058" t="n">
        <v>0</v>
      </c>
      <c r="O1058" t="n">
        <v>1</v>
      </c>
      <c r="P1058" t="n">
        <v>0</v>
      </c>
      <c r="Q1058" t="n">
        <v>1</v>
      </c>
      <c r="R1058" s="2" t="inlineStr">
        <is>
          <t>Garnlav</t>
        </is>
      </c>
      <c r="S1058">
        <f>HYPERLINK("https://klasma.github.io/Logging_2404/artfynd/A 62111-2025 artfynd.xlsx", "A 62111-2025")</f>
        <v/>
      </c>
      <c r="T1058">
        <f>HYPERLINK("https://klasma.github.io/Logging_2404/kartor/A 62111-2025 karta.png", "A 62111-2025")</f>
        <v/>
      </c>
      <c r="V1058">
        <f>HYPERLINK("https://klasma.github.io/Logging_2404/klagomål/A 62111-2025 FSC-klagomål.docx", "A 62111-2025")</f>
        <v/>
      </c>
      <c r="W1058">
        <f>HYPERLINK("https://klasma.github.io/Logging_2404/klagomålsmail/A 62111-2025 FSC-klagomål mail.docx", "A 62111-2025")</f>
        <v/>
      </c>
      <c r="X1058">
        <f>HYPERLINK("https://klasma.github.io/Logging_2404/tillsyn/A 62111-2025 tillsynsbegäran.docx", "A 62111-2025")</f>
        <v/>
      </c>
      <c r="Y1058">
        <f>HYPERLINK("https://klasma.github.io/Logging_2404/tillsynsmail/A 62111-2025 tillsynsbegäran mail.docx", "A 62111-2025")</f>
        <v/>
      </c>
    </row>
    <row r="1059" ht="15" customHeight="1">
      <c r="A1059" t="inlineStr">
        <is>
          <t>A 62145-2025</t>
        </is>
      </c>
      <c r="B1059" s="1" t="n">
        <v>46006.47403935185</v>
      </c>
      <c r="C1059" s="1" t="n">
        <v>46145</v>
      </c>
      <c r="D1059" t="inlineStr">
        <is>
          <t>VÄSTERBOTTENS LÄN</t>
        </is>
      </c>
      <c r="E1059" t="inlineStr">
        <is>
          <t>UMEÅ</t>
        </is>
      </c>
      <c r="G1059" t="n">
        <v>2.8</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HYPERLINK("https://klasma.github.io/Logging_2480/artfynd/A 62145-2025 artfynd.xlsx", "A 62145-2025")</f>
        <v/>
      </c>
      <c r="T1059">
        <f>HYPERLINK("https://klasma.github.io/Logging_2480/kartor/A 62145-2025 karta.png", "A 62145-2025")</f>
        <v/>
      </c>
      <c r="V1059">
        <f>HYPERLINK("https://klasma.github.io/Logging_2480/klagomål/A 62145-2025 FSC-klagomål.docx", "A 62145-2025")</f>
        <v/>
      </c>
      <c r="W1059">
        <f>HYPERLINK("https://klasma.github.io/Logging_2480/klagomålsmail/A 62145-2025 FSC-klagomål mail.docx", "A 62145-2025")</f>
        <v/>
      </c>
      <c r="X1059">
        <f>HYPERLINK("https://klasma.github.io/Logging_2480/tillsyn/A 62145-2025 tillsynsbegäran.docx", "A 62145-2025")</f>
        <v/>
      </c>
      <c r="Y1059">
        <f>HYPERLINK("https://klasma.github.io/Logging_2480/tillsynsmail/A 62145-2025 tillsynsbegäran mail.docx", "A 62145-2025")</f>
        <v/>
      </c>
      <c r="Z1059">
        <f>HYPERLINK("https://klasma.github.io/Logging_2480/fåglar/A 62145-2025 prioriterade fågelarter.docx", "A 62145-2025")</f>
        <v/>
      </c>
    </row>
    <row r="1060" ht="15" customHeight="1">
      <c r="A1060" t="inlineStr">
        <is>
          <t>A 61854-2025</t>
        </is>
      </c>
      <c r="B1060" s="1" t="n">
        <v>46003.38546296296</v>
      </c>
      <c r="C1060" s="1" t="n">
        <v>46145</v>
      </c>
      <c r="D1060" t="inlineStr">
        <is>
          <t>VÄSTERBOTTENS LÄN</t>
        </is>
      </c>
      <c r="E1060" t="inlineStr">
        <is>
          <t>LYCKSELE</t>
        </is>
      </c>
      <c r="F1060" t="inlineStr">
        <is>
          <t>Sveaskog</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61854-2025 artfynd.xlsx", "A 61854-2025")</f>
        <v/>
      </c>
      <c r="T1060">
        <f>HYPERLINK("https://klasma.github.io/Logging_2481/kartor/A 61854-2025 karta.png", "A 61854-2025")</f>
        <v/>
      </c>
      <c r="V1060">
        <f>HYPERLINK("https://klasma.github.io/Logging_2481/klagomål/A 61854-2025 FSC-klagomål.docx", "A 61854-2025")</f>
        <v/>
      </c>
      <c r="W1060">
        <f>HYPERLINK("https://klasma.github.io/Logging_2481/klagomålsmail/A 61854-2025 FSC-klagomål mail.docx", "A 61854-2025")</f>
        <v/>
      </c>
      <c r="X1060">
        <f>HYPERLINK("https://klasma.github.io/Logging_2481/tillsyn/A 61854-2025 tillsynsbegäran.docx", "A 61854-2025")</f>
        <v/>
      </c>
      <c r="Y1060">
        <f>HYPERLINK("https://klasma.github.io/Logging_2481/tillsynsmail/A 61854-2025 tillsynsbegäran mail.docx", "A 61854-2025")</f>
        <v/>
      </c>
    </row>
    <row r="1061" ht="15" customHeight="1">
      <c r="A1061" t="inlineStr">
        <is>
          <t>A 62418-2025</t>
        </is>
      </c>
      <c r="B1061" s="1" t="n">
        <v>46007.44689814815</v>
      </c>
      <c r="C1061" s="1" t="n">
        <v>46145</v>
      </c>
      <c r="D1061" t="inlineStr">
        <is>
          <t>VÄSTERBOTTENS LÄN</t>
        </is>
      </c>
      <c r="E1061" t="inlineStr">
        <is>
          <t>VÄNNÄS</t>
        </is>
      </c>
      <c r="G1061" t="n">
        <v>3.1</v>
      </c>
      <c r="H1061" t="n">
        <v>1</v>
      </c>
      <c r="I1061" t="n">
        <v>0</v>
      </c>
      <c r="J1061" t="n">
        <v>0</v>
      </c>
      <c r="K1061" t="n">
        <v>0</v>
      </c>
      <c r="L1061" t="n">
        <v>0</v>
      </c>
      <c r="M1061" t="n">
        <v>0</v>
      </c>
      <c r="N1061" t="n">
        <v>0</v>
      </c>
      <c r="O1061" t="n">
        <v>0</v>
      </c>
      <c r="P1061" t="n">
        <v>0</v>
      </c>
      <c r="Q1061" t="n">
        <v>1</v>
      </c>
      <c r="R1061" s="2" t="inlineStr">
        <is>
          <t>Kungsfågel</t>
        </is>
      </c>
      <c r="S1061">
        <f>HYPERLINK("https://klasma.github.io/Logging_2460/artfynd/A 62418-2025 artfynd.xlsx", "A 62418-2025")</f>
        <v/>
      </c>
      <c r="T1061">
        <f>HYPERLINK("https://klasma.github.io/Logging_2460/kartor/A 62418-2025 karta.png", "A 62418-2025")</f>
        <v/>
      </c>
      <c r="V1061">
        <f>HYPERLINK("https://klasma.github.io/Logging_2460/klagomål/A 62418-2025 FSC-klagomål.docx", "A 62418-2025")</f>
        <v/>
      </c>
      <c r="W1061">
        <f>HYPERLINK("https://klasma.github.io/Logging_2460/klagomålsmail/A 62418-2025 FSC-klagomål mail.docx", "A 62418-2025")</f>
        <v/>
      </c>
      <c r="X1061">
        <f>HYPERLINK("https://klasma.github.io/Logging_2460/tillsyn/A 62418-2025 tillsynsbegäran.docx", "A 62418-2025")</f>
        <v/>
      </c>
      <c r="Y1061">
        <f>HYPERLINK("https://klasma.github.io/Logging_2460/tillsynsmail/A 62418-2025 tillsynsbegäran mail.docx", "A 62418-2025")</f>
        <v/>
      </c>
      <c r="Z1061">
        <f>HYPERLINK("https://klasma.github.io/Logging_2460/fåglar/A 62418-2025 prioriterade fågelarter.docx", "A 62418-2025")</f>
        <v/>
      </c>
    </row>
    <row r="1062" ht="15" customHeight="1">
      <c r="A1062" t="inlineStr">
        <is>
          <t>A 41481-2024</t>
        </is>
      </c>
      <c r="B1062" s="1" t="n">
        <v>45560.44495370371</v>
      </c>
      <c r="C1062" s="1" t="n">
        <v>46145</v>
      </c>
      <c r="D1062" t="inlineStr">
        <is>
          <t>VÄSTERBOTTENS LÄN</t>
        </is>
      </c>
      <c r="E1062" t="inlineStr">
        <is>
          <t>VINDELN</t>
        </is>
      </c>
      <c r="F1062" t="inlineStr">
        <is>
          <t>Sveaskog</t>
        </is>
      </c>
      <c r="G1062" t="n">
        <v>29</v>
      </c>
      <c r="H1062" t="n">
        <v>0</v>
      </c>
      <c r="I1062" t="n">
        <v>0</v>
      </c>
      <c r="J1062" t="n">
        <v>1</v>
      </c>
      <c r="K1062" t="n">
        <v>0</v>
      </c>
      <c r="L1062" t="n">
        <v>0</v>
      </c>
      <c r="M1062" t="n">
        <v>0</v>
      </c>
      <c r="N1062" t="n">
        <v>0</v>
      </c>
      <c r="O1062" t="n">
        <v>1</v>
      </c>
      <c r="P1062" t="n">
        <v>0</v>
      </c>
      <c r="Q1062" t="n">
        <v>1</v>
      </c>
      <c r="R1062" s="2" t="inlineStr">
        <is>
          <t>Tallvägstekel</t>
        </is>
      </c>
      <c r="S1062">
        <f>HYPERLINK("https://klasma.github.io/Logging_2404/artfynd/A 41481-2024 artfynd.xlsx", "A 41481-2024")</f>
        <v/>
      </c>
      <c r="T1062">
        <f>HYPERLINK("https://klasma.github.io/Logging_2404/kartor/A 41481-2024 karta.png", "A 41481-2024")</f>
        <v/>
      </c>
      <c r="V1062">
        <f>HYPERLINK("https://klasma.github.io/Logging_2404/klagomål/A 41481-2024 FSC-klagomål.docx", "A 41481-2024")</f>
        <v/>
      </c>
      <c r="W1062">
        <f>HYPERLINK("https://klasma.github.io/Logging_2404/klagomålsmail/A 41481-2024 FSC-klagomål mail.docx", "A 41481-2024")</f>
        <v/>
      </c>
      <c r="X1062">
        <f>HYPERLINK("https://klasma.github.io/Logging_2404/tillsyn/A 41481-2024 tillsynsbegäran.docx", "A 41481-2024")</f>
        <v/>
      </c>
      <c r="Y1062">
        <f>HYPERLINK("https://klasma.github.io/Logging_2404/tillsynsmail/A 41481-2024 tillsynsbegäran mail.docx", "A 41481-2024")</f>
        <v/>
      </c>
    </row>
    <row r="1063" ht="15" customHeight="1">
      <c r="A1063" t="inlineStr">
        <is>
          <t>A 53309-2022</t>
        </is>
      </c>
      <c r="B1063" s="1" t="n">
        <v>44878.6125462963</v>
      </c>
      <c r="C1063" s="1" t="n">
        <v>46145</v>
      </c>
      <c r="D1063" t="inlineStr">
        <is>
          <t>VÄSTERBOTTENS LÄN</t>
        </is>
      </c>
      <c r="E1063" t="inlineStr">
        <is>
          <t>DOROTEA</t>
        </is>
      </c>
      <c r="G1063" t="n">
        <v>6.6</v>
      </c>
      <c r="H1063" t="n">
        <v>1</v>
      </c>
      <c r="I1063" t="n">
        <v>0</v>
      </c>
      <c r="J1063" t="n">
        <v>0</v>
      </c>
      <c r="K1063" t="n">
        <v>0</v>
      </c>
      <c r="L1063" t="n">
        <v>0</v>
      </c>
      <c r="M1063" t="n">
        <v>0</v>
      </c>
      <c r="N1063" t="n">
        <v>0</v>
      </c>
      <c r="O1063" t="n">
        <v>0</v>
      </c>
      <c r="P1063" t="n">
        <v>0</v>
      </c>
      <c r="Q1063" t="n">
        <v>1</v>
      </c>
      <c r="R1063" s="2" t="inlineStr">
        <is>
          <t>Göktyta</t>
        </is>
      </c>
      <c r="S1063">
        <f>HYPERLINK("https://klasma.github.io/Logging_2425/artfynd/A 53309-2022 artfynd.xlsx", "A 53309-2022")</f>
        <v/>
      </c>
      <c r="T1063">
        <f>HYPERLINK("https://klasma.github.io/Logging_2425/kartor/A 53309-2022 karta.png", "A 53309-2022")</f>
        <v/>
      </c>
      <c r="V1063">
        <f>HYPERLINK("https://klasma.github.io/Logging_2425/klagomål/A 53309-2022 FSC-klagomål.docx", "A 53309-2022")</f>
        <v/>
      </c>
      <c r="W1063">
        <f>HYPERLINK("https://klasma.github.io/Logging_2425/klagomålsmail/A 53309-2022 FSC-klagomål mail.docx", "A 53309-2022")</f>
        <v/>
      </c>
      <c r="X1063">
        <f>HYPERLINK("https://klasma.github.io/Logging_2425/tillsyn/A 53309-2022 tillsynsbegäran.docx", "A 53309-2022")</f>
        <v/>
      </c>
      <c r="Y1063">
        <f>HYPERLINK("https://klasma.github.io/Logging_2425/tillsynsmail/A 53309-2022 tillsynsbegäran mail.docx", "A 53309-2022")</f>
        <v/>
      </c>
      <c r="Z1063">
        <f>HYPERLINK("https://klasma.github.io/Logging_2425/fåglar/A 53309-2022 prioriterade fågelarter.docx", "A 53309-2022")</f>
        <v/>
      </c>
    </row>
    <row r="1064" ht="15" customHeight="1">
      <c r="A1064" t="inlineStr">
        <is>
          <t>A 63031-2025</t>
        </is>
      </c>
      <c r="B1064" s="1" t="n">
        <v>46009.60197916667</v>
      </c>
      <c r="C1064" s="1" t="n">
        <v>46145</v>
      </c>
      <c r="D1064" t="inlineStr">
        <is>
          <t>VÄSTERBOTTENS LÄN</t>
        </is>
      </c>
      <c r="E1064" t="inlineStr">
        <is>
          <t>NORDMALING</t>
        </is>
      </c>
      <c r="G1064" t="n">
        <v>10.3</v>
      </c>
      <c r="H1064" t="n">
        <v>1</v>
      </c>
      <c r="I1064" t="n">
        <v>0</v>
      </c>
      <c r="J1064" t="n">
        <v>1</v>
      </c>
      <c r="K1064" t="n">
        <v>0</v>
      </c>
      <c r="L1064" t="n">
        <v>0</v>
      </c>
      <c r="M1064" t="n">
        <v>0</v>
      </c>
      <c r="N1064" t="n">
        <v>0</v>
      </c>
      <c r="O1064" t="n">
        <v>1</v>
      </c>
      <c r="P1064" t="n">
        <v>0</v>
      </c>
      <c r="Q1064" t="n">
        <v>1</v>
      </c>
      <c r="R1064" s="2" t="inlineStr">
        <is>
          <t>Rödvingetrast</t>
        </is>
      </c>
      <c r="S1064">
        <f>HYPERLINK("https://klasma.github.io/Logging_2401/artfynd/A 63031-2025 artfynd.xlsx", "A 63031-2025")</f>
        <v/>
      </c>
      <c r="T1064">
        <f>HYPERLINK("https://klasma.github.io/Logging_2401/kartor/A 63031-2025 karta.png", "A 63031-2025")</f>
        <v/>
      </c>
      <c r="V1064">
        <f>HYPERLINK("https://klasma.github.io/Logging_2401/klagomål/A 63031-2025 FSC-klagomål.docx", "A 63031-2025")</f>
        <v/>
      </c>
      <c r="W1064">
        <f>HYPERLINK("https://klasma.github.io/Logging_2401/klagomålsmail/A 63031-2025 FSC-klagomål mail.docx", "A 63031-2025")</f>
        <v/>
      </c>
      <c r="X1064">
        <f>HYPERLINK("https://klasma.github.io/Logging_2401/tillsyn/A 63031-2025 tillsynsbegäran.docx", "A 63031-2025")</f>
        <v/>
      </c>
      <c r="Y1064">
        <f>HYPERLINK("https://klasma.github.io/Logging_2401/tillsynsmail/A 63031-2025 tillsynsbegäran mail.docx", "A 63031-2025")</f>
        <v/>
      </c>
      <c r="Z1064">
        <f>HYPERLINK("https://klasma.github.io/Logging_2401/fåglar/A 63031-2025 prioriterade fågelarter.docx", "A 63031-2025")</f>
        <v/>
      </c>
    </row>
    <row r="1065" ht="15" customHeight="1">
      <c r="A1065" t="inlineStr">
        <is>
          <t>A 62184-2025</t>
        </is>
      </c>
      <c r="B1065" s="1" t="n">
        <v>46003</v>
      </c>
      <c r="C1065" s="1" t="n">
        <v>46145</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63238-2025</t>
        </is>
      </c>
      <c r="B1066" s="1" t="n">
        <v>46010.52430555555</v>
      </c>
      <c r="C1066" s="1" t="n">
        <v>46145</v>
      </c>
      <c r="D1066" t="inlineStr">
        <is>
          <t>VÄSTERBOTTENS LÄN</t>
        </is>
      </c>
      <c r="E1066" t="inlineStr">
        <is>
          <t>NORSJÖ</t>
        </is>
      </c>
      <c r="F1066" t="inlineStr">
        <is>
          <t>Sveaskog</t>
        </is>
      </c>
      <c r="G1066" t="n">
        <v>4.8</v>
      </c>
      <c r="H1066" t="n">
        <v>0</v>
      </c>
      <c r="I1066" t="n">
        <v>0</v>
      </c>
      <c r="J1066" t="n">
        <v>1</v>
      </c>
      <c r="K1066" t="n">
        <v>0</v>
      </c>
      <c r="L1066" t="n">
        <v>0</v>
      </c>
      <c r="M1066" t="n">
        <v>0</v>
      </c>
      <c r="N1066" t="n">
        <v>0</v>
      </c>
      <c r="O1066" t="n">
        <v>1</v>
      </c>
      <c r="P1066" t="n">
        <v>0</v>
      </c>
      <c r="Q1066" t="n">
        <v>1</v>
      </c>
      <c r="R1066" s="2" t="inlineStr">
        <is>
          <t>Lunglav</t>
        </is>
      </c>
      <c r="S1066">
        <f>HYPERLINK("https://klasma.github.io/Logging_2417/artfynd/A 63238-2025 artfynd.xlsx", "A 63238-2025")</f>
        <v/>
      </c>
      <c r="T1066">
        <f>HYPERLINK("https://klasma.github.io/Logging_2417/kartor/A 63238-2025 karta.png", "A 63238-2025")</f>
        <v/>
      </c>
      <c r="V1066">
        <f>HYPERLINK("https://klasma.github.io/Logging_2417/klagomål/A 63238-2025 FSC-klagomål.docx", "A 63238-2025")</f>
        <v/>
      </c>
      <c r="W1066">
        <f>HYPERLINK("https://klasma.github.io/Logging_2417/klagomålsmail/A 63238-2025 FSC-klagomål mail.docx", "A 63238-2025")</f>
        <v/>
      </c>
      <c r="X1066">
        <f>HYPERLINK("https://klasma.github.io/Logging_2417/tillsyn/A 63238-2025 tillsynsbegäran.docx", "A 63238-2025")</f>
        <v/>
      </c>
      <c r="Y1066">
        <f>HYPERLINK("https://klasma.github.io/Logging_2417/tillsynsmail/A 63238-2025 tillsynsbegäran mail.docx", "A 63238-2025")</f>
        <v/>
      </c>
    </row>
    <row r="1067" ht="15" customHeight="1">
      <c r="A1067" t="inlineStr">
        <is>
          <t>A 63161-2025</t>
        </is>
      </c>
      <c r="B1067" s="1" t="n">
        <v>46010.37401620371</v>
      </c>
      <c r="C1067" s="1" t="n">
        <v>46145</v>
      </c>
      <c r="D1067" t="inlineStr">
        <is>
          <t>VÄSTERBOTTENS LÄN</t>
        </is>
      </c>
      <c r="E1067" t="inlineStr">
        <is>
          <t>VÄNNÄS</t>
        </is>
      </c>
      <c r="G1067" t="n">
        <v>1.6</v>
      </c>
      <c r="H1067" t="n">
        <v>0</v>
      </c>
      <c r="I1067" t="n">
        <v>0</v>
      </c>
      <c r="J1067" t="n">
        <v>1</v>
      </c>
      <c r="K1067" t="n">
        <v>0</v>
      </c>
      <c r="L1067" t="n">
        <v>0</v>
      </c>
      <c r="M1067" t="n">
        <v>0</v>
      </c>
      <c r="N1067" t="n">
        <v>0</v>
      </c>
      <c r="O1067" t="n">
        <v>1</v>
      </c>
      <c r="P1067" t="n">
        <v>0</v>
      </c>
      <c r="Q1067" t="n">
        <v>1</v>
      </c>
      <c r="R1067" s="2" t="inlineStr">
        <is>
          <t>Veckticka</t>
        </is>
      </c>
      <c r="S1067">
        <f>HYPERLINK("https://klasma.github.io/Logging_2460/artfynd/A 63161-2025 artfynd.xlsx", "A 63161-2025")</f>
        <v/>
      </c>
      <c r="T1067">
        <f>HYPERLINK("https://klasma.github.io/Logging_2460/kartor/A 63161-2025 karta.png", "A 63161-2025")</f>
        <v/>
      </c>
      <c r="V1067">
        <f>HYPERLINK("https://klasma.github.io/Logging_2460/klagomål/A 63161-2025 FSC-klagomål.docx", "A 63161-2025")</f>
        <v/>
      </c>
      <c r="W1067">
        <f>HYPERLINK("https://klasma.github.io/Logging_2460/klagomålsmail/A 63161-2025 FSC-klagomål mail.docx", "A 63161-2025")</f>
        <v/>
      </c>
      <c r="X1067">
        <f>HYPERLINK("https://klasma.github.io/Logging_2460/tillsyn/A 63161-2025 tillsynsbegäran.docx", "A 63161-2025")</f>
        <v/>
      </c>
      <c r="Y1067">
        <f>HYPERLINK("https://klasma.github.io/Logging_2460/tillsynsmail/A 63161-2025 tillsynsbegäran mail.docx", "A 63161-2025")</f>
        <v/>
      </c>
    </row>
    <row r="1068" ht="15" customHeight="1">
      <c r="A1068" t="inlineStr">
        <is>
          <t>A 60084-2025</t>
        </is>
      </c>
      <c r="B1068" s="1" t="n">
        <v>45993.70097222222</v>
      </c>
      <c r="C1068" s="1" t="n">
        <v>46145</v>
      </c>
      <c r="D1068" t="inlineStr">
        <is>
          <t>VÄSTERBOTTENS LÄN</t>
        </is>
      </c>
      <c r="E1068" t="inlineStr">
        <is>
          <t>UMEÅ</t>
        </is>
      </c>
      <c r="G1068" t="n">
        <v>1.5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HYPERLINK("https://klasma.github.io/Logging_2480/artfynd/A 60084-2025 artfynd.xlsx", "A 60084-2025")</f>
        <v/>
      </c>
      <c r="T1068">
        <f>HYPERLINK("https://klasma.github.io/Logging_2480/kartor/A 60084-2025 karta.png", "A 60084-2025")</f>
        <v/>
      </c>
      <c r="V1068">
        <f>HYPERLINK("https://klasma.github.io/Logging_2480/klagomål/A 60084-2025 FSC-klagomål.docx", "A 60084-2025")</f>
        <v/>
      </c>
      <c r="W1068">
        <f>HYPERLINK("https://klasma.github.io/Logging_2480/klagomålsmail/A 60084-2025 FSC-klagomål mail.docx", "A 60084-2025")</f>
        <v/>
      </c>
      <c r="X1068">
        <f>HYPERLINK("https://klasma.github.io/Logging_2480/tillsyn/A 60084-2025 tillsynsbegäran.docx", "A 60084-2025")</f>
        <v/>
      </c>
      <c r="Y1068">
        <f>HYPERLINK("https://klasma.github.io/Logging_2480/tillsynsmail/A 60084-2025 tillsynsbegäran mail.docx", "A 60084-2025")</f>
        <v/>
      </c>
      <c r="Z1068">
        <f>HYPERLINK("https://klasma.github.io/Logging_2480/fåglar/A 60084-2025 prioriterade fågelarter.docx", "A 60084-2025")</f>
        <v/>
      </c>
    </row>
    <row r="1069" ht="15" customHeight="1">
      <c r="A1069" t="inlineStr">
        <is>
          <t>A 63528-2025</t>
        </is>
      </c>
      <c r="B1069" s="1" t="n">
        <v>46013.56092592593</v>
      </c>
      <c r="C1069" s="1" t="n">
        <v>46145</v>
      </c>
      <c r="D1069" t="inlineStr">
        <is>
          <t>VÄSTERBOTTENS LÄN</t>
        </is>
      </c>
      <c r="E1069" t="inlineStr">
        <is>
          <t>BJURHOLM</t>
        </is>
      </c>
      <c r="F1069" t="inlineStr">
        <is>
          <t>Holmen skog AB</t>
        </is>
      </c>
      <c r="G1069" t="n">
        <v>4</v>
      </c>
      <c r="H1069" t="n">
        <v>0</v>
      </c>
      <c r="I1069" t="n">
        <v>0</v>
      </c>
      <c r="J1069" t="n">
        <v>1</v>
      </c>
      <c r="K1069" t="n">
        <v>0</v>
      </c>
      <c r="L1069" t="n">
        <v>0</v>
      </c>
      <c r="M1069" t="n">
        <v>0</v>
      </c>
      <c r="N1069" t="n">
        <v>0</v>
      </c>
      <c r="O1069" t="n">
        <v>1</v>
      </c>
      <c r="P1069" t="n">
        <v>0</v>
      </c>
      <c r="Q1069" t="n">
        <v>1</v>
      </c>
      <c r="R1069" s="2" t="inlineStr">
        <is>
          <t>Garnlav</t>
        </is>
      </c>
      <c r="S1069">
        <f>HYPERLINK("https://klasma.github.io/Logging_2403/artfynd/A 63528-2025 artfynd.xlsx", "A 63528-2025")</f>
        <v/>
      </c>
      <c r="T1069">
        <f>HYPERLINK("https://klasma.github.io/Logging_2403/kartor/A 63528-2025 karta.png", "A 63528-2025")</f>
        <v/>
      </c>
      <c r="V1069">
        <f>HYPERLINK("https://klasma.github.io/Logging_2403/klagomål/A 63528-2025 FSC-klagomål.docx", "A 63528-2025")</f>
        <v/>
      </c>
      <c r="W1069">
        <f>HYPERLINK("https://klasma.github.io/Logging_2403/klagomålsmail/A 63528-2025 FSC-klagomål mail.docx", "A 63528-2025")</f>
        <v/>
      </c>
      <c r="X1069">
        <f>HYPERLINK("https://klasma.github.io/Logging_2403/tillsyn/A 63528-2025 tillsynsbegäran.docx", "A 63528-2025")</f>
        <v/>
      </c>
      <c r="Y1069">
        <f>HYPERLINK("https://klasma.github.io/Logging_2403/tillsynsmail/A 63528-2025 tillsynsbegäran mail.docx", "A 63528-2025")</f>
        <v/>
      </c>
    </row>
    <row r="1070" ht="15" customHeight="1">
      <c r="A1070" t="inlineStr">
        <is>
          <t>A 63687-2025</t>
        </is>
      </c>
      <c r="B1070" s="1" t="n">
        <v>46014.53261574074</v>
      </c>
      <c r="C1070" s="1" t="n">
        <v>46145</v>
      </c>
      <c r="D1070" t="inlineStr">
        <is>
          <t>VÄSTERBOTTENS LÄN</t>
        </is>
      </c>
      <c r="E1070" t="inlineStr">
        <is>
          <t>SKELLEFTEÅ</t>
        </is>
      </c>
      <c r="G1070" t="n">
        <v>1.7</v>
      </c>
      <c r="H1070" t="n">
        <v>1</v>
      </c>
      <c r="I1070" t="n">
        <v>0</v>
      </c>
      <c r="J1070" t="n">
        <v>0</v>
      </c>
      <c r="K1070" t="n">
        <v>1</v>
      </c>
      <c r="L1070" t="n">
        <v>0</v>
      </c>
      <c r="M1070" t="n">
        <v>0</v>
      </c>
      <c r="N1070" t="n">
        <v>0</v>
      </c>
      <c r="O1070" t="n">
        <v>1</v>
      </c>
      <c r="P1070" t="n">
        <v>1</v>
      </c>
      <c r="Q1070" t="n">
        <v>1</v>
      </c>
      <c r="R1070" s="2" t="inlineStr">
        <is>
          <t>Knärot</t>
        </is>
      </c>
      <c r="S1070">
        <f>HYPERLINK("https://klasma.github.io/Logging_2482/artfynd/A 63687-2025 artfynd.xlsx", "A 63687-2025")</f>
        <v/>
      </c>
      <c r="T1070">
        <f>HYPERLINK("https://klasma.github.io/Logging_2482/kartor/A 63687-2025 karta.png", "A 63687-2025")</f>
        <v/>
      </c>
      <c r="U1070">
        <f>HYPERLINK("https://klasma.github.io/Logging_2482/knärot/A 63687-2025 karta knärot.png", "A 63687-2025")</f>
        <v/>
      </c>
      <c r="V1070">
        <f>HYPERLINK("https://klasma.github.io/Logging_2482/klagomål/A 63687-2025 FSC-klagomål.docx", "A 63687-2025")</f>
        <v/>
      </c>
      <c r="W1070">
        <f>HYPERLINK("https://klasma.github.io/Logging_2482/klagomålsmail/A 63687-2025 FSC-klagomål mail.docx", "A 63687-2025")</f>
        <v/>
      </c>
      <c r="X1070">
        <f>HYPERLINK("https://klasma.github.io/Logging_2482/tillsyn/A 63687-2025 tillsynsbegäran.docx", "A 63687-2025")</f>
        <v/>
      </c>
      <c r="Y1070">
        <f>HYPERLINK("https://klasma.github.io/Logging_2482/tillsynsmail/A 63687-2025 tillsynsbegäran mail.docx", "A 63687-2025")</f>
        <v/>
      </c>
    </row>
    <row r="1071" ht="15" customHeight="1">
      <c r="A1071" t="inlineStr">
        <is>
          <t>A 9446-2025</t>
        </is>
      </c>
      <c r="B1071" s="1" t="n">
        <v>45715.42019675926</v>
      </c>
      <c r="C1071" s="1" t="n">
        <v>46145</v>
      </c>
      <c r="D1071" t="inlineStr">
        <is>
          <t>VÄSTERBOTTENS LÄN</t>
        </is>
      </c>
      <c r="E1071" t="inlineStr">
        <is>
          <t>SKELLEFTEÅ</t>
        </is>
      </c>
      <c r="G1071" t="n">
        <v>1.8</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9446-2025 artfynd.xlsx", "A 9446-2025")</f>
        <v/>
      </c>
      <c r="T1071">
        <f>HYPERLINK("https://klasma.github.io/Logging_2482/kartor/A 9446-2025 karta.png", "A 9446-2025")</f>
        <v/>
      </c>
      <c r="V1071">
        <f>HYPERLINK("https://klasma.github.io/Logging_2482/klagomål/A 9446-2025 FSC-klagomål.docx", "A 9446-2025")</f>
        <v/>
      </c>
      <c r="W1071">
        <f>HYPERLINK("https://klasma.github.io/Logging_2482/klagomålsmail/A 9446-2025 FSC-klagomål mail.docx", "A 9446-2025")</f>
        <v/>
      </c>
      <c r="X1071">
        <f>HYPERLINK("https://klasma.github.io/Logging_2482/tillsyn/A 9446-2025 tillsynsbegäran.docx", "A 9446-2025")</f>
        <v/>
      </c>
      <c r="Y1071">
        <f>HYPERLINK("https://klasma.github.io/Logging_2482/tillsynsmail/A 9446-2025 tillsynsbegäran mail.docx", "A 9446-2025")</f>
        <v/>
      </c>
    </row>
    <row r="1072" ht="15" customHeight="1">
      <c r="A1072" t="inlineStr">
        <is>
          <t>A 34769-2024</t>
        </is>
      </c>
      <c r="B1072" s="1" t="n">
        <v>45526.62043981482</v>
      </c>
      <c r="C1072" s="1" t="n">
        <v>46145</v>
      </c>
      <c r="D1072" t="inlineStr">
        <is>
          <t>VÄSTERBOTTENS LÄN</t>
        </is>
      </c>
      <c r="E1072" t="inlineStr">
        <is>
          <t>VILHELMINA</t>
        </is>
      </c>
      <c r="F1072" t="inlineStr">
        <is>
          <t>SCA</t>
        </is>
      </c>
      <c r="G1072" t="n">
        <v>6.7</v>
      </c>
      <c r="H1072" t="n">
        <v>0</v>
      </c>
      <c r="I1072" t="n">
        <v>0</v>
      </c>
      <c r="J1072" t="n">
        <v>0</v>
      </c>
      <c r="K1072" t="n">
        <v>1</v>
      </c>
      <c r="L1072" t="n">
        <v>0</v>
      </c>
      <c r="M1072" t="n">
        <v>0</v>
      </c>
      <c r="N1072" t="n">
        <v>0</v>
      </c>
      <c r="O1072" t="n">
        <v>1</v>
      </c>
      <c r="P1072" t="n">
        <v>1</v>
      </c>
      <c r="Q1072" t="n">
        <v>1</v>
      </c>
      <c r="R1072" s="2" t="inlineStr">
        <is>
          <t>Rynkskinn</t>
        </is>
      </c>
      <c r="S1072">
        <f>HYPERLINK("https://klasma.github.io/Logging_2462/artfynd/A 34769-2024 artfynd.xlsx", "A 34769-2024")</f>
        <v/>
      </c>
      <c r="T1072">
        <f>HYPERLINK("https://klasma.github.io/Logging_2462/kartor/A 34769-2024 karta.png", "A 34769-2024")</f>
        <v/>
      </c>
      <c r="V1072">
        <f>HYPERLINK("https://klasma.github.io/Logging_2462/klagomål/A 34769-2024 FSC-klagomål.docx", "A 34769-2024")</f>
        <v/>
      </c>
      <c r="W1072">
        <f>HYPERLINK("https://klasma.github.io/Logging_2462/klagomålsmail/A 34769-2024 FSC-klagomål mail.docx", "A 34769-2024")</f>
        <v/>
      </c>
      <c r="X1072">
        <f>HYPERLINK("https://klasma.github.io/Logging_2462/tillsyn/A 34769-2024 tillsynsbegäran.docx", "A 34769-2024")</f>
        <v/>
      </c>
      <c r="Y1072">
        <f>HYPERLINK("https://klasma.github.io/Logging_2462/tillsynsmail/A 34769-2024 tillsynsbegäran mail.docx", "A 34769-2024")</f>
        <v/>
      </c>
    </row>
    <row r="1073" ht="15" customHeight="1">
      <c r="A1073" t="inlineStr">
        <is>
          <t>A 29376-2021</t>
        </is>
      </c>
      <c r="B1073" s="1" t="n">
        <v>44361</v>
      </c>
      <c r="C1073" s="1" t="n">
        <v>46145</v>
      </c>
      <c r="D1073" t="inlineStr">
        <is>
          <t>VÄSTERBOTTENS LÄN</t>
        </is>
      </c>
      <c r="E1073" t="inlineStr">
        <is>
          <t>VILHELMINA</t>
        </is>
      </c>
      <c r="F1073" t="inlineStr">
        <is>
          <t>Allmännings- och besparingsskogar</t>
        </is>
      </c>
      <c r="G1073" t="n">
        <v>110.8</v>
      </c>
      <c r="H1073" t="n">
        <v>1</v>
      </c>
      <c r="I1073" t="n">
        <v>0</v>
      </c>
      <c r="J1073" t="n">
        <v>0</v>
      </c>
      <c r="K1073" t="n">
        <v>0</v>
      </c>
      <c r="L1073" t="n">
        <v>0</v>
      </c>
      <c r="M1073" t="n">
        <v>0</v>
      </c>
      <c r="N1073" t="n">
        <v>0</v>
      </c>
      <c r="O1073" t="n">
        <v>0</v>
      </c>
      <c r="P1073" t="n">
        <v>0</v>
      </c>
      <c r="Q1073" t="n">
        <v>1</v>
      </c>
      <c r="R1073" s="2" t="inlineStr">
        <is>
          <t>Lavskrika</t>
        </is>
      </c>
      <c r="S1073">
        <f>HYPERLINK("https://klasma.github.io/Logging_2462/artfynd/A 29376-2021 artfynd.xlsx", "A 29376-2021")</f>
        <v/>
      </c>
      <c r="T1073">
        <f>HYPERLINK("https://klasma.github.io/Logging_2462/kartor/A 29376-2021 karta.png", "A 29376-2021")</f>
        <v/>
      </c>
      <c r="V1073">
        <f>HYPERLINK("https://klasma.github.io/Logging_2462/klagomål/A 29376-2021 FSC-klagomål.docx", "A 29376-2021")</f>
        <v/>
      </c>
      <c r="W1073">
        <f>HYPERLINK("https://klasma.github.io/Logging_2462/klagomålsmail/A 29376-2021 FSC-klagomål mail.docx", "A 29376-2021")</f>
        <v/>
      </c>
      <c r="X1073">
        <f>HYPERLINK("https://klasma.github.io/Logging_2462/tillsyn/A 29376-2021 tillsynsbegäran.docx", "A 29376-2021")</f>
        <v/>
      </c>
      <c r="Y1073">
        <f>HYPERLINK("https://klasma.github.io/Logging_2462/tillsynsmail/A 29376-2021 tillsynsbegäran mail.docx", "A 29376-2021")</f>
        <v/>
      </c>
      <c r="Z1073">
        <f>HYPERLINK("https://klasma.github.io/Logging_2462/fåglar/A 29376-2021 prioriterade fågelarter.docx", "A 29376-2021")</f>
        <v/>
      </c>
    </row>
    <row r="1074" ht="15" customHeight="1">
      <c r="A1074" t="inlineStr">
        <is>
          <t>A 48743-2023</t>
        </is>
      </c>
      <c r="B1074" s="1" t="n">
        <v>45208</v>
      </c>
      <c r="C1074" s="1" t="n">
        <v>46145</v>
      </c>
      <c r="D1074" t="inlineStr">
        <is>
          <t>VÄSTERBOTTENS LÄN</t>
        </is>
      </c>
      <c r="E1074" t="inlineStr">
        <is>
          <t>ÅSELE</t>
        </is>
      </c>
      <c r="G1074" t="n">
        <v>18.5</v>
      </c>
      <c r="H1074" t="n">
        <v>0</v>
      </c>
      <c r="I1074" t="n">
        <v>1</v>
      </c>
      <c r="J1074" t="n">
        <v>0</v>
      </c>
      <c r="K1074" t="n">
        <v>0</v>
      </c>
      <c r="L1074" t="n">
        <v>0</v>
      </c>
      <c r="M1074" t="n">
        <v>0</v>
      </c>
      <c r="N1074" t="n">
        <v>0</v>
      </c>
      <c r="O1074" t="n">
        <v>0</v>
      </c>
      <c r="P1074" t="n">
        <v>0</v>
      </c>
      <c r="Q1074" t="n">
        <v>1</v>
      </c>
      <c r="R1074" s="2" t="inlineStr">
        <is>
          <t>Skinnlav</t>
        </is>
      </c>
      <c r="S1074">
        <f>HYPERLINK("https://klasma.github.io/Logging_2463/artfynd/A 48743-2023 artfynd.xlsx", "A 48743-2023")</f>
        <v/>
      </c>
      <c r="T1074">
        <f>HYPERLINK("https://klasma.github.io/Logging_2463/kartor/A 48743-2023 karta.png", "A 48743-2023")</f>
        <v/>
      </c>
      <c r="V1074">
        <f>HYPERLINK("https://klasma.github.io/Logging_2463/klagomål/A 48743-2023 FSC-klagomål.docx", "A 48743-2023")</f>
        <v/>
      </c>
      <c r="W1074">
        <f>HYPERLINK("https://klasma.github.io/Logging_2463/klagomålsmail/A 48743-2023 FSC-klagomål mail.docx", "A 48743-2023")</f>
        <v/>
      </c>
      <c r="X1074">
        <f>HYPERLINK("https://klasma.github.io/Logging_2463/tillsyn/A 48743-2023 tillsynsbegäran.docx", "A 48743-2023")</f>
        <v/>
      </c>
      <c r="Y1074">
        <f>HYPERLINK("https://klasma.github.io/Logging_2463/tillsynsmail/A 48743-2023 tillsynsbegäran mail.docx", "A 48743-2023")</f>
        <v/>
      </c>
    </row>
    <row r="1075" ht="15" customHeight="1">
      <c r="A1075" t="inlineStr">
        <is>
          <t>A 24885-2022</t>
        </is>
      </c>
      <c r="B1075" s="1" t="n">
        <v>44728</v>
      </c>
      <c r="C1075" s="1" t="n">
        <v>46145</v>
      </c>
      <c r="D1075" t="inlineStr">
        <is>
          <t>VÄSTERBOTTENS LÄN</t>
        </is>
      </c>
      <c r="E1075" t="inlineStr">
        <is>
          <t>SKELLEFTEÅ</t>
        </is>
      </c>
      <c r="F1075" t="inlineStr">
        <is>
          <t>Holmen skog AB</t>
        </is>
      </c>
      <c r="G1075" t="n">
        <v>2.7</v>
      </c>
      <c r="H1075" t="n">
        <v>0</v>
      </c>
      <c r="I1075" t="n">
        <v>0</v>
      </c>
      <c r="J1075" t="n">
        <v>1</v>
      </c>
      <c r="K1075" t="n">
        <v>0</v>
      </c>
      <c r="L1075" t="n">
        <v>0</v>
      </c>
      <c r="M1075" t="n">
        <v>0</v>
      </c>
      <c r="N1075" t="n">
        <v>0</v>
      </c>
      <c r="O1075" t="n">
        <v>1</v>
      </c>
      <c r="P1075" t="n">
        <v>0</v>
      </c>
      <c r="Q1075" t="n">
        <v>1</v>
      </c>
      <c r="R1075" s="2" t="inlineStr">
        <is>
          <t>Lunglav</t>
        </is>
      </c>
      <c r="S1075">
        <f>HYPERLINK("https://klasma.github.io/Logging_2482/artfynd/A 24885-2022 artfynd.xlsx", "A 24885-2022")</f>
        <v/>
      </c>
      <c r="T1075">
        <f>HYPERLINK("https://klasma.github.io/Logging_2482/kartor/A 24885-2022 karta.png", "A 24885-2022")</f>
        <v/>
      </c>
      <c r="V1075">
        <f>HYPERLINK("https://klasma.github.io/Logging_2482/klagomål/A 24885-2022 FSC-klagomål.docx", "A 24885-2022")</f>
        <v/>
      </c>
      <c r="W1075">
        <f>HYPERLINK("https://klasma.github.io/Logging_2482/klagomålsmail/A 24885-2022 FSC-klagomål mail.docx", "A 24885-2022")</f>
        <v/>
      </c>
      <c r="X1075">
        <f>HYPERLINK("https://klasma.github.io/Logging_2482/tillsyn/A 24885-2022 tillsynsbegäran.docx", "A 24885-2022")</f>
        <v/>
      </c>
      <c r="Y1075">
        <f>HYPERLINK("https://klasma.github.io/Logging_2482/tillsynsmail/A 24885-2022 tillsynsbegäran mail.docx", "A 24885-2022")</f>
        <v/>
      </c>
    </row>
    <row r="1076" ht="15" customHeight="1">
      <c r="A1076" t="inlineStr">
        <is>
          <t>A 922-2026</t>
        </is>
      </c>
      <c r="B1076" s="1" t="n">
        <v>46030.49030092593</v>
      </c>
      <c r="C1076" s="1" t="n">
        <v>46145</v>
      </c>
      <c r="D1076" t="inlineStr">
        <is>
          <t>VÄSTERBOTTENS LÄN</t>
        </is>
      </c>
      <c r="E1076" t="inlineStr">
        <is>
          <t>UMEÅ</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HYPERLINK("https://klasma.github.io/Logging_2480/artfynd/A 922-2026 artfynd.xlsx", "A 922-2026")</f>
        <v/>
      </c>
      <c r="T1076">
        <f>HYPERLINK("https://klasma.github.io/Logging_2480/kartor/A 922-2026 karta.png", "A 922-2026")</f>
        <v/>
      </c>
      <c r="V1076">
        <f>HYPERLINK("https://klasma.github.io/Logging_2480/klagomål/A 922-2026 FSC-klagomål.docx", "A 922-2026")</f>
        <v/>
      </c>
      <c r="W1076">
        <f>HYPERLINK("https://klasma.github.io/Logging_2480/klagomålsmail/A 922-2026 FSC-klagomål mail.docx", "A 922-2026")</f>
        <v/>
      </c>
      <c r="X1076">
        <f>HYPERLINK("https://klasma.github.io/Logging_2480/tillsyn/A 922-2026 tillsynsbegäran.docx", "A 922-2026")</f>
        <v/>
      </c>
      <c r="Y1076">
        <f>HYPERLINK("https://klasma.github.io/Logging_2480/tillsynsmail/A 922-2026 tillsynsbegäran mail.docx", "A 922-2026")</f>
        <v/>
      </c>
    </row>
    <row r="1077" ht="15" customHeight="1">
      <c r="A1077" t="inlineStr">
        <is>
          <t>A 53869-2023</t>
        </is>
      </c>
      <c r="B1077" s="1" t="n">
        <v>45231</v>
      </c>
      <c r="C1077" s="1" t="n">
        <v>46145</v>
      </c>
      <c r="D1077" t="inlineStr">
        <is>
          <t>VÄSTERBOTTENS LÄN</t>
        </is>
      </c>
      <c r="E1077" t="inlineStr">
        <is>
          <t>LYCKSELE</t>
        </is>
      </c>
      <c r="F1077" t="inlineStr">
        <is>
          <t>Sveaskog</t>
        </is>
      </c>
      <c r="G1077" t="n">
        <v>5.6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53869-2023 artfynd.xlsx", "A 53869-2023")</f>
        <v/>
      </c>
      <c r="T1077">
        <f>HYPERLINK("https://klasma.github.io/Logging_2481/kartor/A 53869-2023 karta.png", "A 53869-2023")</f>
        <v/>
      </c>
      <c r="V1077">
        <f>HYPERLINK("https://klasma.github.io/Logging_2481/klagomål/A 53869-2023 FSC-klagomål.docx", "A 53869-2023")</f>
        <v/>
      </c>
      <c r="W1077">
        <f>HYPERLINK("https://klasma.github.io/Logging_2481/klagomålsmail/A 53869-2023 FSC-klagomål mail.docx", "A 53869-2023")</f>
        <v/>
      </c>
      <c r="X1077">
        <f>HYPERLINK("https://klasma.github.io/Logging_2481/tillsyn/A 53869-2023 tillsynsbegäran.docx", "A 53869-2023")</f>
        <v/>
      </c>
      <c r="Y1077">
        <f>HYPERLINK("https://klasma.github.io/Logging_2481/tillsynsmail/A 53869-2023 tillsynsbegäran mail.docx", "A 53869-2023")</f>
        <v/>
      </c>
    </row>
    <row r="1078" ht="15" customHeight="1">
      <c r="A1078" t="inlineStr">
        <is>
          <t>A 38131-2024</t>
        </is>
      </c>
      <c r="B1078" s="1" t="n">
        <v>45545</v>
      </c>
      <c r="C1078" s="1" t="n">
        <v>46145</v>
      </c>
      <c r="D1078" t="inlineStr">
        <is>
          <t>VÄSTERBOTTENS LÄN</t>
        </is>
      </c>
      <c r="E1078" t="inlineStr">
        <is>
          <t>VILHELMINA</t>
        </is>
      </c>
      <c r="F1078" t="inlineStr">
        <is>
          <t>SCA</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38131-2024 artfynd.xlsx", "A 38131-2024")</f>
        <v/>
      </c>
      <c r="T1078">
        <f>HYPERLINK("https://klasma.github.io/Logging_2462/kartor/A 38131-2024 karta.png", "A 38131-2024")</f>
        <v/>
      </c>
      <c r="V1078">
        <f>HYPERLINK("https://klasma.github.io/Logging_2462/klagomål/A 38131-2024 FSC-klagomål.docx", "A 38131-2024")</f>
        <v/>
      </c>
      <c r="W1078">
        <f>HYPERLINK("https://klasma.github.io/Logging_2462/klagomålsmail/A 38131-2024 FSC-klagomål mail.docx", "A 38131-2024")</f>
        <v/>
      </c>
      <c r="X1078">
        <f>HYPERLINK("https://klasma.github.io/Logging_2462/tillsyn/A 38131-2024 tillsynsbegäran.docx", "A 38131-2024")</f>
        <v/>
      </c>
      <c r="Y1078">
        <f>HYPERLINK("https://klasma.github.io/Logging_2462/tillsynsmail/A 38131-2024 tillsynsbegäran mail.docx", "A 38131-2024")</f>
        <v/>
      </c>
      <c r="Z1078">
        <f>HYPERLINK("https://klasma.github.io/Logging_2462/fåglar/A 38131-2024 prioriterade fågelarter.docx", "A 38131-2024")</f>
        <v/>
      </c>
    </row>
    <row r="1079" ht="15" customHeight="1">
      <c r="A1079" t="inlineStr">
        <is>
          <t>A 46815-2023</t>
        </is>
      </c>
      <c r="B1079" s="1" t="n">
        <v>45198</v>
      </c>
      <c r="C1079" s="1" t="n">
        <v>46145</v>
      </c>
      <c r="D1079" t="inlineStr">
        <is>
          <t>VÄSTERBOTTENS LÄN</t>
        </is>
      </c>
      <c r="E1079" t="inlineStr">
        <is>
          <t>DOROTEA</t>
        </is>
      </c>
      <c r="F1079" t="inlineStr">
        <is>
          <t>SCA</t>
        </is>
      </c>
      <c r="G1079" t="n">
        <v>3.7</v>
      </c>
      <c r="H1079" t="n">
        <v>0</v>
      </c>
      <c r="I1079" t="n">
        <v>0</v>
      </c>
      <c r="J1079" t="n">
        <v>1</v>
      </c>
      <c r="K1079" t="n">
        <v>0</v>
      </c>
      <c r="L1079" t="n">
        <v>0</v>
      </c>
      <c r="M1079" t="n">
        <v>0</v>
      </c>
      <c r="N1079" t="n">
        <v>0</v>
      </c>
      <c r="O1079" t="n">
        <v>1</v>
      </c>
      <c r="P1079" t="n">
        <v>0</v>
      </c>
      <c r="Q1079" t="n">
        <v>1</v>
      </c>
      <c r="R1079" s="2" t="inlineStr">
        <is>
          <t>Harticka</t>
        </is>
      </c>
      <c r="S1079">
        <f>HYPERLINK("https://klasma.github.io/Logging_2425/artfynd/A 46815-2023 artfynd.xlsx", "A 46815-2023")</f>
        <v/>
      </c>
      <c r="T1079">
        <f>HYPERLINK("https://klasma.github.io/Logging_2425/kartor/A 46815-2023 karta.png", "A 46815-2023")</f>
        <v/>
      </c>
      <c r="V1079">
        <f>HYPERLINK("https://klasma.github.io/Logging_2425/klagomål/A 46815-2023 FSC-klagomål.docx", "A 46815-2023")</f>
        <v/>
      </c>
      <c r="W1079">
        <f>HYPERLINK("https://klasma.github.io/Logging_2425/klagomålsmail/A 46815-2023 FSC-klagomål mail.docx", "A 46815-2023")</f>
        <v/>
      </c>
      <c r="X1079">
        <f>HYPERLINK("https://klasma.github.io/Logging_2425/tillsyn/A 46815-2023 tillsynsbegäran.docx", "A 46815-2023")</f>
        <v/>
      </c>
      <c r="Y1079">
        <f>HYPERLINK("https://klasma.github.io/Logging_2425/tillsynsmail/A 46815-2023 tillsynsbegäran mail.docx", "A 46815-2023")</f>
        <v/>
      </c>
    </row>
    <row r="1080" ht="15" customHeight="1">
      <c r="A1080" t="inlineStr">
        <is>
          <t>A 851-2026</t>
        </is>
      </c>
      <c r="B1080" s="1" t="n">
        <v>46030</v>
      </c>
      <c r="C1080" s="1" t="n">
        <v>46145</v>
      </c>
      <c r="D1080" t="inlineStr">
        <is>
          <t>VÄSTERBOTTENS LÄN</t>
        </is>
      </c>
      <c r="E1080" t="inlineStr">
        <is>
          <t>ROBERTSFORS</t>
        </is>
      </c>
      <c r="G1080" t="n">
        <v>5.6</v>
      </c>
      <c r="H1080" t="n">
        <v>1</v>
      </c>
      <c r="I1080" t="n">
        <v>0</v>
      </c>
      <c r="J1080" t="n">
        <v>1</v>
      </c>
      <c r="K1080" t="n">
        <v>0</v>
      </c>
      <c r="L1080" t="n">
        <v>0</v>
      </c>
      <c r="M1080" t="n">
        <v>0</v>
      </c>
      <c r="N1080" t="n">
        <v>0</v>
      </c>
      <c r="O1080" t="n">
        <v>1</v>
      </c>
      <c r="P1080" t="n">
        <v>0</v>
      </c>
      <c r="Q1080" t="n">
        <v>1</v>
      </c>
      <c r="R1080" s="2" t="inlineStr">
        <is>
          <t>Spillkråka</t>
        </is>
      </c>
      <c r="S1080">
        <f>HYPERLINK("https://klasma.github.io/Logging_2409/artfynd/A 851-2026 artfynd.xlsx", "A 851-2026")</f>
        <v/>
      </c>
      <c r="T1080">
        <f>HYPERLINK("https://klasma.github.io/Logging_2409/kartor/A 851-2026 karta.png", "A 851-2026")</f>
        <v/>
      </c>
      <c r="V1080">
        <f>HYPERLINK("https://klasma.github.io/Logging_2409/klagomål/A 851-2026 FSC-klagomål.docx", "A 851-2026")</f>
        <v/>
      </c>
      <c r="W1080">
        <f>HYPERLINK("https://klasma.github.io/Logging_2409/klagomålsmail/A 851-2026 FSC-klagomål mail.docx", "A 851-2026")</f>
        <v/>
      </c>
      <c r="X1080">
        <f>HYPERLINK("https://klasma.github.io/Logging_2409/tillsyn/A 851-2026 tillsynsbegäran.docx", "A 851-2026")</f>
        <v/>
      </c>
      <c r="Y1080">
        <f>HYPERLINK("https://klasma.github.io/Logging_2409/tillsynsmail/A 851-2026 tillsynsbegäran mail.docx", "A 851-2026")</f>
        <v/>
      </c>
      <c r="Z1080">
        <f>HYPERLINK("https://klasma.github.io/Logging_2409/fåglar/A 851-2026 prioriterade fågelarter.docx", "A 851-2026")</f>
        <v/>
      </c>
    </row>
    <row r="1081" ht="15" customHeight="1">
      <c r="A1081" t="inlineStr">
        <is>
          <t>A 29317-2023</t>
        </is>
      </c>
      <c r="B1081" s="1" t="n">
        <v>45105</v>
      </c>
      <c r="C1081" s="1" t="n">
        <v>46145</v>
      </c>
      <c r="D1081" t="inlineStr">
        <is>
          <t>VÄSTERBOTTENS LÄN</t>
        </is>
      </c>
      <c r="E1081" t="inlineStr">
        <is>
          <t>VILHELMINA</t>
        </is>
      </c>
      <c r="F1081" t="inlineStr">
        <is>
          <t>SCA</t>
        </is>
      </c>
      <c r="G1081" t="n">
        <v>18.8</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29317-2023 artfynd.xlsx", "A 29317-2023")</f>
        <v/>
      </c>
      <c r="T1081">
        <f>HYPERLINK("https://klasma.github.io/Logging_2462/kartor/A 29317-2023 karta.png", "A 29317-2023")</f>
        <v/>
      </c>
      <c r="V1081">
        <f>HYPERLINK("https://klasma.github.io/Logging_2462/klagomål/A 29317-2023 FSC-klagomål.docx", "A 29317-2023")</f>
        <v/>
      </c>
      <c r="W1081">
        <f>HYPERLINK("https://klasma.github.io/Logging_2462/klagomålsmail/A 29317-2023 FSC-klagomål mail.docx", "A 29317-2023")</f>
        <v/>
      </c>
      <c r="X1081">
        <f>HYPERLINK("https://klasma.github.io/Logging_2462/tillsyn/A 29317-2023 tillsynsbegäran.docx", "A 29317-2023")</f>
        <v/>
      </c>
      <c r="Y1081">
        <f>HYPERLINK("https://klasma.github.io/Logging_2462/tillsynsmail/A 29317-2023 tillsynsbegäran mail.docx", "A 29317-2023")</f>
        <v/>
      </c>
      <c r="Z1081">
        <f>HYPERLINK("https://klasma.github.io/Logging_2462/fåglar/A 29317-2023 prioriterade fågelarter.docx", "A 29317-2023")</f>
        <v/>
      </c>
    </row>
    <row r="1082" ht="15" customHeight="1">
      <c r="A1082" t="inlineStr">
        <is>
          <t>A 94-2025</t>
        </is>
      </c>
      <c r="B1082" s="1" t="n">
        <v>45659</v>
      </c>
      <c r="C1082" s="1" t="n">
        <v>46145</v>
      </c>
      <c r="D1082" t="inlineStr">
        <is>
          <t>VÄSTERBOTTENS LÄN</t>
        </is>
      </c>
      <c r="E1082" t="inlineStr">
        <is>
          <t>BJURHOLM</t>
        </is>
      </c>
      <c r="G1082" t="n">
        <v>1.5</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HYPERLINK("https://klasma.github.io/Logging_2403/artfynd/A 94-2025 artfynd.xlsx", "A 94-2025")</f>
        <v/>
      </c>
      <c r="T1082">
        <f>HYPERLINK("https://klasma.github.io/Logging_2403/kartor/A 94-2025 karta.png", "A 94-2025")</f>
        <v/>
      </c>
      <c r="V1082">
        <f>HYPERLINK("https://klasma.github.io/Logging_2403/klagomål/A 94-2025 FSC-klagomål.docx", "A 94-2025")</f>
        <v/>
      </c>
      <c r="W1082">
        <f>HYPERLINK("https://klasma.github.io/Logging_2403/klagomålsmail/A 94-2025 FSC-klagomål mail.docx", "A 94-2025")</f>
        <v/>
      </c>
      <c r="X1082">
        <f>HYPERLINK("https://klasma.github.io/Logging_2403/tillsyn/A 94-2025 tillsynsbegäran.docx", "A 94-2025")</f>
        <v/>
      </c>
      <c r="Y1082">
        <f>HYPERLINK("https://klasma.github.io/Logging_2403/tillsynsmail/A 94-2025 tillsynsbegäran mail.docx", "A 94-2025")</f>
        <v/>
      </c>
    </row>
    <row r="1083" ht="15" customHeight="1">
      <c r="A1083" t="inlineStr">
        <is>
          <t>A 1752-2026</t>
        </is>
      </c>
      <c r="B1083" s="1" t="n">
        <v>46034.65699074074</v>
      </c>
      <c r="C1083" s="1" t="n">
        <v>46145</v>
      </c>
      <c r="D1083" t="inlineStr">
        <is>
          <t>VÄSTERBOTTENS LÄN</t>
        </is>
      </c>
      <c r="E1083" t="inlineStr">
        <is>
          <t>SKELLEFTEÅ</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HYPERLINK("https://klasma.github.io/Logging_2482/artfynd/A 1752-2026 artfynd.xlsx", "A 1752-2026")</f>
        <v/>
      </c>
      <c r="T1083">
        <f>HYPERLINK("https://klasma.github.io/Logging_2482/kartor/A 1752-2026 karta.png", "A 1752-2026")</f>
        <v/>
      </c>
      <c r="V1083">
        <f>HYPERLINK("https://klasma.github.io/Logging_2482/klagomål/A 1752-2026 FSC-klagomål.docx", "A 1752-2026")</f>
        <v/>
      </c>
      <c r="W1083">
        <f>HYPERLINK("https://klasma.github.io/Logging_2482/klagomålsmail/A 1752-2026 FSC-klagomål mail.docx", "A 1752-2026")</f>
        <v/>
      </c>
      <c r="X1083">
        <f>HYPERLINK("https://klasma.github.io/Logging_2482/tillsyn/A 1752-2026 tillsynsbegäran.docx", "A 1752-2026")</f>
        <v/>
      </c>
      <c r="Y1083">
        <f>HYPERLINK("https://klasma.github.io/Logging_2482/tillsynsmail/A 1752-2026 tillsynsbegäran mail.docx", "A 1752-2026")</f>
        <v/>
      </c>
    </row>
    <row r="1084" ht="15" customHeight="1">
      <c r="A1084" t="inlineStr">
        <is>
          <t>A 49714-2025</t>
        </is>
      </c>
      <c r="B1084" s="1" t="n">
        <v>45939.71892361111</v>
      </c>
      <c r="C1084" s="1" t="n">
        <v>46145</v>
      </c>
      <c r="D1084" t="inlineStr">
        <is>
          <t>VÄSTERBOTTENS LÄN</t>
        </is>
      </c>
      <c r="E1084" t="inlineStr">
        <is>
          <t>ROBERTSFORS</t>
        </is>
      </c>
      <c r="F1084" t="inlineStr">
        <is>
          <t>Kyrkan</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49714-2025 artfynd.xlsx", "A 49714-2025")</f>
        <v/>
      </c>
      <c r="T1084">
        <f>HYPERLINK("https://klasma.github.io/Logging_2409/kartor/A 49714-2025 karta.png", "A 49714-2025")</f>
        <v/>
      </c>
      <c r="V1084">
        <f>HYPERLINK("https://klasma.github.io/Logging_2409/klagomål/A 49714-2025 FSC-klagomål.docx", "A 49714-2025")</f>
        <v/>
      </c>
      <c r="W1084">
        <f>HYPERLINK("https://klasma.github.io/Logging_2409/klagomålsmail/A 49714-2025 FSC-klagomål mail.docx", "A 49714-2025")</f>
        <v/>
      </c>
      <c r="X1084">
        <f>HYPERLINK("https://klasma.github.io/Logging_2409/tillsyn/A 49714-2025 tillsynsbegäran.docx", "A 49714-2025")</f>
        <v/>
      </c>
      <c r="Y1084">
        <f>HYPERLINK("https://klasma.github.io/Logging_2409/tillsynsmail/A 49714-2025 tillsynsbegäran mail.docx", "A 49714-2025")</f>
        <v/>
      </c>
    </row>
    <row r="1085" ht="15" customHeight="1">
      <c r="A1085" t="inlineStr">
        <is>
          <t>A 1433-2026</t>
        </is>
      </c>
      <c r="B1085" s="1" t="n">
        <v>46032.43961805556</v>
      </c>
      <c r="C1085" s="1" t="n">
        <v>46145</v>
      </c>
      <c r="D1085" t="inlineStr">
        <is>
          <t>VÄSTERBOTTENS LÄN</t>
        </is>
      </c>
      <c r="E1085" t="inlineStr">
        <is>
          <t>NORDMALING</t>
        </is>
      </c>
      <c r="F1085" t="inlineStr">
        <is>
          <t>Holmen skog AB</t>
        </is>
      </c>
      <c r="G1085" t="n">
        <v>22.4</v>
      </c>
      <c r="H1085" t="n">
        <v>0</v>
      </c>
      <c r="I1085" t="n">
        <v>1</v>
      </c>
      <c r="J1085" t="n">
        <v>0</v>
      </c>
      <c r="K1085" t="n">
        <v>0</v>
      </c>
      <c r="L1085" t="n">
        <v>0</v>
      </c>
      <c r="M1085" t="n">
        <v>0</v>
      </c>
      <c r="N1085" t="n">
        <v>0</v>
      </c>
      <c r="O1085" t="n">
        <v>0</v>
      </c>
      <c r="P1085" t="n">
        <v>0</v>
      </c>
      <c r="Q1085" t="n">
        <v>1</v>
      </c>
      <c r="R1085" s="2" t="inlineStr">
        <is>
          <t>Bårdlav</t>
        </is>
      </c>
      <c r="S1085">
        <f>HYPERLINK("https://klasma.github.io/Logging_2401/artfynd/A 1433-2026 artfynd.xlsx", "A 1433-2026")</f>
        <v/>
      </c>
      <c r="T1085">
        <f>HYPERLINK("https://klasma.github.io/Logging_2401/kartor/A 1433-2026 karta.png", "A 1433-2026")</f>
        <v/>
      </c>
      <c r="V1085">
        <f>HYPERLINK("https://klasma.github.io/Logging_2401/klagomål/A 1433-2026 FSC-klagomål.docx", "A 1433-2026")</f>
        <v/>
      </c>
      <c r="W1085">
        <f>HYPERLINK("https://klasma.github.io/Logging_2401/klagomålsmail/A 1433-2026 FSC-klagomål mail.docx", "A 1433-2026")</f>
        <v/>
      </c>
      <c r="X1085">
        <f>HYPERLINK("https://klasma.github.io/Logging_2401/tillsyn/A 1433-2026 tillsynsbegäran.docx", "A 1433-2026")</f>
        <v/>
      </c>
      <c r="Y1085">
        <f>HYPERLINK("https://klasma.github.io/Logging_2401/tillsynsmail/A 1433-2026 tillsynsbegäran mail.docx", "A 1433-2026")</f>
        <v/>
      </c>
    </row>
    <row r="1086" ht="15" customHeight="1">
      <c r="A1086" t="inlineStr">
        <is>
          <t>A 36531-2022</t>
        </is>
      </c>
      <c r="B1086" s="1" t="n">
        <v>44804</v>
      </c>
      <c r="C1086" s="1" t="n">
        <v>46145</v>
      </c>
      <c r="D1086" t="inlineStr">
        <is>
          <t>VÄSTERBOTTENS LÄN</t>
        </is>
      </c>
      <c r="E1086" t="inlineStr">
        <is>
          <t>SKELLEFTEÅ</t>
        </is>
      </c>
      <c r="F1086" t="inlineStr">
        <is>
          <t>Kommuner</t>
        </is>
      </c>
      <c r="G1086" t="n">
        <v>3.1</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HYPERLINK("https://klasma.github.io/Logging_2482/artfynd/A 36531-2022 artfynd.xlsx", "A 36531-2022")</f>
        <v/>
      </c>
      <c r="T1086">
        <f>HYPERLINK("https://klasma.github.io/Logging_2482/kartor/A 36531-2022 karta.png", "A 36531-2022")</f>
        <v/>
      </c>
      <c r="V1086">
        <f>HYPERLINK("https://klasma.github.io/Logging_2482/klagomål/A 36531-2022 FSC-klagomål.docx", "A 36531-2022")</f>
        <v/>
      </c>
      <c r="W1086">
        <f>HYPERLINK("https://klasma.github.io/Logging_2482/klagomålsmail/A 36531-2022 FSC-klagomål mail.docx", "A 36531-2022")</f>
        <v/>
      </c>
      <c r="X1086">
        <f>HYPERLINK("https://klasma.github.io/Logging_2482/tillsyn/A 36531-2022 tillsynsbegäran.docx", "A 36531-2022")</f>
        <v/>
      </c>
      <c r="Y1086">
        <f>HYPERLINK("https://klasma.github.io/Logging_2482/tillsynsmail/A 36531-2022 tillsynsbegäran mail.docx", "A 36531-2022")</f>
        <v/>
      </c>
    </row>
    <row r="1087" ht="15" customHeight="1">
      <c r="A1087" t="inlineStr">
        <is>
          <t>A 1339-2026</t>
        </is>
      </c>
      <c r="B1087" s="1" t="n">
        <v>46031.57552083334</v>
      </c>
      <c r="C1087" s="1" t="n">
        <v>46145</v>
      </c>
      <c r="D1087" t="inlineStr">
        <is>
          <t>VÄSTERBOTTENS LÄN</t>
        </is>
      </c>
      <c r="E1087" t="inlineStr">
        <is>
          <t>LYCKSELE</t>
        </is>
      </c>
      <c r="G1087" t="n">
        <v>4.9</v>
      </c>
      <c r="H1087" t="n">
        <v>1</v>
      </c>
      <c r="I1087" t="n">
        <v>0</v>
      </c>
      <c r="J1087" t="n">
        <v>0</v>
      </c>
      <c r="K1087" t="n">
        <v>1</v>
      </c>
      <c r="L1087" t="n">
        <v>0</v>
      </c>
      <c r="M1087" t="n">
        <v>0</v>
      </c>
      <c r="N1087" t="n">
        <v>0</v>
      </c>
      <c r="O1087" t="n">
        <v>1</v>
      </c>
      <c r="P1087" t="n">
        <v>1</v>
      </c>
      <c r="Q1087" t="n">
        <v>1</v>
      </c>
      <c r="R1087" s="2" t="inlineStr">
        <is>
          <t>Norna</t>
        </is>
      </c>
      <c r="S1087">
        <f>HYPERLINK("https://klasma.github.io/Logging_2481/artfynd/A 1339-2026 artfynd.xlsx", "A 1339-2026")</f>
        <v/>
      </c>
      <c r="T1087">
        <f>HYPERLINK("https://klasma.github.io/Logging_2481/kartor/A 1339-2026 karta.png", "A 1339-2026")</f>
        <v/>
      </c>
      <c r="V1087">
        <f>HYPERLINK("https://klasma.github.io/Logging_2481/klagomål/A 1339-2026 FSC-klagomål.docx", "A 1339-2026")</f>
        <v/>
      </c>
      <c r="W1087">
        <f>HYPERLINK("https://klasma.github.io/Logging_2481/klagomålsmail/A 1339-2026 FSC-klagomål mail.docx", "A 1339-2026")</f>
        <v/>
      </c>
      <c r="X1087">
        <f>HYPERLINK("https://klasma.github.io/Logging_2481/tillsyn/A 1339-2026 tillsynsbegäran.docx", "A 1339-2026")</f>
        <v/>
      </c>
      <c r="Y1087">
        <f>HYPERLINK("https://klasma.github.io/Logging_2481/tillsynsmail/A 1339-2026 tillsynsbegäran mail.docx", "A 1339-2026")</f>
        <v/>
      </c>
    </row>
    <row r="1088" ht="15" customHeight="1">
      <c r="A1088" t="inlineStr">
        <is>
          <t>A 37546-2023</t>
        </is>
      </c>
      <c r="B1088" s="1" t="n">
        <v>45158</v>
      </c>
      <c r="C1088" s="1" t="n">
        <v>46145</v>
      </c>
      <c r="D1088" t="inlineStr">
        <is>
          <t>VÄSTERBOTTENS LÄN</t>
        </is>
      </c>
      <c r="E1088" t="inlineStr">
        <is>
          <t>NORDMALING</t>
        </is>
      </c>
      <c r="G1088" t="n">
        <v>4.7</v>
      </c>
      <c r="H1088" t="n">
        <v>0</v>
      </c>
      <c r="I1088" t="n">
        <v>1</v>
      </c>
      <c r="J1088" t="n">
        <v>0</v>
      </c>
      <c r="K1088" t="n">
        <v>0</v>
      </c>
      <c r="L1088" t="n">
        <v>0</v>
      </c>
      <c r="M1088" t="n">
        <v>0</v>
      </c>
      <c r="N1088" t="n">
        <v>0</v>
      </c>
      <c r="O1088" t="n">
        <v>0</v>
      </c>
      <c r="P1088" t="n">
        <v>0</v>
      </c>
      <c r="Q1088" t="n">
        <v>1</v>
      </c>
      <c r="R1088" s="2" t="inlineStr">
        <is>
          <t>Vedticka</t>
        </is>
      </c>
      <c r="S1088">
        <f>HYPERLINK("https://klasma.github.io/Logging_2401/artfynd/A 37546-2023 artfynd.xlsx", "A 37546-2023")</f>
        <v/>
      </c>
      <c r="T1088">
        <f>HYPERLINK("https://klasma.github.io/Logging_2401/kartor/A 37546-2023 karta.png", "A 37546-2023")</f>
        <v/>
      </c>
      <c r="V1088">
        <f>HYPERLINK("https://klasma.github.io/Logging_2401/klagomål/A 37546-2023 FSC-klagomål.docx", "A 37546-2023")</f>
        <v/>
      </c>
      <c r="W1088">
        <f>HYPERLINK("https://klasma.github.io/Logging_2401/klagomålsmail/A 37546-2023 FSC-klagomål mail.docx", "A 37546-2023")</f>
        <v/>
      </c>
      <c r="X1088">
        <f>HYPERLINK("https://klasma.github.io/Logging_2401/tillsyn/A 37546-2023 tillsynsbegäran.docx", "A 37546-2023")</f>
        <v/>
      </c>
      <c r="Y1088">
        <f>HYPERLINK("https://klasma.github.io/Logging_2401/tillsynsmail/A 37546-2023 tillsynsbegäran mail.docx", "A 37546-2023")</f>
        <v/>
      </c>
    </row>
    <row r="1089" ht="15" customHeight="1">
      <c r="A1089" t="inlineStr">
        <is>
          <t>A 40802-2023</t>
        </is>
      </c>
      <c r="B1089" s="1" t="n">
        <v>45170</v>
      </c>
      <c r="C1089" s="1" t="n">
        <v>46145</v>
      </c>
      <c r="D1089" t="inlineStr">
        <is>
          <t>VÄSTERBOTTENS LÄN</t>
        </is>
      </c>
      <c r="E1089" t="inlineStr">
        <is>
          <t>VINDELN</t>
        </is>
      </c>
      <c r="F1089" t="inlineStr">
        <is>
          <t>SCA</t>
        </is>
      </c>
      <c r="G1089" t="n">
        <v>5.1</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HYPERLINK("https://klasma.github.io/Logging_2404/artfynd/A 40802-2023 artfynd.xlsx", "A 40802-2023")</f>
        <v/>
      </c>
      <c r="T1089">
        <f>HYPERLINK("https://klasma.github.io/Logging_2404/kartor/A 40802-2023 karta.png", "A 40802-2023")</f>
        <v/>
      </c>
      <c r="V1089">
        <f>HYPERLINK("https://klasma.github.io/Logging_2404/klagomål/A 40802-2023 FSC-klagomål.docx", "A 40802-2023")</f>
        <v/>
      </c>
      <c r="W1089">
        <f>HYPERLINK("https://klasma.github.io/Logging_2404/klagomålsmail/A 40802-2023 FSC-klagomål mail.docx", "A 40802-2023")</f>
        <v/>
      </c>
      <c r="X1089">
        <f>HYPERLINK("https://klasma.github.io/Logging_2404/tillsyn/A 40802-2023 tillsynsbegäran.docx", "A 40802-2023")</f>
        <v/>
      </c>
      <c r="Y1089">
        <f>HYPERLINK("https://klasma.github.io/Logging_2404/tillsynsmail/A 40802-2023 tillsynsbegäran mail.docx", "A 40802-2023")</f>
        <v/>
      </c>
    </row>
    <row r="1090" ht="15" customHeight="1">
      <c r="A1090" t="inlineStr">
        <is>
          <t>A 59283-2024</t>
        </is>
      </c>
      <c r="B1090" s="1" t="n">
        <v>45637.64248842592</v>
      </c>
      <c r="C1090" s="1" t="n">
        <v>46145</v>
      </c>
      <c r="D1090" t="inlineStr">
        <is>
          <t>VÄSTERBOTTENS LÄN</t>
        </is>
      </c>
      <c r="E1090" t="inlineStr">
        <is>
          <t>LYCKSELE</t>
        </is>
      </c>
      <c r="F1090" t="inlineStr">
        <is>
          <t>Sveaskog</t>
        </is>
      </c>
      <c r="G1090" t="n">
        <v>2</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HYPERLINK("https://klasma.github.io/Logging_2481/artfynd/A 59283-2024 artfynd.xlsx", "A 59283-2024")</f>
        <v/>
      </c>
      <c r="T1090">
        <f>HYPERLINK("https://klasma.github.io/Logging_2481/kartor/A 59283-2024 karta.png", "A 59283-2024")</f>
        <v/>
      </c>
      <c r="V1090">
        <f>HYPERLINK("https://klasma.github.io/Logging_2481/klagomål/A 59283-2024 FSC-klagomål.docx", "A 59283-2024")</f>
        <v/>
      </c>
      <c r="W1090">
        <f>HYPERLINK("https://klasma.github.io/Logging_2481/klagomålsmail/A 59283-2024 FSC-klagomål mail.docx", "A 59283-2024")</f>
        <v/>
      </c>
      <c r="X1090">
        <f>HYPERLINK("https://klasma.github.io/Logging_2481/tillsyn/A 59283-2024 tillsynsbegäran.docx", "A 59283-2024")</f>
        <v/>
      </c>
      <c r="Y1090">
        <f>HYPERLINK("https://klasma.github.io/Logging_2481/tillsynsmail/A 59283-2024 tillsynsbegäran mail.docx", "A 59283-2024")</f>
        <v/>
      </c>
    </row>
    <row r="1091" ht="15" customHeight="1">
      <c r="A1091" t="inlineStr">
        <is>
          <t>A 2844-2026</t>
        </is>
      </c>
      <c r="B1091" s="1" t="n">
        <v>46036</v>
      </c>
      <c r="C1091" s="1" t="n">
        <v>46145</v>
      </c>
      <c r="D1091" t="inlineStr">
        <is>
          <t>VÄSTERBOTTENS LÄN</t>
        </is>
      </c>
      <c r="E1091" t="inlineStr">
        <is>
          <t>SKELLEFTEÅ</t>
        </is>
      </c>
      <c r="G1091" t="n">
        <v>3.4</v>
      </c>
      <c r="H1091" t="n">
        <v>0</v>
      </c>
      <c r="I1091" t="n">
        <v>1</v>
      </c>
      <c r="J1091" t="n">
        <v>0</v>
      </c>
      <c r="K1091" t="n">
        <v>0</v>
      </c>
      <c r="L1091" t="n">
        <v>0</v>
      </c>
      <c r="M1091" t="n">
        <v>0</v>
      </c>
      <c r="N1091" t="n">
        <v>0</v>
      </c>
      <c r="O1091" t="n">
        <v>0</v>
      </c>
      <c r="P1091" t="n">
        <v>0</v>
      </c>
      <c r="Q1091" t="n">
        <v>1</v>
      </c>
      <c r="R1091" s="2" t="inlineStr">
        <is>
          <t>Ögonpyrola</t>
        </is>
      </c>
      <c r="S1091">
        <f>HYPERLINK("https://klasma.github.io/Logging_2482/artfynd/A 2844-2026 artfynd.xlsx", "A 2844-2026")</f>
        <v/>
      </c>
      <c r="T1091">
        <f>HYPERLINK("https://klasma.github.io/Logging_2482/kartor/A 2844-2026 karta.png", "A 2844-2026")</f>
        <v/>
      </c>
      <c r="V1091">
        <f>HYPERLINK("https://klasma.github.io/Logging_2482/klagomål/A 2844-2026 FSC-klagomål.docx", "A 2844-2026")</f>
        <v/>
      </c>
      <c r="W1091">
        <f>HYPERLINK("https://klasma.github.io/Logging_2482/klagomålsmail/A 2844-2026 FSC-klagomål mail.docx", "A 2844-2026")</f>
        <v/>
      </c>
      <c r="X1091">
        <f>HYPERLINK("https://klasma.github.io/Logging_2482/tillsyn/A 2844-2026 tillsynsbegäran.docx", "A 2844-2026")</f>
        <v/>
      </c>
      <c r="Y1091">
        <f>HYPERLINK("https://klasma.github.io/Logging_2482/tillsynsmail/A 2844-2026 tillsynsbegäran mail.docx", "A 2844-2026")</f>
        <v/>
      </c>
    </row>
    <row r="1092" ht="15" customHeight="1">
      <c r="A1092" t="inlineStr">
        <is>
          <t>A 56566-2025</t>
        </is>
      </c>
      <c r="B1092" s="1" t="n">
        <v>45974</v>
      </c>
      <c r="C1092" s="1" t="n">
        <v>46145</v>
      </c>
      <c r="D1092" t="inlineStr">
        <is>
          <t>VÄSTERBOTTENS LÄN</t>
        </is>
      </c>
      <c r="E1092" t="inlineStr">
        <is>
          <t>LYCKSELE</t>
        </is>
      </c>
      <c r="F1092" t="inlineStr">
        <is>
          <t>Sveaskog</t>
        </is>
      </c>
      <c r="G1092" t="n">
        <v>3.4</v>
      </c>
      <c r="H1092" t="n">
        <v>1</v>
      </c>
      <c r="I1092" t="n">
        <v>0</v>
      </c>
      <c r="J1092" t="n">
        <v>0</v>
      </c>
      <c r="K1092" t="n">
        <v>0</v>
      </c>
      <c r="L1092" t="n">
        <v>0</v>
      </c>
      <c r="M1092" t="n">
        <v>0</v>
      </c>
      <c r="N1092" t="n">
        <v>0</v>
      </c>
      <c r="O1092" t="n">
        <v>0</v>
      </c>
      <c r="P1092" t="n">
        <v>0</v>
      </c>
      <c r="Q1092" t="n">
        <v>1</v>
      </c>
      <c r="R1092" s="2" t="inlineStr">
        <is>
          <t>Lopplummer (aggregat)</t>
        </is>
      </c>
      <c r="S1092">
        <f>HYPERLINK("https://klasma.github.io/Logging_2481/artfynd/A 56566-2025 artfynd.xlsx", "A 56566-2025")</f>
        <v/>
      </c>
      <c r="T1092">
        <f>HYPERLINK("https://klasma.github.io/Logging_2481/kartor/A 56566-2025 karta.png", "A 56566-2025")</f>
        <v/>
      </c>
      <c r="V1092">
        <f>HYPERLINK("https://klasma.github.io/Logging_2481/klagomål/A 56566-2025 FSC-klagomål.docx", "A 56566-2025")</f>
        <v/>
      </c>
      <c r="W1092">
        <f>HYPERLINK("https://klasma.github.io/Logging_2481/klagomålsmail/A 56566-2025 FSC-klagomål mail.docx", "A 56566-2025")</f>
        <v/>
      </c>
      <c r="X1092">
        <f>HYPERLINK("https://klasma.github.io/Logging_2481/tillsyn/A 56566-2025 tillsynsbegäran.docx", "A 56566-2025")</f>
        <v/>
      </c>
      <c r="Y1092">
        <f>HYPERLINK("https://klasma.github.io/Logging_2481/tillsynsmail/A 56566-2025 tillsynsbegäran mail.docx", "A 56566-2025")</f>
        <v/>
      </c>
    </row>
    <row r="1093" ht="15" customHeight="1">
      <c r="A1093" t="inlineStr">
        <is>
          <t>A 2278-2026</t>
        </is>
      </c>
      <c r="B1093" s="1" t="n">
        <v>46036.57505787037</v>
      </c>
      <c r="C1093" s="1" t="n">
        <v>46145</v>
      </c>
      <c r="D1093" t="inlineStr">
        <is>
          <t>VÄSTERBOTTENS LÄN</t>
        </is>
      </c>
      <c r="E1093" t="inlineStr">
        <is>
          <t>ÅSELE</t>
        </is>
      </c>
      <c r="F1093" t="inlineStr">
        <is>
          <t>Sveaskog</t>
        </is>
      </c>
      <c r="G1093" t="n">
        <v>5</v>
      </c>
      <c r="H1093" t="n">
        <v>0</v>
      </c>
      <c r="I1093" t="n">
        <v>1</v>
      </c>
      <c r="J1093" t="n">
        <v>0</v>
      </c>
      <c r="K1093" t="n">
        <v>0</v>
      </c>
      <c r="L1093" t="n">
        <v>0</v>
      </c>
      <c r="M1093" t="n">
        <v>0</v>
      </c>
      <c r="N1093" t="n">
        <v>0</v>
      </c>
      <c r="O1093" t="n">
        <v>0</v>
      </c>
      <c r="P1093" t="n">
        <v>0</v>
      </c>
      <c r="Q1093" t="n">
        <v>1</v>
      </c>
      <c r="R1093" s="2" t="inlineStr">
        <is>
          <t>Vedticka</t>
        </is>
      </c>
      <c r="S1093">
        <f>HYPERLINK("https://klasma.github.io/Logging_2463/artfynd/A 2278-2026 artfynd.xlsx", "A 2278-2026")</f>
        <v/>
      </c>
      <c r="T1093">
        <f>HYPERLINK("https://klasma.github.io/Logging_2463/kartor/A 2278-2026 karta.png", "A 2278-2026")</f>
        <v/>
      </c>
      <c r="V1093">
        <f>HYPERLINK("https://klasma.github.io/Logging_2463/klagomål/A 2278-2026 FSC-klagomål.docx", "A 2278-2026")</f>
        <v/>
      </c>
      <c r="W1093">
        <f>HYPERLINK("https://klasma.github.io/Logging_2463/klagomålsmail/A 2278-2026 FSC-klagomål mail.docx", "A 2278-2026")</f>
        <v/>
      </c>
      <c r="X1093">
        <f>HYPERLINK("https://klasma.github.io/Logging_2463/tillsyn/A 2278-2026 tillsynsbegäran.docx", "A 2278-2026")</f>
        <v/>
      </c>
      <c r="Y1093">
        <f>HYPERLINK("https://klasma.github.io/Logging_2463/tillsynsmail/A 2278-2026 tillsynsbegäran mail.docx", "A 2278-2026")</f>
        <v/>
      </c>
    </row>
    <row r="1094" ht="15" customHeight="1">
      <c r="A1094" t="inlineStr">
        <is>
          <t>A 2499-2026</t>
        </is>
      </c>
      <c r="B1094" s="1" t="n">
        <v>46037.40584490741</v>
      </c>
      <c r="C1094" s="1" t="n">
        <v>46145</v>
      </c>
      <c r="D1094" t="inlineStr">
        <is>
          <t>VÄSTERBOTTENS LÄN</t>
        </is>
      </c>
      <c r="E1094" t="inlineStr">
        <is>
          <t>LYCKSELE</t>
        </is>
      </c>
      <c r="F1094" t="inlineStr">
        <is>
          <t>Sveaskog</t>
        </is>
      </c>
      <c r="G1094" t="n">
        <v>19.3</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2499-2026 artfynd.xlsx", "A 2499-2026")</f>
        <v/>
      </c>
      <c r="T1094">
        <f>HYPERLINK("https://klasma.github.io/Logging_2481/kartor/A 2499-2026 karta.png", "A 2499-2026")</f>
        <v/>
      </c>
      <c r="V1094">
        <f>HYPERLINK("https://klasma.github.io/Logging_2481/klagomål/A 2499-2026 FSC-klagomål.docx", "A 2499-2026")</f>
        <v/>
      </c>
      <c r="W1094">
        <f>HYPERLINK("https://klasma.github.io/Logging_2481/klagomålsmail/A 2499-2026 FSC-klagomål mail.docx", "A 2499-2026")</f>
        <v/>
      </c>
      <c r="X1094">
        <f>HYPERLINK("https://klasma.github.io/Logging_2481/tillsyn/A 2499-2026 tillsynsbegäran.docx", "A 2499-2026")</f>
        <v/>
      </c>
      <c r="Y1094">
        <f>HYPERLINK("https://klasma.github.io/Logging_2481/tillsynsmail/A 2499-2026 tillsynsbegäran mail.docx", "A 2499-2026")</f>
        <v/>
      </c>
    </row>
    <row r="1095" ht="15" customHeight="1">
      <c r="A1095" t="inlineStr">
        <is>
          <t>A 27583-2022</t>
        </is>
      </c>
      <c r="B1095" s="1" t="n">
        <v>44742</v>
      </c>
      <c r="C1095" s="1" t="n">
        <v>46145</v>
      </c>
      <c r="D1095" t="inlineStr">
        <is>
          <t>VÄSTERBOTTENS LÄN</t>
        </is>
      </c>
      <c r="E1095" t="inlineStr">
        <is>
          <t>VINDELN</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HYPERLINK("https://klasma.github.io/Logging_2404/artfynd/A 27583-2022 artfynd.xlsx", "A 27583-2022")</f>
        <v/>
      </c>
      <c r="T1095">
        <f>HYPERLINK("https://klasma.github.io/Logging_2404/kartor/A 27583-2022 karta.png", "A 27583-2022")</f>
        <v/>
      </c>
      <c r="V1095">
        <f>HYPERLINK("https://klasma.github.io/Logging_2404/klagomål/A 27583-2022 FSC-klagomål.docx", "A 27583-2022")</f>
        <v/>
      </c>
      <c r="W1095">
        <f>HYPERLINK("https://klasma.github.io/Logging_2404/klagomålsmail/A 27583-2022 FSC-klagomål mail.docx", "A 27583-2022")</f>
        <v/>
      </c>
      <c r="X1095">
        <f>HYPERLINK("https://klasma.github.io/Logging_2404/tillsyn/A 27583-2022 tillsynsbegäran.docx", "A 27583-2022")</f>
        <v/>
      </c>
      <c r="Y1095">
        <f>HYPERLINK("https://klasma.github.io/Logging_2404/tillsynsmail/A 27583-2022 tillsynsbegäran mail.docx", "A 27583-2022")</f>
        <v/>
      </c>
    </row>
    <row r="1096" ht="15" customHeight="1">
      <c r="A1096" t="inlineStr">
        <is>
          <t>A 8820-2025</t>
        </is>
      </c>
      <c r="B1096" s="1" t="n">
        <v>45712</v>
      </c>
      <c r="C1096" s="1" t="n">
        <v>46145</v>
      </c>
      <c r="D1096" t="inlineStr">
        <is>
          <t>VÄSTERBOTTENS LÄN</t>
        </is>
      </c>
      <c r="E1096" t="inlineStr">
        <is>
          <t>SKELLEFTEÅ</t>
        </is>
      </c>
      <c r="G1096" t="n">
        <v>2.5</v>
      </c>
      <c r="H1096" t="n">
        <v>1</v>
      </c>
      <c r="I1096" t="n">
        <v>0</v>
      </c>
      <c r="J1096" t="n">
        <v>0</v>
      </c>
      <c r="K1096" t="n">
        <v>1</v>
      </c>
      <c r="L1096" t="n">
        <v>0</v>
      </c>
      <c r="M1096" t="n">
        <v>0</v>
      </c>
      <c r="N1096" t="n">
        <v>0</v>
      </c>
      <c r="O1096" t="n">
        <v>1</v>
      </c>
      <c r="P1096" t="n">
        <v>1</v>
      </c>
      <c r="Q1096" t="n">
        <v>1</v>
      </c>
      <c r="R1096" s="2" t="inlineStr">
        <is>
          <t>Knärot</t>
        </is>
      </c>
      <c r="S1096">
        <f>HYPERLINK("https://klasma.github.io/Logging_2482/artfynd/A 8820-2025 artfynd.xlsx", "A 8820-2025")</f>
        <v/>
      </c>
      <c r="T1096">
        <f>HYPERLINK("https://klasma.github.io/Logging_2482/kartor/A 8820-2025 karta.png", "A 8820-2025")</f>
        <v/>
      </c>
      <c r="U1096">
        <f>HYPERLINK("https://klasma.github.io/Logging_2482/knärot/A 8820-2025 karta knärot.png", "A 8820-2025")</f>
        <v/>
      </c>
      <c r="V1096">
        <f>HYPERLINK("https://klasma.github.io/Logging_2482/klagomål/A 8820-2025 FSC-klagomål.docx", "A 8820-2025")</f>
        <v/>
      </c>
      <c r="W1096">
        <f>HYPERLINK("https://klasma.github.io/Logging_2482/klagomålsmail/A 8820-2025 FSC-klagomål mail.docx", "A 8820-2025")</f>
        <v/>
      </c>
      <c r="X1096">
        <f>HYPERLINK("https://klasma.github.io/Logging_2482/tillsyn/A 8820-2025 tillsynsbegäran.docx", "A 8820-2025")</f>
        <v/>
      </c>
      <c r="Y1096">
        <f>HYPERLINK("https://klasma.github.io/Logging_2482/tillsynsmail/A 8820-2025 tillsynsbegäran mail.docx", "A 8820-2025")</f>
        <v/>
      </c>
    </row>
    <row r="1097" ht="15" customHeight="1">
      <c r="A1097" t="inlineStr">
        <is>
          <t>A 48989-2025</t>
        </is>
      </c>
      <c r="B1097" s="1" t="n">
        <v>45937</v>
      </c>
      <c r="C1097" s="1" t="n">
        <v>46145</v>
      </c>
      <c r="D1097" t="inlineStr">
        <is>
          <t>VÄSTERBOTTENS LÄN</t>
        </is>
      </c>
      <c r="E1097" t="inlineStr">
        <is>
          <t>SORSELE</t>
        </is>
      </c>
      <c r="F1097" t="inlineStr">
        <is>
          <t>Sveaskog</t>
        </is>
      </c>
      <c r="G1097" t="n">
        <v>57.3</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HYPERLINK("https://klasma.github.io/Logging_2422/artfynd/A 48989-2025 artfynd.xlsx", "A 48989-2025")</f>
        <v/>
      </c>
      <c r="T1097">
        <f>HYPERLINK("https://klasma.github.io/Logging_2422/kartor/A 48989-2025 karta.png", "A 48989-2025")</f>
        <v/>
      </c>
      <c r="V1097">
        <f>HYPERLINK("https://klasma.github.io/Logging_2422/klagomål/A 48989-2025 FSC-klagomål.docx", "A 48989-2025")</f>
        <v/>
      </c>
      <c r="W1097">
        <f>HYPERLINK("https://klasma.github.io/Logging_2422/klagomålsmail/A 48989-2025 FSC-klagomål mail.docx", "A 48989-2025")</f>
        <v/>
      </c>
      <c r="X1097">
        <f>HYPERLINK("https://klasma.github.io/Logging_2422/tillsyn/A 48989-2025 tillsynsbegäran.docx", "A 48989-2025")</f>
        <v/>
      </c>
      <c r="Y1097">
        <f>HYPERLINK("https://klasma.github.io/Logging_2422/tillsynsmail/A 48989-2025 tillsynsbegäran mail.docx", "A 48989-2025")</f>
        <v/>
      </c>
    </row>
    <row r="1098" ht="15" customHeight="1">
      <c r="A1098" t="inlineStr">
        <is>
          <t>A 59001-2024</t>
        </is>
      </c>
      <c r="B1098" s="1" t="n">
        <v>45636</v>
      </c>
      <c r="C1098" s="1" t="n">
        <v>46145</v>
      </c>
      <c r="D1098" t="inlineStr">
        <is>
          <t>VÄSTERBOTTENS LÄN</t>
        </is>
      </c>
      <c r="E1098" t="inlineStr">
        <is>
          <t>VILHELMINA</t>
        </is>
      </c>
      <c r="F1098" t="inlineStr">
        <is>
          <t>Allmännings- och besparingsskogar</t>
        </is>
      </c>
      <c r="G1098" t="n">
        <v>32.5</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HYPERLINK("https://klasma.github.io/Logging_2462/artfynd/A 59001-2024 artfynd.xlsx", "A 59001-2024")</f>
        <v/>
      </c>
      <c r="T1098">
        <f>HYPERLINK("https://klasma.github.io/Logging_2462/kartor/A 59001-2024 karta.png", "A 59001-2024")</f>
        <v/>
      </c>
      <c r="V1098">
        <f>HYPERLINK("https://klasma.github.io/Logging_2462/klagomål/A 59001-2024 FSC-klagomål.docx", "A 59001-2024")</f>
        <v/>
      </c>
      <c r="W1098">
        <f>HYPERLINK("https://klasma.github.io/Logging_2462/klagomålsmail/A 59001-2024 FSC-klagomål mail.docx", "A 59001-2024")</f>
        <v/>
      </c>
      <c r="X1098">
        <f>HYPERLINK("https://klasma.github.io/Logging_2462/tillsyn/A 59001-2024 tillsynsbegäran.docx", "A 59001-2024")</f>
        <v/>
      </c>
      <c r="Y1098">
        <f>HYPERLINK("https://klasma.github.io/Logging_2462/tillsynsmail/A 59001-2024 tillsynsbegäran mail.docx", "A 59001-2024")</f>
        <v/>
      </c>
    </row>
    <row r="1099" ht="15" customHeight="1">
      <c r="A1099" t="inlineStr">
        <is>
          <t>A 58948-2023</t>
        </is>
      </c>
      <c r="B1099" s="1" t="n">
        <v>45252</v>
      </c>
      <c r="C1099" s="1" t="n">
        <v>46145</v>
      </c>
      <c r="D1099" t="inlineStr">
        <is>
          <t>VÄSTERBOTTENS LÄN</t>
        </is>
      </c>
      <c r="E1099" t="inlineStr">
        <is>
          <t>BJURHOLM</t>
        </is>
      </c>
      <c r="F1099" t="inlineStr">
        <is>
          <t>Sveaskog</t>
        </is>
      </c>
      <c r="G1099" t="n">
        <v>7.9</v>
      </c>
      <c r="H1099" t="n">
        <v>0</v>
      </c>
      <c r="I1099" t="n">
        <v>0</v>
      </c>
      <c r="J1099" t="n">
        <v>1</v>
      </c>
      <c r="K1099" t="n">
        <v>0</v>
      </c>
      <c r="L1099" t="n">
        <v>0</v>
      </c>
      <c r="M1099" t="n">
        <v>0</v>
      </c>
      <c r="N1099" t="n">
        <v>0</v>
      </c>
      <c r="O1099" t="n">
        <v>1</v>
      </c>
      <c r="P1099" t="n">
        <v>0</v>
      </c>
      <c r="Q1099" t="n">
        <v>1</v>
      </c>
      <c r="R1099" s="2" t="inlineStr">
        <is>
          <t>Lunglav</t>
        </is>
      </c>
      <c r="S1099">
        <f>HYPERLINK("https://klasma.github.io/Logging_2403/artfynd/A 58948-2023 artfynd.xlsx", "A 58948-2023")</f>
        <v/>
      </c>
      <c r="T1099">
        <f>HYPERLINK("https://klasma.github.io/Logging_2403/kartor/A 58948-2023 karta.png", "A 58948-2023")</f>
        <v/>
      </c>
      <c r="V1099">
        <f>HYPERLINK("https://klasma.github.io/Logging_2403/klagomål/A 58948-2023 FSC-klagomål.docx", "A 58948-2023")</f>
        <v/>
      </c>
      <c r="W1099">
        <f>HYPERLINK("https://klasma.github.io/Logging_2403/klagomålsmail/A 58948-2023 FSC-klagomål mail.docx", "A 58948-2023")</f>
        <v/>
      </c>
      <c r="X1099">
        <f>HYPERLINK("https://klasma.github.io/Logging_2403/tillsyn/A 58948-2023 tillsynsbegäran.docx", "A 58948-2023")</f>
        <v/>
      </c>
      <c r="Y1099">
        <f>HYPERLINK("https://klasma.github.io/Logging_2403/tillsynsmail/A 58948-2023 tillsynsbegäran mail.docx", "A 58948-2023")</f>
        <v/>
      </c>
    </row>
    <row r="1100" ht="15" customHeight="1">
      <c r="A1100" t="inlineStr">
        <is>
          <t>A 59075-2022</t>
        </is>
      </c>
      <c r="B1100" s="1" t="n">
        <v>44904</v>
      </c>
      <c r="C1100" s="1" t="n">
        <v>46145</v>
      </c>
      <c r="D1100" t="inlineStr">
        <is>
          <t>VÄSTERBOTTENS LÄN</t>
        </is>
      </c>
      <c r="E1100" t="inlineStr">
        <is>
          <t>UMEÅ</t>
        </is>
      </c>
      <c r="G1100" t="n">
        <v>0.4</v>
      </c>
      <c r="H1100" t="n">
        <v>0</v>
      </c>
      <c r="I1100" t="n">
        <v>1</v>
      </c>
      <c r="J1100" t="n">
        <v>0</v>
      </c>
      <c r="K1100" t="n">
        <v>0</v>
      </c>
      <c r="L1100" t="n">
        <v>0</v>
      </c>
      <c r="M1100" t="n">
        <v>0</v>
      </c>
      <c r="N1100" t="n">
        <v>0</v>
      </c>
      <c r="O1100" t="n">
        <v>0</v>
      </c>
      <c r="P1100" t="n">
        <v>0</v>
      </c>
      <c r="Q1100" t="n">
        <v>1</v>
      </c>
      <c r="R1100" s="2" t="inlineStr">
        <is>
          <t>Vedticka</t>
        </is>
      </c>
      <c r="S1100">
        <f>HYPERLINK("https://klasma.github.io/Logging_2480/artfynd/A 59075-2022 artfynd.xlsx", "A 59075-2022")</f>
        <v/>
      </c>
      <c r="T1100">
        <f>HYPERLINK("https://klasma.github.io/Logging_2480/kartor/A 59075-2022 karta.png", "A 59075-2022")</f>
        <v/>
      </c>
      <c r="V1100">
        <f>HYPERLINK("https://klasma.github.io/Logging_2480/klagomål/A 59075-2022 FSC-klagomål.docx", "A 59075-2022")</f>
        <v/>
      </c>
      <c r="W1100">
        <f>HYPERLINK("https://klasma.github.io/Logging_2480/klagomålsmail/A 59075-2022 FSC-klagomål mail.docx", "A 59075-2022")</f>
        <v/>
      </c>
      <c r="X1100">
        <f>HYPERLINK("https://klasma.github.io/Logging_2480/tillsyn/A 59075-2022 tillsynsbegäran.docx", "A 59075-2022")</f>
        <v/>
      </c>
      <c r="Y1100">
        <f>HYPERLINK("https://klasma.github.io/Logging_2480/tillsynsmail/A 59075-2022 tillsynsbegäran mail.docx", "A 59075-2022")</f>
        <v/>
      </c>
    </row>
    <row r="1101" ht="15" customHeight="1">
      <c r="A1101" t="inlineStr">
        <is>
          <t>A 43459-2024</t>
        </is>
      </c>
      <c r="B1101" s="1" t="n">
        <v>45568</v>
      </c>
      <c r="C1101" s="1" t="n">
        <v>46145</v>
      </c>
      <c r="D1101" t="inlineStr">
        <is>
          <t>VÄSTERBOTTENS LÄN</t>
        </is>
      </c>
      <c r="E1101" t="inlineStr">
        <is>
          <t>ÅSELE</t>
        </is>
      </c>
      <c r="F1101" t="inlineStr">
        <is>
          <t>SCA</t>
        </is>
      </c>
      <c r="G1101" t="n">
        <v>7.9</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HYPERLINK("https://klasma.github.io/Logging_2463/artfynd/A 43459-2024 artfynd.xlsx", "A 43459-2024")</f>
        <v/>
      </c>
      <c r="T1101">
        <f>HYPERLINK("https://klasma.github.io/Logging_2463/kartor/A 43459-2024 karta.png", "A 43459-2024")</f>
        <v/>
      </c>
      <c r="V1101">
        <f>HYPERLINK("https://klasma.github.io/Logging_2463/klagomål/A 43459-2024 FSC-klagomål.docx", "A 43459-2024")</f>
        <v/>
      </c>
      <c r="W1101">
        <f>HYPERLINK("https://klasma.github.io/Logging_2463/klagomålsmail/A 43459-2024 FSC-klagomål mail.docx", "A 43459-2024")</f>
        <v/>
      </c>
      <c r="X1101">
        <f>HYPERLINK("https://klasma.github.io/Logging_2463/tillsyn/A 43459-2024 tillsynsbegäran.docx", "A 43459-2024")</f>
        <v/>
      </c>
      <c r="Y1101">
        <f>HYPERLINK("https://klasma.github.io/Logging_2463/tillsynsmail/A 43459-2024 tillsynsbegäran mail.docx", "A 43459-2024")</f>
        <v/>
      </c>
    </row>
    <row r="1102" ht="15" customHeight="1">
      <c r="A1102" t="inlineStr">
        <is>
          <t>A 14348-2025</t>
        </is>
      </c>
      <c r="B1102" s="1" t="n">
        <v>45741.34489583333</v>
      </c>
      <c r="C1102" s="1" t="n">
        <v>46145</v>
      </c>
      <c r="D1102" t="inlineStr">
        <is>
          <t>VÄSTERBOTTENS LÄN</t>
        </is>
      </c>
      <c r="E1102" t="inlineStr">
        <is>
          <t>VINDELN</t>
        </is>
      </c>
      <c r="F1102" t="inlineStr">
        <is>
          <t>Holmen skog AB</t>
        </is>
      </c>
      <c r="G1102" t="n">
        <v>7.6</v>
      </c>
      <c r="H1102" t="n">
        <v>1</v>
      </c>
      <c r="I1102" t="n">
        <v>0</v>
      </c>
      <c r="J1102" t="n">
        <v>0</v>
      </c>
      <c r="K1102" t="n">
        <v>0</v>
      </c>
      <c r="L1102" t="n">
        <v>0</v>
      </c>
      <c r="M1102" t="n">
        <v>0</v>
      </c>
      <c r="N1102" t="n">
        <v>0</v>
      </c>
      <c r="O1102" t="n">
        <v>0</v>
      </c>
      <c r="P1102" t="n">
        <v>0</v>
      </c>
      <c r="Q1102" t="n">
        <v>1</v>
      </c>
      <c r="R1102" s="2" t="inlineStr">
        <is>
          <t>Fläcknycklar</t>
        </is>
      </c>
      <c r="S1102">
        <f>HYPERLINK("https://klasma.github.io/Logging_2404/artfynd/A 14348-2025 artfynd.xlsx", "A 14348-2025")</f>
        <v/>
      </c>
      <c r="T1102">
        <f>HYPERLINK("https://klasma.github.io/Logging_2404/kartor/A 14348-2025 karta.png", "A 14348-2025")</f>
        <v/>
      </c>
      <c r="V1102">
        <f>HYPERLINK("https://klasma.github.io/Logging_2404/klagomål/A 14348-2025 FSC-klagomål.docx", "A 14348-2025")</f>
        <v/>
      </c>
      <c r="W1102">
        <f>HYPERLINK("https://klasma.github.io/Logging_2404/klagomålsmail/A 14348-2025 FSC-klagomål mail.docx", "A 14348-2025")</f>
        <v/>
      </c>
      <c r="X1102">
        <f>HYPERLINK("https://klasma.github.io/Logging_2404/tillsyn/A 14348-2025 tillsynsbegäran.docx", "A 14348-2025")</f>
        <v/>
      </c>
      <c r="Y1102">
        <f>HYPERLINK("https://klasma.github.io/Logging_2404/tillsynsmail/A 14348-2025 tillsynsbegäran mail.docx", "A 14348-2025")</f>
        <v/>
      </c>
    </row>
    <row r="1103" ht="15" customHeight="1">
      <c r="A1103" t="inlineStr">
        <is>
          <t>A 38507-2023</t>
        </is>
      </c>
      <c r="B1103" s="1" t="n">
        <v>45162.50637731481</v>
      </c>
      <c r="C1103" s="1" t="n">
        <v>46145</v>
      </c>
      <c r="D1103" t="inlineStr">
        <is>
          <t>VÄSTERBOTTENS LÄN</t>
        </is>
      </c>
      <c r="E1103" t="inlineStr">
        <is>
          <t>LYCKSELE</t>
        </is>
      </c>
      <c r="F1103" t="inlineStr">
        <is>
          <t>Sveaskog</t>
        </is>
      </c>
      <c r="G1103" t="n">
        <v>2.5</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HYPERLINK("https://klasma.github.io/Logging_2481/artfynd/A 38507-2023 artfynd.xlsx", "A 38507-2023")</f>
        <v/>
      </c>
      <c r="T1103">
        <f>HYPERLINK("https://klasma.github.io/Logging_2481/kartor/A 38507-2023 karta.png", "A 38507-2023")</f>
        <v/>
      </c>
      <c r="V1103">
        <f>HYPERLINK("https://klasma.github.io/Logging_2481/klagomål/A 38507-2023 FSC-klagomål.docx", "A 38507-2023")</f>
        <v/>
      </c>
      <c r="W1103">
        <f>HYPERLINK("https://klasma.github.io/Logging_2481/klagomålsmail/A 38507-2023 FSC-klagomål mail.docx", "A 38507-2023")</f>
        <v/>
      </c>
      <c r="X1103">
        <f>HYPERLINK("https://klasma.github.io/Logging_2481/tillsyn/A 38507-2023 tillsynsbegäran.docx", "A 38507-2023")</f>
        <v/>
      </c>
      <c r="Y1103">
        <f>HYPERLINK("https://klasma.github.io/Logging_2481/tillsynsmail/A 38507-2023 tillsynsbegäran mail.docx", "A 38507-2023")</f>
        <v/>
      </c>
    </row>
    <row r="1104" ht="15" customHeight="1">
      <c r="A1104" t="inlineStr">
        <is>
          <t>A 37953-2023</t>
        </is>
      </c>
      <c r="B1104" s="1" t="n">
        <v>45159</v>
      </c>
      <c r="C1104" s="1" t="n">
        <v>46145</v>
      </c>
      <c r="D1104" t="inlineStr">
        <is>
          <t>VÄSTERBOTTENS LÄN</t>
        </is>
      </c>
      <c r="E1104" t="inlineStr">
        <is>
          <t>VINDELN</t>
        </is>
      </c>
      <c r="G1104" t="n">
        <v>1.5</v>
      </c>
      <c r="H1104" t="n">
        <v>1</v>
      </c>
      <c r="I1104" t="n">
        <v>0</v>
      </c>
      <c r="J1104" t="n">
        <v>0</v>
      </c>
      <c r="K1104" t="n">
        <v>1</v>
      </c>
      <c r="L1104" t="n">
        <v>0</v>
      </c>
      <c r="M1104" t="n">
        <v>0</v>
      </c>
      <c r="N1104" t="n">
        <v>0</v>
      </c>
      <c r="O1104" t="n">
        <v>1</v>
      </c>
      <c r="P1104" t="n">
        <v>1</v>
      </c>
      <c r="Q1104" t="n">
        <v>1</v>
      </c>
      <c r="R1104" s="2" t="inlineStr">
        <is>
          <t>Knärot</t>
        </is>
      </c>
      <c r="S1104">
        <f>HYPERLINK("https://klasma.github.io/Logging_2404/artfynd/A 37953-2023 artfynd.xlsx", "A 37953-2023")</f>
        <v/>
      </c>
      <c r="T1104">
        <f>HYPERLINK("https://klasma.github.io/Logging_2404/kartor/A 37953-2023 karta.png", "A 37953-2023")</f>
        <v/>
      </c>
      <c r="U1104">
        <f>HYPERLINK("https://klasma.github.io/Logging_2404/knärot/A 37953-2023 karta knärot.png", "A 37953-2023")</f>
        <v/>
      </c>
      <c r="V1104">
        <f>HYPERLINK("https://klasma.github.io/Logging_2404/klagomål/A 37953-2023 FSC-klagomål.docx", "A 37953-2023")</f>
        <v/>
      </c>
      <c r="W1104">
        <f>HYPERLINK("https://klasma.github.io/Logging_2404/klagomålsmail/A 37953-2023 FSC-klagomål mail.docx", "A 37953-2023")</f>
        <v/>
      </c>
      <c r="X1104">
        <f>HYPERLINK("https://klasma.github.io/Logging_2404/tillsyn/A 37953-2023 tillsynsbegäran.docx", "A 37953-2023")</f>
        <v/>
      </c>
      <c r="Y1104">
        <f>HYPERLINK("https://klasma.github.io/Logging_2404/tillsynsmail/A 37953-2023 tillsynsbegäran mail.docx", "A 37953-2023")</f>
        <v/>
      </c>
    </row>
    <row r="1105" ht="15" customHeight="1">
      <c r="A1105" t="inlineStr">
        <is>
          <t>A 4913-2026</t>
        </is>
      </c>
      <c r="B1105" s="1" t="n">
        <v>46048.72559027778</v>
      </c>
      <c r="C1105" s="1" t="n">
        <v>46145</v>
      </c>
      <c r="D1105" t="inlineStr">
        <is>
          <t>VÄSTERBOTTENS LÄN</t>
        </is>
      </c>
      <c r="E1105" t="inlineStr">
        <is>
          <t>UMEÅ</t>
        </is>
      </c>
      <c r="G1105" t="n">
        <v>2.8</v>
      </c>
      <c r="H1105" t="n">
        <v>0</v>
      </c>
      <c r="I1105" t="n">
        <v>0</v>
      </c>
      <c r="J1105" t="n">
        <v>1</v>
      </c>
      <c r="K1105" t="n">
        <v>0</v>
      </c>
      <c r="L1105" t="n">
        <v>0</v>
      </c>
      <c r="M1105" t="n">
        <v>0</v>
      </c>
      <c r="N1105" t="n">
        <v>0</v>
      </c>
      <c r="O1105" t="n">
        <v>1</v>
      </c>
      <c r="P1105" t="n">
        <v>0</v>
      </c>
      <c r="Q1105" t="n">
        <v>1</v>
      </c>
      <c r="R1105" s="2" t="inlineStr">
        <is>
          <t>Motaggsvamp</t>
        </is>
      </c>
      <c r="S1105">
        <f>HYPERLINK("https://klasma.github.io/Logging_2480/artfynd/A 4913-2026 artfynd.xlsx", "A 4913-2026")</f>
        <v/>
      </c>
      <c r="T1105">
        <f>HYPERLINK("https://klasma.github.io/Logging_2480/kartor/A 4913-2026 karta.png", "A 4913-2026")</f>
        <v/>
      </c>
      <c r="V1105">
        <f>HYPERLINK("https://klasma.github.io/Logging_2480/klagomål/A 4913-2026 FSC-klagomål.docx", "A 4913-2026")</f>
        <v/>
      </c>
      <c r="W1105">
        <f>HYPERLINK("https://klasma.github.io/Logging_2480/klagomålsmail/A 4913-2026 FSC-klagomål mail.docx", "A 4913-2026")</f>
        <v/>
      </c>
      <c r="X1105">
        <f>HYPERLINK("https://klasma.github.io/Logging_2480/tillsyn/A 4913-2026 tillsynsbegäran.docx", "A 4913-2026")</f>
        <v/>
      </c>
      <c r="Y1105">
        <f>HYPERLINK("https://klasma.github.io/Logging_2480/tillsynsmail/A 4913-2026 tillsynsbegäran mail.docx", "A 4913-2026")</f>
        <v/>
      </c>
    </row>
    <row r="1106" ht="15" customHeight="1">
      <c r="A1106" t="inlineStr">
        <is>
          <t>A 59903-2023</t>
        </is>
      </c>
      <c r="B1106" s="1" t="n">
        <v>45254</v>
      </c>
      <c r="C1106" s="1" t="n">
        <v>46145</v>
      </c>
      <c r="D1106" t="inlineStr">
        <is>
          <t>VÄSTERBOTTENS LÄN</t>
        </is>
      </c>
      <c r="E1106" t="inlineStr">
        <is>
          <t>VINDELN</t>
        </is>
      </c>
      <c r="G1106" t="n">
        <v>5.9</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HYPERLINK("https://klasma.github.io/Logging_2404/artfynd/A 59903-2023 artfynd.xlsx", "A 59903-2023")</f>
        <v/>
      </c>
      <c r="T1106">
        <f>HYPERLINK("https://klasma.github.io/Logging_2404/kartor/A 59903-2023 karta.png", "A 59903-2023")</f>
        <v/>
      </c>
      <c r="U1106">
        <f>HYPERLINK("https://klasma.github.io/Logging_2404/knärot/A 59903-2023 karta knärot.png", "A 59903-2023")</f>
        <v/>
      </c>
      <c r="V1106">
        <f>HYPERLINK("https://klasma.github.io/Logging_2404/klagomål/A 59903-2023 FSC-klagomål.docx", "A 59903-2023")</f>
        <v/>
      </c>
      <c r="W1106">
        <f>HYPERLINK("https://klasma.github.io/Logging_2404/klagomålsmail/A 59903-2023 FSC-klagomål mail.docx", "A 59903-2023")</f>
        <v/>
      </c>
      <c r="X1106">
        <f>HYPERLINK("https://klasma.github.io/Logging_2404/tillsyn/A 59903-2023 tillsynsbegäran.docx", "A 59903-2023")</f>
        <v/>
      </c>
      <c r="Y1106">
        <f>HYPERLINK("https://klasma.github.io/Logging_2404/tillsynsmail/A 59903-2023 tillsynsbegäran mail.docx", "A 59903-2023")</f>
        <v/>
      </c>
    </row>
    <row r="1107" ht="15" customHeight="1">
      <c r="A1107" t="inlineStr">
        <is>
          <t>A 1830-2024</t>
        </is>
      </c>
      <c r="B1107" s="1" t="n">
        <v>45307</v>
      </c>
      <c r="C1107" s="1" t="n">
        <v>46145</v>
      </c>
      <c r="D1107" t="inlineStr">
        <is>
          <t>VÄSTERBOTTENS LÄN</t>
        </is>
      </c>
      <c r="E1107" t="inlineStr">
        <is>
          <t>ROBERTSFORS</t>
        </is>
      </c>
      <c r="F1107" t="inlineStr">
        <is>
          <t>Holmen skog AB</t>
        </is>
      </c>
      <c r="G1107" t="n">
        <v>0.6</v>
      </c>
      <c r="H1107" t="n">
        <v>0</v>
      </c>
      <c r="I1107" t="n">
        <v>0</v>
      </c>
      <c r="J1107" t="n">
        <v>1</v>
      </c>
      <c r="K1107" t="n">
        <v>0</v>
      </c>
      <c r="L1107" t="n">
        <v>0</v>
      </c>
      <c r="M1107" t="n">
        <v>0</v>
      </c>
      <c r="N1107" t="n">
        <v>0</v>
      </c>
      <c r="O1107" t="n">
        <v>1</v>
      </c>
      <c r="P1107" t="n">
        <v>0</v>
      </c>
      <c r="Q1107" t="n">
        <v>1</v>
      </c>
      <c r="R1107" s="2" t="inlineStr">
        <is>
          <t>Svart taggsvamp agg.</t>
        </is>
      </c>
      <c r="S1107">
        <f>HYPERLINK("https://klasma.github.io/Logging_2409/artfynd/A 1830-2024 artfynd.xlsx", "A 1830-2024")</f>
        <v/>
      </c>
      <c r="T1107">
        <f>HYPERLINK("https://klasma.github.io/Logging_2409/kartor/A 1830-2024 karta.png", "A 1830-2024")</f>
        <v/>
      </c>
      <c r="V1107">
        <f>HYPERLINK("https://klasma.github.io/Logging_2409/klagomål/A 1830-2024 FSC-klagomål.docx", "A 1830-2024")</f>
        <v/>
      </c>
      <c r="W1107">
        <f>HYPERLINK("https://klasma.github.io/Logging_2409/klagomålsmail/A 1830-2024 FSC-klagomål mail.docx", "A 1830-2024")</f>
        <v/>
      </c>
      <c r="X1107">
        <f>HYPERLINK("https://klasma.github.io/Logging_2409/tillsyn/A 1830-2024 tillsynsbegäran.docx", "A 1830-2024")</f>
        <v/>
      </c>
      <c r="Y1107">
        <f>HYPERLINK("https://klasma.github.io/Logging_2409/tillsynsmail/A 1830-2024 tillsynsbegäran mail.docx", "A 1830-2024")</f>
        <v/>
      </c>
    </row>
    <row r="1108" ht="15" customHeight="1">
      <c r="A1108" t="inlineStr">
        <is>
          <t>A 57284-2023</t>
        </is>
      </c>
      <c r="B1108" s="1" t="n">
        <v>45245</v>
      </c>
      <c r="C1108" s="1" t="n">
        <v>46145</v>
      </c>
      <c r="D1108" t="inlineStr">
        <is>
          <t>VÄSTERBOTTENS LÄN</t>
        </is>
      </c>
      <c r="E1108" t="inlineStr">
        <is>
          <t>ROBERTSFORS</t>
        </is>
      </c>
      <c r="F1108" t="inlineStr">
        <is>
          <t>Holmen skog AB</t>
        </is>
      </c>
      <c r="G1108" t="n">
        <v>6.8</v>
      </c>
      <c r="H1108" t="n">
        <v>0</v>
      </c>
      <c r="I1108" t="n">
        <v>0</v>
      </c>
      <c r="J1108" t="n">
        <v>1</v>
      </c>
      <c r="K1108" t="n">
        <v>0</v>
      </c>
      <c r="L1108" t="n">
        <v>0</v>
      </c>
      <c r="M1108" t="n">
        <v>0</v>
      </c>
      <c r="N1108" t="n">
        <v>0</v>
      </c>
      <c r="O1108" t="n">
        <v>1</v>
      </c>
      <c r="P1108" t="n">
        <v>0</v>
      </c>
      <c r="Q1108" t="n">
        <v>1</v>
      </c>
      <c r="R1108" s="2" t="inlineStr">
        <is>
          <t>Tallticka</t>
        </is>
      </c>
      <c r="S1108">
        <f>HYPERLINK("https://klasma.github.io/Logging_2409/artfynd/A 57284-2023 artfynd.xlsx", "A 57284-2023")</f>
        <v/>
      </c>
      <c r="T1108">
        <f>HYPERLINK("https://klasma.github.io/Logging_2409/kartor/A 57284-2023 karta.png", "A 57284-2023")</f>
        <v/>
      </c>
      <c r="V1108">
        <f>HYPERLINK("https://klasma.github.io/Logging_2409/klagomål/A 57284-2023 FSC-klagomål.docx", "A 57284-2023")</f>
        <v/>
      </c>
      <c r="W1108">
        <f>HYPERLINK("https://klasma.github.io/Logging_2409/klagomålsmail/A 57284-2023 FSC-klagomål mail.docx", "A 57284-2023")</f>
        <v/>
      </c>
      <c r="X1108">
        <f>HYPERLINK("https://klasma.github.io/Logging_2409/tillsyn/A 57284-2023 tillsynsbegäran.docx", "A 57284-2023")</f>
        <v/>
      </c>
      <c r="Y1108">
        <f>HYPERLINK("https://klasma.github.io/Logging_2409/tillsynsmail/A 57284-2023 tillsynsbegäran mail.docx", "A 57284-2023")</f>
        <v/>
      </c>
    </row>
    <row r="1109" ht="15" customHeight="1">
      <c r="A1109" t="inlineStr">
        <is>
          <t>A 31318-2022</t>
        </is>
      </c>
      <c r="B1109" s="1" t="n">
        <v>44772</v>
      </c>
      <c r="C1109" s="1" t="n">
        <v>46145</v>
      </c>
      <c r="D1109" t="inlineStr">
        <is>
          <t>VÄSTERBOTTENS LÄN</t>
        </is>
      </c>
      <c r="E1109" t="inlineStr">
        <is>
          <t>UMEÅ</t>
        </is>
      </c>
      <c r="G1109" t="n">
        <v>11.3</v>
      </c>
      <c r="H1109" t="n">
        <v>1</v>
      </c>
      <c r="I1109" t="n">
        <v>0</v>
      </c>
      <c r="J1109" t="n">
        <v>1</v>
      </c>
      <c r="K1109" t="n">
        <v>0</v>
      </c>
      <c r="L1109" t="n">
        <v>0</v>
      </c>
      <c r="M1109" t="n">
        <v>0</v>
      </c>
      <c r="N1109" t="n">
        <v>0</v>
      </c>
      <c r="O1109" t="n">
        <v>1</v>
      </c>
      <c r="P1109" t="n">
        <v>0</v>
      </c>
      <c r="Q1109" t="n">
        <v>1</v>
      </c>
      <c r="R1109" s="2" t="inlineStr">
        <is>
          <t>Sävsparv</t>
        </is>
      </c>
      <c r="S1109">
        <f>HYPERLINK("https://klasma.github.io/Logging_2480/artfynd/A 31318-2022 artfynd.xlsx", "A 31318-2022")</f>
        <v/>
      </c>
      <c r="T1109">
        <f>HYPERLINK("https://klasma.github.io/Logging_2480/kartor/A 31318-2022 karta.png", "A 31318-2022")</f>
        <v/>
      </c>
      <c r="V1109">
        <f>HYPERLINK("https://klasma.github.io/Logging_2480/klagomål/A 31318-2022 FSC-klagomål.docx", "A 31318-2022")</f>
        <v/>
      </c>
      <c r="W1109">
        <f>HYPERLINK("https://klasma.github.io/Logging_2480/klagomålsmail/A 31318-2022 FSC-klagomål mail.docx", "A 31318-2022")</f>
        <v/>
      </c>
      <c r="X1109">
        <f>HYPERLINK("https://klasma.github.io/Logging_2480/tillsyn/A 31318-2022 tillsynsbegäran.docx", "A 31318-2022")</f>
        <v/>
      </c>
      <c r="Y1109">
        <f>HYPERLINK("https://klasma.github.io/Logging_2480/tillsynsmail/A 31318-2022 tillsynsbegäran mail.docx", "A 31318-2022")</f>
        <v/>
      </c>
      <c r="Z1109">
        <f>HYPERLINK("https://klasma.github.io/Logging_2480/fåglar/A 31318-2022 prioriterade fågelarter.docx", "A 31318-2022")</f>
        <v/>
      </c>
    </row>
    <row r="1110" ht="15" customHeight="1">
      <c r="A1110" t="inlineStr">
        <is>
          <t>A 64497-2023</t>
        </is>
      </c>
      <c r="B1110" s="1" t="n">
        <v>45280</v>
      </c>
      <c r="C1110" s="1" t="n">
        <v>46145</v>
      </c>
      <c r="D1110" t="inlineStr">
        <is>
          <t>VÄSTERBOTTENS LÄN</t>
        </is>
      </c>
      <c r="E1110" t="inlineStr">
        <is>
          <t>ÅSELE</t>
        </is>
      </c>
      <c r="F1110" t="inlineStr">
        <is>
          <t>SCA</t>
        </is>
      </c>
      <c r="G1110" t="n">
        <v>7.3</v>
      </c>
      <c r="H1110" t="n">
        <v>0</v>
      </c>
      <c r="I1110" t="n">
        <v>0</v>
      </c>
      <c r="J1110" t="n">
        <v>1</v>
      </c>
      <c r="K1110" t="n">
        <v>0</v>
      </c>
      <c r="L1110" t="n">
        <v>0</v>
      </c>
      <c r="M1110" t="n">
        <v>0</v>
      </c>
      <c r="N1110" t="n">
        <v>0</v>
      </c>
      <c r="O1110" t="n">
        <v>1</v>
      </c>
      <c r="P1110" t="n">
        <v>0</v>
      </c>
      <c r="Q1110" t="n">
        <v>1</v>
      </c>
      <c r="R1110" s="2" t="inlineStr">
        <is>
          <t>Harticka</t>
        </is>
      </c>
      <c r="S1110">
        <f>HYPERLINK("https://klasma.github.io/Logging_2463/artfynd/A 64497-2023 artfynd.xlsx", "A 64497-2023")</f>
        <v/>
      </c>
      <c r="T1110">
        <f>HYPERLINK("https://klasma.github.io/Logging_2463/kartor/A 64497-2023 karta.png", "A 64497-2023")</f>
        <v/>
      </c>
      <c r="V1110">
        <f>HYPERLINK("https://klasma.github.io/Logging_2463/klagomål/A 64497-2023 FSC-klagomål.docx", "A 64497-2023")</f>
        <v/>
      </c>
      <c r="W1110">
        <f>HYPERLINK("https://klasma.github.io/Logging_2463/klagomålsmail/A 64497-2023 FSC-klagomål mail.docx", "A 64497-2023")</f>
        <v/>
      </c>
      <c r="X1110">
        <f>HYPERLINK("https://klasma.github.io/Logging_2463/tillsyn/A 64497-2023 tillsynsbegäran.docx", "A 64497-2023")</f>
        <v/>
      </c>
      <c r="Y1110">
        <f>HYPERLINK("https://klasma.github.io/Logging_2463/tillsynsmail/A 64497-2023 tillsynsbegäran mail.docx", "A 64497-2023")</f>
        <v/>
      </c>
    </row>
    <row r="1111" ht="15" customHeight="1">
      <c r="A1111" t="inlineStr">
        <is>
          <t>A 62578-2022</t>
        </is>
      </c>
      <c r="B1111" s="1" t="n">
        <v>44924</v>
      </c>
      <c r="C1111" s="1" t="n">
        <v>46145</v>
      </c>
      <c r="D1111" t="inlineStr">
        <is>
          <t>VÄSTERBOTTENS LÄN</t>
        </is>
      </c>
      <c r="E1111" t="inlineStr">
        <is>
          <t>VINDELN</t>
        </is>
      </c>
      <c r="G1111" t="n">
        <v>4.6</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HYPERLINK("https://klasma.github.io/Logging_2404/artfynd/A 62578-2022 artfynd.xlsx", "A 62578-2022")</f>
        <v/>
      </c>
      <c r="T1111">
        <f>HYPERLINK("https://klasma.github.io/Logging_2404/kartor/A 62578-2022 karta.png", "A 62578-2022")</f>
        <v/>
      </c>
      <c r="V1111">
        <f>HYPERLINK("https://klasma.github.io/Logging_2404/klagomål/A 62578-2022 FSC-klagomål.docx", "A 62578-2022")</f>
        <v/>
      </c>
      <c r="W1111">
        <f>HYPERLINK("https://klasma.github.io/Logging_2404/klagomålsmail/A 62578-2022 FSC-klagomål mail.docx", "A 62578-2022")</f>
        <v/>
      </c>
      <c r="X1111">
        <f>HYPERLINK("https://klasma.github.io/Logging_2404/tillsyn/A 62578-2022 tillsynsbegäran.docx", "A 62578-2022")</f>
        <v/>
      </c>
      <c r="Y1111">
        <f>HYPERLINK("https://klasma.github.io/Logging_2404/tillsynsmail/A 62578-2022 tillsynsbegäran mail.docx", "A 62578-2022")</f>
        <v/>
      </c>
      <c r="Z1111">
        <f>HYPERLINK("https://klasma.github.io/Logging_2404/fåglar/A 62578-2022 prioriterade fågelarter.docx", "A 62578-2022")</f>
        <v/>
      </c>
    </row>
    <row r="1112" ht="15" customHeight="1">
      <c r="A1112" t="inlineStr">
        <is>
          <t>A 5283-2026</t>
        </is>
      </c>
      <c r="B1112" s="1" t="n">
        <v>46050.34430555555</v>
      </c>
      <c r="C1112" s="1" t="n">
        <v>46145</v>
      </c>
      <c r="D1112" t="inlineStr">
        <is>
          <t>VÄSTERBOTTENS LÄN</t>
        </is>
      </c>
      <c r="E1112" t="inlineStr">
        <is>
          <t>ROBERTSFORS</t>
        </is>
      </c>
      <c r="G1112" t="n">
        <v>1.2</v>
      </c>
      <c r="H1112" t="n">
        <v>1</v>
      </c>
      <c r="I1112" t="n">
        <v>0</v>
      </c>
      <c r="J1112" t="n">
        <v>1</v>
      </c>
      <c r="K1112" t="n">
        <v>0</v>
      </c>
      <c r="L1112" t="n">
        <v>0</v>
      </c>
      <c r="M1112" t="n">
        <v>0</v>
      </c>
      <c r="N1112" t="n">
        <v>0</v>
      </c>
      <c r="O1112" t="n">
        <v>1</v>
      </c>
      <c r="P1112" t="n">
        <v>0</v>
      </c>
      <c r="Q1112" t="n">
        <v>1</v>
      </c>
      <c r="R1112" s="2" t="inlineStr">
        <is>
          <t>Talltita</t>
        </is>
      </c>
      <c r="S1112">
        <f>HYPERLINK("https://klasma.github.io/Logging_2409/artfynd/A 5283-2026 artfynd.xlsx", "A 5283-2026")</f>
        <v/>
      </c>
      <c r="T1112">
        <f>HYPERLINK("https://klasma.github.io/Logging_2409/kartor/A 5283-2026 karta.png", "A 5283-2026")</f>
        <v/>
      </c>
      <c r="V1112">
        <f>HYPERLINK("https://klasma.github.io/Logging_2409/klagomål/A 5283-2026 FSC-klagomål.docx", "A 5283-2026")</f>
        <v/>
      </c>
      <c r="W1112">
        <f>HYPERLINK("https://klasma.github.io/Logging_2409/klagomålsmail/A 5283-2026 FSC-klagomål mail.docx", "A 5283-2026")</f>
        <v/>
      </c>
      <c r="X1112">
        <f>HYPERLINK("https://klasma.github.io/Logging_2409/tillsyn/A 5283-2026 tillsynsbegäran.docx", "A 5283-2026")</f>
        <v/>
      </c>
      <c r="Y1112">
        <f>HYPERLINK("https://klasma.github.io/Logging_2409/tillsynsmail/A 5283-2026 tillsynsbegäran mail.docx", "A 5283-2026")</f>
        <v/>
      </c>
      <c r="Z1112">
        <f>HYPERLINK("https://klasma.github.io/Logging_2409/fåglar/A 5283-2026 prioriterade fågelarter.docx", "A 5283-2026")</f>
        <v/>
      </c>
    </row>
    <row r="1113" ht="15" customHeight="1">
      <c r="A1113" t="inlineStr">
        <is>
          <t>A 5658-2026</t>
        </is>
      </c>
      <c r="B1113" s="1" t="n">
        <v>46051.44943287037</v>
      </c>
      <c r="C1113" s="1" t="n">
        <v>46145</v>
      </c>
      <c r="D1113" t="inlineStr">
        <is>
          <t>VÄSTERBOTTENS LÄN</t>
        </is>
      </c>
      <c r="E1113" t="inlineStr">
        <is>
          <t>MALÅ</t>
        </is>
      </c>
      <c r="F1113" t="inlineStr">
        <is>
          <t>Sveaskog</t>
        </is>
      </c>
      <c r="G1113" t="n">
        <v>8.6</v>
      </c>
      <c r="H1113" t="n">
        <v>0</v>
      </c>
      <c r="I1113" t="n">
        <v>0</v>
      </c>
      <c r="J1113" t="n">
        <v>1</v>
      </c>
      <c r="K1113" t="n">
        <v>0</v>
      </c>
      <c r="L1113" t="n">
        <v>0</v>
      </c>
      <c r="M1113" t="n">
        <v>0</v>
      </c>
      <c r="N1113" t="n">
        <v>0</v>
      </c>
      <c r="O1113" t="n">
        <v>1</v>
      </c>
      <c r="P1113" t="n">
        <v>0</v>
      </c>
      <c r="Q1113" t="n">
        <v>1</v>
      </c>
      <c r="R1113" s="2" t="inlineStr">
        <is>
          <t>Grantaggsvamp</t>
        </is>
      </c>
      <c r="S1113">
        <f>HYPERLINK("https://klasma.github.io/Logging_2418/artfynd/A 5658-2026 artfynd.xlsx", "A 5658-2026")</f>
        <v/>
      </c>
      <c r="T1113">
        <f>HYPERLINK("https://klasma.github.io/Logging_2418/kartor/A 5658-2026 karta.png", "A 5658-2026")</f>
        <v/>
      </c>
      <c r="V1113">
        <f>HYPERLINK("https://klasma.github.io/Logging_2418/klagomål/A 5658-2026 FSC-klagomål.docx", "A 5658-2026")</f>
        <v/>
      </c>
      <c r="W1113">
        <f>HYPERLINK("https://klasma.github.io/Logging_2418/klagomålsmail/A 5658-2026 FSC-klagomål mail.docx", "A 5658-2026")</f>
        <v/>
      </c>
      <c r="X1113">
        <f>HYPERLINK("https://klasma.github.io/Logging_2418/tillsyn/A 5658-2026 tillsynsbegäran.docx", "A 5658-2026")</f>
        <v/>
      </c>
      <c r="Y1113">
        <f>HYPERLINK("https://klasma.github.io/Logging_2418/tillsynsmail/A 5658-2026 tillsynsbegäran mail.docx", "A 5658-2026")</f>
        <v/>
      </c>
    </row>
    <row r="1114" ht="15" customHeight="1">
      <c r="A1114" t="inlineStr">
        <is>
          <t>A 39380-2022</t>
        </is>
      </c>
      <c r="B1114" s="1" t="n">
        <v>44817</v>
      </c>
      <c r="C1114" s="1" t="n">
        <v>46145</v>
      </c>
      <c r="D1114" t="inlineStr">
        <is>
          <t>VÄSTERBOTTENS LÄN</t>
        </is>
      </c>
      <c r="E1114" t="inlineStr">
        <is>
          <t>ÅSELE</t>
        </is>
      </c>
      <c r="F1114" t="inlineStr">
        <is>
          <t>SCA</t>
        </is>
      </c>
      <c r="G1114" t="n">
        <v>2.4</v>
      </c>
      <c r="H1114" t="n">
        <v>1</v>
      </c>
      <c r="I1114" t="n">
        <v>1</v>
      </c>
      <c r="J1114" t="n">
        <v>0</v>
      </c>
      <c r="K1114" t="n">
        <v>0</v>
      </c>
      <c r="L1114" t="n">
        <v>0</v>
      </c>
      <c r="M1114" t="n">
        <v>0</v>
      </c>
      <c r="N1114" t="n">
        <v>0</v>
      </c>
      <c r="O1114" t="n">
        <v>0</v>
      </c>
      <c r="P1114" t="n">
        <v>0</v>
      </c>
      <c r="Q1114" t="n">
        <v>1</v>
      </c>
      <c r="R1114" s="2" t="inlineStr">
        <is>
          <t>Lappranunkel</t>
        </is>
      </c>
      <c r="S1114">
        <f>HYPERLINK("https://klasma.github.io/Logging_2463/artfynd/A 39380-2022 artfynd.xlsx", "A 39380-2022")</f>
        <v/>
      </c>
      <c r="T1114">
        <f>HYPERLINK("https://klasma.github.io/Logging_2463/kartor/A 39380-2022 karta.png", "A 39380-2022")</f>
        <v/>
      </c>
      <c r="V1114">
        <f>HYPERLINK("https://klasma.github.io/Logging_2463/klagomål/A 39380-2022 FSC-klagomål.docx", "A 39380-2022")</f>
        <v/>
      </c>
      <c r="W1114">
        <f>HYPERLINK("https://klasma.github.io/Logging_2463/klagomålsmail/A 39380-2022 FSC-klagomål mail.docx", "A 39380-2022")</f>
        <v/>
      </c>
      <c r="X1114">
        <f>HYPERLINK("https://klasma.github.io/Logging_2463/tillsyn/A 39380-2022 tillsynsbegäran.docx", "A 39380-2022")</f>
        <v/>
      </c>
      <c r="Y1114">
        <f>HYPERLINK("https://klasma.github.io/Logging_2463/tillsynsmail/A 39380-2022 tillsynsbegäran mail.docx", "A 39380-2022")</f>
        <v/>
      </c>
    </row>
    <row r="1115" ht="15" customHeight="1">
      <c r="A1115" t="inlineStr">
        <is>
          <t>A 48741-2025</t>
        </is>
      </c>
      <c r="B1115" s="1" t="n">
        <v>45936</v>
      </c>
      <c r="C1115" s="1" t="n">
        <v>46145</v>
      </c>
      <c r="D1115" t="inlineStr">
        <is>
          <t>VÄSTERBOTTENS LÄN</t>
        </is>
      </c>
      <c r="E1115" t="inlineStr">
        <is>
          <t>VILHELMINA</t>
        </is>
      </c>
      <c r="F1115" t="inlineStr">
        <is>
          <t>SCA</t>
        </is>
      </c>
      <c r="G1115" t="n">
        <v>4.6</v>
      </c>
      <c r="H1115" t="n">
        <v>0</v>
      </c>
      <c r="I1115" t="n">
        <v>0</v>
      </c>
      <c r="J1115" t="n">
        <v>1</v>
      </c>
      <c r="K1115" t="n">
        <v>0</v>
      </c>
      <c r="L1115" t="n">
        <v>0</v>
      </c>
      <c r="M1115" t="n">
        <v>0</v>
      </c>
      <c r="N1115" t="n">
        <v>0</v>
      </c>
      <c r="O1115" t="n">
        <v>1</v>
      </c>
      <c r="P1115" t="n">
        <v>0</v>
      </c>
      <c r="Q1115" t="n">
        <v>1</v>
      </c>
      <c r="R1115" s="2" t="inlineStr">
        <is>
          <t>Ullticka</t>
        </is>
      </c>
      <c r="S1115">
        <f>HYPERLINK("https://klasma.github.io/Logging_2462/artfynd/A 48741-2025 artfynd.xlsx", "A 48741-2025")</f>
        <v/>
      </c>
      <c r="T1115">
        <f>HYPERLINK("https://klasma.github.io/Logging_2462/kartor/A 48741-2025 karta.png", "A 48741-2025")</f>
        <v/>
      </c>
      <c r="V1115">
        <f>HYPERLINK("https://klasma.github.io/Logging_2462/klagomål/A 48741-2025 FSC-klagomål.docx", "A 48741-2025")</f>
        <v/>
      </c>
      <c r="W1115">
        <f>HYPERLINK("https://klasma.github.io/Logging_2462/klagomålsmail/A 48741-2025 FSC-klagomål mail.docx", "A 48741-2025")</f>
        <v/>
      </c>
      <c r="X1115">
        <f>HYPERLINK("https://klasma.github.io/Logging_2462/tillsyn/A 48741-2025 tillsynsbegäran.docx", "A 48741-2025")</f>
        <v/>
      </c>
      <c r="Y1115">
        <f>HYPERLINK("https://klasma.github.io/Logging_2462/tillsynsmail/A 48741-2025 tillsynsbegäran mail.docx", "A 48741-2025")</f>
        <v/>
      </c>
    </row>
    <row r="1116" ht="15" customHeight="1">
      <c r="A1116" t="inlineStr">
        <is>
          <t>A 25374-2024</t>
        </is>
      </c>
      <c r="B1116" s="1" t="n">
        <v>45462</v>
      </c>
      <c r="C1116" s="1" t="n">
        <v>46145</v>
      </c>
      <c r="D1116" t="inlineStr">
        <is>
          <t>VÄSTERBOTTENS LÄN</t>
        </is>
      </c>
      <c r="E1116" t="inlineStr">
        <is>
          <t>VILHELMINA</t>
        </is>
      </c>
      <c r="F1116" t="inlineStr">
        <is>
          <t>SCA</t>
        </is>
      </c>
      <c r="G1116" t="n">
        <v>7.7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25374-2024 artfynd.xlsx", "A 25374-2024")</f>
        <v/>
      </c>
      <c r="T1116">
        <f>HYPERLINK("https://klasma.github.io/Logging_2462/kartor/A 25374-2024 karta.png", "A 25374-2024")</f>
        <v/>
      </c>
      <c r="V1116">
        <f>HYPERLINK("https://klasma.github.io/Logging_2462/klagomål/A 25374-2024 FSC-klagomål.docx", "A 25374-2024")</f>
        <v/>
      </c>
      <c r="W1116">
        <f>HYPERLINK("https://klasma.github.io/Logging_2462/klagomålsmail/A 25374-2024 FSC-klagomål mail.docx", "A 25374-2024")</f>
        <v/>
      </c>
      <c r="X1116">
        <f>HYPERLINK("https://klasma.github.io/Logging_2462/tillsyn/A 25374-2024 tillsynsbegäran.docx", "A 25374-2024")</f>
        <v/>
      </c>
      <c r="Y1116">
        <f>HYPERLINK("https://klasma.github.io/Logging_2462/tillsynsmail/A 25374-2024 tillsynsbegäran mail.docx", "A 25374-2024")</f>
        <v/>
      </c>
      <c r="Z1116">
        <f>HYPERLINK("https://klasma.github.io/Logging_2462/fåglar/A 25374-2024 prioriterade fågelarter.docx", "A 25374-2024")</f>
        <v/>
      </c>
    </row>
    <row r="1117" ht="15" customHeight="1">
      <c r="A1117" t="inlineStr">
        <is>
          <t>A 5611-2026</t>
        </is>
      </c>
      <c r="B1117" s="1" t="n">
        <v>46051.36436342593</v>
      </c>
      <c r="C1117" s="1" t="n">
        <v>46145</v>
      </c>
      <c r="D1117" t="inlineStr">
        <is>
          <t>VÄSTERBOTTENS LÄN</t>
        </is>
      </c>
      <c r="E1117" t="inlineStr">
        <is>
          <t>NORSJÖ</t>
        </is>
      </c>
      <c r="F1117" t="inlineStr">
        <is>
          <t>Sveaskog</t>
        </is>
      </c>
      <c r="G1117" t="n">
        <v>29.1</v>
      </c>
      <c r="H1117" t="n">
        <v>0</v>
      </c>
      <c r="I1117" t="n">
        <v>0</v>
      </c>
      <c r="J1117" t="n">
        <v>1</v>
      </c>
      <c r="K1117" t="n">
        <v>0</v>
      </c>
      <c r="L1117" t="n">
        <v>0</v>
      </c>
      <c r="M1117" t="n">
        <v>0</v>
      </c>
      <c r="N1117" t="n">
        <v>0</v>
      </c>
      <c r="O1117" t="n">
        <v>1</v>
      </c>
      <c r="P1117" t="n">
        <v>0</v>
      </c>
      <c r="Q1117" t="n">
        <v>1</v>
      </c>
      <c r="R1117" s="2" t="inlineStr">
        <is>
          <t>Lunglav</t>
        </is>
      </c>
      <c r="S1117">
        <f>HYPERLINK("https://klasma.github.io/Logging_2417/artfynd/A 5611-2026 artfynd.xlsx", "A 5611-2026")</f>
        <v/>
      </c>
      <c r="T1117">
        <f>HYPERLINK("https://klasma.github.io/Logging_2417/kartor/A 5611-2026 karta.png", "A 5611-2026")</f>
        <v/>
      </c>
      <c r="V1117">
        <f>HYPERLINK("https://klasma.github.io/Logging_2417/klagomål/A 5611-2026 FSC-klagomål.docx", "A 5611-2026")</f>
        <v/>
      </c>
      <c r="W1117">
        <f>HYPERLINK("https://klasma.github.io/Logging_2417/klagomålsmail/A 5611-2026 FSC-klagomål mail.docx", "A 5611-2026")</f>
        <v/>
      </c>
      <c r="X1117">
        <f>HYPERLINK("https://klasma.github.io/Logging_2417/tillsyn/A 5611-2026 tillsynsbegäran.docx", "A 5611-2026")</f>
        <v/>
      </c>
      <c r="Y1117">
        <f>HYPERLINK("https://klasma.github.io/Logging_2417/tillsynsmail/A 5611-2026 tillsynsbegäran mail.docx", "A 5611-2026")</f>
        <v/>
      </c>
    </row>
    <row r="1118" ht="15" customHeight="1">
      <c r="A1118" t="inlineStr">
        <is>
          <t>A 6566-2026</t>
        </is>
      </c>
      <c r="B1118" s="1" t="n">
        <v>46056.44005787037</v>
      </c>
      <c r="C1118" s="1" t="n">
        <v>46145</v>
      </c>
      <c r="D1118" t="inlineStr">
        <is>
          <t>VÄSTERBOTTENS LÄN</t>
        </is>
      </c>
      <c r="E1118" t="inlineStr">
        <is>
          <t>VILHELMINA</t>
        </is>
      </c>
      <c r="G1118" t="n">
        <v>12.7</v>
      </c>
      <c r="H1118" t="n">
        <v>0</v>
      </c>
      <c r="I1118" t="n">
        <v>1</v>
      </c>
      <c r="J1118" t="n">
        <v>0</v>
      </c>
      <c r="K1118" t="n">
        <v>0</v>
      </c>
      <c r="L1118" t="n">
        <v>0</v>
      </c>
      <c r="M1118" t="n">
        <v>0</v>
      </c>
      <c r="N1118" t="n">
        <v>0</v>
      </c>
      <c r="O1118" t="n">
        <v>0</v>
      </c>
      <c r="P1118" t="n">
        <v>0</v>
      </c>
      <c r="Q1118" t="n">
        <v>1</v>
      </c>
      <c r="R1118" s="2" t="inlineStr">
        <is>
          <t>Nordlig tuffmossa</t>
        </is>
      </c>
      <c r="S1118">
        <f>HYPERLINK("https://klasma.github.io/Logging_2462/artfynd/A 6566-2026 artfynd.xlsx", "A 6566-2026")</f>
        <v/>
      </c>
      <c r="T1118">
        <f>HYPERLINK("https://klasma.github.io/Logging_2462/kartor/A 6566-2026 karta.png", "A 6566-2026")</f>
        <v/>
      </c>
      <c r="V1118">
        <f>HYPERLINK("https://klasma.github.io/Logging_2462/klagomål/A 6566-2026 FSC-klagomål.docx", "A 6566-2026")</f>
        <v/>
      </c>
      <c r="W1118">
        <f>HYPERLINK("https://klasma.github.io/Logging_2462/klagomålsmail/A 6566-2026 FSC-klagomål mail.docx", "A 6566-2026")</f>
        <v/>
      </c>
      <c r="X1118">
        <f>HYPERLINK("https://klasma.github.io/Logging_2462/tillsyn/A 6566-2026 tillsynsbegäran.docx", "A 6566-2026")</f>
        <v/>
      </c>
      <c r="Y1118">
        <f>HYPERLINK("https://klasma.github.io/Logging_2462/tillsynsmail/A 6566-2026 tillsynsbegäran mail.docx", "A 6566-2026")</f>
        <v/>
      </c>
    </row>
    <row r="1119" ht="15" customHeight="1">
      <c r="A1119" t="inlineStr">
        <is>
          <t>A 41674-2023</t>
        </is>
      </c>
      <c r="B1119" s="1" t="n">
        <v>45176</v>
      </c>
      <c r="C1119" s="1" t="n">
        <v>46145</v>
      </c>
      <c r="D1119" t="inlineStr">
        <is>
          <t>VÄSTERBOTTENS LÄN</t>
        </is>
      </c>
      <c r="E1119" t="inlineStr">
        <is>
          <t>UMEÅ</t>
        </is>
      </c>
      <c r="F1119" t="inlineStr">
        <is>
          <t>Holmen skog AB</t>
        </is>
      </c>
      <c r="G1119" t="n">
        <v>4.1</v>
      </c>
      <c r="H1119" t="n">
        <v>1</v>
      </c>
      <c r="I1119" t="n">
        <v>0</v>
      </c>
      <c r="J1119" t="n">
        <v>1</v>
      </c>
      <c r="K1119" t="n">
        <v>0</v>
      </c>
      <c r="L1119" t="n">
        <v>0</v>
      </c>
      <c r="M1119" t="n">
        <v>0</v>
      </c>
      <c r="N1119" t="n">
        <v>0</v>
      </c>
      <c r="O1119" t="n">
        <v>1</v>
      </c>
      <c r="P1119" t="n">
        <v>0</v>
      </c>
      <c r="Q1119" t="n">
        <v>1</v>
      </c>
      <c r="R1119" s="2" t="inlineStr">
        <is>
          <t>Nordfladdermus</t>
        </is>
      </c>
      <c r="S1119">
        <f>HYPERLINK("https://klasma.github.io/Logging_2480/artfynd/A 41674-2023 artfynd.xlsx", "A 41674-2023")</f>
        <v/>
      </c>
      <c r="T1119">
        <f>HYPERLINK("https://klasma.github.io/Logging_2480/kartor/A 41674-2023 karta.png", "A 41674-2023")</f>
        <v/>
      </c>
      <c r="V1119">
        <f>HYPERLINK("https://klasma.github.io/Logging_2480/klagomål/A 41674-2023 FSC-klagomål.docx", "A 41674-2023")</f>
        <v/>
      </c>
      <c r="W1119">
        <f>HYPERLINK("https://klasma.github.io/Logging_2480/klagomålsmail/A 41674-2023 FSC-klagomål mail.docx", "A 41674-2023")</f>
        <v/>
      </c>
      <c r="X1119">
        <f>HYPERLINK("https://klasma.github.io/Logging_2480/tillsyn/A 41674-2023 tillsynsbegäran.docx", "A 41674-2023")</f>
        <v/>
      </c>
      <c r="Y1119">
        <f>HYPERLINK("https://klasma.github.io/Logging_2480/tillsynsmail/A 41674-2023 tillsynsbegäran mail.docx", "A 41674-2023")</f>
        <v/>
      </c>
    </row>
    <row r="1120" ht="15" customHeight="1">
      <c r="A1120" t="inlineStr">
        <is>
          <t>A 58657-2023</t>
        </is>
      </c>
      <c r="B1120" s="1" t="n">
        <v>45251</v>
      </c>
      <c r="C1120" s="1" t="n">
        <v>46145</v>
      </c>
      <c r="D1120" t="inlineStr">
        <is>
          <t>VÄSTERBOTTENS LÄN</t>
        </is>
      </c>
      <c r="E1120" t="inlineStr">
        <is>
          <t>LYCKSELE</t>
        </is>
      </c>
      <c r="F1120" t="inlineStr">
        <is>
          <t>Sveaskog</t>
        </is>
      </c>
      <c r="G1120" t="n">
        <v>14.4</v>
      </c>
      <c r="H1120" t="n">
        <v>0</v>
      </c>
      <c r="I1120" t="n">
        <v>1</v>
      </c>
      <c r="J1120" t="n">
        <v>0</v>
      </c>
      <c r="K1120" t="n">
        <v>0</v>
      </c>
      <c r="L1120" t="n">
        <v>0</v>
      </c>
      <c r="M1120" t="n">
        <v>0</v>
      </c>
      <c r="N1120" t="n">
        <v>0</v>
      </c>
      <c r="O1120" t="n">
        <v>0</v>
      </c>
      <c r="P1120" t="n">
        <v>0</v>
      </c>
      <c r="Q1120" t="n">
        <v>1</v>
      </c>
      <c r="R1120" s="2" t="inlineStr">
        <is>
          <t>Bollvitmossa</t>
        </is>
      </c>
      <c r="S1120">
        <f>HYPERLINK("https://klasma.github.io/Logging_2481/artfynd/A 58657-2023 artfynd.xlsx", "A 58657-2023")</f>
        <v/>
      </c>
      <c r="T1120">
        <f>HYPERLINK("https://klasma.github.io/Logging_2481/kartor/A 58657-2023 karta.png", "A 58657-2023")</f>
        <v/>
      </c>
      <c r="V1120">
        <f>HYPERLINK("https://klasma.github.io/Logging_2481/klagomål/A 58657-2023 FSC-klagomål.docx", "A 58657-2023")</f>
        <v/>
      </c>
      <c r="W1120">
        <f>HYPERLINK("https://klasma.github.io/Logging_2481/klagomålsmail/A 58657-2023 FSC-klagomål mail.docx", "A 58657-2023")</f>
        <v/>
      </c>
      <c r="X1120">
        <f>HYPERLINK("https://klasma.github.io/Logging_2481/tillsyn/A 58657-2023 tillsynsbegäran.docx", "A 58657-2023")</f>
        <v/>
      </c>
      <c r="Y1120">
        <f>HYPERLINK("https://klasma.github.io/Logging_2481/tillsynsmail/A 58657-2023 tillsynsbegäran mail.docx", "A 58657-2023")</f>
        <v/>
      </c>
    </row>
    <row r="1121" ht="15" customHeight="1">
      <c r="A1121" t="inlineStr">
        <is>
          <t>A 6750-2026</t>
        </is>
      </c>
      <c r="B1121" s="1" t="n">
        <v>46056.75780092592</v>
      </c>
      <c r="C1121" s="1" t="n">
        <v>46145</v>
      </c>
      <c r="D1121" t="inlineStr">
        <is>
          <t>VÄSTERBOTTENS LÄN</t>
        </is>
      </c>
      <c r="E1121" t="inlineStr">
        <is>
          <t>ROBERTSFORS</t>
        </is>
      </c>
      <c r="G1121" t="n">
        <v>6.3</v>
      </c>
      <c r="H1121" t="n">
        <v>1</v>
      </c>
      <c r="I1121" t="n">
        <v>0</v>
      </c>
      <c r="J1121" t="n">
        <v>1</v>
      </c>
      <c r="K1121" t="n">
        <v>0</v>
      </c>
      <c r="L1121" t="n">
        <v>0</v>
      </c>
      <c r="M1121" t="n">
        <v>0</v>
      </c>
      <c r="N1121" t="n">
        <v>0</v>
      </c>
      <c r="O1121" t="n">
        <v>1</v>
      </c>
      <c r="P1121" t="n">
        <v>0</v>
      </c>
      <c r="Q1121" t="n">
        <v>1</v>
      </c>
      <c r="R1121" s="2" t="inlineStr">
        <is>
          <t>Talltita</t>
        </is>
      </c>
      <c r="S1121">
        <f>HYPERLINK("https://klasma.github.io/Logging_2409/artfynd/A 6750-2026 artfynd.xlsx", "A 6750-2026")</f>
        <v/>
      </c>
      <c r="T1121">
        <f>HYPERLINK("https://klasma.github.io/Logging_2409/kartor/A 6750-2026 karta.png", "A 6750-2026")</f>
        <v/>
      </c>
      <c r="V1121">
        <f>HYPERLINK("https://klasma.github.io/Logging_2409/klagomål/A 6750-2026 FSC-klagomål.docx", "A 6750-2026")</f>
        <v/>
      </c>
      <c r="W1121">
        <f>HYPERLINK("https://klasma.github.io/Logging_2409/klagomålsmail/A 6750-2026 FSC-klagomål mail.docx", "A 6750-2026")</f>
        <v/>
      </c>
      <c r="X1121">
        <f>HYPERLINK("https://klasma.github.io/Logging_2409/tillsyn/A 6750-2026 tillsynsbegäran.docx", "A 6750-2026")</f>
        <v/>
      </c>
      <c r="Y1121">
        <f>HYPERLINK("https://klasma.github.io/Logging_2409/tillsynsmail/A 6750-2026 tillsynsbegäran mail.docx", "A 6750-2026")</f>
        <v/>
      </c>
      <c r="Z1121">
        <f>HYPERLINK("https://klasma.github.io/Logging_2409/fåglar/A 6750-2026 prioriterade fågelarter.docx", "A 6750-2026")</f>
        <v/>
      </c>
    </row>
    <row r="1122" ht="15" customHeight="1">
      <c r="A1122" t="inlineStr">
        <is>
          <t>A 59058-2023</t>
        </is>
      </c>
      <c r="B1122" s="1" t="n">
        <v>45252.8006712963</v>
      </c>
      <c r="C1122" s="1" t="n">
        <v>46145</v>
      </c>
      <c r="D1122" t="inlineStr">
        <is>
          <t>VÄSTERBOTTENS LÄN</t>
        </is>
      </c>
      <c r="E1122" t="inlineStr">
        <is>
          <t>STORUMAN</t>
        </is>
      </c>
      <c r="G1122" t="n">
        <v>15.3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59058-2023 artfynd.xlsx", "A 59058-2023")</f>
        <v/>
      </c>
      <c r="T1122">
        <f>HYPERLINK("https://klasma.github.io/Logging_2421/kartor/A 59058-2023 karta.png", "A 59058-2023")</f>
        <v/>
      </c>
      <c r="V1122">
        <f>HYPERLINK("https://klasma.github.io/Logging_2421/klagomål/A 59058-2023 FSC-klagomål.docx", "A 59058-2023")</f>
        <v/>
      </c>
      <c r="W1122">
        <f>HYPERLINK("https://klasma.github.io/Logging_2421/klagomålsmail/A 59058-2023 FSC-klagomål mail.docx", "A 59058-2023")</f>
        <v/>
      </c>
      <c r="X1122">
        <f>HYPERLINK("https://klasma.github.io/Logging_2421/tillsyn/A 59058-2023 tillsynsbegäran.docx", "A 59058-2023")</f>
        <v/>
      </c>
      <c r="Y1122">
        <f>HYPERLINK("https://klasma.github.io/Logging_2421/tillsynsmail/A 59058-2023 tillsynsbegäran mail.docx", "A 59058-2023")</f>
        <v/>
      </c>
    </row>
    <row r="1123" ht="15" customHeight="1">
      <c r="A1123" t="inlineStr">
        <is>
          <t>A 7219-2026</t>
        </is>
      </c>
      <c r="B1123" s="1" t="n">
        <v>46058.5600462963</v>
      </c>
      <c r="C1123" s="1" t="n">
        <v>46145</v>
      </c>
      <c r="D1123" t="inlineStr">
        <is>
          <t>VÄSTERBOTTENS LÄN</t>
        </is>
      </c>
      <c r="E1123" t="inlineStr">
        <is>
          <t>STORUMAN</t>
        </is>
      </c>
      <c r="G1123" t="n">
        <v>12.8</v>
      </c>
      <c r="H1123" t="n">
        <v>0</v>
      </c>
      <c r="I1123" t="n">
        <v>0</v>
      </c>
      <c r="J1123" t="n">
        <v>1</v>
      </c>
      <c r="K1123" t="n">
        <v>0</v>
      </c>
      <c r="L1123" t="n">
        <v>0</v>
      </c>
      <c r="M1123" t="n">
        <v>0</v>
      </c>
      <c r="N1123" t="n">
        <v>0</v>
      </c>
      <c r="O1123" t="n">
        <v>1</v>
      </c>
      <c r="P1123" t="n">
        <v>0</v>
      </c>
      <c r="Q1123" t="n">
        <v>1</v>
      </c>
      <c r="R1123" s="2" t="inlineStr">
        <is>
          <t>Vedflikmossa</t>
        </is>
      </c>
      <c r="S1123">
        <f>HYPERLINK("https://klasma.github.io/Logging_2421/artfynd/A 7219-2026 artfynd.xlsx", "A 7219-2026")</f>
        <v/>
      </c>
      <c r="T1123">
        <f>HYPERLINK("https://klasma.github.io/Logging_2421/kartor/A 7219-2026 karta.png", "A 7219-2026")</f>
        <v/>
      </c>
      <c r="V1123">
        <f>HYPERLINK("https://klasma.github.io/Logging_2421/klagomål/A 7219-2026 FSC-klagomål.docx", "A 7219-2026")</f>
        <v/>
      </c>
      <c r="W1123">
        <f>HYPERLINK("https://klasma.github.io/Logging_2421/klagomålsmail/A 7219-2026 FSC-klagomål mail.docx", "A 7219-2026")</f>
        <v/>
      </c>
      <c r="X1123">
        <f>HYPERLINK("https://klasma.github.io/Logging_2421/tillsyn/A 7219-2026 tillsynsbegäran.docx", "A 7219-2026")</f>
        <v/>
      </c>
      <c r="Y1123">
        <f>HYPERLINK("https://klasma.github.io/Logging_2421/tillsynsmail/A 7219-2026 tillsynsbegäran mail.docx", "A 7219-2026")</f>
        <v/>
      </c>
    </row>
    <row r="1124" ht="15" customHeight="1">
      <c r="A1124" t="inlineStr">
        <is>
          <t>A 7181-2026</t>
        </is>
      </c>
      <c r="B1124" s="1" t="n">
        <v>46058.48370370371</v>
      </c>
      <c r="C1124" s="1" t="n">
        <v>46145</v>
      </c>
      <c r="D1124" t="inlineStr">
        <is>
          <t>VÄSTERBOTTENS LÄN</t>
        </is>
      </c>
      <c r="E1124" t="inlineStr">
        <is>
          <t>SKELLEFTEÅ</t>
        </is>
      </c>
      <c r="G1124" t="n">
        <v>5.6</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7181-2026 artfynd.xlsx", "A 7181-2026")</f>
        <v/>
      </c>
      <c r="T1124">
        <f>HYPERLINK("https://klasma.github.io/Logging_2482/kartor/A 7181-2026 karta.png", "A 7181-2026")</f>
        <v/>
      </c>
      <c r="V1124">
        <f>HYPERLINK("https://klasma.github.io/Logging_2482/klagomål/A 7181-2026 FSC-klagomål.docx", "A 7181-2026")</f>
        <v/>
      </c>
      <c r="W1124">
        <f>HYPERLINK("https://klasma.github.io/Logging_2482/klagomålsmail/A 7181-2026 FSC-klagomål mail.docx", "A 7181-2026")</f>
        <v/>
      </c>
      <c r="X1124">
        <f>HYPERLINK("https://klasma.github.io/Logging_2482/tillsyn/A 7181-2026 tillsynsbegäran.docx", "A 7181-2026")</f>
        <v/>
      </c>
      <c r="Y1124">
        <f>HYPERLINK("https://klasma.github.io/Logging_2482/tillsynsmail/A 7181-2026 tillsynsbegäran mail.docx", "A 7181-2026")</f>
        <v/>
      </c>
    </row>
    <row r="1125" ht="15" customHeight="1">
      <c r="A1125" t="inlineStr">
        <is>
          <t>A 58829-2024</t>
        </is>
      </c>
      <c r="B1125" s="1" t="n">
        <v>45636</v>
      </c>
      <c r="C1125" s="1" t="n">
        <v>46145</v>
      </c>
      <c r="D1125" t="inlineStr">
        <is>
          <t>VÄSTERBOTTENS LÄN</t>
        </is>
      </c>
      <c r="E1125" t="inlineStr">
        <is>
          <t>SKELLEFTEÅ</t>
        </is>
      </c>
      <c r="G1125" t="n">
        <v>5.5</v>
      </c>
      <c r="H1125" t="n">
        <v>0</v>
      </c>
      <c r="I1125" t="n">
        <v>0</v>
      </c>
      <c r="J1125" t="n">
        <v>1</v>
      </c>
      <c r="K1125" t="n">
        <v>0</v>
      </c>
      <c r="L1125" t="n">
        <v>0</v>
      </c>
      <c r="M1125" t="n">
        <v>0</v>
      </c>
      <c r="N1125" t="n">
        <v>0</v>
      </c>
      <c r="O1125" t="n">
        <v>1</v>
      </c>
      <c r="P1125" t="n">
        <v>0</v>
      </c>
      <c r="Q1125" t="n">
        <v>1</v>
      </c>
      <c r="R1125" s="2" t="inlineStr">
        <is>
          <t>Granticka</t>
        </is>
      </c>
      <c r="S1125">
        <f>HYPERLINK("https://klasma.github.io/Logging_2482/artfynd/A 58829-2024 artfynd.xlsx", "A 58829-2024")</f>
        <v/>
      </c>
      <c r="T1125">
        <f>HYPERLINK("https://klasma.github.io/Logging_2482/kartor/A 58829-2024 karta.png", "A 58829-2024")</f>
        <v/>
      </c>
      <c r="V1125">
        <f>HYPERLINK("https://klasma.github.io/Logging_2482/klagomål/A 58829-2024 FSC-klagomål.docx", "A 58829-2024")</f>
        <v/>
      </c>
      <c r="W1125">
        <f>HYPERLINK("https://klasma.github.io/Logging_2482/klagomålsmail/A 58829-2024 FSC-klagomål mail.docx", "A 58829-2024")</f>
        <v/>
      </c>
      <c r="X1125">
        <f>HYPERLINK("https://klasma.github.io/Logging_2482/tillsyn/A 58829-2024 tillsynsbegäran.docx", "A 58829-2024")</f>
        <v/>
      </c>
      <c r="Y1125">
        <f>HYPERLINK("https://klasma.github.io/Logging_2482/tillsynsmail/A 58829-2024 tillsynsbegäran mail.docx", "A 58829-2024")</f>
        <v/>
      </c>
    </row>
    <row r="1126" ht="15" customHeight="1">
      <c r="A1126" t="inlineStr">
        <is>
          <t>A 59664-2023</t>
        </is>
      </c>
      <c r="B1126" s="1" t="n">
        <v>45254</v>
      </c>
      <c r="C1126" s="1" t="n">
        <v>46145</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50826-2024</t>
        </is>
      </c>
      <c r="B1127" s="1" t="n">
        <v>45602</v>
      </c>
      <c r="C1127" s="1" t="n">
        <v>46145</v>
      </c>
      <c r="D1127" t="inlineStr">
        <is>
          <t>VÄSTERBOTTENS LÄN</t>
        </is>
      </c>
      <c r="E1127" t="inlineStr">
        <is>
          <t>LYCKSELE</t>
        </is>
      </c>
      <c r="F1127" t="inlineStr">
        <is>
          <t>Sveaskog</t>
        </is>
      </c>
      <c r="G1127" t="n">
        <v>3.1</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50826-2024 artfynd.xlsx", "A 50826-2024")</f>
        <v/>
      </c>
      <c r="T1127">
        <f>HYPERLINK("https://klasma.github.io/Logging_2481/kartor/A 50826-2024 karta.png", "A 50826-2024")</f>
        <v/>
      </c>
      <c r="V1127">
        <f>HYPERLINK("https://klasma.github.io/Logging_2481/klagomål/A 50826-2024 FSC-klagomål.docx", "A 50826-2024")</f>
        <v/>
      </c>
      <c r="W1127">
        <f>HYPERLINK("https://klasma.github.io/Logging_2481/klagomålsmail/A 50826-2024 FSC-klagomål mail.docx", "A 50826-2024")</f>
        <v/>
      </c>
      <c r="X1127">
        <f>HYPERLINK("https://klasma.github.io/Logging_2481/tillsyn/A 50826-2024 tillsynsbegäran.docx", "A 50826-2024")</f>
        <v/>
      </c>
      <c r="Y1127">
        <f>HYPERLINK("https://klasma.github.io/Logging_2481/tillsynsmail/A 50826-2024 tillsynsbegäran mail.docx", "A 50826-2024")</f>
        <v/>
      </c>
    </row>
    <row r="1128" ht="15" customHeight="1">
      <c r="A1128" t="inlineStr">
        <is>
          <t>A 41840-2023</t>
        </is>
      </c>
      <c r="B1128" s="1" t="n">
        <v>45176</v>
      </c>
      <c r="C1128" s="1" t="n">
        <v>46145</v>
      </c>
      <c r="D1128" t="inlineStr">
        <is>
          <t>VÄSTERBOTTENS LÄN</t>
        </is>
      </c>
      <c r="E1128" t="inlineStr">
        <is>
          <t>MALÅ</t>
        </is>
      </c>
      <c r="F1128" t="inlineStr">
        <is>
          <t>Sveaskog</t>
        </is>
      </c>
      <c r="G1128" t="n">
        <v>15.9</v>
      </c>
      <c r="H1128" t="n">
        <v>0</v>
      </c>
      <c r="I1128" t="n">
        <v>1</v>
      </c>
      <c r="J1128" t="n">
        <v>0</v>
      </c>
      <c r="K1128" t="n">
        <v>0</v>
      </c>
      <c r="L1128" t="n">
        <v>0</v>
      </c>
      <c r="M1128" t="n">
        <v>0</v>
      </c>
      <c r="N1128" t="n">
        <v>0</v>
      </c>
      <c r="O1128" t="n">
        <v>0</v>
      </c>
      <c r="P1128" t="n">
        <v>0</v>
      </c>
      <c r="Q1128" t="n">
        <v>1</v>
      </c>
      <c r="R1128" s="2" t="inlineStr">
        <is>
          <t>Robust tickgnagare</t>
        </is>
      </c>
      <c r="S1128">
        <f>HYPERLINK("https://klasma.github.io/Logging_2418/artfynd/A 41840-2023 artfynd.xlsx", "A 41840-2023")</f>
        <v/>
      </c>
      <c r="T1128">
        <f>HYPERLINK("https://klasma.github.io/Logging_2418/kartor/A 41840-2023 karta.png", "A 41840-2023")</f>
        <v/>
      </c>
      <c r="V1128">
        <f>HYPERLINK("https://klasma.github.io/Logging_2418/klagomål/A 41840-2023 FSC-klagomål.docx", "A 41840-2023")</f>
        <v/>
      </c>
      <c r="W1128">
        <f>HYPERLINK("https://klasma.github.io/Logging_2418/klagomålsmail/A 41840-2023 FSC-klagomål mail.docx", "A 41840-2023")</f>
        <v/>
      </c>
      <c r="X1128">
        <f>HYPERLINK("https://klasma.github.io/Logging_2418/tillsyn/A 41840-2023 tillsynsbegäran.docx", "A 41840-2023")</f>
        <v/>
      </c>
      <c r="Y1128">
        <f>HYPERLINK("https://klasma.github.io/Logging_2418/tillsynsmail/A 41840-2023 tillsynsbegäran mail.docx", "A 41840-2023")</f>
        <v/>
      </c>
    </row>
    <row r="1129" ht="15" customHeight="1">
      <c r="A1129" t="inlineStr">
        <is>
          <t>A 63810-2023</t>
        </is>
      </c>
      <c r="B1129" s="1" t="n">
        <v>45275</v>
      </c>
      <c r="C1129" s="1" t="n">
        <v>46145</v>
      </c>
      <c r="D1129" t="inlineStr">
        <is>
          <t>VÄSTERBOTTENS LÄN</t>
        </is>
      </c>
      <c r="E1129" t="inlineStr">
        <is>
          <t>UMEÅ</t>
        </is>
      </c>
      <c r="G1129" t="n">
        <v>1.1</v>
      </c>
      <c r="H1129" t="n">
        <v>1</v>
      </c>
      <c r="I1129" t="n">
        <v>0</v>
      </c>
      <c r="J1129" t="n">
        <v>1</v>
      </c>
      <c r="K1129" t="n">
        <v>0</v>
      </c>
      <c r="L1129" t="n">
        <v>0</v>
      </c>
      <c r="M1129" t="n">
        <v>0</v>
      </c>
      <c r="N1129" t="n">
        <v>0</v>
      </c>
      <c r="O1129" t="n">
        <v>1</v>
      </c>
      <c r="P1129" t="n">
        <v>0</v>
      </c>
      <c r="Q1129" t="n">
        <v>1</v>
      </c>
      <c r="R1129" s="2" t="inlineStr">
        <is>
          <t>Spillkråka</t>
        </is>
      </c>
      <c r="S1129">
        <f>HYPERLINK("https://klasma.github.io/Logging_2480/artfynd/A 63810-2023 artfynd.xlsx", "A 63810-2023")</f>
        <v/>
      </c>
      <c r="T1129">
        <f>HYPERLINK("https://klasma.github.io/Logging_2480/kartor/A 63810-2023 karta.png", "A 63810-2023")</f>
        <v/>
      </c>
      <c r="V1129">
        <f>HYPERLINK("https://klasma.github.io/Logging_2480/klagomål/A 63810-2023 FSC-klagomål.docx", "A 63810-2023")</f>
        <v/>
      </c>
      <c r="W1129">
        <f>HYPERLINK("https://klasma.github.io/Logging_2480/klagomålsmail/A 63810-2023 FSC-klagomål mail.docx", "A 63810-2023")</f>
        <v/>
      </c>
      <c r="X1129">
        <f>HYPERLINK("https://klasma.github.io/Logging_2480/tillsyn/A 63810-2023 tillsynsbegäran.docx", "A 63810-2023")</f>
        <v/>
      </c>
      <c r="Y1129">
        <f>HYPERLINK("https://klasma.github.io/Logging_2480/tillsynsmail/A 63810-2023 tillsynsbegäran mail.docx", "A 63810-2023")</f>
        <v/>
      </c>
      <c r="Z1129">
        <f>HYPERLINK("https://klasma.github.io/Logging_2480/fåglar/A 63810-2023 prioriterade fågelarter.docx", "A 63810-2023")</f>
        <v/>
      </c>
    </row>
    <row r="1130" ht="15" customHeight="1">
      <c r="A1130" t="inlineStr">
        <is>
          <t>A 35915-2023</t>
        </is>
      </c>
      <c r="B1130" s="1" t="n">
        <v>45148</v>
      </c>
      <c r="C1130" s="1" t="n">
        <v>46145</v>
      </c>
      <c r="D1130" t="inlineStr">
        <is>
          <t>VÄSTERBOTTENS LÄN</t>
        </is>
      </c>
      <c r="E1130" t="inlineStr">
        <is>
          <t>VINDELN</t>
        </is>
      </c>
      <c r="G1130" t="n">
        <v>1.8</v>
      </c>
      <c r="H1130" t="n">
        <v>1</v>
      </c>
      <c r="I1130" t="n">
        <v>0</v>
      </c>
      <c r="J1130" t="n">
        <v>1</v>
      </c>
      <c r="K1130" t="n">
        <v>0</v>
      </c>
      <c r="L1130" t="n">
        <v>0</v>
      </c>
      <c r="M1130" t="n">
        <v>0</v>
      </c>
      <c r="N1130" t="n">
        <v>0</v>
      </c>
      <c r="O1130" t="n">
        <v>1</v>
      </c>
      <c r="P1130" t="n">
        <v>0</v>
      </c>
      <c r="Q1130" t="n">
        <v>1</v>
      </c>
      <c r="R1130" s="2" t="inlineStr">
        <is>
          <t>Järpe</t>
        </is>
      </c>
      <c r="S1130">
        <f>HYPERLINK("https://klasma.github.io/Logging_2404/artfynd/A 35915-2023 artfynd.xlsx", "A 35915-2023")</f>
        <v/>
      </c>
      <c r="T1130">
        <f>HYPERLINK("https://klasma.github.io/Logging_2404/kartor/A 35915-2023 karta.png", "A 35915-2023")</f>
        <v/>
      </c>
      <c r="V1130">
        <f>HYPERLINK("https://klasma.github.io/Logging_2404/klagomål/A 35915-2023 FSC-klagomål.docx", "A 35915-2023")</f>
        <v/>
      </c>
      <c r="W1130">
        <f>HYPERLINK("https://klasma.github.io/Logging_2404/klagomålsmail/A 35915-2023 FSC-klagomål mail.docx", "A 35915-2023")</f>
        <v/>
      </c>
      <c r="X1130">
        <f>HYPERLINK("https://klasma.github.io/Logging_2404/tillsyn/A 35915-2023 tillsynsbegäran.docx", "A 35915-2023")</f>
        <v/>
      </c>
      <c r="Y1130">
        <f>HYPERLINK("https://klasma.github.io/Logging_2404/tillsynsmail/A 35915-2023 tillsynsbegäran mail.docx", "A 35915-2023")</f>
        <v/>
      </c>
      <c r="Z1130">
        <f>HYPERLINK("https://klasma.github.io/Logging_2404/fåglar/A 35915-2023 prioriterade fågelarter.docx", "A 35915-2023")</f>
        <v/>
      </c>
    </row>
    <row r="1131" ht="15" customHeight="1">
      <c r="A1131" t="inlineStr">
        <is>
          <t>A 33633-2024</t>
        </is>
      </c>
      <c r="B1131" s="1" t="n">
        <v>45520.43246527778</v>
      </c>
      <c r="C1131" s="1" t="n">
        <v>46145</v>
      </c>
      <c r="D1131" t="inlineStr">
        <is>
          <t>VÄSTERBOTTENS LÄN</t>
        </is>
      </c>
      <c r="E1131" t="inlineStr">
        <is>
          <t>LYCKSELE</t>
        </is>
      </c>
      <c r="F1131" t="inlineStr">
        <is>
          <t>Sveaskog</t>
        </is>
      </c>
      <c r="G1131" t="n">
        <v>2</v>
      </c>
      <c r="H1131" t="n">
        <v>0</v>
      </c>
      <c r="I1131" t="n">
        <v>1</v>
      </c>
      <c r="J1131" t="n">
        <v>0</v>
      </c>
      <c r="K1131" t="n">
        <v>0</v>
      </c>
      <c r="L1131" t="n">
        <v>0</v>
      </c>
      <c r="M1131" t="n">
        <v>0</v>
      </c>
      <c r="N1131" t="n">
        <v>0</v>
      </c>
      <c r="O1131" t="n">
        <v>0</v>
      </c>
      <c r="P1131" t="n">
        <v>0</v>
      </c>
      <c r="Q1131" t="n">
        <v>1</v>
      </c>
      <c r="R1131" s="2" t="inlineStr">
        <is>
          <t>Ögonpyrola</t>
        </is>
      </c>
      <c r="S1131">
        <f>HYPERLINK("https://klasma.github.io/Logging_2481/artfynd/A 33633-2024 artfynd.xlsx", "A 33633-2024")</f>
        <v/>
      </c>
      <c r="T1131">
        <f>HYPERLINK("https://klasma.github.io/Logging_2481/kartor/A 33633-2024 karta.png", "A 33633-2024")</f>
        <v/>
      </c>
      <c r="V1131">
        <f>HYPERLINK("https://klasma.github.io/Logging_2481/klagomål/A 33633-2024 FSC-klagomål.docx", "A 33633-2024")</f>
        <v/>
      </c>
      <c r="W1131">
        <f>HYPERLINK("https://klasma.github.io/Logging_2481/klagomålsmail/A 33633-2024 FSC-klagomål mail.docx", "A 33633-2024")</f>
        <v/>
      </c>
      <c r="X1131">
        <f>HYPERLINK("https://klasma.github.io/Logging_2481/tillsyn/A 33633-2024 tillsynsbegäran.docx", "A 33633-2024")</f>
        <v/>
      </c>
      <c r="Y1131">
        <f>HYPERLINK("https://klasma.github.io/Logging_2481/tillsynsmail/A 33633-2024 tillsynsbegäran mail.docx", "A 33633-2024")</f>
        <v/>
      </c>
    </row>
    <row r="1132" ht="15" customHeight="1">
      <c r="A1132" t="inlineStr">
        <is>
          <t>A 53071-2022</t>
        </is>
      </c>
      <c r="B1132" s="1" t="n">
        <v>44873</v>
      </c>
      <c r="C1132" s="1" t="n">
        <v>46145</v>
      </c>
      <c r="D1132" t="inlineStr">
        <is>
          <t>VÄSTERBOTTENS LÄN</t>
        </is>
      </c>
      <c r="E1132" t="inlineStr">
        <is>
          <t>SKELLEFTEÅ</t>
        </is>
      </c>
      <c r="G1132" t="n">
        <v>10.6</v>
      </c>
      <c r="H1132" t="n">
        <v>0</v>
      </c>
      <c r="I1132" t="n">
        <v>0</v>
      </c>
      <c r="J1132" t="n">
        <v>1</v>
      </c>
      <c r="K1132" t="n">
        <v>0</v>
      </c>
      <c r="L1132" t="n">
        <v>0</v>
      </c>
      <c r="M1132" t="n">
        <v>0</v>
      </c>
      <c r="N1132" t="n">
        <v>0</v>
      </c>
      <c r="O1132" t="n">
        <v>1</v>
      </c>
      <c r="P1132" t="n">
        <v>0</v>
      </c>
      <c r="Q1132" t="n">
        <v>1</v>
      </c>
      <c r="R1132" s="2" t="inlineStr">
        <is>
          <t>Granticka</t>
        </is>
      </c>
      <c r="S1132">
        <f>HYPERLINK("https://klasma.github.io/Logging_2482/artfynd/A 53071-2022 artfynd.xlsx", "A 53071-2022")</f>
        <v/>
      </c>
      <c r="T1132">
        <f>HYPERLINK("https://klasma.github.io/Logging_2482/kartor/A 53071-2022 karta.png", "A 53071-2022")</f>
        <v/>
      </c>
      <c r="V1132">
        <f>HYPERLINK("https://klasma.github.io/Logging_2482/klagomål/A 53071-2022 FSC-klagomål.docx", "A 53071-2022")</f>
        <v/>
      </c>
      <c r="W1132">
        <f>HYPERLINK("https://klasma.github.io/Logging_2482/klagomålsmail/A 53071-2022 FSC-klagomål mail.docx", "A 53071-2022")</f>
        <v/>
      </c>
      <c r="X1132">
        <f>HYPERLINK("https://klasma.github.io/Logging_2482/tillsyn/A 53071-2022 tillsynsbegäran.docx", "A 53071-2022")</f>
        <v/>
      </c>
      <c r="Y1132">
        <f>HYPERLINK("https://klasma.github.io/Logging_2482/tillsynsmail/A 53071-2022 tillsynsbegäran mail.docx", "A 53071-2022")</f>
        <v/>
      </c>
    </row>
    <row r="1133" ht="15" customHeight="1">
      <c r="A1133" t="inlineStr">
        <is>
          <t>A 15233-2026</t>
        </is>
      </c>
      <c r="B1133" s="1" t="n">
        <v>46105.55311342593</v>
      </c>
      <c r="C1133" s="1" t="n">
        <v>46145</v>
      </c>
      <c r="D1133" t="inlineStr">
        <is>
          <t>VÄSTERBOTTENS LÄN</t>
        </is>
      </c>
      <c r="E1133" t="inlineStr">
        <is>
          <t>SKELLEFTEÅ</t>
        </is>
      </c>
      <c r="G1133" t="n">
        <v>10.5</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HYPERLINK("https://klasma.github.io/Logging_2482/artfynd/A 15233-2026 artfynd.xlsx", "A 15233-2026")</f>
        <v/>
      </c>
      <c r="T1133">
        <f>HYPERLINK("https://klasma.github.io/Logging_2482/kartor/A 15233-2026 karta.png", "A 15233-2026")</f>
        <v/>
      </c>
      <c r="V1133">
        <f>HYPERLINK("https://klasma.github.io/Logging_2482/klagomål/A 15233-2026 FSC-klagomål.docx", "A 15233-2026")</f>
        <v/>
      </c>
      <c r="W1133">
        <f>HYPERLINK("https://klasma.github.io/Logging_2482/klagomålsmail/A 15233-2026 FSC-klagomål mail.docx", "A 15233-2026")</f>
        <v/>
      </c>
      <c r="X1133">
        <f>HYPERLINK("https://klasma.github.io/Logging_2482/tillsyn/A 15233-2026 tillsynsbegäran.docx", "A 15233-2026")</f>
        <v/>
      </c>
      <c r="Y1133">
        <f>HYPERLINK("https://klasma.github.io/Logging_2482/tillsynsmail/A 15233-2026 tillsynsbegäran mail.docx", "A 15233-2026")</f>
        <v/>
      </c>
    </row>
    <row r="1134" ht="15" customHeight="1">
      <c r="A1134" t="inlineStr">
        <is>
          <t>A 55328-2024</t>
        </is>
      </c>
      <c r="B1134" s="1" t="n">
        <v>45621.67853009259</v>
      </c>
      <c r="C1134" s="1" t="n">
        <v>46145</v>
      </c>
      <c r="D1134" t="inlineStr">
        <is>
          <t>VÄSTERBOTTENS LÄN</t>
        </is>
      </c>
      <c r="E1134" t="inlineStr">
        <is>
          <t>NORSJÖ</t>
        </is>
      </c>
      <c r="F1134" t="inlineStr">
        <is>
          <t>Sveaskog</t>
        </is>
      </c>
      <c r="G1134" t="n">
        <v>5.9</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HYPERLINK("https://klasma.github.io/Logging_2417/artfynd/A 55328-2024 artfynd.xlsx", "A 55328-2024")</f>
        <v/>
      </c>
      <c r="T1134">
        <f>HYPERLINK("https://klasma.github.io/Logging_2417/kartor/A 55328-2024 karta.png", "A 55328-2024")</f>
        <v/>
      </c>
      <c r="V1134">
        <f>HYPERLINK("https://klasma.github.io/Logging_2417/klagomål/A 55328-2024 FSC-klagomål.docx", "A 55328-2024")</f>
        <v/>
      </c>
      <c r="W1134">
        <f>HYPERLINK("https://klasma.github.io/Logging_2417/klagomålsmail/A 55328-2024 FSC-klagomål mail.docx", "A 55328-2024")</f>
        <v/>
      </c>
      <c r="X1134">
        <f>HYPERLINK("https://klasma.github.io/Logging_2417/tillsyn/A 55328-2024 tillsynsbegäran.docx", "A 55328-2024")</f>
        <v/>
      </c>
      <c r="Y1134">
        <f>HYPERLINK("https://klasma.github.io/Logging_2417/tillsynsmail/A 55328-2024 tillsynsbegäran mail.docx", "A 55328-2024")</f>
        <v/>
      </c>
    </row>
    <row r="1135" ht="15" customHeight="1">
      <c r="A1135" t="inlineStr">
        <is>
          <t>A 57851-2022</t>
        </is>
      </c>
      <c r="B1135" s="1" t="n">
        <v>44898</v>
      </c>
      <c r="C1135" s="1" t="n">
        <v>46145</v>
      </c>
      <c r="D1135" t="inlineStr">
        <is>
          <t>VÄSTERBOTTENS LÄN</t>
        </is>
      </c>
      <c r="E1135" t="inlineStr">
        <is>
          <t>SKELLEFTEÅ</t>
        </is>
      </c>
      <c r="F1135" t="inlineStr">
        <is>
          <t>Holmen skog AB</t>
        </is>
      </c>
      <c r="G1135" t="n">
        <v>4.6</v>
      </c>
      <c r="H1135" t="n">
        <v>1</v>
      </c>
      <c r="I1135" t="n">
        <v>0</v>
      </c>
      <c r="J1135" t="n">
        <v>1</v>
      </c>
      <c r="K1135" t="n">
        <v>0</v>
      </c>
      <c r="L1135" t="n">
        <v>0</v>
      </c>
      <c r="M1135" t="n">
        <v>0</v>
      </c>
      <c r="N1135" t="n">
        <v>0</v>
      </c>
      <c r="O1135" t="n">
        <v>1</v>
      </c>
      <c r="P1135" t="n">
        <v>0</v>
      </c>
      <c r="Q1135" t="n">
        <v>1</v>
      </c>
      <c r="R1135" s="2" t="inlineStr">
        <is>
          <t>Utter</t>
        </is>
      </c>
      <c r="S1135">
        <f>HYPERLINK("https://klasma.github.io/Logging_2482/artfynd/A 57851-2022 artfynd.xlsx", "A 57851-2022")</f>
        <v/>
      </c>
      <c r="T1135">
        <f>HYPERLINK("https://klasma.github.io/Logging_2482/kartor/A 57851-2022 karta.png", "A 57851-2022")</f>
        <v/>
      </c>
      <c r="V1135">
        <f>HYPERLINK("https://klasma.github.io/Logging_2482/klagomål/A 57851-2022 FSC-klagomål.docx", "A 57851-2022")</f>
        <v/>
      </c>
      <c r="W1135">
        <f>HYPERLINK("https://klasma.github.io/Logging_2482/klagomålsmail/A 57851-2022 FSC-klagomål mail.docx", "A 57851-2022")</f>
        <v/>
      </c>
      <c r="X1135">
        <f>HYPERLINK("https://klasma.github.io/Logging_2482/tillsyn/A 57851-2022 tillsynsbegäran.docx", "A 57851-2022")</f>
        <v/>
      </c>
      <c r="Y1135">
        <f>HYPERLINK("https://klasma.github.io/Logging_2482/tillsynsmail/A 57851-2022 tillsynsbegäran mail.docx", "A 57851-2022")</f>
        <v/>
      </c>
    </row>
    <row r="1136" ht="15" customHeight="1">
      <c r="A1136" t="inlineStr">
        <is>
          <t>A 16140-2026</t>
        </is>
      </c>
      <c r="B1136" s="1" t="n">
        <v>46108.65576388889</v>
      </c>
      <c r="C1136" s="1" t="n">
        <v>46145</v>
      </c>
      <c r="D1136" t="inlineStr">
        <is>
          <t>VÄSTERBOTTENS LÄN</t>
        </is>
      </c>
      <c r="E1136" t="inlineStr">
        <is>
          <t>VÄNNÄS</t>
        </is>
      </c>
      <c r="G1136" t="n">
        <v>1.6</v>
      </c>
      <c r="H1136" t="n">
        <v>0</v>
      </c>
      <c r="I1136" t="n">
        <v>1</v>
      </c>
      <c r="J1136" t="n">
        <v>0</v>
      </c>
      <c r="K1136" t="n">
        <v>0</v>
      </c>
      <c r="L1136" t="n">
        <v>0</v>
      </c>
      <c r="M1136" t="n">
        <v>0</v>
      </c>
      <c r="N1136" t="n">
        <v>0</v>
      </c>
      <c r="O1136" t="n">
        <v>0</v>
      </c>
      <c r="P1136" t="n">
        <v>0</v>
      </c>
      <c r="Q1136" t="n">
        <v>1</v>
      </c>
      <c r="R1136" s="2" t="inlineStr">
        <is>
          <t>Bollvitmossa</t>
        </is>
      </c>
      <c r="S1136">
        <f>HYPERLINK("https://klasma.github.io/Logging_2460/artfynd/A 16140-2026 artfynd.xlsx", "A 16140-2026")</f>
        <v/>
      </c>
      <c r="T1136">
        <f>HYPERLINK("https://klasma.github.io/Logging_2460/kartor/A 16140-2026 karta.png", "A 16140-2026")</f>
        <v/>
      </c>
      <c r="V1136">
        <f>HYPERLINK("https://klasma.github.io/Logging_2460/klagomål/A 16140-2026 FSC-klagomål.docx", "A 16140-2026")</f>
        <v/>
      </c>
      <c r="W1136">
        <f>HYPERLINK("https://klasma.github.io/Logging_2460/klagomålsmail/A 16140-2026 FSC-klagomål mail.docx", "A 16140-2026")</f>
        <v/>
      </c>
      <c r="X1136">
        <f>HYPERLINK("https://klasma.github.io/Logging_2460/tillsyn/A 16140-2026 tillsynsbegäran.docx", "A 16140-2026")</f>
        <v/>
      </c>
      <c r="Y1136">
        <f>HYPERLINK("https://klasma.github.io/Logging_2460/tillsynsmail/A 16140-2026 tillsynsbegäran mail.docx", "A 16140-2026")</f>
        <v/>
      </c>
    </row>
    <row r="1137" ht="15" customHeight="1">
      <c r="A1137" t="inlineStr">
        <is>
          <t>A 4341-2023</t>
        </is>
      </c>
      <c r="B1137" s="1" t="n">
        <v>44953</v>
      </c>
      <c r="C1137" s="1" t="n">
        <v>46145</v>
      </c>
      <c r="D1137" t="inlineStr">
        <is>
          <t>VÄSTERBOTTENS LÄN</t>
        </is>
      </c>
      <c r="E1137" t="inlineStr">
        <is>
          <t>DOROTEA</t>
        </is>
      </c>
      <c r="F1137" t="inlineStr">
        <is>
          <t>SCA</t>
        </is>
      </c>
      <c r="G1137" t="n">
        <v>1.7</v>
      </c>
      <c r="H1137" t="n">
        <v>0</v>
      </c>
      <c r="I1137" t="n">
        <v>1</v>
      </c>
      <c r="J1137" t="n">
        <v>0</v>
      </c>
      <c r="K1137" t="n">
        <v>0</v>
      </c>
      <c r="L1137" t="n">
        <v>0</v>
      </c>
      <c r="M1137" t="n">
        <v>0</v>
      </c>
      <c r="N1137" t="n">
        <v>0</v>
      </c>
      <c r="O1137" t="n">
        <v>0</v>
      </c>
      <c r="P1137" t="n">
        <v>0</v>
      </c>
      <c r="Q1137" t="n">
        <v>1</v>
      </c>
      <c r="R1137" s="2" t="inlineStr">
        <is>
          <t>Luddlav</t>
        </is>
      </c>
      <c r="S1137">
        <f>HYPERLINK("https://klasma.github.io/Logging_2425/artfynd/A 4341-2023 artfynd.xlsx", "A 4341-2023")</f>
        <v/>
      </c>
      <c r="T1137">
        <f>HYPERLINK("https://klasma.github.io/Logging_2425/kartor/A 4341-2023 karta.png", "A 4341-2023")</f>
        <v/>
      </c>
      <c r="V1137">
        <f>HYPERLINK("https://klasma.github.io/Logging_2425/klagomål/A 4341-2023 FSC-klagomål.docx", "A 4341-2023")</f>
        <v/>
      </c>
      <c r="W1137">
        <f>HYPERLINK("https://klasma.github.io/Logging_2425/klagomålsmail/A 4341-2023 FSC-klagomål mail.docx", "A 4341-2023")</f>
        <v/>
      </c>
      <c r="X1137">
        <f>HYPERLINK("https://klasma.github.io/Logging_2425/tillsyn/A 4341-2023 tillsynsbegäran.docx", "A 4341-2023")</f>
        <v/>
      </c>
      <c r="Y1137">
        <f>HYPERLINK("https://klasma.github.io/Logging_2425/tillsynsmail/A 4341-2023 tillsynsbegäran mail.docx", "A 4341-2023")</f>
        <v/>
      </c>
    </row>
    <row r="1138" ht="15" customHeight="1">
      <c r="A1138" t="inlineStr">
        <is>
          <t>A 32677-2021</t>
        </is>
      </c>
      <c r="B1138" s="1" t="n">
        <v>44371</v>
      </c>
      <c r="C1138" s="1" t="n">
        <v>46145</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15970-2026</t>
        </is>
      </c>
      <c r="B1139" s="1" t="n">
        <v>46108.34547453704</v>
      </c>
      <c r="C1139" s="1" t="n">
        <v>46145</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Granticka</t>
        </is>
      </c>
      <c r="S1139">
        <f>HYPERLINK("https://klasma.github.io/Logging_2401/artfynd/A 15970-2026 artfynd.xlsx", "A 15970-2026")</f>
        <v/>
      </c>
      <c r="T1139">
        <f>HYPERLINK("https://klasma.github.io/Logging_2401/kartor/A 15970-2026 karta.png", "A 15970-2026")</f>
        <v/>
      </c>
      <c r="V1139">
        <f>HYPERLINK("https://klasma.github.io/Logging_2401/klagomål/A 15970-2026 FSC-klagomål.docx", "A 15970-2026")</f>
        <v/>
      </c>
      <c r="W1139">
        <f>HYPERLINK("https://klasma.github.io/Logging_2401/klagomålsmail/A 15970-2026 FSC-klagomål mail.docx", "A 15970-2026")</f>
        <v/>
      </c>
      <c r="X1139">
        <f>HYPERLINK("https://klasma.github.io/Logging_2401/tillsyn/A 15970-2026 tillsynsbegäran.docx", "A 15970-2026")</f>
        <v/>
      </c>
      <c r="Y1139">
        <f>HYPERLINK("https://klasma.github.io/Logging_2401/tillsynsmail/A 15970-2026 tillsynsbegäran mail.docx", "A 15970-2026")</f>
        <v/>
      </c>
    </row>
    <row r="1140" ht="15" customHeight="1">
      <c r="A1140" t="inlineStr">
        <is>
          <t>A 19153-2023</t>
        </is>
      </c>
      <c r="B1140" s="1" t="n">
        <v>45044</v>
      </c>
      <c r="C1140" s="1" t="n">
        <v>46145</v>
      </c>
      <c r="D1140" t="inlineStr">
        <is>
          <t>VÄSTERBOTTENS LÄN</t>
        </is>
      </c>
      <c r="E1140" t="inlineStr">
        <is>
          <t>STORUMAN</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HYPERLINK("https://klasma.github.io/Logging_2421/artfynd/A 19153-2023 artfynd.xlsx", "A 19153-2023")</f>
        <v/>
      </c>
      <c r="T1140">
        <f>HYPERLINK("https://klasma.github.io/Logging_2421/kartor/A 19153-2023 karta.png", "A 19153-2023")</f>
        <v/>
      </c>
      <c r="V1140">
        <f>HYPERLINK("https://klasma.github.io/Logging_2421/klagomål/A 19153-2023 FSC-klagomål.docx", "A 19153-2023")</f>
        <v/>
      </c>
      <c r="W1140">
        <f>HYPERLINK("https://klasma.github.io/Logging_2421/klagomålsmail/A 19153-2023 FSC-klagomål mail.docx", "A 19153-2023")</f>
        <v/>
      </c>
      <c r="X1140">
        <f>HYPERLINK("https://klasma.github.io/Logging_2421/tillsyn/A 19153-2023 tillsynsbegäran.docx", "A 19153-2023")</f>
        <v/>
      </c>
      <c r="Y1140">
        <f>HYPERLINK("https://klasma.github.io/Logging_2421/tillsynsmail/A 19153-2023 tillsynsbegäran mail.docx", "A 19153-2023")</f>
        <v/>
      </c>
    </row>
    <row r="1141" ht="15" customHeight="1">
      <c r="A1141" t="inlineStr">
        <is>
          <t>A 45376-2024</t>
        </is>
      </c>
      <c r="B1141" s="1" t="n">
        <v>45576.51907407407</v>
      </c>
      <c r="C1141" s="1" t="n">
        <v>46145</v>
      </c>
      <c r="D1141" t="inlineStr">
        <is>
          <t>VÄSTERBOTTENS LÄN</t>
        </is>
      </c>
      <c r="E1141" t="inlineStr">
        <is>
          <t>SKELLEFTEÅ</t>
        </is>
      </c>
      <c r="G1141" t="n">
        <v>1.2</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45376-2024 artfynd.xlsx", "A 45376-2024")</f>
        <v/>
      </c>
      <c r="T1141">
        <f>HYPERLINK("https://klasma.github.io/Logging_2482/kartor/A 45376-2024 karta.png", "A 45376-2024")</f>
        <v/>
      </c>
      <c r="V1141">
        <f>HYPERLINK("https://klasma.github.io/Logging_2482/klagomål/A 45376-2024 FSC-klagomål.docx", "A 45376-2024")</f>
        <v/>
      </c>
      <c r="W1141">
        <f>HYPERLINK("https://klasma.github.io/Logging_2482/klagomålsmail/A 45376-2024 FSC-klagomål mail.docx", "A 45376-2024")</f>
        <v/>
      </c>
      <c r="X1141">
        <f>HYPERLINK("https://klasma.github.io/Logging_2482/tillsyn/A 45376-2024 tillsynsbegäran.docx", "A 45376-2024")</f>
        <v/>
      </c>
      <c r="Y1141">
        <f>HYPERLINK("https://klasma.github.io/Logging_2482/tillsynsmail/A 45376-2024 tillsynsbegäran mail.docx", "A 45376-2024")</f>
        <v/>
      </c>
    </row>
    <row r="1142" ht="15" customHeight="1">
      <c r="A1142" t="inlineStr">
        <is>
          <t>A 3826-2023</t>
        </is>
      </c>
      <c r="B1142" s="1" t="n">
        <v>44950</v>
      </c>
      <c r="C1142" s="1" t="n">
        <v>46145</v>
      </c>
      <c r="D1142" t="inlineStr">
        <is>
          <t>VÄSTERBOTTENS LÄN</t>
        </is>
      </c>
      <c r="E1142" t="inlineStr">
        <is>
          <t>STORUMAN</t>
        </is>
      </c>
      <c r="G1142" t="n">
        <v>0.7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HYPERLINK("https://klasma.github.io/Logging_2421/artfynd/A 3826-2023 artfynd.xlsx", "A 3826-2023")</f>
        <v/>
      </c>
      <c r="T1142">
        <f>HYPERLINK("https://klasma.github.io/Logging_2421/kartor/A 3826-2023 karta.png", "A 3826-2023")</f>
        <v/>
      </c>
      <c r="V1142">
        <f>HYPERLINK("https://klasma.github.io/Logging_2421/klagomål/A 3826-2023 FSC-klagomål.docx", "A 3826-2023")</f>
        <v/>
      </c>
      <c r="W1142">
        <f>HYPERLINK("https://klasma.github.io/Logging_2421/klagomålsmail/A 3826-2023 FSC-klagomål mail.docx", "A 3826-2023")</f>
        <v/>
      </c>
      <c r="X1142">
        <f>HYPERLINK("https://klasma.github.io/Logging_2421/tillsyn/A 3826-2023 tillsynsbegäran.docx", "A 3826-2023")</f>
        <v/>
      </c>
      <c r="Y1142">
        <f>HYPERLINK("https://klasma.github.io/Logging_2421/tillsynsmail/A 3826-2023 tillsynsbegäran mail.docx", "A 3826-2023")</f>
        <v/>
      </c>
      <c r="Z1142">
        <f>HYPERLINK("https://klasma.github.io/Logging_2421/fåglar/A 3826-2023 prioriterade fågelarter.docx", "A 3826-2023")</f>
        <v/>
      </c>
    </row>
    <row r="1143" ht="15" customHeight="1">
      <c r="A1143" t="inlineStr">
        <is>
          <t>A 42132-2024</t>
        </is>
      </c>
      <c r="B1143" s="1" t="n">
        <v>45562</v>
      </c>
      <c r="C1143" s="1" t="n">
        <v>46145</v>
      </c>
      <c r="D1143" t="inlineStr">
        <is>
          <t>VÄSTERBOTTENS LÄN</t>
        </is>
      </c>
      <c r="E1143" t="inlineStr">
        <is>
          <t>ÅSELE</t>
        </is>
      </c>
      <c r="F1143" t="inlineStr">
        <is>
          <t>Holmen skog AB</t>
        </is>
      </c>
      <c r="G1143" t="n">
        <v>18.5</v>
      </c>
      <c r="H1143" t="n">
        <v>0</v>
      </c>
      <c r="I1143" t="n">
        <v>0</v>
      </c>
      <c r="J1143" t="n">
        <v>1</v>
      </c>
      <c r="K1143" t="n">
        <v>0</v>
      </c>
      <c r="L1143" t="n">
        <v>0</v>
      </c>
      <c r="M1143" t="n">
        <v>0</v>
      </c>
      <c r="N1143" t="n">
        <v>0</v>
      </c>
      <c r="O1143" t="n">
        <v>1</v>
      </c>
      <c r="P1143" t="n">
        <v>0</v>
      </c>
      <c r="Q1143" t="n">
        <v>1</v>
      </c>
      <c r="R1143" s="2" t="inlineStr">
        <is>
          <t>Kolflarnlav</t>
        </is>
      </c>
      <c r="S1143">
        <f>HYPERLINK("https://klasma.github.io/Logging_2463/artfynd/A 42132-2024 artfynd.xlsx", "A 42132-2024")</f>
        <v/>
      </c>
      <c r="T1143">
        <f>HYPERLINK("https://klasma.github.io/Logging_2463/kartor/A 42132-2024 karta.png", "A 42132-2024")</f>
        <v/>
      </c>
      <c r="V1143">
        <f>HYPERLINK("https://klasma.github.io/Logging_2463/klagomål/A 42132-2024 FSC-klagomål.docx", "A 42132-2024")</f>
        <v/>
      </c>
      <c r="W1143">
        <f>HYPERLINK("https://klasma.github.io/Logging_2463/klagomålsmail/A 42132-2024 FSC-klagomål mail.docx", "A 42132-2024")</f>
        <v/>
      </c>
      <c r="X1143">
        <f>HYPERLINK("https://klasma.github.io/Logging_2463/tillsyn/A 42132-2024 tillsynsbegäran.docx", "A 42132-2024")</f>
        <v/>
      </c>
      <c r="Y1143">
        <f>HYPERLINK("https://klasma.github.io/Logging_2463/tillsynsmail/A 42132-2024 tillsynsbegäran mail.docx", "A 42132-2024")</f>
        <v/>
      </c>
    </row>
    <row r="1144" ht="15" customHeight="1">
      <c r="A1144" t="inlineStr">
        <is>
          <t>A 45429-2024</t>
        </is>
      </c>
      <c r="B1144" s="1" t="n">
        <v>45576</v>
      </c>
      <c r="C1144" s="1" t="n">
        <v>46145</v>
      </c>
      <c r="D1144" t="inlineStr">
        <is>
          <t>VÄSTERBOTTENS LÄN</t>
        </is>
      </c>
      <c r="E1144" t="inlineStr">
        <is>
          <t>UMEÅ</t>
        </is>
      </c>
      <c r="F1144" t="inlineStr">
        <is>
          <t>Sveaskog</t>
        </is>
      </c>
      <c r="G1144" t="n">
        <v>11.5</v>
      </c>
      <c r="H1144" t="n">
        <v>0</v>
      </c>
      <c r="I1144" t="n">
        <v>0</v>
      </c>
      <c r="J1144" t="n">
        <v>1</v>
      </c>
      <c r="K1144" t="n">
        <v>0</v>
      </c>
      <c r="L1144" t="n">
        <v>0</v>
      </c>
      <c r="M1144" t="n">
        <v>0</v>
      </c>
      <c r="N1144" t="n">
        <v>0</v>
      </c>
      <c r="O1144" t="n">
        <v>1</v>
      </c>
      <c r="P1144" t="n">
        <v>0</v>
      </c>
      <c r="Q1144" t="n">
        <v>1</v>
      </c>
      <c r="R1144" s="2" t="inlineStr">
        <is>
          <t>Motaggsvamp</t>
        </is>
      </c>
      <c r="S1144">
        <f>HYPERLINK("https://klasma.github.io/Logging_2480/artfynd/A 45429-2024 artfynd.xlsx", "A 45429-2024")</f>
        <v/>
      </c>
      <c r="T1144">
        <f>HYPERLINK("https://klasma.github.io/Logging_2480/kartor/A 45429-2024 karta.png", "A 45429-2024")</f>
        <v/>
      </c>
      <c r="V1144">
        <f>HYPERLINK("https://klasma.github.io/Logging_2480/klagomål/A 45429-2024 FSC-klagomål.docx", "A 45429-2024")</f>
        <v/>
      </c>
      <c r="W1144">
        <f>HYPERLINK("https://klasma.github.io/Logging_2480/klagomålsmail/A 45429-2024 FSC-klagomål mail.docx", "A 45429-2024")</f>
        <v/>
      </c>
      <c r="X1144">
        <f>HYPERLINK("https://klasma.github.io/Logging_2480/tillsyn/A 45429-2024 tillsynsbegäran.docx", "A 45429-2024")</f>
        <v/>
      </c>
      <c r="Y1144">
        <f>HYPERLINK("https://klasma.github.io/Logging_2480/tillsynsmail/A 45429-2024 tillsynsbegäran mail.docx", "A 45429-2024")</f>
        <v/>
      </c>
    </row>
    <row r="1145" ht="15" customHeight="1">
      <c r="A1145" t="inlineStr">
        <is>
          <t>A 41776-2024</t>
        </is>
      </c>
      <c r="B1145" s="1" t="n">
        <v>45561.34743055556</v>
      </c>
      <c r="C1145" s="1" t="n">
        <v>46145</v>
      </c>
      <c r="D1145" t="inlineStr">
        <is>
          <t>VÄSTERBOTTENS LÄN</t>
        </is>
      </c>
      <c r="E1145" t="inlineStr">
        <is>
          <t>LYCKSELE</t>
        </is>
      </c>
      <c r="F1145" t="inlineStr">
        <is>
          <t>Sveaskog</t>
        </is>
      </c>
      <c r="G1145" t="n">
        <v>1.1</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41776-2024 artfynd.xlsx", "A 41776-2024")</f>
        <v/>
      </c>
      <c r="T1145">
        <f>HYPERLINK("https://klasma.github.io/Logging_2481/kartor/A 41776-2024 karta.png", "A 41776-2024")</f>
        <v/>
      </c>
      <c r="V1145">
        <f>HYPERLINK("https://klasma.github.io/Logging_2481/klagomål/A 41776-2024 FSC-klagomål.docx", "A 41776-2024")</f>
        <v/>
      </c>
      <c r="W1145">
        <f>HYPERLINK("https://klasma.github.io/Logging_2481/klagomålsmail/A 41776-2024 FSC-klagomål mail.docx", "A 41776-2024")</f>
        <v/>
      </c>
      <c r="X1145">
        <f>HYPERLINK("https://klasma.github.io/Logging_2481/tillsyn/A 41776-2024 tillsynsbegäran.docx", "A 41776-2024")</f>
        <v/>
      </c>
      <c r="Y1145">
        <f>HYPERLINK("https://klasma.github.io/Logging_2481/tillsynsmail/A 41776-2024 tillsynsbegäran mail.docx", "A 41776-2024")</f>
        <v/>
      </c>
    </row>
    <row r="1146" ht="15" customHeight="1">
      <c r="A1146" t="inlineStr">
        <is>
          <t>A 47313-2023</t>
        </is>
      </c>
      <c r="B1146" s="1" t="n">
        <v>45196</v>
      </c>
      <c r="C1146" s="1" t="n">
        <v>46145</v>
      </c>
      <c r="D1146" t="inlineStr">
        <is>
          <t>VÄSTERBOTTENS LÄN</t>
        </is>
      </c>
      <c r="E1146" t="inlineStr">
        <is>
          <t>STORUMAN</t>
        </is>
      </c>
      <c r="F1146" t="inlineStr">
        <is>
          <t>Övriga statliga verk och myndigheter</t>
        </is>
      </c>
      <c r="G1146" t="n">
        <v>33</v>
      </c>
      <c r="H1146" t="n">
        <v>0</v>
      </c>
      <c r="I1146" t="n">
        <v>0</v>
      </c>
      <c r="J1146" t="n">
        <v>1</v>
      </c>
      <c r="K1146" t="n">
        <v>0</v>
      </c>
      <c r="L1146" t="n">
        <v>0</v>
      </c>
      <c r="M1146" t="n">
        <v>0</v>
      </c>
      <c r="N1146" t="n">
        <v>0</v>
      </c>
      <c r="O1146" t="n">
        <v>1</v>
      </c>
      <c r="P1146" t="n">
        <v>0</v>
      </c>
      <c r="Q1146" t="n">
        <v>1</v>
      </c>
      <c r="R1146" s="2" t="inlineStr">
        <is>
          <t>Granticka</t>
        </is>
      </c>
      <c r="S1146">
        <f>HYPERLINK("https://klasma.github.io/Logging_2421/artfynd/A 47313-2023 artfynd.xlsx", "A 47313-2023")</f>
        <v/>
      </c>
      <c r="T1146">
        <f>HYPERLINK("https://klasma.github.io/Logging_2421/kartor/A 47313-2023 karta.png", "A 47313-2023")</f>
        <v/>
      </c>
      <c r="V1146">
        <f>HYPERLINK("https://klasma.github.io/Logging_2421/klagomål/A 47313-2023 FSC-klagomål.docx", "A 47313-2023")</f>
        <v/>
      </c>
      <c r="W1146">
        <f>HYPERLINK("https://klasma.github.io/Logging_2421/klagomålsmail/A 47313-2023 FSC-klagomål mail.docx", "A 47313-2023")</f>
        <v/>
      </c>
      <c r="X1146">
        <f>HYPERLINK("https://klasma.github.io/Logging_2421/tillsyn/A 47313-2023 tillsynsbegäran.docx", "A 47313-2023")</f>
        <v/>
      </c>
      <c r="Y1146">
        <f>HYPERLINK("https://klasma.github.io/Logging_2421/tillsynsmail/A 47313-2023 tillsynsbegäran mail.docx", "A 47313-2023")</f>
        <v/>
      </c>
    </row>
    <row r="1147" ht="15" customHeight="1">
      <c r="A1147" t="inlineStr">
        <is>
          <t>A 49370-2021</t>
        </is>
      </c>
      <c r="B1147" s="1" t="n">
        <v>44454</v>
      </c>
      <c r="C1147" s="1" t="n">
        <v>46145</v>
      </c>
      <c r="D1147" t="inlineStr">
        <is>
          <t>VÄSTERBOTTENS LÄN</t>
        </is>
      </c>
      <c r="E1147" t="inlineStr">
        <is>
          <t>MALÅ</t>
        </is>
      </c>
      <c r="F1147" t="inlineStr">
        <is>
          <t>Sveaskog</t>
        </is>
      </c>
      <c r="G1147" t="n">
        <v>26.5</v>
      </c>
      <c r="H1147" t="n">
        <v>1</v>
      </c>
      <c r="I1147" t="n">
        <v>0</v>
      </c>
      <c r="J1147" t="n">
        <v>0</v>
      </c>
      <c r="K1147" t="n">
        <v>1</v>
      </c>
      <c r="L1147" t="n">
        <v>0</v>
      </c>
      <c r="M1147" t="n">
        <v>0</v>
      </c>
      <c r="N1147" t="n">
        <v>0</v>
      </c>
      <c r="O1147" t="n">
        <v>1</v>
      </c>
      <c r="P1147" t="n">
        <v>1</v>
      </c>
      <c r="Q1147" t="n">
        <v>1</v>
      </c>
      <c r="R1147" s="2" t="inlineStr">
        <is>
          <t>Norna</t>
        </is>
      </c>
      <c r="S1147">
        <f>HYPERLINK("https://klasma.github.io/Logging_2418/artfynd/A 49370-2021 artfynd.xlsx", "A 49370-2021")</f>
        <v/>
      </c>
      <c r="T1147">
        <f>HYPERLINK("https://klasma.github.io/Logging_2418/kartor/A 49370-2021 karta.png", "A 49370-2021")</f>
        <v/>
      </c>
      <c r="V1147">
        <f>HYPERLINK("https://klasma.github.io/Logging_2418/klagomål/A 49370-2021 FSC-klagomål.docx", "A 49370-2021")</f>
        <v/>
      </c>
      <c r="W1147">
        <f>HYPERLINK("https://klasma.github.io/Logging_2418/klagomålsmail/A 49370-2021 FSC-klagomål mail.docx", "A 49370-2021")</f>
        <v/>
      </c>
      <c r="X1147">
        <f>HYPERLINK("https://klasma.github.io/Logging_2418/tillsyn/A 49370-2021 tillsynsbegäran.docx", "A 49370-2021")</f>
        <v/>
      </c>
      <c r="Y1147">
        <f>HYPERLINK("https://klasma.github.io/Logging_2418/tillsynsmail/A 49370-2021 tillsynsbegäran mail.docx", "A 49370-2021")</f>
        <v/>
      </c>
    </row>
    <row r="1148" ht="15" customHeight="1">
      <c r="A1148" t="inlineStr">
        <is>
          <t>A 45774-2024</t>
        </is>
      </c>
      <c r="B1148" s="1" t="n">
        <v>45579</v>
      </c>
      <c r="C1148" s="1" t="n">
        <v>46145</v>
      </c>
      <c r="D1148" t="inlineStr">
        <is>
          <t>VÄSTERBOTTENS LÄN</t>
        </is>
      </c>
      <c r="E1148" t="inlineStr">
        <is>
          <t>LYCKSELE</t>
        </is>
      </c>
      <c r="F1148" t="inlineStr">
        <is>
          <t>SCA</t>
        </is>
      </c>
      <c r="G1148" t="n">
        <v>4.3</v>
      </c>
      <c r="H1148" t="n">
        <v>0</v>
      </c>
      <c r="I1148" t="n">
        <v>1</v>
      </c>
      <c r="J1148" t="n">
        <v>0</v>
      </c>
      <c r="K1148" t="n">
        <v>0</v>
      </c>
      <c r="L1148" t="n">
        <v>0</v>
      </c>
      <c r="M1148" t="n">
        <v>0</v>
      </c>
      <c r="N1148" t="n">
        <v>0</v>
      </c>
      <c r="O1148" t="n">
        <v>0</v>
      </c>
      <c r="P1148" t="n">
        <v>0</v>
      </c>
      <c r="Q1148" t="n">
        <v>1</v>
      </c>
      <c r="R1148" s="2" t="inlineStr">
        <is>
          <t>Barkticka</t>
        </is>
      </c>
      <c r="S1148">
        <f>HYPERLINK("https://klasma.github.io/Logging_2481/artfynd/A 45774-2024 artfynd.xlsx", "A 45774-2024")</f>
        <v/>
      </c>
      <c r="T1148">
        <f>HYPERLINK("https://klasma.github.io/Logging_2481/kartor/A 45774-2024 karta.png", "A 45774-2024")</f>
        <v/>
      </c>
      <c r="V1148">
        <f>HYPERLINK("https://klasma.github.io/Logging_2481/klagomål/A 45774-2024 FSC-klagomål.docx", "A 45774-2024")</f>
        <v/>
      </c>
      <c r="W1148">
        <f>HYPERLINK("https://klasma.github.io/Logging_2481/klagomålsmail/A 45774-2024 FSC-klagomål mail.docx", "A 45774-2024")</f>
        <v/>
      </c>
      <c r="X1148">
        <f>HYPERLINK("https://klasma.github.io/Logging_2481/tillsyn/A 45774-2024 tillsynsbegäran.docx", "A 45774-2024")</f>
        <v/>
      </c>
      <c r="Y1148">
        <f>HYPERLINK("https://klasma.github.io/Logging_2481/tillsynsmail/A 45774-2024 tillsynsbegäran mail.docx", "A 45774-2024")</f>
        <v/>
      </c>
    </row>
    <row r="1149" ht="15" customHeight="1">
      <c r="A1149" t="inlineStr">
        <is>
          <t>A 9722-2026</t>
        </is>
      </c>
      <c r="B1149" s="1" t="n">
        <v>46072.45427083333</v>
      </c>
      <c r="C1149" s="1" t="n">
        <v>46145</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16999-2026</t>
        </is>
      </c>
      <c r="B1150" s="1" t="n">
        <v>46114.4262962963</v>
      </c>
      <c r="C1150" s="1" t="n">
        <v>46145</v>
      </c>
      <c r="D1150" t="inlineStr">
        <is>
          <t>VÄSTERBOTTENS LÄN</t>
        </is>
      </c>
      <c r="E1150" t="inlineStr">
        <is>
          <t>VINDELN</t>
        </is>
      </c>
      <c r="G1150" t="n">
        <v>5.4</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16999-2026 artfynd.xlsx", "A 16999-2026")</f>
        <v/>
      </c>
      <c r="T1150">
        <f>HYPERLINK("https://klasma.github.io/Logging_2404/kartor/A 16999-2026 karta.png", "A 16999-2026")</f>
        <v/>
      </c>
      <c r="V1150">
        <f>HYPERLINK("https://klasma.github.io/Logging_2404/klagomål/A 16999-2026 FSC-klagomål.docx", "A 16999-2026")</f>
        <v/>
      </c>
      <c r="W1150">
        <f>HYPERLINK("https://klasma.github.io/Logging_2404/klagomålsmail/A 16999-2026 FSC-klagomål mail.docx", "A 16999-2026")</f>
        <v/>
      </c>
      <c r="X1150">
        <f>HYPERLINK("https://klasma.github.io/Logging_2404/tillsyn/A 16999-2026 tillsynsbegäran.docx", "A 16999-2026")</f>
        <v/>
      </c>
      <c r="Y1150">
        <f>HYPERLINK("https://klasma.github.io/Logging_2404/tillsynsmail/A 16999-2026 tillsynsbegäran mail.docx", "A 16999-2026")</f>
        <v/>
      </c>
    </row>
    <row r="1151" ht="15" customHeight="1">
      <c r="A1151" t="inlineStr">
        <is>
          <t>A 3446-2026</t>
        </is>
      </c>
      <c r="B1151" s="1" t="n">
        <v>46042</v>
      </c>
      <c r="C1151" s="1" t="n">
        <v>46145</v>
      </c>
      <c r="D1151" t="inlineStr">
        <is>
          <t>VÄSTERBOTTENS LÄN</t>
        </is>
      </c>
      <c r="E1151" t="inlineStr">
        <is>
          <t>SKELLEFTEÅ</t>
        </is>
      </c>
      <c r="G1151" t="n">
        <v>1.6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HYPERLINK("https://klasma.github.io/Logging_2482/artfynd/A 3446-2026 artfynd.xlsx", "A 3446-2026")</f>
        <v/>
      </c>
      <c r="T1151">
        <f>HYPERLINK("https://klasma.github.io/Logging_2482/kartor/A 3446-2026 karta.png", "A 3446-2026")</f>
        <v/>
      </c>
      <c r="U1151">
        <f>HYPERLINK("https://klasma.github.io/Logging_2482/knärot/A 3446-2026 karta knärot.png", "A 3446-2026")</f>
        <v/>
      </c>
      <c r="V1151">
        <f>HYPERLINK("https://klasma.github.io/Logging_2482/klagomål/A 3446-2026 FSC-klagomål.docx", "A 3446-2026")</f>
        <v/>
      </c>
      <c r="W1151">
        <f>HYPERLINK("https://klasma.github.io/Logging_2482/klagomålsmail/A 3446-2026 FSC-klagomål mail.docx", "A 3446-2026")</f>
        <v/>
      </c>
      <c r="X1151">
        <f>HYPERLINK("https://klasma.github.io/Logging_2482/tillsyn/A 3446-2026 tillsynsbegäran.docx", "A 3446-2026")</f>
        <v/>
      </c>
      <c r="Y1151">
        <f>HYPERLINK("https://klasma.github.io/Logging_2482/tillsynsmail/A 3446-2026 tillsynsbegäran mail.docx", "A 3446-2026")</f>
        <v/>
      </c>
      <c r="Z1151">
        <f>HYPERLINK("https://klasma.github.io/Logging_2482/fåglar/A 3446-2026 prioriterade fågelarter.docx", "A 3446-2026")</f>
        <v/>
      </c>
    </row>
    <row r="1152" ht="15" customHeight="1">
      <c r="A1152" t="inlineStr">
        <is>
          <t>A 10589-2026</t>
        </is>
      </c>
      <c r="B1152" s="1" t="n">
        <v>46077.69070601852</v>
      </c>
      <c r="C1152" s="1" t="n">
        <v>46145</v>
      </c>
      <c r="D1152" t="inlineStr">
        <is>
          <t>VÄSTERBOTTENS LÄN</t>
        </is>
      </c>
      <c r="E1152" t="inlineStr">
        <is>
          <t>VINDELN</t>
        </is>
      </c>
      <c r="F1152" t="inlineStr">
        <is>
          <t>Sveaskog</t>
        </is>
      </c>
      <c r="G1152" t="n">
        <v>28.3</v>
      </c>
      <c r="H1152" t="n">
        <v>0</v>
      </c>
      <c r="I1152" t="n">
        <v>0</v>
      </c>
      <c r="J1152" t="n">
        <v>1</v>
      </c>
      <c r="K1152" t="n">
        <v>0</v>
      </c>
      <c r="L1152" t="n">
        <v>0</v>
      </c>
      <c r="M1152" t="n">
        <v>0</v>
      </c>
      <c r="N1152" t="n">
        <v>0</v>
      </c>
      <c r="O1152" t="n">
        <v>1</v>
      </c>
      <c r="P1152" t="n">
        <v>0</v>
      </c>
      <c r="Q1152" t="n">
        <v>1</v>
      </c>
      <c r="R1152" s="2" t="inlineStr">
        <is>
          <t>Tallticka</t>
        </is>
      </c>
      <c r="S1152">
        <f>HYPERLINK("https://klasma.github.io/Logging_2404/artfynd/A 10589-2026 artfynd.xlsx", "A 10589-2026")</f>
        <v/>
      </c>
      <c r="T1152">
        <f>HYPERLINK("https://klasma.github.io/Logging_2404/kartor/A 10589-2026 karta.png", "A 10589-2026")</f>
        <v/>
      </c>
      <c r="V1152">
        <f>HYPERLINK("https://klasma.github.io/Logging_2404/klagomål/A 10589-2026 FSC-klagomål.docx", "A 10589-2026")</f>
        <v/>
      </c>
      <c r="W1152">
        <f>HYPERLINK("https://klasma.github.io/Logging_2404/klagomålsmail/A 10589-2026 FSC-klagomål mail.docx", "A 10589-2026")</f>
        <v/>
      </c>
      <c r="X1152">
        <f>HYPERLINK("https://klasma.github.io/Logging_2404/tillsyn/A 10589-2026 tillsynsbegäran.docx", "A 10589-2026")</f>
        <v/>
      </c>
      <c r="Y1152">
        <f>HYPERLINK("https://klasma.github.io/Logging_2404/tillsynsmail/A 10589-2026 tillsynsbegäran mail.docx", "A 10589-2026")</f>
        <v/>
      </c>
    </row>
    <row r="1153" ht="15" customHeight="1">
      <c r="A1153" t="inlineStr">
        <is>
          <t>A 5969-2025</t>
        </is>
      </c>
      <c r="B1153" s="1" t="n">
        <v>45695.50104166667</v>
      </c>
      <c r="C1153" s="1" t="n">
        <v>46145</v>
      </c>
      <c r="D1153" t="inlineStr">
        <is>
          <t>VÄSTERBOTTENS LÄN</t>
        </is>
      </c>
      <c r="E1153" t="inlineStr">
        <is>
          <t>ROBERTSFORS</t>
        </is>
      </c>
      <c r="G1153" t="n">
        <v>18.1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HYPERLINK("https://klasma.github.io/Logging_2409/artfynd/A 5969-2025 artfynd.xlsx", "A 5969-2025")</f>
        <v/>
      </c>
      <c r="T1153">
        <f>HYPERLINK("https://klasma.github.io/Logging_2409/kartor/A 5969-2025 karta.png", "A 5969-2025")</f>
        <v/>
      </c>
      <c r="V1153">
        <f>HYPERLINK("https://klasma.github.io/Logging_2409/klagomål/A 5969-2025 FSC-klagomål.docx", "A 5969-2025")</f>
        <v/>
      </c>
      <c r="W1153">
        <f>HYPERLINK("https://klasma.github.io/Logging_2409/klagomålsmail/A 5969-2025 FSC-klagomål mail.docx", "A 5969-2025")</f>
        <v/>
      </c>
      <c r="X1153">
        <f>HYPERLINK("https://klasma.github.io/Logging_2409/tillsyn/A 5969-2025 tillsynsbegäran.docx", "A 5969-2025")</f>
        <v/>
      </c>
      <c r="Y1153">
        <f>HYPERLINK("https://klasma.github.io/Logging_2409/tillsynsmail/A 5969-2025 tillsynsbegäran mail.docx", "A 5969-2025")</f>
        <v/>
      </c>
      <c r="Z1153">
        <f>HYPERLINK("https://klasma.github.io/Logging_2409/fåglar/A 5969-2025 prioriterade fågelarter.docx", "A 5969-2025")</f>
        <v/>
      </c>
    </row>
    <row r="1154" ht="15" customHeight="1">
      <c r="A1154" t="inlineStr">
        <is>
          <t>A 34730-2024</t>
        </is>
      </c>
      <c r="B1154" s="1" t="n">
        <v>45526</v>
      </c>
      <c r="C1154" s="1" t="n">
        <v>46145</v>
      </c>
      <c r="D1154" t="inlineStr">
        <is>
          <t>VÄSTERBOTTENS LÄN</t>
        </is>
      </c>
      <c r="E1154" t="inlineStr">
        <is>
          <t>VILHELMINA</t>
        </is>
      </c>
      <c r="G1154" t="n">
        <v>19.2</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34730-2024 artfynd.xlsx", "A 34730-2024")</f>
        <v/>
      </c>
      <c r="T1154">
        <f>HYPERLINK("https://klasma.github.io/Logging_2462/kartor/A 34730-2024 karta.png", "A 34730-2024")</f>
        <v/>
      </c>
      <c r="V1154">
        <f>HYPERLINK("https://klasma.github.io/Logging_2462/klagomål/A 34730-2024 FSC-klagomål.docx", "A 34730-2024")</f>
        <v/>
      </c>
      <c r="W1154">
        <f>HYPERLINK("https://klasma.github.io/Logging_2462/klagomålsmail/A 34730-2024 FSC-klagomål mail.docx", "A 34730-2024")</f>
        <v/>
      </c>
      <c r="X1154">
        <f>HYPERLINK("https://klasma.github.io/Logging_2462/tillsyn/A 34730-2024 tillsynsbegäran.docx", "A 34730-2024")</f>
        <v/>
      </c>
      <c r="Y1154">
        <f>HYPERLINK("https://klasma.github.io/Logging_2462/tillsynsmail/A 34730-2024 tillsynsbegäran mail.docx", "A 34730-2024")</f>
        <v/>
      </c>
    </row>
    <row r="1155" ht="15" customHeight="1">
      <c r="A1155" t="inlineStr">
        <is>
          <t>A 49850-2021</t>
        </is>
      </c>
      <c r="B1155" s="1" t="n">
        <v>44455</v>
      </c>
      <c r="C1155" s="1" t="n">
        <v>46145</v>
      </c>
      <c r="D1155" t="inlineStr">
        <is>
          <t>VÄSTERBOTTENS LÄN</t>
        </is>
      </c>
      <c r="E1155" t="inlineStr">
        <is>
          <t>UMEÅ</t>
        </is>
      </c>
      <c r="G1155" t="n">
        <v>3.8</v>
      </c>
      <c r="H1155" t="n">
        <v>0</v>
      </c>
      <c r="I1155" t="n">
        <v>0</v>
      </c>
      <c r="J1155" t="n">
        <v>1</v>
      </c>
      <c r="K1155" t="n">
        <v>0</v>
      </c>
      <c r="L1155" t="n">
        <v>0</v>
      </c>
      <c r="M1155" t="n">
        <v>0</v>
      </c>
      <c r="N1155" t="n">
        <v>0</v>
      </c>
      <c r="O1155" t="n">
        <v>1</v>
      </c>
      <c r="P1155" t="n">
        <v>0</v>
      </c>
      <c r="Q1155" t="n">
        <v>1</v>
      </c>
      <c r="R1155" s="2" t="inlineStr">
        <is>
          <t>Skogshare</t>
        </is>
      </c>
      <c r="S1155">
        <f>HYPERLINK("https://klasma.github.io/Logging_2480/artfynd/A 49850-2021 artfynd.xlsx", "A 49850-2021")</f>
        <v/>
      </c>
      <c r="T1155">
        <f>HYPERLINK("https://klasma.github.io/Logging_2480/kartor/A 49850-2021 karta.png", "A 49850-2021")</f>
        <v/>
      </c>
      <c r="V1155">
        <f>HYPERLINK("https://klasma.github.io/Logging_2480/klagomål/A 49850-2021 FSC-klagomål.docx", "A 49850-2021")</f>
        <v/>
      </c>
      <c r="W1155">
        <f>HYPERLINK("https://klasma.github.io/Logging_2480/klagomålsmail/A 49850-2021 FSC-klagomål mail.docx", "A 49850-2021")</f>
        <v/>
      </c>
      <c r="X1155">
        <f>HYPERLINK("https://klasma.github.io/Logging_2480/tillsyn/A 49850-2021 tillsynsbegäran.docx", "A 49850-2021")</f>
        <v/>
      </c>
      <c r="Y1155">
        <f>HYPERLINK("https://klasma.github.io/Logging_2480/tillsynsmail/A 49850-2021 tillsynsbegäran mail.docx", "A 49850-2021")</f>
        <v/>
      </c>
    </row>
    <row r="1156" ht="15" customHeight="1">
      <c r="A1156" t="inlineStr">
        <is>
          <t>A 10747-2026</t>
        </is>
      </c>
      <c r="B1156" s="1" t="n">
        <v>46078.52120370371</v>
      </c>
      <c r="C1156" s="1" t="n">
        <v>46145</v>
      </c>
      <c r="D1156" t="inlineStr">
        <is>
          <t>VÄSTERBOTTENS LÄN</t>
        </is>
      </c>
      <c r="E1156" t="inlineStr">
        <is>
          <t>UMEÅ</t>
        </is>
      </c>
      <c r="G1156" t="n">
        <v>2.9</v>
      </c>
      <c r="H1156" t="n">
        <v>0</v>
      </c>
      <c r="I1156" t="n">
        <v>0</v>
      </c>
      <c r="J1156" t="n">
        <v>1</v>
      </c>
      <c r="K1156" t="n">
        <v>0</v>
      </c>
      <c r="L1156" t="n">
        <v>0</v>
      </c>
      <c r="M1156" t="n">
        <v>0</v>
      </c>
      <c r="N1156" t="n">
        <v>0</v>
      </c>
      <c r="O1156" t="n">
        <v>1</v>
      </c>
      <c r="P1156" t="n">
        <v>0</v>
      </c>
      <c r="Q1156" t="n">
        <v>1</v>
      </c>
      <c r="R1156" s="2" t="inlineStr">
        <is>
          <t>Spinnfingersvamp</t>
        </is>
      </c>
      <c r="S1156">
        <f>HYPERLINK("https://klasma.github.io/Logging_2480/artfynd/A 10747-2026 artfynd.xlsx", "A 10747-2026")</f>
        <v/>
      </c>
      <c r="T1156">
        <f>HYPERLINK("https://klasma.github.io/Logging_2480/kartor/A 10747-2026 karta.png", "A 10747-2026")</f>
        <v/>
      </c>
      <c r="V1156">
        <f>HYPERLINK("https://klasma.github.io/Logging_2480/klagomål/A 10747-2026 FSC-klagomål.docx", "A 10747-2026")</f>
        <v/>
      </c>
      <c r="W1156">
        <f>HYPERLINK("https://klasma.github.io/Logging_2480/klagomålsmail/A 10747-2026 FSC-klagomål mail.docx", "A 10747-2026")</f>
        <v/>
      </c>
      <c r="X1156">
        <f>HYPERLINK("https://klasma.github.io/Logging_2480/tillsyn/A 10747-2026 tillsynsbegäran.docx", "A 10747-2026")</f>
        <v/>
      </c>
      <c r="Y1156">
        <f>HYPERLINK("https://klasma.github.io/Logging_2480/tillsynsmail/A 10747-2026 tillsynsbegäran mail.docx", "A 10747-2026")</f>
        <v/>
      </c>
    </row>
    <row r="1157" ht="15" customHeight="1">
      <c r="A1157" t="inlineStr">
        <is>
          <t>A 33763-2024</t>
        </is>
      </c>
      <c r="B1157" s="1" t="n">
        <v>45520.57005787037</v>
      </c>
      <c r="C1157" s="1" t="n">
        <v>46145</v>
      </c>
      <c r="D1157" t="inlineStr">
        <is>
          <t>VÄSTERBOTTENS LÄN</t>
        </is>
      </c>
      <c r="E1157" t="inlineStr">
        <is>
          <t>NORSJÖ</t>
        </is>
      </c>
      <c r="F1157" t="inlineStr">
        <is>
          <t>Sveaskog</t>
        </is>
      </c>
      <c r="G1157" t="n">
        <v>10.5</v>
      </c>
      <c r="H1157" t="n">
        <v>0</v>
      </c>
      <c r="I1157" t="n">
        <v>0</v>
      </c>
      <c r="J1157" t="n">
        <v>1</v>
      </c>
      <c r="K1157" t="n">
        <v>0</v>
      </c>
      <c r="L1157" t="n">
        <v>0</v>
      </c>
      <c r="M1157" t="n">
        <v>0</v>
      </c>
      <c r="N1157" t="n">
        <v>0</v>
      </c>
      <c r="O1157" t="n">
        <v>1</v>
      </c>
      <c r="P1157" t="n">
        <v>0</v>
      </c>
      <c r="Q1157" t="n">
        <v>1</v>
      </c>
      <c r="R1157" s="2" t="inlineStr">
        <is>
          <t>Orange taggsvamp</t>
        </is>
      </c>
      <c r="S1157">
        <f>HYPERLINK("https://klasma.github.io/Logging_2417/artfynd/A 33763-2024 artfynd.xlsx", "A 33763-2024")</f>
        <v/>
      </c>
      <c r="T1157">
        <f>HYPERLINK("https://klasma.github.io/Logging_2417/kartor/A 33763-2024 karta.png", "A 33763-2024")</f>
        <v/>
      </c>
      <c r="V1157">
        <f>HYPERLINK("https://klasma.github.io/Logging_2417/klagomål/A 33763-2024 FSC-klagomål.docx", "A 33763-2024")</f>
        <v/>
      </c>
      <c r="W1157">
        <f>HYPERLINK("https://klasma.github.io/Logging_2417/klagomålsmail/A 33763-2024 FSC-klagomål mail.docx", "A 33763-2024")</f>
        <v/>
      </c>
      <c r="X1157">
        <f>HYPERLINK("https://klasma.github.io/Logging_2417/tillsyn/A 33763-2024 tillsynsbegäran.docx", "A 33763-2024")</f>
        <v/>
      </c>
      <c r="Y1157">
        <f>HYPERLINK("https://klasma.github.io/Logging_2417/tillsynsmail/A 33763-2024 tillsynsbegäran mail.docx", "A 33763-2024")</f>
        <v/>
      </c>
    </row>
    <row r="1158" ht="15" customHeight="1">
      <c r="A1158" t="inlineStr">
        <is>
          <t>A 11527-2026</t>
        </is>
      </c>
      <c r="B1158" s="1" t="n">
        <v>46083.69060185185</v>
      </c>
      <c r="C1158" s="1" t="n">
        <v>46145</v>
      </c>
      <c r="D1158" t="inlineStr">
        <is>
          <t>VÄSTERBOTTENS LÄN</t>
        </is>
      </c>
      <c r="E1158" t="inlineStr">
        <is>
          <t>VILHELMINA</t>
        </is>
      </c>
      <c r="G1158" t="n">
        <v>21.2</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11527-2026 artfynd.xlsx", "A 11527-2026")</f>
        <v/>
      </c>
      <c r="T1158">
        <f>HYPERLINK("https://klasma.github.io/Logging_2462/kartor/A 11527-2026 karta.png", "A 11527-2026")</f>
        <v/>
      </c>
      <c r="V1158">
        <f>HYPERLINK("https://klasma.github.io/Logging_2462/klagomål/A 11527-2026 FSC-klagomål.docx", "A 11527-2026")</f>
        <v/>
      </c>
      <c r="W1158">
        <f>HYPERLINK("https://klasma.github.io/Logging_2462/klagomålsmail/A 11527-2026 FSC-klagomål mail.docx", "A 11527-2026")</f>
        <v/>
      </c>
      <c r="X1158">
        <f>HYPERLINK("https://klasma.github.io/Logging_2462/tillsyn/A 11527-2026 tillsynsbegäran.docx", "A 11527-2026")</f>
        <v/>
      </c>
      <c r="Y1158">
        <f>HYPERLINK("https://klasma.github.io/Logging_2462/tillsynsmail/A 11527-2026 tillsynsbegäran mail.docx", "A 11527-2026")</f>
        <v/>
      </c>
    </row>
    <row r="1159" ht="15" customHeight="1">
      <c r="A1159" t="inlineStr">
        <is>
          <t>A 15654-2023</t>
        </is>
      </c>
      <c r="B1159" s="1" t="n">
        <v>45019</v>
      </c>
      <c r="C1159" s="1" t="n">
        <v>46145</v>
      </c>
      <c r="D1159" t="inlineStr">
        <is>
          <t>VÄSTERBOTTENS LÄN</t>
        </is>
      </c>
      <c r="E1159" t="inlineStr">
        <is>
          <t>UMEÅ</t>
        </is>
      </c>
      <c r="F1159" t="inlineStr">
        <is>
          <t>Kommuner</t>
        </is>
      </c>
      <c r="G1159" t="n">
        <v>3.2</v>
      </c>
      <c r="H1159" t="n">
        <v>0</v>
      </c>
      <c r="I1159" t="n">
        <v>0</v>
      </c>
      <c r="J1159" t="n">
        <v>1</v>
      </c>
      <c r="K1159" t="n">
        <v>0</v>
      </c>
      <c r="L1159" t="n">
        <v>0</v>
      </c>
      <c r="M1159" t="n">
        <v>0</v>
      </c>
      <c r="N1159" t="n">
        <v>0</v>
      </c>
      <c r="O1159" t="n">
        <v>1</v>
      </c>
      <c r="P1159" t="n">
        <v>0</v>
      </c>
      <c r="Q1159" t="n">
        <v>1</v>
      </c>
      <c r="R1159" s="2" t="inlineStr">
        <is>
          <t>Garnlav</t>
        </is>
      </c>
      <c r="S1159">
        <f>HYPERLINK("https://klasma.github.io/Logging_2480/artfynd/A 15654-2023 artfynd.xlsx", "A 15654-2023")</f>
        <v/>
      </c>
      <c r="T1159">
        <f>HYPERLINK("https://klasma.github.io/Logging_2480/kartor/A 15654-2023 karta.png", "A 15654-2023")</f>
        <v/>
      </c>
      <c r="V1159">
        <f>HYPERLINK("https://klasma.github.io/Logging_2480/klagomål/A 15654-2023 FSC-klagomål.docx", "A 15654-2023")</f>
        <v/>
      </c>
      <c r="W1159">
        <f>HYPERLINK("https://klasma.github.io/Logging_2480/klagomålsmail/A 15654-2023 FSC-klagomål mail.docx", "A 15654-2023")</f>
        <v/>
      </c>
      <c r="X1159">
        <f>HYPERLINK("https://klasma.github.io/Logging_2480/tillsyn/A 15654-2023 tillsynsbegäran.docx", "A 15654-2023")</f>
        <v/>
      </c>
      <c r="Y1159">
        <f>HYPERLINK("https://klasma.github.io/Logging_2480/tillsynsmail/A 15654-2023 tillsynsbegäran mail.docx", "A 15654-2023")</f>
        <v/>
      </c>
    </row>
    <row r="1160" ht="15" customHeight="1">
      <c r="A1160" t="inlineStr">
        <is>
          <t>A 40665-2024</t>
        </is>
      </c>
      <c r="B1160" s="1" t="n">
        <v>45558.34784722222</v>
      </c>
      <c r="C1160" s="1" t="n">
        <v>46145</v>
      </c>
      <c r="D1160" t="inlineStr">
        <is>
          <t>VÄSTERBOTTENS LÄN</t>
        </is>
      </c>
      <c r="E1160" t="inlineStr">
        <is>
          <t>UMEÅ</t>
        </is>
      </c>
      <c r="G1160" t="n">
        <v>15.3</v>
      </c>
      <c r="H1160" t="n">
        <v>0</v>
      </c>
      <c r="I1160" t="n">
        <v>0</v>
      </c>
      <c r="J1160" t="n">
        <v>1</v>
      </c>
      <c r="K1160" t="n">
        <v>0</v>
      </c>
      <c r="L1160" t="n">
        <v>0</v>
      </c>
      <c r="M1160" t="n">
        <v>0</v>
      </c>
      <c r="N1160" t="n">
        <v>0</v>
      </c>
      <c r="O1160" t="n">
        <v>1</v>
      </c>
      <c r="P1160" t="n">
        <v>0</v>
      </c>
      <c r="Q1160" t="n">
        <v>1</v>
      </c>
      <c r="R1160" s="2" t="inlineStr">
        <is>
          <t>Garnlav</t>
        </is>
      </c>
      <c r="S1160">
        <f>HYPERLINK("https://klasma.github.io/Logging_2480/artfynd/A 40665-2024 artfynd.xlsx", "A 40665-2024")</f>
        <v/>
      </c>
      <c r="T1160">
        <f>HYPERLINK("https://klasma.github.io/Logging_2480/kartor/A 40665-2024 karta.png", "A 40665-2024")</f>
        <v/>
      </c>
      <c r="V1160">
        <f>HYPERLINK("https://klasma.github.io/Logging_2480/klagomål/A 40665-2024 FSC-klagomål.docx", "A 40665-2024")</f>
        <v/>
      </c>
      <c r="W1160">
        <f>HYPERLINK("https://klasma.github.io/Logging_2480/klagomålsmail/A 40665-2024 FSC-klagomål mail.docx", "A 40665-2024")</f>
        <v/>
      </c>
      <c r="X1160">
        <f>HYPERLINK("https://klasma.github.io/Logging_2480/tillsyn/A 40665-2024 tillsynsbegäran.docx", "A 40665-2024")</f>
        <v/>
      </c>
      <c r="Y1160">
        <f>HYPERLINK("https://klasma.github.io/Logging_2480/tillsynsmail/A 40665-2024 tillsynsbegäran mail.docx", "A 40665-2024")</f>
        <v/>
      </c>
    </row>
    <row r="1161" ht="15" customHeight="1">
      <c r="A1161" t="inlineStr">
        <is>
          <t>A 64409-2021</t>
        </is>
      </c>
      <c r="B1161" s="1" t="n">
        <v>44510</v>
      </c>
      <c r="C1161" s="1" t="n">
        <v>46145</v>
      </c>
      <c r="D1161" t="inlineStr">
        <is>
          <t>VÄSTERBOTTENS LÄN</t>
        </is>
      </c>
      <c r="E1161" t="inlineStr">
        <is>
          <t>SKELLEFTEÅ</t>
        </is>
      </c>
      <c r="G1161" t="n">
        <v>1.3</v>
      </c>
      <c r="H1161" t="n">
        <v>0</v>
      </c>
      <c r="I1161" t="n">
        <v>0</v>
      </c>
      <c r="J1161" t="n">
        <v>1</v>
      </c>
      <c r="K1161" t="n">
        <v>0</v>
      </c>
      <c r="L1161" t="n">
        <v>0</v>
      </c>
      <c r="M1161" t="n">
        <v>0</v>
      </c>
      <c r="N1161" t="n">
        <v>0</v>
      </c>
      <c r="O1161" t="n">
        <v>1</v>
      </c>
      <c r="P1161" t="n">
        <v>0</v>
      </c>
      <c r="Q1161" t="n">
        <v>1</v>
      </c>
      <c r="R1161" s="2" t="inlineStr">
        <is>
          <t>Igelkott</t>
        </is>
      </c>
      <c r="S1161">
        <f>HYPERLINK("https://klasma.github.io/Logging_2482/artfynd/A 64409-2021 artfynd.xlsx", "A 64409-2021")</f>
        <v/>
      </c>
      <c r="T1161">
        <f>HYPERLINK("https://klasma.github.io/Logging_2482/kartor/A 64409-2021 karta.png", "A 64409-2021")</f>
        <v/>
      </c>
      <c r="V1161">
        <f>HYPERLINK("https://klasma.github.io/Logging_2482/klagomål/A 64409-2021 FSC-klagomål.docx", "A 64409-2021")</f>
        <v/>
      </c>
      <c r="W1161">
        <f>HYPERLINK("https://klasma.github.io/Logging_2482/klagomålsmail/A 64409-2021 FSC-klagomål mail.docx", "A 64409-2021")</f>
        <v/>
      </c>
      <c r="X1161">
        <f>HYPERLINK("https://klasma.github.io/Logging_2482/tillsyn/A 64409-2021 tillsynsbegäran.docx", "A 64409-2021")</f>
        <v/>
      </c>
      <c r="Y1161">
        <f>HYPERLINK("https://klasma.github.io/Logging_2482/tillsynsmail/A 64409-2021 tillsynsbegäran mail.docx", "A 64409-2021")</f>
        <v/>
      </c>
    </row>
    <row r="1162" ht="15" customHeight="1">
      <c r="A1162" t="inlineStr">
        <is>
          <t>A 18556-2026</t>
        </is>
      </c>
      <c r="B1162" s="1" t="n">
        <v>46127.57793981482</v>
      </c>
      <c r="C1162" s="1" t="n">
        <v>46145</v>
      </c>
      <c r="D1162" t="inlineStr">
        <is>
          <t>VÄSTERBOTTENS LÄN</t>
        </is>
      </c>
      <c r="E1162" t="inlineStr">
        <is>
          <t>UMEÅ</t>
        </is>
      </c>
      <c r="G1162" t="n">
        <v>2.8</v>
      </c>
      <c r="H1162" t="n">
        <v>0</v>
      </c>
      <c r="I1162" t="n">
        <v>0</v>
      </c>
      <c r="J1162" t="n">
        <v>1</v>
      </c>
      <c r="K1162" t="n">
        <v>0</v>
      </c>
      <c r="L1162" t="n">
        <v>0</v>
      </c>
      <c r="M1162" t="n">
        <v>0</v>
      </c>
      <c r="N1162" t="n">
        <v>0</v>
      </c>
      <c r="O1162" t="n">
        <v>1</v>
      </c>
      <c r="P1162" t="n">
        <v>0</v>
      </c>
      <c r="Q1162" t="n">
        <v>1</v>
      </c>
      <c r="R1162" s="2" t="inlineStr">
        <is>
          <t>Harticka</t>
        </is>
      </c>
      <c r="S1162">
        <f>HYPERLINK("https://klasma.github.io/Logging_2480/artfynd/A 18556-2026 artfynd.xlsx", "A 18556-2026")</f>
        <v/>
      </c>
      <c r="T1162">
        <f>HYPERLINK("https://klasma.github.io/Logging_2480/kartor/A 18556-2026 karta.png", "A 18556-2026")</f>
        <v/>
      </c>
      <c r="V1162">
        <f>HYPERLINK("https://klasma.github.io/Logging_2480/klagomål/A 18556-2026 FSC-klagomål.docx", "A 18556-2026")</f>
        <v/>
      </c>
      <c r="W1162">
        <f>HYPERLINK("https://klasma.github.io/Logging_2480/klagomålsmail/A 18556-2026 FSC-klagomål mail.docx", "A 18556-2026")</f>
        <v/>
      </c>
      <c r="X1162">
        <f>HYPERLINK("https://klasma.github.io/Logging_2480/tillsyn/A 18556-2026 tillsynsbegäran.docx", "A 18556-2026")</f>
        <v/>
      </c>
      <c r="Y1162">
        <f>HYPERLINK("https://klasma.github.io/Logging_2480/tillsynsmail/A 18556-2026 tillsynsbegäran mail.docx", "A 18556-2026")</f>
        <v/>
      </c>
    </row>
    <row r="1163" ht="15" customHeight="1">
      <c r="A1163" t="inlineStr">
        <is>
          <t>A 24824-2024</t>
        </is>
      </c>
      <c r="B1163" s="1" t="n">
        <v>45461.35597222222</v>
      </c>
      <c r="C1163" s="1" t="n">
        <v>46145</v>
      </c>
      <c r="D1163" t="inlineStr">
        <is>
          <t>VÄSTERBOTTENS LÄN</t>
        </is>
      </c>
      <c r="E1163" t="inlineStr">
        <is>
          <t>LYCKSELE</t>
        </is>
      </c>
      <c r="F1163" t="inlineStr">
        <is>
          <t>Sveaskog</t>
        </is>
      </c>
      <c r="G1163" t="n">
        <v>6.1</v>
      </c>
      <c r="H1163" t="n">
        <v>1</v>
      </c>
      <c r="I1163" t="n">
        <v>0</v>
      </c>
      <c r="J1163" t="n">
        <v>1</v>
      </c>
      <c r="K1163" t="n">
        <v>0</v>
      </c>
      <c r="L1163" t="n">
        <v>0</v>
      </c>
      <c r="M1163" t="n">
        <v>0</v>
      </c>
      <c r="N1163" t="n">
        <v>0</v>
      </c>
      <c r="O1163" t="n">
        <v>1</v>
      </c>
      <c r="P1163" t="n">
        <v>0</v>
      </c>
      <c r="Q1163" t="n">
        <v>1</v>
      </c>
      <c r="R1163" s="2" t="inlineStr">
        <is>
          <t>Kungsörn</t>
        </is>
      </c>
      <c r="S1163">
        <f>HYPERLINK("https://klasma.github.io/Logging_2481/artfynd/A 24824-2024 artfynd.xlsx", "A 24824-2024")</f>
        <v/>
      </c>
      <c r="T1163">
        <f>HYPERLINK("https://klasma.github.io/Logging_2481/kartor/A 24824-2024 karta.png", "A 24824-2024")</f>
        <v/>
      </c>
      <c r="V1163">
        <f>HYPERLINK("https://klasma.github.io/Logging_2481/klagomål/A 24824-2024 FSC-klagomål.docx", "A 24824-2024")</f>
        <v/>
      </c>
      <c r="W1163">
        <f>HYPERLINK("https://klasma.github.io/Logging_2481/klagomålsmail/A 24824-2024 FSC-klagomål mail.docx", "A 24824-2024")</f>
        <v/>
      </c>
      <c r="X1163">
        <f>HYPERLINK("https://klasma.github.io/Logging_2481/tillsyn/A 24824-2024 tillsynsbegäran.docx", "A 24824-2024")</f>
        <v/>
      </c>
      <c r="Y1163">
        <f>HYPERLINK("https://klasma.github.io/Logging_2481/tillsynsmail/A 24824-2024 tillsynsbegäran mail.docx", "A 24824-2024")</f>
        <v/>
      </c>
      <c r="Z1163">
        <f>HYPERLINK("https://klasma.github.io/Logging_2481/fåglar/A 24824-2024 prioriterade fågelarter.docx", "A 24824-2024")</f>
        <v/>
      </c>
    </row>
    <row r="1164" ht="15" customHeight="1">
      <c r="A1164" t="inlineStr">
        <is>
          <t>A 27234-2024</t>
        </is>
      </c>
      <c r="B1164" s="1" t="n">
        <v>45471</v>
      </c>
      <c r="C1164" s="1" t="n">
        <v>46145</v>
      </c>
      <c r="D1164" t="inlineStr">
        <is>
          <t>VÄSTERBOTTENS LÄN</t>
        </is>
      </c>
      <c r="E1164" t="inlineStr">
        <is>
          <t>DOROTEA</t>
        </is>
      </c>
      <c r="F1164" t="inlineStr">
        <is>
          <t>SCA</t>
        </is>
      </c>
      <c r="G1164" t="n">
        <v>2.2</v>
      </c>
      <c r="H1164" t="n">
        <v>0</v>
      </c>
      <c r="I1164" t="n">
        <v>0</v>
      </c>
      <c r="J1164" t="n">
        <v>0</v>
      </c>
      <c r="K1164" t="n">
        <v>1</v>
      </c>
      <c r="L1164" t="n">
        <v>0</v>
      </c>
      <c r="M1164" t="n">
        <v>0</v>
      </c>
      <c r="N1164" t="n">
        <v>0</v>
      </c>
      <c r="O1164" t="n">
        <v>1</v>
      </c>
      <c r="P1164" t="n">
        <v>1</v>
      </c>
      <c r="Q1164" t="n">
        <v>1</v>
      </c>
      <c r="R1164" s="2" t="inlineStr">
        <is>
          <t>Rynkskinn</t>
        </is>
      </c>
      <c r="S1164">
        <f>HYPERLINK("https://klasma.github.io/Logging_2425/artfynd/A 27234-2024 artfynd.xlsx", "A 27234-2024")</f>
        <v/>
      </c>
      <c r="T1164">
        <f>HYPERLINK("https://klasma.github.io/Logging_2425/kartor/A 27234-2024 karta.png", "A 27234-2024")</f>
        <v/>
      </c>
      <c r="V1164">
        <f>HYPERLINK("https://klasma.github.io/Logging_2425/klagomål/A 27234-2024 FSC-klagomål.docx", "A 27234-2024")</f>
        <v/>
      </c>
      <c r="W1164">
        <f>HYPERLINK("https://klasma.github.io/Logging_2425/klagomålsmail/A 27234-2024 FSC-klagomål mail.docx", "A 27234-2024")</f>
        <v/>
      </c>
      <c r="X1164">
        <f>HYPERLINK("https://klasma.github.io/Logging_2425/tillsyn/A 27234-2024 tillsynsbegäran.docx", "A 27234-2024")</f>
        <v/>
      </c>
      <c r="Y1164">
        <f>HYPERLINK("https://klasma.github.io/Logging_2425/tillsynsmail/A 27234-2024 tillsynsbegäran mail.docx", "A 27234-2024")</f>
        <v/>
      </c>
    </row>
    <row r="1165" ht="15" customHeight="1">
      <c r="A1165" t="inlineStr">
        <is>
          <t>A 60369-2021</t>
        </is>
      </c>
      <c r="B1165" s="1" t="n">
        <v>44494</v>
      </c>
      <c r="C1165" s="1" t="n">
        <v>46145</v>
      </c>
      <c r="D1165" t="inlineStr">
        <is>
          <t>VÄSTERBOTTENS LÄN</t>
        </is>
      </c>
      <c r="E1165" t="inlineStr">
        <is>
          <t>VILHELMINA</t>
        </is>
      </c>
      <c r="G1165" t="n">
        <v>0.6</v>
      </c>
      <c r="H1165" t="n">
        <v>0</v>
      </c>
      <c r="I1165" t="n">
        <v>1</v>
      </c>
      <c r="J1165" t="n">
        <v>0</v>
      </c>
      <c r="K1165" t="n">
        <v>0</v>
      </c>
      <c r="L1165" t="n">
        <v>0</v>
      </c>
      <c r="M1165" t="n">
        <v>0</v>
      </c>
      <c r="N1165" t="n">
        <v>0</v>
      </c>
      <c r="O1165" t="n">
        <v>0</v>
      </c>
      <c r="P1165" t="n">
        <v>0</v>
      </c>
      <c r="Q1165" t="n">
        <v>1</v>
      </c>
      <c r="R1165" s="2" t="inlineStr">
        <is>
          <t>Stuplav</t>
        </is>
      </c>
      <c r="S1165">
        <f>HYPERLINK("https://klasma.github.io/Logging_2462/artfynd/A 60369-2021 artfynd.xlsx", "A 60369-2021")</f>
        <v/>
      </c>
      <c r="T1165">
        <f>HYPERLINK("https://klasma.github.io/Logging_2462/kartor/A 60369-2021 karta.png", "A 60369-2021")</f>
        <v/>
      </c>
      <c r="V1165">
        <f>HYPERLINK("https://klasma.github.io/Logging_2462/klagomål/A 60369-2021 FSC-klagomål.docx", "A 60369-2021")</f>
        <v/>
      </c>
      <c r="W1165">
        <f>HYPERLINK("https://klasma.github.io/Logging_2462/klagomålsmail/A 60369-2021 FSC-klagomål mail.docx", "A 60369-2021")</f>
        <v/>
      </c>
      <c r="X1165">
        <f>HYPERLINK("https://klasma.github.io/Logging_2462/tillsyn/A 60369-2021 tillsynsbegäran.docx", "A 60369-2021")</f>
        <v/>
      </c>
      <c r="Y1165">
        <f>HYPERLINK("https://klasma.github.io/Logging_2462/tillsynsmail/A 60369-2021 tillsynsbegäran mail.docx", "A 60369-2021")</f>
        <v/>
      </c>
    </row>
    <row r="1166" ht="15" customHeight="1">
      <c r="A1166" t="inlineStr">
        <is>
          <t>A 12686-2026</t>
        </is>
      </c>
      <c r="B1166" s="1" t="n">
        <v>46091.56337962963</v>
      </c>
      <c r="C1166" s="1" t="n">
        <v>46145</v>
      </c>
      <c r="D1166" t="inlineStr">
        <is>
          <t>VÄSTERBOTTENS LÄN</t>
        </is>
      </c>
      <c r="E1166" t="inlineStr">
        <is>
          <t>UMEÅ</t>
        </is>
      </c>
      <c r="G1166" t="n">
        <v>10.9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HYPERLINK("https://klasma.github.io/Logging_2480/artfynd/A 12686-2026 artfynd.xlsx", "A 12686-2026")</f>
        <v/>
      </c>
      <c r="T1166">
        <f>HYPERLINK("https://klasma.github.io/Logging_2480/kartor/A 12686-2026 karta.png", "A 12686-2026")</f>
        <v/>
      </c>
      <c r="V1166">
        <f>HYPERLINK("https://klasma.github.io/Logging_2480/klagomål/A 12686-2026 FSC-klagomål.docx", "A 12686-2026")</f>
        <v/>
      </c>
      <c r="W1166">
        <f>HYPERLINK("https://klasma.github.io/Logging_2480/klagomålsmail/A 12686-2026 FSC-klagomål mail.docx", "A 12686-2026")</f>
        <v/>
      </c>
      <c r="X1166">
        <f>HYPERLINK("https://klasma.github.io/Logging_2480/tillsyn/A 12686-2026 tillsynsbegäran.docx", "A 12686-2026")</f>
        <v/>
      </c>
      <c r="Y1166">
        <f>HYPERLINK("https://klasma.github.io/Logging_2480/tillsynsmail/A 12686-2026 tillsynsbegäran mail.docx", "A 12686-2026")</f>
        <v/>
      </c>
      <c r="Z1166">
        <f>HYPERLINK("https://klasma.github.io/Logging_2480/fåglar/A 12686-2026 prioriterade fågelarter.docx", "A 12686-2026")</f>
        <v/>
      </c>
    </row>
    <row r="1167" ht="15" customHeight="1">
      <c r="A1167" t="inlineStr">
        <is>
          <t>A 55389-2024</t>
        </is>
      </c>
      <c r="B1167" s="1" t="n">
        <v>45622.33753472222</v>
      </c>
      <c r="C1167" s="1" t="n">
        <v>46145</v>
      </c>
      <c r="D1167" t="inlineStr">
        <is>
          <t>VÄSTERBOTTENS LÄN</t>
        </is>
      </c>
      <c r="E1167" t="inlineStr">
        <is>
          <t>NORSJÖ</t>
        </is>
      </c>
      <c r="F1167" t="inlineStr">
        <is>
          <t>Sveaskog</t>
        </is>
      </c>
      <c r="G1167" t="n">
        <v>14.6</v>
      </c>
      <c r="H1167" t="n">
        <v>0</v>
      </c>
      <c r="I1167" t="n">
        <v>0</v>
      </c>
      <c r="J1167" t="n">
        <v>1</v>
      </c>
      <c r="K1167" t="n">
        <v>0</v>
      </c>
      <c r="L1167" t="n">
        <v>0</v>
      </c>
      <c r="M1167" t="n">
        <v>0</v>
      </c>
      <c r="N1167" t="n">
        <v>0</v>
      </c>
      <c r="O1167" t="n">
        <v>1</v>
      </c>
      <c r="P1167" t="n">
        <v>0</v>
      </c>
      <c r="Q1167" t="n">
        <v>1</v>
      </c>
      <c r="R1167" s="2" t="inlineStr">
        <is>
          <t>Garnlav</t>
        </is>
      </c>
      <c r="S1167">
        <f>HYPERLINK("https://klasma.github.io/Logging_2417/artfynd/A 55389-2024 artfynd.xlsx", "A 55389-2024")</f>
        <v/>
      </c>
      <c r="T1167">
        <f>HYPERLINK("https://klasma.github.io/Logging_2417/kartor/A 55389-2024 karta.png", "A 55389-2024")</f>
        <v/>
      </c>
      <c r="V1167">
        <f>HYPERLINK("https://klasma.github.io/Logging_2417/klagomål/A 55389-2024 FSC-klagomål.docx", "A 55389-2024")</f>
        <v/>
      </c>
      <c r="W1167">
        <f>HYPERLINK("https://klasma.github.io/Logging_2417/klagomålsmail/A 55389-2024 FSC-klagomål mail.docx", "A 55389-2024")</f>
        <v/>
      </c>
      <c r="X1167">
        <f>HYPERLINK("https://klasma.github.io/Logging_2417/tillsyn/A 55389-2024 tillsynsbegäran.docx", "A 55389-2024")</f>
        <v/>
      </c>
      <c r="Y1167">
        <f>HYPERLINK("https://klasma.github.io/Logging_2417/tillsynsmail/A 55389-2024 tillsynsbegäran mail.docx", "A 55389-2024")</f>
        <v/>
      </c>
    </row>
    <row r="1168" ht="15" customHeight="1">
      <c r="A1168" t="inlineStr">
        <is>
          <t>A 2308-2025</t>
        </is>
      </c>
      <c r="B1168" s="1" t="n">
        <v>45673.60113425926</v>
      </c>
      <c r="C1168" s="1" t="n">
        <v>46145</v>
      </c>
      <c r="D1168" t="inlineStr">
        <is>
          <t>VÄSTERBOTTENS LÄN</t>
        </is>
      </c>
      <c r="E1168" t="inlineStr">
        <is>
          <t>SKELLEFTEÅ</t>
        </is>
      </c>
      <c r="F1168" t="inlineStr">
        <is>
          <t>Holmen skog AB</t>
        </is>
      </c>
      <c r="G1168" t="n">
        <v>1.2</v>
      </c>
      <c r="H1168" t="n">
        <v>0</v>
      </c>
      <c r="I1168" t="n">
        <v>0</v>
      </c>
      <c r="J1168" t="n">
        <v>1</v>
      </c>
      <c r="K1168" t="n">
        <v>0</v>
      </c>
      <c r="L1168" t="n">
        <v>0</v>
      </c>
      <c r="M1168" t="n">
        <v>0</v>
      </c>
      <c r="N1168" t="n">
        <v>0</v>
      </c>
      <c r="O1168" t="n">
        <v>1</v>
      </c>
      <c r="P1168" t="n">
        <v>0</v>
      </c>
      <c r="Q1168" t="n">
        <v>1</v>
      </c>
      <c r="R1168" s="2" t="inlineStr">
        <is>
          <t>Garnlav</t>
        </is>
      </c>
      <c r="S1168">
        <f>HYPERLINK("https://klasma.github.io/Logging_2482/artfynd/A 2308-2025 artfynd.xlsx", "A 2308-2025")</f>
        <v/>
      </c>
      <c r="T1168">
        <f>HYPERLINK("https://klasma.github.io/Logging_2482/kartor/A 2308-2025 karta.png", "A 2308-2025")</f>
        <v/>
      </c>
      <c r="V1168">
        <f>HYPERLINK("https://klasma.github.io/Logging_2482/klagomål/A 2308-2025 FSC-klagomål.docx", "A 2308-2025")</f>
        <v/>
      </c>
      <c r="W1168">
        <f>HYPERLINK("https://klasma.github.io/Logging_2482/klagomålsmail/A 2308-2025 FSC-klagomål mail.docx", "A 2308-2025")</f>
        <v/>
      </c>
      <c r="X1168">
        <f>HYPERLINK("https://klasma.github.io/Logging_2482/tillsyn/A 2308-2025 tillsynsbegäran.docx", "A 2308-2025")</f>
        <v/>
      </c>
      <c r="Y1168">
        <f>HYPERLINK("https://klasma.github.io/Logging_2482/tillsynsmail/A 2308-2025 tillsynsbegäran mail.docx", "A 2308-2025")</f>
        <v/>
      </c>
    </row>
    <row r="1169" ht="15" customHeight="1">
      <c r="A1169" t="inlineStr">
        <is>
          <t>A 19417-2026</t>
        </is>
      </c>
      <c r="B1169" s="1" t="n">
        <v>46133.60679398148</v>
      </c>
      <c r="C1169" s="1" t="n">
        <v>46145</v>
      </c>
      <c r="D1169" t="inlineStr">
        <is>
          <t>VÄSTERBOTTENS LÄN</t>
        </is>
      </c>
      <c r="E1169" t="inlineStr">
        <is>
          <t>NORSJÖ</t>
        </is>
      </c>
      <c r="F1169" t="inlineStr">
        <is>
          <t>Holmen skog AB</t>
        </is>
      </c>
      <c r="G1169" t="n">
        <v>9.9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19417-2026 artfynd.xlsx", "A 19417-2026")</f>
        <v/>
      </c>
      <c r="T1169">
        <f>HYPERLINK("https://klasma.github.io/Logging_2417/kartor/A 19417-2026 karta.png", "A 19417-2026")</f>
        <v/>
      </c>
      <c r="V1169">
        <f>HYPERLINK("https://klasma.github.io/Logging_2417/klagomål/A 19417-2026 FSC-klagomål.docx", "A 19417-2026")</f>
        <v/>
      </c>
      <c r="W1169">
        <f>HYPERLINK("https://klasma.github.io/Logging_2417/klagomålsmail/A 19417-2026 FSC-klagomål mail.docx", "A 19417-2026")</f>
        <v/>
      </c>
      <c r="X1169">
        <f>HYPERLINK("https://klasma.github.io/Logging_2417/tillsyn/A 19417-2026 tillsynsbegäran.docx", "A 19417-2026")</f>
        <v/>
      </c>
      <c r="Y1169">
        <f>HYPERLINK("https://klasma.github.io/Logging_2417/tillsynsmail/A 19417-2026 tillsynsbegäran mail.docx", "A 19417-2026")</f>
        <v/>
      </c>
    </row>
    <row r="1170" ht="15" customHeight="1">
      <c r="A1170" t="inlineStr">
        <is>
          <t>A 12403-2026</t>
        </is>
      </c>
      <c r="B1170" s="1" t="n">
        <v>46090.39834490741</v>
      </c>
      <c r="C1170" s="1" t="n">
        <v>46145</v>
      </c>
      <c r="D1170" t="inlineStr">
        <is>
          <t>VÄSTERBOTTENS LÄN</t>
        </is>
      </c>
      <c r="E1170" t="inlineStr">
        <is>
          <t>BJURHOLM</t>
        </is>
      </c>
      <c r="G1170" t="n">
        <v>4</v>
      </c>
      <c r="H1170" t="n">
        <v>0</v>
      </c>
      <c r="I1170" t="n">
        <v>1</v>
      </c>
      <c r="J1170" t="n">
        <v>0</v>
      </c>
      <c r="K1170" t="n">
        <v>0</v>
      </c>
      <c r="L1170" t="n">
        <v>0</v>
      </c>
      <c r="M1170" t="n">
        <v>0</v>
      </c>
      <c r="N1170" t="n">
        <v>0</v>
      </c>
      <c r="O1170" t="n">
        <v>0</v>
      </c>
      <c r="P1170" t="n">
        <v>0</v>
      </c>
      <c r="Q1170" t="n">
        <v>1</v>
      </c>
      <c r="R1170" s="2" t="inlineStr">
        <is>
          <t>Skinnlav</t>
        </is>
      </c>
      <c r="S1170">
        <f>HYPERLINK("https://klasma.github.io/Logging_2403/artfynd/A 12403-2026 artfynd.xlsx", "A 12403-2026")</f>
        <v/>
      </c>
      <c r="T1170">
        <f>HYPERLINK("https://klasma.github.io/Logging_2403/kartor/A 12403-2026 karta.png", "A 12403-2026")</f>
        <v/>
      </c>
      <c r="V1170">
        <f>HYPERLINK("https://klasma.github.io/Logging_2403/klagomål/A 12403-2026 FSC-klagomål.docx", "A 12403-2026")</f>
        <v/>
      </c>
      <c r="W1170">
        <f>HYPERLINK("https://klasma.github.io/Logging_2403/klagomålsmail/A 12403-2026 FSC-klagomål mail.docx", "A 12403-2026")</f>
        <v/>
      </c>
      <c r="X1170">
        <f>HYPERLINK("https://klasma.github.io/Logging_2403/tillsyn/A 12403-2026 tillsynsbegäran.docx", "A 12403-2026")</f>
        <v/>
      </c>
      <c r="Y1170">
        <f>HYPERLINK("https://klasma.github.io/Logging_2403/tillsynsmail/A 12403-2026 tillsynsbegäran mail.docx", "A 12403-2026")</f>
        <v/>
      </c>
    </row>
    <row r="1171" ht="15" customHeight="1">
      <c r="A1171" t="inlineStr">
        <is>
          <t>A 12619-2026</t>
        </is>
      </c>
      <c r="B1171" s="1" t="n">
        <v>46091.42782407408</v>
      </c>
      <c r="C1171" s="1" t="n">
        <v>46145</v>
      </c>
      <c r="D1171" t="inlineStr">
        <is>
          <t>VÄSTERBOTTENS LÄN</t>
        </is>
      </c>
      <c r="E1171" t="inlineStr">
        <is>
          <t>LYCKSELE</t>
        </is>
      </c>
      <c r="F1171" t="inlineStr">
        <is>
          <t>SCA</t>
        </is>
      </c>
      <c r="G1171" t="n">
        <v>3.6</v>
      </c>
      <c r="H1171" t="n">
        <v>1</v>
      </c>
      <c r="I1171" t="n">
        <v>0</v>
      </c>
      <c r="J1171" t="n">
        <v>1</v>
      </c>
      <c r="K1171" t="n">
        <v>0</v>
      </c>
      <c r="L1171" t="n">
        <v>0</v>
      </c>
      <c r="M1171" t="n">
        <v>0</v>
      </c>
      <c r="N1171" t="n">
        <v>0</v>
      </c>
      <c r="O1171" t="n">
        <v>1</v>
      </c>
      <c r="P1171" t="n">
        <v>0</v>
      </c>
      <c r="Q1171" t="n">
        <v>1</v>
      </c>
      <c r="R1171" s="2" t="inlineStr">
        <is>
          <t>Kungsörn</t>
        </is>
      </c>
      <c r="S1171">
        <f>HYPERLINK("https://klasma.github.io/Logging_2481/artfynd/A 12619-2026 artfynd.xlsx", "A 12619-2026")</f>
        <v/>
      </c>
      <c r="T1171">
        <f>HYPERLINK("https://klasma.github.io/Logging_2481/kartor/A 12619-2026 karta.png", "A 12619-2026")</f>
        <v/>
      </c>
      <c r="V1171">
        <f>HYPERLINK("https://klasma.github.io/Logging_2481/klagomål/A 12619-2026 FSC-klagomål.docx", "A 12619-2026")</f>
        <v/>
      </c>
      <c r="W1171">
        <f>HYPERLINK("https://klasma.github.io/Logging_2481/klagomålsmail/A 12619-2026 FSC-klagomål mail.docx", "A 12619-2026")</f>
        <v/>
      </c>
      <c r="X1171">
        <f>HYPERLINK("https://klasma.github.io/Logging_2481/tillsyn/A 12619-2026 tillsynsbegäran.docx", "A 12619-2026")</f>
        <v/>
      </c>
      <c r="Y1171">
        <f>HYPERLINK("https://klasma.github.io/Logging_2481/tillsynsmail/A 12619-2026 tillsynsbegäran mail.docx", "A 12619-2026")</f>
        <v/>
      </c>
      <c r="Z1171">
        <f>HYPERLINK("https://klasma.github.io/Logging_2481/fåglar/A 12619-2026 prioriterade fågelarter.docx", "A 12619-2026")</f>
        <v/>
      </c>
    </row>
    <row r="1172" ht="15" customHeight="1">
      <c r="A1172" t="inlineStr">
        <is>
          <t>A 74395-2021</t>
        </is>
      </c>
      <c r="B1172" s="1" t="n">
        <v>44560</v>
      </c>
      <c r="C1172" s="1" t="n">
        <v>46145</v>
      </c>
      <c r="D1172" t="inlineStr">
        <is>
          <t>VÄSTERBOTTENS LÄN</t>
        </is>
      </c>
      <c r="E1172" t="inlineStr">
        <is>
          <t>VILHELMINA</t>
        </is>
      </c>
      <c r="G1172" t="n">
        <v>37.6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74395-2021 artfynd.xlsx", "A 74395-2021")</f>
        <v/>
      </c>
      <c r="T1172">
        <f>HYPERLINK("https://klasma.github.io/Logging_2462/kartor/A 74395-2021 karta.png", "A 74395-2021")</f>
        <v/>
      </c>
      <c r="V1172">
        <f>HYPERLINK("https://klasma.github.io/Logging_2462/klagomål/A 74395-2021 FSC-klagomål.docx", "A 74395-2021")</f>
        <v/>
      </c>
      <c r="W1172">
        <f>HYPERLINK("https://klasma.github.io/Logging_2462/klagomålsmail/A 74395-2021 FSC-klagomål mail.docx", "A 74395-2021")</f>
        <v/>
      </c>
      <c r="X1172">
        <f>HYPERLINK("https://klasma.github.io/Logging_2462/tillsyn/A 74395-2021 tillsynsbegäran.docx", "A 74395-2021")</f>
        <v/>
      </c>
      <c r="Y1172">
        <f>HYPERLINK("https://klasma.github.io/Logging_2462/tillsynsmail/A 74395-2021 tillsynsbegäran mail.docx", "A 74395-2021")</f>
        <v/>
      </c>
      <c r="Z1172">
        <f>HYPERLINK("https://klasma.github.io/Logging_2462/fåglar/A 74395-2021 prioriterade fågelarter.docx", "A 74395-2021")</f>
        <v/>
      </c>
    </row>
    <row r="1173" ht="15" customHeight="1">
      <c r="A1173" t="inlineStr">
        <is>
          <t>A 65044-2023</t>
        </is>
      </c>
      <c r="B1173" s="1" t="n">
        <v>45283</v>
      </c>
      <c r="C1173" s="1" t="n">
        <v>46145</v>
      </c>
      <c r="D1173" t="inlineStr">
        <is>
          <t>VÄSTERBOTTENS LÄN</t>
        </is>
      </c>
      <c r="E1173" t="inlineStr">
        <is>
          <t>NORDMALING</t>
        </is>
      </c>
      <c r="F1173" t="inlineStr">
        <is>
          <t>Kommuner</t>
        </is>
      </c>
      <c r="G1173" t="n">
        <v>15.4</v>
      </c>
      <c r="H1173" t="n">
        <v>1</v>
      </c>
      <c r="I1173" t="n">
        <v>0</v>
      </c>
      <c r="J1173" t="n">
        <v>1</v>
      </c>
      <c r="K1173" t="n">
        <v>0</v>
      </c>
      <c r="L1173" t="n">
        <v>0</v>
      </c>
      <c r="M1173" t="n">
        <v>0</v>
      </c>
      <c r="N1173" t="n">
        <v>0</v>
      </c>
      <c r="O1173" t="n">
        <v>1</v>
      </c>
      <c r="P1173" t="n">
        <v>0</v>
      </c>
      <c r="Q1173" t="n">
        <v>1</v>
      </c>
      <c r="R1173" s="2" t="inlineStr">
        <is>
          <t>Mindre hackspett</t>
        </is>
      </c>
      <c r="S1173">
        <f>HYPERLINK("https://klasma.github.io/Logging_2401/artfynd/A 65044-2023 artfynd.xlsx", "A 65044-2023")</f>
        <v/>
      </c>
      <c r="T1173">
        <f>HYPERLINK("https://klasma.github.io/Logging_2401/kartor/A 65044-2023 karta.png", "A 65044-2023")</f>
        <v/>
      </c>
      <c r="V1173">
        <f>HYPERLINK("https://klasma.github.io/Logging_2401/klagomål/A 65044-2023 FSC-klagomål.docx", "A 65044-2023")</f>
        <v/>
      </c>
      <c r="W1173">
        <f>HYPERLINK("https://klasma.github.io/Logging_2401/klagomålsmail/A 65044-2023 FSC-klagomål mail.docx", "A 65044-2023")</f>
        <v/>
      </c>
      <c r="X1173">
        <f>HYPERLINK("https://klasma.github.io/Logging_2401/tillsyn/A 65044-2023 tillsynsbegäran.docx", "A 65044-2023")</f>
        <v/>
      </c>
      <c r="Y1173">
        <f>HYPERLINK("https://klasma.github.io/Logging_2401/tillsynsmail/A 65044-2023 tillsynsbegäran mail.docx", "A 65044-2023")</f>
        <v/>
      </c>
      <c r="Z1173">
        <f>HYPERLINK("https://klasma.github.io/Logging_2401/fåglar/A 65044-2023 prioriterade fågelarter.docx", "A 65044-2023")</f>
        <v/>
      </c>
    </row>
    <row r="1174" ht="15" customHeight="1">
      <c r="A1174" t="inlineStr">
        <is>
          <t>A 33913-2024</t>
        </is>
      </c>
      <c r="B1174" s="1" t="n">
        <v>45523.38783564815</v>
      </c>
      <c r="C1174" s="1" t="n">
        <v>46145</v>
      </c>
      <c r="D1174" t="inlineStr">
        <is>
          <t>VÄSTERBOTTENS LÄN</t>
        </is>
      </c>
      <c r="E1174" t="inlineStr">
        <is>
          <t>VILHELMINA</t>
        </is>
      </c>
      <c r="F1174" t="inlineStr">
        <is>
          <t>SCA</t>
        </is>
      </c>
      <c r="G1174" t="n">
        <v>2.4</v>
      </c>
      <c r="H1174" t="n">
        <v>0</v>
      </c>
      <c r="I1174" t="n">
        <v>0</v>
      </c>
      <c r="J1174" t="n">
        <v>1</v>
      </c>
      <c r="K1174" t="n">
        <v>0</v>
      </c>
      <c r="L1174" t="n">
        <v>0</v>
      </c>
      <c r="M1174" t="n">
        <v>0</v>
      </c>
      <c r="N1174" t="n">
        <v>0</v>
      </c>
      <c r="O1174" t="n">
        <v>1</v>
      </c>
      <c r="P1174" t="n">
        <v>0</v>
      </c>
      <c r="Q1174" t="n">
        <v>1</v>
      </c>
      <c r="R1174" s="2" t="inlineStr">
        <is>
          <t>Lunglav</t>
        </is>
      </c>
      <c r="S1174">
        <f>HYPERLINK("https://klasma.github.io/Logging_2462/artfynd/A 33913-2024 artfynd.xlsx", "A 33913-2024")</f>
        <v/>
      </c>
      <c r="T1174">
        <f>HYPERLINK("https://klasma.github.io/Logging_2462/kartor/A 33913-2024 karta.png", "A 33913-2024")</f>
        <v/>
      </c>
      <c r="V1174">
        <f>HYPERLINK("https://klasma.github.io/Logging_2462/klagomål/A 33913-2024 FSC-klagomål.docx", "A 33913-2024")</f>
        <v/>
      </c>
      <c r="W1174">
        <f>HYPERLINK("https://klasma.github.io/Logging_2462/klagomålsmail/A 33913-2024 FSC-klagomål mail.docx", "A 33913-2024")</f>
        <v/>
      </c>
      <c r="X1174">
        <f>HYPERLINK("https://klasma.github.io/Logging_2462/tillsyn/A 33913-2024 tillsynsbegäran.docx", "A 33913-2024")</f>
        <v/>
      </c>
      <c r="Y1174">
        <f>HYPERLINK("https://klasma.github.io/Logging_2462/tillsynsmail/A 33913-2024 tillsynsbegäran mail.docx", "A 33913-2024")</f>
        <v/>
      </c>
    </row>
    <row r="1175" ht="15" customHeight="1">
      <c r="A1175" t="inlineStr">
        <is>
          <t>A 32023-2024</t>
        </is>
      </c>
      <c r="B1175" s="1" t="n">
        <v>45510</v>
      </c>
      <c r="C1175" s="1" t="n">
        <v>46145</v>
      </c>
      <c r="D1175" t="inlineStr">
        <is>
          <t>VÄSTERBOTTENS LÄN</t>
        </is>
      </c>
      <c r="E1175" t="inlineStr">
        <is>
          <t>ROBERTSFORS</t>
        </is>
      </c>
      <c r="F1175" t="inlineStr">
        <is>
          <t>Holmen skog AB</t>
        </is>
      </c>
      <c r="G1175" t="n">
        <v>1.8</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HYPERLINK("https://klasma.github.io/Logging_2409/artfynd/A 32023-2024 artfynd.xlsx", "A 32023-2024")</f>
        <v/>
      </c>
      <c r="T1175">
        <f>HYPERLINK("https://klasma.github.io/Logging_2409/kartor/A 32023-2024 karta.png", "A 32023-2024")</f>
        <v/>
      </c>
      <c r="V1175">
        <f>HYPERLINK("https://klasma.github.io/Logging_2409/klagomål/A 32023-2024 FSC-klagomål.docx", "A 32023-2024")</f>
        <v/>
      </c>
      <c r="W1175">
        <f>HYPERLINK("https://klasma.github.io/Logging_2409/klagomålsmail/A 32023-2024 FSC-klagomål mail.docx", "A 32023-2024")</f>
        <v/>
      </c>
      <c r="X1175">
        <f>HYPERLINK("https://klasma.github.io/Logging_2409/tillsyn/A 32023-2024 tillsynsbegäran.docx", "A 32023-2024")</f>
        <v/>
      </c>
      <c r="Y1175">
        <f>HYPERLINK("https://klasma.github.io/Logging_2409/tillsynsmail/A 32023-2024 tillsynsbegäran mail.docx", "A 32023-2024")</f>
        <v/>
      </c>
    </row>
    <row r="1176" ht="15" customHeight="1">
      <c r="A1176" t="inlineStr">
        <is>
          <t>A 737-2025</t>
        </is>
      </c>
      <c r="B1176" s="1" t="n">
        <v>45665</v>
      </c>
      <c r="C1176" s="1" t="n">
        <v>46145</v>
      </c>
      <c r="D1176" t="inlineStr">
        <is>
          <t>VÄSTERBOTTENS LÄN</t>
        </is>
      </c>
      <c r="E1176" t="inlineStr">
        <is>
          <t>SKELLEFTEÅ</t>
        </is>
      </c>
      <c r="G1176" t="n">
        <v>14.8</v>
      </c>
      <c r="H1176" t="n">
        <v>0</v>
      </c>
      <c r="I1176" t="n">
        <v>0</v>
      </c>
      <c r="J1176" t="n">
        <v>0</v>
      </c>
      <c r="K1176" t="n">
        <v>1</v>
      </c>
      <c r="L1176" t="n">
        <v>0</v>
      </c>
      <c r="M1176" t="n">
        <v>0</v>
      </c>
      <c r="N1176" t="n">
        <v>0</v>
      </c>
      <c r="O1176" t="n">
        <v>1</v>
      </c>
      <c r="P1176" t="n">
        <v>1</v>
      </c>
      <c r="Q1176" t="n">
        <v>1</v>
      </c>
      <c r="R1176" s="2" t="inlineStr">
        <is>
          <t>Goliatmusseron</t>
        </is>
      </c>
      <c r="S1176">
        <f>HYPERLINK("https://klasma.github.io/Logging_2482/artfynd/A 737-2025 artfynd.xlsx", "A 737-2025")</f>
        <v/>
      </c>
      <c r="T1176">
        <f>HYPERLINK("https://klasma.github.io/Logging_2482/kartor/A 737-2025 karta.png", "A 737-2025")</f>
        <v/>
      </c>
      <c r="V1176">
        <f>HYPERLINK("https://klasma.github.io/Logging_2482/klagomål/A 737-2025 FSC-klagomål.docx", "A 737-2025")</f>
        <v/>
      </c>
      <c r="W1176">
        <f>HYPERLINK("https://klasma.github.io/Logging_2482/klagomålsmail/A 737-2025 FSC-klagomål mail.docx", "A 737-2025")</f>
        <v/>
      </c>
      <c r="X1176">
        <f>HYPERLINK("https://klasma.github.io/Logging_2482/tillsyn/A 737-2025 tillsynsbegäran.docx", "A 737-2025")</f>
        <v/>
      </c>
      <c r="Y1176">
        <f>HYPERLINK("https://klasma.github.io/Logging_2482/tillsynsmail/A 737-2025 tillsynsbegäran mail.docx", "A 737-2025")</f>
        <v/>
      </c>
    </row>
    <row r="1177" ht="15" customHeight="1">
      <c r="A1177" t="inlineStr">
        <is>
          <t>A 47248-2024</t>
        </is>
      </c>
      <c r="B1177" s="1" t="n">
        <v>45586</v>
      </c>
      <c r="C1177" s="1" t="n">
        <v>46145</v>
      </c>
      <c r="D1177" t="inlineStr">
        <is>
          <t>VÄSTERBOTTENS LÄN</t>
        </is>
      </c>
      <c r="E1177" t="inlineStr">
        <is>
          <t>VILHELMINA</t>
        </is>
      </c>
      <c r="F1177" t="inlineStr">
        <is>
          <t>SCA</t>
        </is>
      </c>
      <c r="G1177" t="n">
        <v>4</v>
      </c>
      <c r="H1177" t="n">
        <v>0</v>
      </c>
      <c r="I1177" t="n">
        <v>0</v>
      </c>
      <c r="J1177" t="n">
        <v>1</v>
      </c>
      <c r="K1177" t="n">
        <v>0</v>
      </c>
      <c r="L1177" t="n">
        <v>0</v>
      </c>
      <c r="M1177" t="n">
        <v>0</v>
      </c>
      <c r="N1177" t="n">
        <v>0</v>
      </c>
      <c r="O1177" t="n">
        <v>1</v>
      </c>
      <c r="P1177" t="n">
        <v>0</v>
      </c>
      <c r="Q1177" t="n">
        <v>1</v>
      </c>
      <c r="R1177" s="2" t="inlineStr">
        <is>
          <t>Granticka</t>
        </is>
      </c>
      <c r="S1177">
        <f>HYPERLINK("https://klasma.github.io/Logging_2462/artfynd/A 47248-2024 artfynd.xlsx", "A 47248-2024")</f>
        <v/>
      </c>
      <c r="T1177">
        <f>HYPERLINK("https://klasma.github.io/Logging_2462/kartor/A 47248-2024 karta.png", "A 47248-2024")</f>
        <v/>
      </c>
      <c r="V1177">
        <f>HYPERLINK("https://klasma.github.io/Logging_2462/klagomål/A 47248-2024 FSC-klagomål.docx", "A 47248-2024")</f>
        <v/>
      </c>
      <c r="W1177">
        <f>HYPERLINK("https://klasma.github.io/Logging_2462/klagomålsmail/A 47248-2024 FSC-klagomål mail.docx", "A 47248-2024")</f>
        <v/>
      </c>
      <c r="X1177">
        <f>HYPERLINK("https://klasma.github.io/Logging_2462/tillsyn/A 47248-2024 tillsynsbegäran.docx", "A 47248-2024")</f>
        <v/>
      </c>
      <c r="Y1177">
        <f>HYPERLINK("https://klasma.github.io/Logging_2462/tillsynsmail/A 47248-2024 tillsynsbegäran mail.docx", "A 47248-2024")</f>
        <v/>
      </c>
    </row>
    <row r="1178" ht="15" customHeight="1">
      <c r="A1178" t="inlineStr">
        <is>
          <t>A 52129-2024</t>
        </is>
      </c>
      <c r="B1178" s="1" t="n">
        <v>45608.47541666667</v>
      </c>
      <c r="C1178" s="1" t="n">
        <v>46145</v>
      </c>
      <c r="D1178" t="inlineStr">
        <is>
          <t>VÄSTERBOTTENS LÄN</t>
        </is>
      </c>
      <c r="E1178" t="inlineStr">
        <is>
          <t>MALÅ</t>
        </is>
      </c>
      <c r="F1178" t="inlineStr">
        <is>
          <t>Sveaskog</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HYPERLINK("https://klasma.github.io/Logging_2418/artfynd/A 52129-2024 artfynd.xlsx", "A 52129-2024")</f>
        <v/>
      </c>
      <c r="T1178">
        <f>HYPERLINK("https://klasma.github.io/Logging_2418/kartor/A 52129-2024 karta.png", "A 52129-2024")</f>
        <v/>
      </c>
      <c r="V1178">
        <f>HYPERLINK("https://klasma.github.io/Logging_2418/klagomål/A 52129-2024 FSC-klagomål.docx", "A 52129-2024")</f>
        <v/>
      </c>
      <c r="W1178">
        <f>HYPERLINK("https://klasma.github.io/Logging_2418/klagomålsmail/A 52129-2024 FSC-klagomål mail.docx", "A 52129-2024")</f>
        <v/>
      </c>
      <c r="X1178">
        <f>HYPERLINK("https://klasma.github.io/Logging_2418/tillsyn/A 52129-2024 tillsynsbegäran.docx", "A 52129-2024")</f>
        <v/>
      </c>
      <c r="Y1178">
        <f>HYPERLINK("https://klasma.github.io/Logging_2418/tillsynsmail/A 52129-2024 tillsynsbegäran mail.docx", "A 52129-2024")</f>
        <v/>
      </c>
    </row>
    <row r="1179" ht="15" customHeight="1">
      <c r="A1179" t="inlineStr">
        <is>
          <t>A 55598-2025</t>
        </is>
      </c>
      <c r="B1179" s="1" t="n">
        <v>45971.73069444444</v>
      </c>
      <c r="C1179" s="1" t="n">
        <v>46145</v>
      </c>
      <c r="D1179" t="inlineStr">
        <is>
          <t>VÄSTERBOTTENS LÄN</t>
        </is>
      </c>
      <c r="E1179" t="inlineStr">
        <is>
          <t>VINDELN</t>
        </is>
      </c>
      <c r="G1179" t="n">
        <v>8</v>
      </c>
      <c r="H1179" t="n">
        <v>0</v>
      </c>
      <c r="I1179" t="n">
        <v>0</v>
      </c>
      <c r="J1179" t="n">
        <v>1</v>
      </c>
      <c r="K1179" t="n">
        <v>0</v>
      </c>
      <c r="L1179" t="n">
        <v>0</v>
      </c>
      <c r="M1179" t="n">
        <v>0</v>
      </c>
      <c r="N1179" t="n">
        <v>0</v>
      </c>
      <c r="O1179" t="n">
        <v>1</v>
      </c>
      <c r="P1179" t="n">
        <v>0</v>
      </c>
      <c r="Q1179" t="n">
        <v>1</v>
      </c>
      <c r="R1179" s="2" t="inlineStr">
        <is>
          <t>Harticka</t>
        </is>
      </c>
      <c r="S1179">
        <f>HYPERLINK("https://klasma.github.io/Logging_2404/artfynd/A 55598-2025 artfynd.xlsx", "A 55598-2025")</f>
        <v/>
      </c>
      <c r="T1179">
        <f>HYPERLINK("https://klasma.github.io/Logging_2404/kartor/A 55598-2025 karta.png", "A 55598-2025")</f>
        <v/>
      </c>
      <c r="V1179">
        <f>HYPERLINK("https://klasma.github.io/Logging_2404/klagomål/A 55598-2025 FSC-klagomål.docx", "A 55598-2025")</f>
        <v/>
      </c>
      <c r="W1179">
        <f>HYPERLINK("https://klasma.github.io/Logging_2404/klagomålsmail/A 55598-2025 FSC-klagomål mail.docx", "A 55598-2025")</f>
        <v/>
      </c>
      <c r="X1179">
        <f>HYPERLINK("https://klasma.github.io/Logging_2404/tillsyn/A 55598-2025 tillsynsbegäran.docx", "A 55598-2025")</f>
        <v/>
      </c>
      <c r="Y1179">
        <f>HYPERLINK("https://klasma.github.io/Logging_2404/tillsynsmail/A 55598-2025 tillsynsbegäran mail.docx", "A 55598-2025")</f>
        <v/>
      </c>
    </row>
    <row r="1180" ht="15" customHeight="1">
      <c r="A1180" t="inlineStr">
        <is>
          <t>A 36517-2024</t>
        </is>
      </c>
      <c r="B1180" s="1" t="n">
        <v>45537.42907407408</v>
      </c>
      <c r="C1180" s="1" t="n">
        <v>46145</v>
      </c>
      <c r="D1180" t="inlineStr">
        <is>
          <t>VÄSTERBOTTENS LÄN</t>
        </is>
      </c>
      <c r="E1180" t="inlineStr">
        <is>
          <t>VINDELN</t>
        </is>
      </c>
      <c r="F1180" t="inlineStr">
        <is>
          <t>Sveaskog</t>
        </is>
      </c>
      <c r="G1180" t="n">
        <v>11.8</v>
      </c>
      <c r="H1180" t="n">
        <v>0</v>
      </c>
      <c r="I1180" t="n">
        <v>0</v>
      </c>
      <c r="J1180" t="n">
        <v>1</v>
      </c>
      <c r="K1180" t="n">
        <v>0</v>
      </c>
      <c r="L1180" t="n">
        <v>0</v>
      </c>
      <c r="M1180" t="n">
        <v>0</v>
      </c>
      <c r="N1180" t="n">
        <v>0</v>
      </c>
      <c r="O1180" t="n">
        <v>1</v>
      </c>
      <c r="P1180" t="n">
        <v>0</v>
      </c>
      <c r="Q1180" t="n">
        <v>1</v>
      </c>
      <c r="R1180" s="2" t="inlineStr">
        <is>
          <t>Granticka</t>
        </is>
      </c>
      <c r="S1180">
        <f>HYPERLINK("https://klasma.github.io/Logging_2404/artfynd/A 36517-2024 artfynd.xlsx", "A 36517-2024")</f>
        <v/>
      </c>
      <c r="T1180">
        <f>HYPERLINK("https://klasma.github.io/Logging_2404/kartor/A 36517-2024 karta.png", "A 36517-2024")</f>
        <v/>
      </c>
      <c r="V1180">
        <f>HYPERLINK("https://klasma.github.io/Logging_2404/klagomål/A 36517-2024 FSC-klagomål.docx", "A 36517-2024")</f>
        <v/>
      </c>
      <c r="W1180">
        <f>HYPERLINK("https://klasma.github.io/Logging_2404/klagomålsmail/A 36517-2024 FSC-klagomål mail.docx", "A 36517-2024")</f>
        <v/>
      </c>
      <c r="X1180">
        <f>HYPERLINK("https://klasma.github.io/Logging_2404/tillsyn/A 36517-2024 tillsynsbegäran.docx", "A 36517-2024")</f>
        <v/>
      </c>
      <c r="Y1180">
        <f>HYPERLINK("https://klasma.github.io/Logging_2404/tillsynsmail/A 36517-2024 tillsynsbegäran mail.docx", "A 36517-2024")</f>
        <v/>
      </c>
    </row>
    <row r="1181" ht="15" customHeight="1">
      <c r="A1181" t="inlineStr">
        <is>
          <t>A 46004-2024</t>
        </is>
      </c>
      <c r="B1181" s="1" t="n">
        <v>45580.65900462963</v>
      </c>
      <c r="C1181" s="1" t="n">
        <v>46145</v>
      </c>
      <c r="D1181" t="inlineStr">
        <is>
          <t>VÄSTERBOTTENS LÄN</t>
        </is>
      </c>
      <c r="E1181" t="inlineStr">
        <is>
          <t>LYCKSELE</t>
        </is>
      </c>
      <c r="F1181" t="inlineStr">
        <is>
          <t>Sveaskog</t>
        </is>
      </c>
      <c r="G1181" t="n">
        <v>7.2</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46004-2024 artfynd.xlsx", "A 46004-2024")</f>
        <v/>
      </c>
      <c r="T1181">
        <f>HYPERLINK("https://klasma.github.io/Logging_2481/kartor/A 46004-2024 karta.png", "A 46004-2024")</f>
        <v/>
      </c>
      <c r="V1181">
        <f>HYPERLINK("https://klasma.github.io/Logging_2481/klagomål/A 46004-2024 FSC-klagomål.docx", "A 46004-2024")</f>
        <v/>
      </c>
      <c r="W1181">
        <f>HYPERLINK("https://klasma.github.io/Logging_2481/klagomålsmail/A 46004-2024 FSC-klagomål mail.docx", "A 46004-2024")</f>
        <v/>
      </c>
      <c r="X1181">
        <f>HYPERLINK("https://klasma.github.io/Logging_2481/tillsyn/A 46004-2024 tillsynsbegäran.docx", "A 46004-2024")</f>
        <v/>
      </c>
      <c r="Y1181">
        <f>HYPERLINK("https://klasma.github.io/Logging_2481/tillsynsmail/A 46004-2024 tillsynsbegäran mail.docx", "A 46004-2024")</f>
        <v/>
      </c>
    </row>
    <row r="1182" ht="15" customHeight="1">
      <c r="A1182" t="inlineStr">
        <is>
          <t>A 20404-2026</t>
        </is>
      </c>
      <c r="B1182" s="1" t="n">
        <v>46140.31032407407</v>
      </c>
      <c r="C1182" s="1" t="n">
        <v>46145</v>
      </c>
      <c r="D1182" t="inlineStr">
        <is>
          <t>VÄSTERBOTTENS LÄN</t>
        </is>
      </c>
      <c r="E1182" t="inlineStr">
        <is>
          <t>LYCKSELE</t>
        </is>
      </c>
      <c r="F1182" t="inlineStr">
        <is>
          <t>Sveaskog</t>
        </is>
      </c>
      <c r="G1182" t="n">
        <v>20</v>
      </c>
      <c r="H1182" t="n">
        <v>1</v>
      </c>
      <c r="I1182" t="n">
        <v>0</v>
      </c>
      <c r="J1182" t="n">
        <v>1</v>
      </c>
      <c r="K1182" t="n">
        <v>0</v>
      </c>
      <c r="L1182" t="n">
        <v>0</v>
      </c>
      <c r="M1182" t="n">
        <v>0</v>
      </c>
      <c r="N1182" t="n">
        <v>0</v>
      </c>
      <c r="O1182" t="n">
        <v>1</v>
      </c>
      <c r="P1182" t="n">
        <v>0</v>
      </c>
      <c r="Q1182" t="n">
        <v>1</v>
      </c>
      <c r="R1182" s="2" t="inlineStr">
        <is>
          <t>Utter</t>
        </is>
      </c>
      <c r="S1182">
        <f>HYPERLINK("https://klasma.github.io/Logging_2481/artfynd/A 20404-2026 artfynd.xlsx", "A 20404-2026")</f>
        <v/>
      </c>
      <c r="T1182">
        <f>HYPERLINK("https://klasma.github.io/Logging_2481/kartor/A 20404-2026 karta.png", "A 20404-2026")</f>
        <v/>
      </c>
      <c r="V1182">
        <f>HYPERLINK("https://klasma.github.io/Logging_2481/klagomål/A 20404-2026 FSC-klagomål.docx", "A 20404-2026")</f>
        <v/>
      </c>
      <c r="W1182">
        <f>HYPERLINK("https://klasma.github.io/Logging_2481/klagomålsmail/A 20404-2026 FSC-klagomål mail.docx", "A 20404-2026")</f>
        <v/>
      </c>
      <c r="X1182">
        <f>HYPERLINK("https://klasma.github.io/Logging_2481/tillsyn/A 20404-2026 tillsynsbegäran.docx", "A 20404-2026")</f>
        <v/>
      </c>
      <c r="Y1182">
        <f>HYPERLINK("https://klasma.github.io/Logging_2481/tillsynsmail/A 20404-2026 tillsynsbegäran mail.docx", "A 20404-2026")</f>
        <v/>
      </c>
    </row>
    <row r="1183" ht="15" customHeight="1">
      <c r="A1183" t="inlineStr">
        <is>
          <t>A 42891-2023</t>
        </is>
      </c>
      <c r="B1183" s="1" t="n">
        <v>45182</v>
      </c>
      <c r="C1183" s="1" t="n">
        <v>46145</v>
      </c>
      <c r="D1183" t="inlineStr">
        <is>
          <t>VÄSTERBOTTENS LÄN</t>
        </is>
      </c>
      <c r="E1183" t="inlineStr">
        <is>
          <t>ROBERTSFORS</t>
        </is>
      </c>
      <c r="F1183" t="inlineStr">
        <is>
          <t>Holmen skog AB</t>
        </is>
      </c>
      <c r="G1183" t="n">
        <v>3.8</v>
      </c>
      <c r="H1183" t="n">
        <v>0</v>
      </c>
      <c r="I1183" t="n">
        <v>0</v>
      </c>
      <c r="J1183" t="n">
        <v>1</v>
      </c>
      <c r="K1183" t="n">
        <v>0</v>
      </c>
      <c r="L1183" t="n">
        <v>0</v>
      </c>
      <c r="M1183" t="n">
        <v>0</v>
      </c>
      <c r="N1183" t="n">
        <v>0</v>
      </c>
      <c r="O1183" t="n">
        <v>1</v>
      </c>
      <c r="P1183" t="n">
        <v>0</v>
      </c>
      <c r="Q1183" t="n">
        <v>1</v>
      </c>
      <c r="R1183" s="2" t="inlineStr">
        <is>
          <t>Garnlav</t>
        </is>
      </c>
      <c r="S1183">
        <f>HYPERLINK("https://klasma.github.io/Logging_2409/artfynd/A 42891-2023 artfynd.xlsx", "A 42891-2023")</f>
        <v/>
      </c>
      <c r="T1183">
        <f>HYPERLINK("https://klasma.github.io/Logging_2409/kartor/A 42891-2023 karta.png", "A 42891-2023")</f>
        <v/>
      </c>
      <c r="V1183">
        <f>HYPERLINK("https://klasma.github.io/Logging_2409/klagomål/A 42891-2023 FSC-klagomål.docx", "A 42891-2023")</f>
        <v/>
      </c>
      <c r="W1183">
        <f>HYPERLINK("https://klasma.github.io/Logging_2409/klagomålsmail/A 42891-2023 FSC-klagomål mail.docx", "A 42891-2023")</f>
        <v/>
      </c>
      <c r="X1183">
        <f>HYPERLINK("https://klasma.github.io/Logging_2409/tillsyn/A 42891-2023 tillsynsbegäran.docx", "A 42891-2023")</f>
        <v/>
      </c>
      <c r="Y1183">
        <f>HYPERLINK("https://klasma.github.io/Logging_2409/tillsynsmail/A 42891-2023 tillsynsbegäran mail.docx", "A 42891-2023")</f>
        <v/>
      </c>
    </row>
    <row r="1184" ht="15" customHeight="1">
      <c r="A1184" t="inlineStr">
        <is>
          <t>A 742-2025</t>
        </is>
      </c>
      <c r="B1184" s="1" t="n">
        <v>45665.42216435185</v>
      </c>
      <c r="C1184" s="1" t="n">
        <v>46145</v>
      </c>
      <c r="D1184" t="inlineStr">
        <is>
          <t>VÄSTERBOTTENS LÄN</t>
        </is>
      </c>
      <c r="E1184" t="inlineStr">
        <is>
          <t>LYCKSELE</t>
        </is>
      </c>
      <c r="F1184" t="inlineStr">
        <is>
          <t>Holmen skog AB</t>
        </is>
      </c>
      <c r="G1184" t="n">
        <v>5.6</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HYPERLINK("https://klasma.github.io/Logging_2481/artfynd/A 742-2025 artfynd.xlsx", "A 742-2025")</f>
        <v/>
      </c>
      <c r="T1184">
        <f>HYPERLINK("https://klasma.github.io/Logging_2481/kartor/A 742-2025 karta.png", "A 742-2025")</f>
        <v/>
      </c>
      <c r="V1184">
        <f>HYPERLINK("https://klasma.github.io/Logging_2481/klagomål/A 742-2025 FSC-klagomål.docx", "A 742-2025")</f>
        <v/>
      </c>
      <c r="W1184">
        <f>HYPERLINK("https://klasma.github.io/Logging_2481/klagomålsmail/A 742-2025 FSC-klagomål mail.docx", "A 742-2025")</f>
        <v/>
      </c>
      <c r="X1184">
        <f>HYPERLINK("https://klasma.github.io/Logging_2481/tillsyn/A 742-2025 tillsynsbegäran.docx", "A 742-2025")</f>
        <v/>
      </c>
      <c r="Y1184">
        <f>HYPERLINK("https://klasma.github.io/Logging_2481/tillsynsmail/A 742-2025 tillsynsbegäran mail.docx", "A 742-2025")</f>
        <v/>
      </c>
    </row>
    <row r="1185" ht="15" customHeight="1">
      <c r="A1185" t="inlineStr">
        <is>
          <t>A 61392-2024</t>
        </is>
      </c>
      <c r="B1185" s="1" t="n">
        <v>45646.42027777778</v>
      </c>
      <c r="C1185" s="1" t="n">
        <v>46145</v>
      </c>
      <c r="D1185" t="inlineStr">
        <is>
          <t>VÄSTERBOTTENS LÄN</t>
        </is>
      </c>
      <c r="E1185" t="inlineStr">
        <is>
          <t>ROBERTSFORS</t>
        </is>
      </c>
      <c r="G1185" t="n">
        <v>1.2</v>
      </c>
      <c r="H1185" t="n">
        <v>0</v>
      </c>
      <c r="I1185" t="n">
        <v>0</v>
      </c>
      <c r="J1185" t="n">
        <v>1</v>
      </c>
      <c r="K1185" t="n">
        <v>0</v>
      </c>
      <c r="L1185" t="n">
        <v>0</v>
      </c>
      <c r="M1185" t="n">
        <v>0</v>
      </c>
      <c r="N1185" t="n">
        <v>0</v>
      </c>
      <c r="O1185" t="n">
        <v>1</v>
      </c>
      <c r="P1185" t="n">
        <v>0</v>
      </c>
      <c r="Q1185" t="n">
        <v>1</v>
      </c>
      <c r="R1185" s="2" t="inlineStr">
        <is>
          <t>Ullticka</t>
        </is>
      </c>
      <c r="S1185">
        <f>HYPERLINK("https://klasma.github.io/Logging_2409/artfynd/A 61392-2024 artfynd.xlsx", "A 61392-2024")</f>
        <v/>
      </c>
      <c r="T1185">
        <f>HYPERLINK("https://klasma.github.io/Logging_2409/kartor/A 61392-2024 karta.png", "A 61392-2024")</f>
        <v/>
      </c>
      <c r="V1185">
        <f>HYPERLINK("https://klasma.github.io/Logging_2409/klagomål/A 61392-2024 FSC-klagomål.docx", "A 61392-2024")</f>
        <v/>
      </c>
      <c r="W1185">
        <f>HYPERLINK("https://klasma.github.io/Logging_2409/klagomålsmail/A 61392-2024 FSC-klagomål mail.docx", "A 61392-2024")</f>
        <v/>
      </c>
      <c r="X1185">
        <f>HYPERLINK("https://klasma.github.io/Logging_2409/tillsyn/A 61392-2024 tillsynsbegäran.docx", "A 61392-2024")</f>
        <v/>
      </c>
      <c r="Y1185">
        <f>HYPERLINK("https://klasma.github.io/Logging_2409/tillsynsmail/A 61392-2024 tillsynsbegäran mail.docx", "A 61392-2024")</f>
        <v/>
      </c>
    </row>
    <row r="1186" ht="15" customHeight="1">
      <c r="A1186" t="inlineStr">
        <is>
          <t>A 16145-2022</t>
        </is>
      </c>
      <c r="B1186" s="1" t="n">
        <v>44665</v>
      </c>
      <c r="C1186" s="1" t="n">
        <v>46145</v>
      </c>
      <c r="D1186" t="inlineStr">
        <is>
          <t>VÄSTERBOTTENS LÄN</t>
        </is>
      </c>
      <c r="E1186" t="inlineStr">
        <is>
          <t>BJURHOLM</t>
        </is>
      </c>
      <c r="F1186" t="inlineStr">
        <is>
          <t>SCA</t>
        </is>
      </c>
      <c r="G1186" t="n">
        <v>5.9</v>
      </c>
      <c r="H1186" t="n">
        <v>0</v>
      </c>
      <c r="I1186" t="n">
        <v>1</v>
      </c>
      <c r="J1186" t="n">
        <v>0</v>
      </c>
      <c r="K1186" t="n">
        <v>0</v>
      </c>
      <c r="L1186" t="n">
        <v>0</v>
      </c>
      <c r="M1186" t="n">
        <v>0</v>
      </c>
      <c r="N1186" t="n">
        <v>0</v>
      </c>
      <c r="O1186" t="n">
        <v>0</v>
      </c>
      <c r="P1186" t="n">
        <v>0</v>
      </c>
      <c r="Q1186" t="n">
        <v>1</v>
      </c>
      <c r="R1186" s="2" t="inlineStr">
        <is>
          <t>Stor aspticka</t>
        </is>
      </c>
      <c r="S1186">
        <f>HYPERLINK("https://klasma.github.io/Logging_2403/artfynd/A 16145-2022 artfynd.xlsx", "A 16145-2022")</f>
        <v/>
      </c>
      <c r="T1186">
        <f>HYPERLINK("https://klasma.github.io/Logging_2403/kartor/A 16145-2022 karta.png", "A 16145-2022")</f>
        <v/>
      </c>
      <c r="V1186">
        <f>HYPERLINK("https://klasma.github.io/Logging_2403/klagomål/A 16145-2022 FSC-klagomål.docx", "A 16145-2022")</f>
        <v/>
      </c>
      <c r="W1186">
        <f>HYPERLINK("https://klasma.github.io/Logging_2403/klagomålsmail/A 16145-2022 FSC-klagomål mail.docx", "A 16145-2022")</f>
        <v/>
      </c>
      <c r="X1186">
        <f>HYPERLINK("https://klasma.github.io/Logging_2403/tillsyn/A 16145-2022 tillsynsbegäran.docx", "A 16145-2022")</f>
        <v/>
      </c>
      <c r="Y1186">
        <f>HYPERLINK("https://klasma.github.io/Logging_2403/tillsynsmail/A 16145-2022 tillsynsbegäran mail.docx", "A 16145-2022")</f>
        <v/>
      </c>
    </row>
    <row r="1187" ht="15" customHeight="1">
      <c r="A1187" t="inlineStr">
        <is>
          <t>A 18449-2026</t>
        </is>
      </c>
      <c r="B1187" s="1" t="n">
        <v>46127</v>
      </c>
      <c r="C1187" s="1" t="n">
        <v>46145</v>
      </c>
      <c r="D1187" t="inlineStr">
        <is>
          <t>VÄSTERBOTTENS LÄN</t>
        </is>
      </c>
      <c r="E1187" t="inlineStr">
        <is>
          <t>DOROTEA</t>
        </is>
      </c>
      <c r="F1187" t="inlineStr">
        <is>
          <t>SCA</t>
        </is>
      </c>
      <c r="G1187" t="n">
        <v>40.2</v>
      </c>
      <c r="H1187" t="n">
        <v>0</v>
      </c>
      <c r="I1187" t="n">
        <v>0</v>
      </c>
      <c r="J1187" t="n">
        <v>1</v>
      </c>
      <c r="K1187" t="n">
        <v>0</v>
      </c>
      <c r="L1187" t="n">
        <v>0</v>
      </c>
      <c r="M1187" t="n">
        <v>0</v>
      </c>
      <c r="N1187" t="n">
        <v>0</v>
      </c>
      <c r="O1187" t="n">
        <v>1</v>
      </c>
      <c r="P1187" t="n">
        <v>0</v>
      </c>
      <c r="Q1187" t="n">
        <v>1</v>
      </c>
      <c r="R1187" s="2" t="inlineStr">
        <is>
          <t>Lunglav</t>
        </is>
      </c>
      <c r="S1187">
        <f>HYPERLINK("https://klasma.github.io/Logging_2425/artfynd/A 18449-2026 artfynd.xlsx", "A 18449-2026")</f>
        <v/>
      </c>
      <c r="T1187">
        <f>HYPERLINK("https://klasma.github.io/Logging_2425/kartor/A 18449-2026 karta.png", "A 18449-2026")</f>
        <v/>
      </c>
      <c r="V1187">
        <f>HYPERLINK("https://klasma.github.io/Logging_2425/klagomål/A 18449-2026 FSC-klagomål.docx", "A 18449-2026")</f>
        <v/>
      </c>
      <c r="W1187">
        <f>HYPERLINK("https://klasma.github.io/Logging_2425/klagomålsmail/A 18449-2026 FSC-klagomål mail.docx", "A 18449-2026")</f>
        <v/>
      </c>
      <c r="X1187">
        <f>HYPERLINK("https://klasma.github.io/Logging_2425/tillsyn/A 18449-2026 tillsynsbegäran.docx", "A 18449-2026")</f>
        <v/>
      </c>
      <c r="Y1187">
        <f>HYPERLINK("https://klasma.github.io/Logging_2425/tillsynsmail/A 18449-2026 tillsynsbegäran mail.docx", "A 18449-2026")</f>
        <v/>
      </c>
    </row>
    <row r="1188" ht="15" customHeight="1">
      <c r="A1188" t="inlineStr">
        <is>
          <t>A 62459-2025</t>
        </is>
      </c>
      <c r="B1188" s="1" t="n">
        <v>46007.50287037037</v>
      </c>
      <c r="C1188" s="1" t="n">
        <v>46145</v>
      </c>
      <c r="D1188" t="inlineStr">
        <is>
          <t>VÄSTERBOTTENS LÄN</t>
        </is>
      </c>
      <c r="E1188" t="inlineStr">
        <is>
          <t>BJURHOLM</t>
        </is>
      </c>
      <c r="G1188" t="n">
        <v>5.7</v>
      </c>
      <c r="H1188" t="n">
        <v>1</v>
      </c>
      <c r="I1188" t="n">
        <v>0</v>
      </c>
      <c r="J1188" t="n">
        <v>0</v>
      </c>
      <c r="K1188" t="n">
        <v>1</v>
      </c>
      <c r="L1188" t="n">
        <v>0</v>
      </c>
      <c r="M1188" t="n">
        <v>0</v>
      </c>
      <c r="N1188" t="n">
        <v>0</v>
      </c>
      <c r="O1188" t="n">
        <v>1</v>
      </c>
      <c r="P1188" t="n">
        <v>1</v>
      </c>
      <c r="Q1188" t="n">
        <v>1</v>
      </c>
      <c r="R1188" s="2" t="inlineStr">
        <is>
          <t>Bombmurkla</t>
        </is>
      </c>
      <c r="S1188">
        <f>HYPERLINK("https://klasma.github.io/Logging_2403/artfynd/A 62459-2025 artfynd.xlsx", "A 62459-2025")</f>
        <v/>
      </c>
      <c r="T1188">
        <f>HYPERLINK("https://klasma.github.io/Logging_2403/kartor/A 62459-2025 karta.png", "A 62459-2025")</f>
        <v/>
      </c>
      <c r="V1188">
        <f>HYPERLINK("https://klasma.github.io/Logging_2403/klagomål/A 62459-2025 FSC-klagomål.docx", "A 62459-2025")</f>
        <v/>
      </c>
      <c r="W1188">
        <f>HYPERLINK("https://klasma.github.io/Logging_2403/klagomålsmail/A 62459-2025 FSC-klagomål mail.docx", "A 62459-2025")</f>
        <v/>
      </c>
      <c r="X1188">
        <f>HYPERLINK("https://klasma.github.io/Logging_2403/tillsyn/A 62459-2025 tillsynsbegäran.docx", "A 62459-2025")</f>
        <v/>
      </c>
      <c r="Y1188">
        <f>HYPERLINK("https://klasma.github.io/Logging_2403/tillsynsmail/A 62459-2025 tillsynsbegäran mail.docx", "A 62459-2025")</f>
        <v/>
      </c>
    </row>
    <row r="1189" ht="15" customHeight="1">
      <c r="A1189" t="inlineStr">
        <is>
          <t>A 9197-2023</t>
        </is>
      </c>
      <c r="B1189" s="1" t="n">
        <v>44977</v>
      </c>
      <c r="C1189" s="1" t="n">
        <v>46145</v>
      </c>
      <c r="D1189" t="inlineStr">
        <is>
          <t>VÄSTERBOTTENS LÄN</t>
        </is>
      </c>
      <c r="E1189" t="inlineStr">
        <is>
          <t>VILHELMINA</t>
        </is>
      </c>
      <c r="G1189" t="n">
        <v>8.9</v>
      </c>
      <c r="H1189" t="n">
        <v>0</v>
      </c>
      <c r="I1189" t="n">
        <v>0</v>
      </c>
      <c r="J1189" t="n">
        <v>1</v>
      </c>
      <c r="K1189" t="n">
        <v>0</v>
      </c>
      <c r="L1189" t="n">
        <v>0</v>
      </c>
      <c r="M1189" t="n">
        <v>0</v>
      </c>
      <c r="N1189" t="n">
        <v>0</v>
      </c>
      <c r="O1189" t="n">
        <v>1</v>
      </c>
      <c r="P1189" t="n">
        <v>0</v>
      </c>
      <c r="Q1189" t="n">
        <v>1</v>
      </c>
      <c r="R1189" s="2" t="inlineStr">
        <is>
          <t>Granticka</t>
        </is>
      </c>
      <c r="S1189">
        <f>HYPERLINK("https://klasma.github.io/Logging_2462/artfynd/A 9197-2023 artfynd.xlsx", "A 9197-2023")</f>
        <v/>
      </c>
      <c r="T1189">
        <f>HYPERLINK("https://klasma.github.io/Logging_2462/kartor/A 9197-2023 karta.png", "A 9197-2023")</f>
        <v/>
      </c>
      <c r="V1189">
        <f>HYPERLINK("https://klasma.github.io/Logging_2462/klagomål/A 9197-2023 FSC-klagomål.docx", "A 9197-2023")</f>
        <v/>
      </c>
      <c r="W1189">
        <f>HYPERLINK("https://klasma.github.io/Logging_2462/klagomålsmail/A 9197-2023 FSC-klagomål mail.docx", "A 9197-2023")</f>
        <v/>
      </c>
      <c r="X1189">
        <f>HYPERLINK("https://klasma.github.io/Logging_2462/tillsyn/A 9197-2023 tillsynsbegäran.docx", "A 9197-2023")</f>
        <v/>
      </c>
      <c r="Y1189">
        <f>HYPERLINK("https://klasma.github.io/Logging_2462/tillsynsmail/A 9197-2023 tillsynsbegäran mail.docx", "A 9197-2023")</f>
        <v/>
      </c>
    </row>
    <row r="1190" ht="15" customHeight="1">
      <c r="A1190" t="inlineStr">
        <is>
          <t>A 15767-2024</t>
        </is>
      </c>
      <c r="B1190" s="1" t="n">
        <v>45404</v>
      </c>
      <c r="C1190" s="1" t="n">
        <v>46145</v>
      </c>
      <c r="D1190" t="inlineStr">
        <is>
          <t>VÄSTERBOTTENS LÄN</t>
        </is>
      </c>
      <c r="E1190" t="inlineStr">
        <is>
          <t>UMEÅ</t>
        </is>
      </c>
      <c r="G1190" t="n">
        <v>7.8</v>
      </c>
      <c r="H1190" t="n">
        <v>1</v>
      </c>
      <c r="I1190" t="n">
        <v>0</v>
      </c>
      <c r="J1190" t="n">
        <v>1</v>
      </c>
      <c r="K1190" t="n">
        <v>0</v>
      </c>
      <c r="L1190" t="n">
        <v>0</v>
      </c>
      <c r="M1190" t="n">
        <v>0</v>
      </c>
      <c r="N1190" t="n">
        <v>0</v>
      </c>
      <c r="O1190" t="n">
        <v>1</v>
      </c>
      <c r="P1190" t="n">
        <v>0</v>
      </c>
      <c r="Q1190" t="n">
        <v>1</v>
      </c>
      <c r="R1190" s="2" t="inlineStr">
        <is>
          <t>Talltita</t>
        </is>
      </c>
      <c r="S1190">
        <f>HYPERLINK("https://klasma.github.io/Logging_2480/artfynd/A 15767-2024 artfynd.xlsx", "A 15767-2024")</f>
        <v/>
      </c>
      <c r="T1190">
        <f>HYPERLINK("https://klasma.github.io/Logging_2480/kartor/A 15767-2024 karta.png", "A 15767-2024")</f>
        <v/>
      </c>
      <c r="V1190">
        <f>HYPERLINK("https://klasma.github.io/Logging_2480/klagomål/A 15767-2024 FSC-klagomål.docx", "A 15767-2024")</f>
        <v/>
      </c>
      <c r="W1190">
        <f>HYPERLINK("https://klasma.github.io/Logging_2480/klagomålsmail/A 15767-2024 FSC-klagomål mail.docx", "A 15767-2024")</f>
        <v/>
      </c>
      <c r="X1190">
        <f>HYPERLINK("https://klasma.github.io/Logging_2480/tillsyn/A 15767-2024 tillsynsbegäran.docx", "A 15767-2024")</f>
        <v/>
      </c>
      <c r="Y1190">
        <f>HYPERLINK("https://klasma.github.io/Logging_2480/tillsynsmail/A 15767-2024 tillsynsbegäran mail.docx", "A 15767-2024")</f>
        <v/>
      </c>
      <c r="Z1190">
        <f>HYPERLINK("https://klasma.github.io/Logging_2480/fåglar/A 15767-2024 prioriterade fågelarter.docx", "A 15767-2024")</f>
        <v/>
      </c>
    </row>
    <row r="1191" ht="15" customHeight="1">
      <c r="A1191" t="inlineStr">
        <is>
          <t>A 45404-2024</t>
        </is>
      </c>
      <c r="B1191" s="1" t="n">
        <v>45576.57828703704</v>
      </c>
      <c r="C1191" s="1" t="n">
        <v>46145</v>
      </c>
      <c r="D1191" t="inlineStr">
        <is>
          <t>VÄSTERBOTTENS LÄN</t>
        </is>
      </c>
      <c r="E1191" t="inlineStr">
        <is>
          <t>STORUMAN</t>
        </is>
      </c>
      <c r="F1191" t="inlineStr">
        <is>
          <t>Sveaskog</t>
        </is>
      </c>
      <c r="G1191" t="n">
        <v>3.3</v>
      </c>
      <c r="H1191" t="n">
        <v>0</v>
      </c>
      <c r="I1191" t="n">
        <v>0</v>
      </c>
      <c r="J1191" t="n">
        <v>1</v>
      </c>
      <c r="K1191" t="n">
        <v>0</v>
      </c>
      <c r="L1191" t="n">
        <v>0</v>
      </c>
      <c r="M1191" t="n">
        <v>0</v>
      </c>
      <c r="N1191" t="n">
        <v>0</v>
      </c>
      <c r="O1191" t="n">
        <v>1</v>
      </c>
      <c r="P1191" t="n">
        <v>0</v>
      </c>
      <c r="Q1191" t="n">
        <v>1</v>
      </c>
      <c r="R1191" s="2" t="inlineStr">
        <is>
          <t>Lunglav</t>
        </is>
      </c>
      <c r="S1191">
        <f>HYPERLINK("https://klasma.github.io/Logging_2421/artfynd/A 45404-2024 artfynd.xlsx", "A 45404-2024")</f>
        <v/>
      </c>
      <c r="T1191">
        <f>HYPERLINK("https://klasma.github.io/Logging_2421/kartor/A 45404-2024 karta.png", "A 45404-2024")</f>
        <v/>
      </c>
      <c r="V1191">
        <f>HYPERLINK("https://klasma.github.io/Logging_2421/klagomål/A 45404-2024 FSC-klagomål.docx", "A 45404-2024")</f>
        <v/>
      </c>
      <c r="W1191">
        <f>HYPERLINK("https://klasma.github.io/Logging_2421/klagomålsmail/A 45404-2024 FSC-klagomål mail.docx", "A 45404-2024")</f>
        <v/>
      </c>
      <c r="X1191">
        <f>HYPERLINK("https://klasma.github.io/Logging_2421/tillsyn/A 45404-2024 tillsynsbegäran.docx", "A 45404-2024")</f>
        <v/>
      </c>
      <c r="Y1191">
        <f>HYPERLINK("https://klasma.github.io/Logging_2421/tillsynsmail/A 45404-2024 tillsynsbegäran mail.docx", "A 45404-2024")</f>
        <v/>
      </c>
    </row>
    <row r="1192" ht="15" customHeight="1">
      <c r="A1192" t="inlineStr">
        <is>
          <t>A 32830-2024</t>
        </is>
      </c>
      <c r="B1192" s="1" t="n">
        <v>45516.59490740741</v>
      </c>
      <c r="C1192" s="1" t="n">
        <v>46145</v>
      </c>
      <c r="D1192" t="inlineStr">
        <is>
          <t>VÄSTERBOTTENS LÄN</t>
        </is>
      </c>
      <c r="E1192" t="inlineStr">
        <is>
          <t>VINDELN</t>
        </is>
      </c>
      <c r="F1192" t="inlineStr">
        <is>
          <t>Holmen skog AB</t>
        </is>
      </c>
      <c r="G1192" t="n">
        <v>0.4</v>
      </c>
      <c r="H1192" t="n">
        <v>0</v>
      </c>
      <c r="I1192" t="n">
        <v>0</v>
      </c>
      <c r="J1192" t="n">
        <v>1</v>
      </c>
      <c r="K1192" t="n">
        <v>0</v>
      </c>
      <c r="L1192" t="n">
        <v>0</v>
      </c>
      <c r="M1192" t="n">
        <v>0</v>
      </c>
      <c r="N1192" t="n">
        <v>0</v>
      </c>
      <c r="O1192" t="n">
        <v>1</v>
      </c>
      <c r="P1192" t="n">
        <v>0</v>
      </c>
      <c r="Q1192" t="n">
        <v>1</v>
      </c>
      <c r="R1192" s="2" t="inlineStr">
        <is>
          <t>Ullticka</t>
        </is>
      </c>
      <c r="S1192">
        <f>HYPERLINK("https://klasma.github.io/Logging_2404/artfynd/A 32830-2024 artfynd.xlsx", "A 32830-2024")</f>
        <v/>
      </c>
      <c r="T1192">
        <f>HYPERLINK("https://klasma.github.io/Logging_2404/kartor/A 32830-2024 karta.png", "A 32830-2024")</f>
        <v/>
      </c>
      <c r="V1192">
        <f>HYPERLINK("https://klasma.github.io/Logging_2404/klagomål/A 32830-2024 FSC-klagomål.docx", "A 32830-2024")</f>
        <v/>
      </c>
      <c r="W1192">
        <f>HYPERLINK("https://klasma.github.io/Logging_2404/klagomålsmail/A 32830-2024 FSC-klagomål mail.docx", "A 32830-2024")</f>
        <v/>
      </c>
      <c r="X1192">
        <f>HYPERLINK("https://klasma.github.io/Logging_2404/tillsyn/A 32830-2024 tillsynsbegäran.docx", "A 32830-2024")</f>
        <v/>
      </c>
      <c r="Y1192">
        <f>HYPERLINK("https://klasma.github.io/Logging_2404/tillsynsmail/A 32830-2024 tillsynsbegäran mail.docx", "A 32830-2024")</f>
        <v/>
      </c>
    </row>
    <row r="1193" ht="15" customHeight="1">
      <c r="A1193" t="inlineStr">
        <is>
          <t>A 59939-2023</t>
        </is>
      </c>
      <c r="B1193" s="1" t="n">
        <v>45254</v>
      </c>
      <c r="C1193" s="1" t="n">
        <v>46145</v>
      </c>
      <c r="D1193" t="inlineStr">
        <is>
          <t>VÄSTERBOTTENS LÄN</t>
        </is>
      </c>
      <c r="E1193" t="inlineStr">
        <is>
          <t>VINDELN</t>
        </is>
      </c>
      <c r="G1193" t="n">
        <v>9.300000000000001</v>
      </c>
      <c r="H1193" t="n">
        <v>0</v>
      </c>
      <c r="I1193" t="n">
        <v>0</v>
      </c>
      <c r="J1193" t="n">
        <v>1</v>
      </c>
      <c r="K1193" t="n">
        <v>0</v>
      </c>
      <c r="L1193" t="n">
        <v>0</v>
      </c>
      <c r="M1193" t="n">
        <v>0</v>
      </c>
      <c r="N1193" t="n">
        <v>0</v>
      </c>
      <c r="O1193" t="n">
        <v>1</v>
      </c>
      <c r="P1193" t="n">
        <v>0</v>
      </c>
      <c r="Q1193" t="n">
        <v>1</v>
      </c>
      <c r="R1193" s="2" t="inlineStr">
        <is>
          <t>Ullticka</t>
        </is>
      </c>
      <c r="S1193">
        <f>HYPERLINK("https://klasma.github.io/Logging_2404/artfynd/A 59939-2023 artfynd.xlsx", "A 59939-2023")</f>
        <v/>
      </c>
      <c r="T1193">
        <f>HYPERLINK("https://klasma.github.io/Logging_2404/kartor/A 59939-2023 karta.png", "A 59939-2023")</f>
        <v/>
      </c>
      <c r="V1193">
        <f>HYPERLINK("https://klasma.github.io/Logging_2404/klagomål/A 59939-2023 FSC-klagomål.docx", "A 59939-2023")</f>
        <v/>
      </c>
      <c r="W1193">
        <f>HYPERLINK("https://klasma.github.io/Logging_2404/klagomålsmail/A 59939-2023 FSC-klagomål mail.docx", "A 59939-2023")</f>
        <v/>
      </c>
      <c r="X1193">
        <f>HYPERLINK("https://klasma.github.io/Logging_2404/tillsyn/A 59939-2023 tillsynsbegäran.docx", "A 59939-2023")</f>
        <v/>
      </c>
      <c r="Y1193">
        <f>HYPERLINK("https://klasma.github.io/Logging_2404/tillsynsmail/A 59939-2023 tillsynsbegäran mail.docx", "A 59939-2023")</f>
        <v/>
      </c>
    </row>
    <row r="1194" ht="15" customHeight="1">
      <c r="A1194" t="inlineStr">
        <is>
          <t>A 44443-2024</t>
        </is>
      </c>
      <c r="B1194" s="1" t="n">
        <v>45574</v>
      </c>
      <c r="C1194" s="1" t="n">
        <v>46145</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HYPERLINK("https://klasma.github.io/Logging_2401/artfynd/A 44443-2024 artfynd.xlsx", "A 44443-2024")</f>
        <v/>
      </c>
      <c r="T1194">
        <f>HYPERLINK("https://klasma.github.io/Logging_2401/kartor/A 44443-2024 karta.png", "A 44443-2024")</f>
        <v/>
      </c>
      <c r="V1194">
        <f>HYPERLINK("https://klasma.github.io/Logging_2401/klagomål/A 44443-2024 FSC-klagomål.docx", "A 44443-2024")</f>
        <v/>
      </c>
      <c r="W1194">
        <f>HYPERLINK("https://klasma.github.io/Logging_2401/klagomålsmail/A 44443-2024 FSC-klagomål mail.docx", "A 44443-2024")</f>
        <v/>
      </c>
      <c r="X1194">
        <f>HYPERLINK("https://klasma.github.io/Logging_2401/tillsyn/A 44443-2024 tillsynsbegäran.docx", "A 44443-2024")</f>
        <v/>
      </c>
      <c r="Y1194">
        <f>HYPERLINK("https://klasma.github.io/Logging_2401/tillsynsmail/A 44443-2024 tillsynsbegäran mail.docx", "A 44443-2024")</f>
        <v/>
      </c>
    </row>
    <row r="1195" ht="15" customHeight="1">
      <c r="A1195" t="inlineStr">
        <is>
          <t>A 42489-2024</t>
        </is>
      </c>
      <c r="B1195" s="1" t="n">
        <v>45565</v>
      </c>
      <c r="C1195" s="1" t="n">
        <v>46145</v>
      </c>
      <c r="D1195" t="inlineStr">
        <is>
          <t>VÄSTERBOTTENS LÄN</t>
        </is>
      </c>
      <c r="E1195" t="inlineStr">
        <is>
          <t>VILHELMINA</t>
        </is>
      </c>
      <c r="F1195" t="inlineStr">
        <is>
          <t>SCA</t>
        </is>
      </c>
      <c r="G1195" t="n">
        <v>1.9</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42489-2024 artfynd.xlsx", "A 42489-2024")</f>
        <v/>
      </c>
      <c r="T1195">
        <f>HYPERLINK("https://klasma.github.io/Logging_2462/kartor/A 42489-2024 karta.png", "A 42489-2024")</f>
        <v/>
      </c>
      <c r="V1195">
        <f>HYPERLINK("https://klasma.github.io/Logging_2462/klagomål/A 42489-2024 FSC-klagomål.docx", "A 42489-2024")</f>
        <v/>
      </c>
      <c r="W1195">
        <f>HYPERLINK("https://klasma.github.io/Logging_2462/klagomålsmail/A 42489-2024 FSC-klagomål mail.docx", "A 42489-2024")</f>
        <v/>
      </c>
      <c r="X1195">
        <f>HYPERLINK("https://klasma.github.io/Logging_2462/tillsyn/A 42489-2024 tillsynsbegäran.docx", "A 42489-2024")</f>
        <v/>
      </c>
      <c r="Y1195">
        <f>HYPERLINK("https://klasma.github.io/Logging_2462/tillsynsmail/A 42489-2024 tillsynsbegäran mail.docx", "A 42489-2024")</f>
        <v/>
      </c>
    </row>
    <row r="1196" ht="15" customHeight="1">
      <c r="A1196" t="inlineStr">
        <is>
          <t>A 18703-2024</t>
        </is>
      </c>
      <c r="B1196" s="1" t="n">
        <v>45426</v>
      </c>
      <c r="C1196" s="1" t="n">
        <v>46145</v>
      </c>
      <c r="D1196" t="inlineStr">
        <is>
          <t>VÄSTERBOTTENS LÄN</t>
        </is>
      </c>
      <c r="E1196" t="inlineStr">
        <is>
          <t>UMEÅ</t>
        </is>
      </c>
      <c r="F1196" t="inlineStr">
        <is>
          <t>Holmen skog AB</t>
        </is>
      </c>
      <c r="G1196" t="n">
        <v>2</v>
      </c>
      <c r="H1196" t="n">
        <v>1</v>
      </c>
      <c r="I1196" t="n">
        <v>0</v>
      </c>
      <c r="J1196" t="n">
        <v>1</v>
      </c>
      <c r="K1196" t="n">
        <v>0</v>
      </c>
      <c r="L1196" t="n">
        <v>0</v>
      </c>
      <c r="M1196" t="n">
        <v>0</v>
      </c>
      <c r="N1196" t="n">
        <v>0</v>
      </c>
      <c r="O1196" t="n">
        <v>1</v>
      </c>
      <c r="P1196" t="n">
        <v>0</v>
      </c>
      <c r="Q1196" t="n">
        <v>1</v>
      </c>
      <c r="R1196" s="2" t="inlineStr">
        <is>
          <t>Spillkråka</t>
        </is>
      </c>
      <c r="S1196">
        <f>HYPERLINK("https://klasma.github.io/Logging_2480/artfynd/A 18703-2024 artfynd.xlsx", "A 18703-2024")</f>
        <v/>
      </c>
      <c r="T1196">
        <f>HYPERLINK("https://klasma.github.io/Logging_2480/kartor/A 18703-2024 karta.png", "A 18703-2024")</f>
        <v/>
      </c>
      <c r="V1196">
        <f>HYPERLINK("https://klasma.github.io/Logging_2480/klagomål/A 18703-2024 FSC-klagomål.docx", "A 18703-2024")</f>
        <v/>
      </c>
      <c r="W1196">
        <f>HYPERLINK("https://klasma.github.io/Logging_2480/klagomålsmail/A 18703-2024 FSC-klagomål mail.docx", "A 18703-2024")</f>
        <v/>
      </c>
      <c r="X1196">
        <f>HYPERLINK("https://klasma.github.io/Logging_2480/tillsyn/A 18703-2024 tillsynsbegäran.docx", "A 18703-2024")</f>
        <v/>
      </c>
      <c r="Y1196">
        <f>HYPERLINK("https://klasma.github.io/Logging_2480/tillsynsmail/A 18703-2024 tillsynsbegäran mail.docx", "A 18703-2024")</f>
        <v/>
      </c>
      <c r="Z1196">
        <f>HYPERLINK("https://klasma.github.io/Logging_2480/fåglar/A 18703-2024 prioriterade fågelarter.docx", "A 18703-2024")</f>
        <v/>
      </c>
    </row>
    <row r="1197" ht="15" customHeight="1">
      <c r="A1197" t="inlineStr">
        <is>
          <t>A 219-2025</t>
        </is>
      </c>
      <c r="B1197" s="1" t="n">
        <v>45660.34533564815</v>
      </c>
      <c r="C1197" s="1" t="n">
        <v>46145</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56135-2024</t>
        </is>
      </c>
      <c r="B1198" s="1" t="n">
        <v>45624</v>
      </c>
      <c r="C1198" s="1" t="n">
        <v>46145</v>
      </c>
      <c r="D1198" t="inlineStr">
        <is>
          <t>VÄSTERBOTTENS LÄN</t>
        </is>
      </c>
      <c r="E1198" t="inlineStr">
        <is>
          <t>UMEÅ</t>
        </is>
      </c>
      <c r="G1198" t="n">
        <v>19.9</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56135-2024 artfynd.xlsx", "A 56135-2024")</f>
        <v/>
      </c>
      <c r="T1198">
        <f>HYPERLINK("https://klasma.github.io/Logging_2480/kartor/A 56135-2024 karta.png", "A 56135-2024")</f>
        <v/>
      </c>
      <c r="V1198">
        <f>HYPERLINK("https://klasma.github.io/Logging_2480/klagomål/A 56135-2024 FSC-klagomål.docx", "A 56135-2024")</f>
        <v/>
      </c>
      <c r="W1198">
        <f>HYPERLINK("https://klasma.github.io/Logging_2480/klagomålsmail/A 56135-2024 FSC-klagomål mail.docx", "A 56135-2024")</f>
        <v/>
      </c>
      <c r="X1198">
        <f>HYPERLINK("https://klasma.github.io/Logging_2480/tillsyn/A 56135-2024 tillsynsbegäran.docx", "A 56135-2024")</f>
        <v/>
      </c>
      <c r="Y1198">
        <f>HYPERLINK("https://klasma.github.io/Logging_2480/tillsynsmail/A 56135-2024 tillsynsbegäran mail.docx", "A 56135-2024")</f>
        <v/>
      </c>
    </row>
    <row r="1199" ht="15" customHeight="1">
      <c r="A1199" t="inlineStr">
        <is>
          <t>A 20940-2025</t>
        </is>
      </c>
      <c r="B1199" s="1" t="n">
        <v>45777.4309375</v>
      </c>
      <c r="C1199" s="1" t="n">
        <v>46145</v>
      </c>
      <c r="D1199" t="inlineStr">
        <is>
          <t>VÄSTERBOTTENS LÄN</t>
        </is>
      </c>
      <c r="E1199" t="inlineStr">
        <is>
          <t>LYCKSELE</t>
        </is>
      </c>
      <c r="F1199" t="inlineStr">
        <is>
          <t>Sveaskog</t>
        </is>
      </c>
      <c r="G1199" t="n">
        <v>3</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20940-2025 artfynd.xlsx", "A 20940-2025")</f>
        <v/>
      </c>
      <c r="T1199">
        <f>HYPERLINK("https://klasma.github.io/Logging_2481/kartor/A 20940-2025 karta.png", "A 20940-2025")</f>
        <v/>
      </c>
      <c r="V1199">
        <f>HYPERLINK("https://klasma.github.io/Logging_2481/klagomål/A 20940-2025 FSC-klagomål.docx", "A 20940-2025")</f>
        <v/>
      </c>
      <c r="W1199">
        <f>HYPERLINK("https://klasma.github.io/Logging_2481/klagomålsmail/A 20940-2025 FSC-klagomål mail.docx", "A 20940-2025")</f>
        <v/>
      </c>
      <c r="X1199">
        <f>HYPERLINK("https://klasma.github.io/Logging_2481/tillsyn/A 20940-2025 tillsynsbegäran.docx", "A 20940-2025")</f>
        <v/>
      </c>
      <c r="Y1199">
        <f>HYPERLINK("https://klasma.github.io/Logging_2481/tillsynsmail/A 20940-2025 tillsynsbegäran mail.docx", "A 20940-2025")</f>
        <v/>
      </c>
    </row>
    <row r="1200" ht="15" customHeight="1">
      <c r="A1200" t="inlineStr">
        <is>
          <t>A 20929-2025</t>
        </is>
      </c>
      <c r="B1200" s="1" t="n">
        <v>45777.42574074074</v>
      </c>
      <c r="C1200" s="1" t="n">
        <v>46145</v>
      </c>
      <c r="D1200" t="inlineStr">
        <is>
          <t>VÄSTERBOTTENS LÄN</t>
        </is>
      </c>
      <c r="E1200" t="inlineStr">
        <is>
          <t>LYCKSELE</t>
        </is>
      </c>
      <c r="F1200" t="inlineStr">
        <is>
          <t>Sveaskog</t>
        </is>
      </c>
      <c r="G1200" t="n">
        <v>3</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20929-2025 artfynd.xlsx", "A 20929-2025")</f>
        <v/>
      </c>
      <c r="T1200">
        <f>HYPERLINK("https://klasma.github.io/Logging_2481/kartor/A 20929-2025 karta.png", "A 20929-2025")</f>
        <v/>
      </c>
      <c r="V1200">
        <f>HYPERLINK("https://klasma.github.io/Logging_2481/klagomål/A 20929-2025 FSC-klagomål.docx", "A 20929-2025")</f>
        <v/>
      </c>
      <c r="W1200">
        <f>HYPERLINK("https://klasma.github.io/Logging_2481/klagomålsmail/A 20929-2025 FSC-klagomål mail.docx", "A 20929-2025")</f>
        <v/>
      </c>
      <c r="X1200">
        <f>HYPERLINK("https://klasma.github.io/Logging_2481/tillsyn/A 20929-2025 tillsynsbegäran.docx", "A 20929-2025")</f>
        <v/>
      </c>
      <c r="Y1200">
        <f>HYPERLINK("https://klasma.github.io/Logging_2481/tillsynsmail/A 20929-2025 tillsynsbegäran mail.docx", "A 20929-2025")</f>
        <v/>
      </c>
    </row>
    <row r="1201" ht="15" customHeight="1">
      <c r="A1201" t="inlineStr">
        <is>
          <t>A 496-2024</t>
        </is>
      </c>
      <c r="B1201" s="1" t="n">
        <v>45299</v>
      </c>
      <c r="C1201" s="1" t="n">
        <v>46145</v>
      </c>
      <c r="D1201" t="inlineStr">
        <is>
          <t>VÄSTERBOTTENS LÄN</t>
        </is>
      </c>
      <c r="E1201" t="inlineStr">
        <is>
          <t>LYCKSELE</t>
        </is>
      </c>
      <c r="G1201" t="n">
        <v>5.2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HYPERLINK("https://klasma.github.io/Logging_2481/artfynd/A 496-2024 artfynd.xlsx", "A 496-2024")</f>
        <v/>
      </c>
      <c r="T1201">
        <f>HYPERLINK("https://klasma.github.io/Logging_2481/kartor/A 496-2024 karta.png", "A 496-2024")</f>
        <v/>
      </c>
      <c r="V1201">
        <f>HYPERLINK("https://klasma.github.io/Logging_2481/klagomål/A 496-2024 FSC-klagomål.docx", "A 496-2024")</f>
        <v/>
      </c>
      <c r="W1201">
        <f>HYPERLINK("https://klasma.github.io/Logging_2481/klagomålsmail/A 496-2024 FSC-klagomål mail.docx", "A 496-2024")</f>
        <v/>
      </c>
      <c r="X1201">
        <f>HYPERLINK("https://klasma.github.io/Logging_2481/tillsyn/A 496-2024 tillsynsbegäran.docx", "A 496-2024")</f>
        <v/>
      </c>
      <c r="Y1201">
        <f>HYPERLINK("https://klasma.github.io/Logging_2481/tillsynsmail/A 496-2024 tillsynsbegäran mail.docx", "A 496-2024")</f>
        <v/>
      </c>
      <c r="Z1201">
        <f>HYPERLINK("https://klasma.github.io/Logging_2481/fåglar/A 496-2024 prioriterade fågelarter.docx", "A 496-2024")</f>
        <v/>
      </c>
    </row>
    <row r="1202" ht="15" customHeight="1">
      <c r="A1202" t="inlineStr">
        <is>
          <t>A 22373-2025</t>
        </is>
      </c>
      <c r="B1202" s="1" t="n">
        <v>45786.47950231482</v>
      </c>
      <c r="C1202" s="1" t="n">
        <v>46145</v>
      </c>
      <c r="D1202" t="inlineStr">
        <is>
          <t>VÄSTERBOTTENS LÄN</t>
        </is>
      </c>
      <c r="E1202" t="inlineStr">
        <is>
          <t>LYCKSELE</t>
        </is>
      </c>
      <c r="F1202" t="inlineStr">
        <is>
          <t>Holmen skog AB</t>
        </is>
      </c>
      <c r="G1202" t="n">
        <v>5</v>
      </c>
      <c r="H1202" t="n">
        <v>0</v>
      </c>
      <c r="I1202" t="n">
        <v>0</v>
      </c>
      <c r="J1202" t="n">
        <v>1</v>
      </c>
      <c r="K1202" t="n">
        <v>0</v>
      </c>
      <c r="L1202" t="n">
        <v>0</v>
      </c>
      <c r="M1202" t="n">
        <v>0</v>
      </c>
      <c r="N1202" t="n">
        <v>0</v>
      </c>
      <c r="O1202" t="n">
        <v>1</v>
      </c>
      <c r="P1202" t="n">
        <v>0</v>
      </c>
      <c r="Q1202" t="n">
        <v>1</v>
      </c>
      <c r="R1202" s="2" t="inlineStr">
        <is>
          <t>Garnlav</t>
        </is>
      </c>
      <c r="S1202">
        <f>HYPERLINK("https://klasma.github.io/Logging_2481/artfynd/A 22373-2025 artfynd.xlsx", "A 22373-2025")</f>
        <v/>
      </c>
      <c r="T1202">
        <f>HYPERLINK("https://klasma.github.io/Logging_2481/kartor/A 22373-2025 karta.png", "A 22373-2025")</f>
        <v/>
      </c>
      <c r="V1202">
        <f>HYPERLINK("https://klasma.github.io/Logging_2481/klagomål/A 22373-2025 FSC-klagomål.docx", "A 22373-2025")</f>
        <v/>
      </c>
      <c r="W1202">
        <f>HYPERLINK("https://klasma.github.io/Logging_2481/klagomålsmail/A 22373-2025 FSC-klagomål mail.docx", "A 22373-2025")</f>
        <v/>
      </c>
      <c r="X1202">
        <f>HYPERLINK("https://klasma.github.io/Logging_2481/tillsyn/A 22373-2025 tillsynsbegäran.docx", "A 22373-2025")</f>
        <v/>
      </c>
      <c r="Y1202">
        <f>HYPERLINK("https://klasma.github.io/Logging_2481/tillsynsmail/A 22373-2025 tillsynsbegäran mail.docx", "A 22373-2025")</f>
        <v/>
      </c>
    </row>
    <row r="1203" ht="15" customHeight="1">
      <c r="A1203" t="inlineStr">
        <is>
          <t>A 64134-2023</t>
        </is>
      </c>
      <c r="B1203" s="1" t="n">
        <v>45279</v>
      </c>
      <c r="C1203" s="1" t="n">
        <v>46145</v>
      </c>
      <c r="D1203" t="inlineStr">
        <is>
          <t>VÄSTERBOTTENS LÄN</t>
        </is>
      </c>
      <c r="E1203" t="inlineStr">
        <is>
          <t>SORSELE</t>
        </is>
      </c>
      <c r="G1203" t="n">
        <v>10.3</v>
      </c>
      <c r="H1203" t="n">
        <v>1</v>
      </c>
      <c r="I1203" t="n">
        <v>0</v>
      </c>
      <c r="J1203" t="n">
        <v>0</v>
      </c>
      <c r="K1203" t="n">
        <v>1</v>
      </c>
      <c r="L1203" t="n">
        <v>0</v>
      </c>
      <c r="M1203" t="n">
        <v>0</v>
      </c>
      <c r="N1203" t="n">
        <v>0</v>
      </c>
      <c r="O1203" t="n">
        <v>1</v>
      </c>
      <c r="P1203" t="n">
        <v>1</v>
      </c>
      <c r="Q1203" t="n">
        <v>1</v>
      </c>
      <c r="R1203" s="2" t="inlineStr">
        <is>
          <t>Norna</t>
        </is>
      </c>
      <c r="S1203">
        <f>HYPERLINK("https://klasma.github.io/Logging_2422/artfynd/A 64134-2023 artfynd.xlsx", "A 64134-2023")</f>
        <v/>
      </c>
      <c r="T1203">
        <f>HYPERLINK("https://klasma.github.io/Logging_2422/kartor/A 64134-2023 karta.png", "A 64134-2023")</f>
        <v/>
      </c>
      <c r="V1203">
        <f>HYPERLINK("https://klasma.github.io/Logging_2422/klagomål/A 64134-2023 FSC-klagomål.docx", "A 64134-2023")</f>
        <v/>
      </c>
      <c r="W1203">
        <f>HYPERLINK("https://klasma.github.io/Logging_2422/klagomålsmail/A 64134-2023 FSC-klagomål mail.docx", "A 64134-2023")</f>
        <v/>
      </c>
      <c r="X1203">
        <f>HYPERLINK("https://klasma.github.io/Logging_2422/tillsyn/A 64134-2023 tillsynsbegäran.docx", "A 64134-2023")</f>
        <v/>
      </c>
      <c r="Y1203">
        <f>HYPERLINK("https://klasma.github.io/Logging_2422/tillsynsmail/A 64134-2023 tillsynsbegäran mail.docx", "A 64134-2023")</f>
        <v/>
      </c>
    </row>
    <row r="1204" ht="15" customHeight="1">
      <c r="A1204" t="inlineStr">
        <is>
          <t>A 23314-2025</t>
        </is>
      </c>
      <c r="B1204" s="1" t="n">
        <v>45791.61121527778</v>
      </c>
      <c r="C1204" s="1" t="n">
        <v>46145</v>
      </c>
      <c r="D1204" t="inlineStr">
        <is>
          <t>VÄSTERBOTTENS LÄN</t>
        </is>
      </c>
      <c r="E1204" t="inlineStr">
        <is>
          <t>LYCKSELE</t>
        </is>
      </c>
      <c r="F1204" t="inlineStr">
        <is>
          <t>Sveaskog</t>
        </is>
      </c>
      <c r="G1204" t="n">
        <v>1.7</v>
      </c>
      <c r="H1204" t="n">
        <v>0</v>
      </c>
      <c r="I1204" t="n">
        <v>0</v>
      </c>
      <c r="J1204" t="n">
        <v>1</v>
      </c>
      <c r="K1204" t="n">
        <v>0</v>
      </c>
      <c r="L1204" t="n">
        <v>0</v>
      </c>
      <c r="M1204" t="n">
        <v>0</v>
      </c>
      <c r="N1204" t="n">
        <v>0</v>
      </c>
      <c r="O1204" t="n">
        <v>1</v>
      </c>
      <c r="P1204" t="n">
        <v>0</v>
      </c>
      <c r="Q1204" t="n">
        <v>1</v>
      </c>
      <c r="R1204" s="2" t="inlineStr">
        <is>
          <t>Orange taggsvamp</t>
        </is>
      </c>
      <c r="S1204">
        <f>HYPERLINK("https://klasma.github.io/Logging_2481/artfynd/A 23314-2025 artfynd.xlsx", "A 23314-2025")</f>
        <v/>
      </c>
      <c r="T1204">
        <f>HYPERLINK("https://klasma.github.io/Logging_2481/kartor/A 23314-2025 karta.png", "A 23314-2025")</f>
        <v/>
      </c>
      <c r="V1204">
        <f>HYPERLINK("https://klasma.github.io/Logging_2481/klagomål/A 23314-2025 FSC-klagomål.docx", "A 23314-2025")</f>
        <v/>
      </c>
      <c r="W1204">
        <f>HYPERLINK("https://klasma.github.io/Logging_2481/klagomålsmail/A 23314-2025 FSC-klagomål mail.docx", "A 23314-2025")</f>
        <v/>
      </c>
      <c r="X1204">
        <f>HYPERLINK("https://klasma.github.io/Logging_2481/tillsyn/A 23314-2025 tillsynsbegäran.docx", "A 23314-2025")</f>
        <v/>
      </c>
      <c r="Y1204">
        <f>HYPERLINK("https://klasma.github.io/Logging_2481/tillsynsmail/A 23314-2025 tillsynsbegäran mail.docx", "A 23314-2025")</f>
        <v/>
      </c>
    </row>
    <row r="1205" ht="15" customHeight="1">
      <c r="A1205" t="inlineStr">
        <is>
          <t>A 35931-2024</t>
        </is>
      </c>
      <c r="B1205" s="1" t="n">
        <v>45533.4471875</v>
      </c>
      <c r="C1205" s="1" t="n">
        <v>46145</v>
      </c>
      <c r="D1205" t="inlineStr">
        <is>
          <t>VÄSTERBOTTENS LÄN</t>
        </is>
      </c>
      <c r="E1205" t="inlineStr">
        <is>
          <t>LYCKSELE</t>
        </is>
      </c>
      <c r="F1205" t="inlineStr">
        <is>
          <t>Sveaskog</t>
        </is>
      </c>
      <c r="G1205" t="n">
        <v>57.3</v>
      </c>
      <c r="H1205" t="n">
        <v>0</v>
      </c>
      <c r="I1205" t="n">
        <v>0</v>
      </c>
      <c r="J1205" t="n">
        <v>1</v>
      </c>
      <c r="K1205" t="n">
        <v>0</v>
      </c>
      <c r="L1205" t="n">
        <v>0</v>
      </c>
      <c r="M1205" t="n">
        <v>0</v>
      </c>
      <c r="N1205" t="n">
        <v>0</v>
      </c>
      <c r="O1205" t="n">
        <v>1</v>
      </c>
      <c r="P1205" t="n">
        <v>0</v>
      </c>
      <c r="Q1205" t="n">
        <v>1</v>
      </c>
      <c r="R1205" s="2" t="inlineStr">
        <is>
          <t>Kolflarnlav</t>
        </is>
      </c>
      <c r="S1205">
        <f>HYPERLINK("https://klasma.github.io/Logging_2481/artfynd/A 35931-2024 artfynd.xlsx", "A 35931-2024")</f>
        <v/>
      </c>
      <c r="T1205">
        <f>HYPERLINK("https://klasma.github.io/Logging_2481/kartor/A 35931-2024 karta.png", "A 35931-2024")</f>
        <v/>
      </c>
      <c r="V1205">
        <f>HYPERLINK("https://klasma.github.io/Logging_2481/klagomål/A 35931-2024 FSC-klagomål.docx", "A 35931-2024")</f>
        <v/>
      </c>
      <c r="W1205">
        <f>HYPERLINK("https://klasma.github.io/Logging_2481/klagomålsmail/A 35931-2024 FSC-klagomål mail.docx", "A 35931-2024")</f>
        <v/>
      </c>
      <c r="X1205">
        <f>HYPERLINK("https://klasma.github.io/Logging_2481/tillsyn/A 35931-2024 tillsynsbegäran.docx", "A 35931-2024")</f>
        <v/>
      </c>
      <c r="Y1205">
        <f>HYPERLINK("https://klasma.github.io/Logging_2481/tillsynsmail/A 35931-2024 tillsynsbegäran mail.docx", "A 35931-2024")</f>
        <v/>
      </c>
    </row>
    <row r="1206" ht="15" customHeight="1">
      <c r="A1206" t="inlineStr">
        <is>
          <t>A 24515-2025</t>
        </is>
      </c>
      <c r="B1206" s="1" t="n">
        <v>45798</v>
      </c>
      <c r="C1206" s="1" t="n">
        <v>46145</v>
      </c>
      <c r="D1206" t="inlineStr">
        <is>
          <t>VÄSTERBOTTENS LÄN</t>
        </is>
      </c>
      <c r="E1206" t="inlineStr">
        <is>
          <t>LYCKSELE</t>
        </is>
      </c>
      <c r="F1206" t="inlineStr">
        <is>
          <t>Sveaskog</t>
        </is>
      </c>
      <c r="G1206" t="n">
        <v>9.9</v>
      </c>
      <c r="H1206" t="n">
        <v>1</v>
      </c>
      <c r="I1206" t="n">
        <v>0</v>
      </c>
      <c r="J1206" t="n">
        <v>1</v>
      </c>
      <c r="K1206" t="n">
        <v>0</v>
      </c>
      <c r="L1206" t="n">
        <v>0</v>
      </c>
      <c r="M1206" t="n">
        <v>0</v>
      </c>
      <c r="N1206" t="n">
        <v>0</v>
      </c>
      <c r="O1206" t="n">
        <v>1</v>
      </c>
      <c r="P1206" t="n">
        <v>0</v>
      </c>
      <c r="Q1206" t="n">
        <v>1</v>
      </c>
      <c r="R1206" s="2" t="inlineStr">
        <is>
          <t>Talltita</t>
        </is>
      </c>
      <c r="S1206">
        <f>HYPERLINK("https://klasma.github.io/Logging_2481/artfynd/A 24515-2025 artfynd.xlsx", "A 24515-2025")</f>
        <v/>
      </c>
      <c r="T1206">
        <f>HYPERLINK("https://klasma.github.io/Logging_2481/kartor/A 24515-2025 karta.png", "A 24515-2025")</f>
        <v/>
      </c>
      <c r="V1206">
        <f>HYPERLINK("https://klasma.github.io/Logging_2481/klagomål/A 24515-2025 FSC-klagomål.docx", "A 24515-2025")</f>
        <v/>
      </c>
      <c r="W1206">
        <f>HYPERLINK("https://klasma.github.io/Logging_2481/klagomålsmail/A 24515-2025 FSC-klagomål mail.docx", "A 24515-2025")</f>
        <v/>
      </c>
      <c r="X1206">
        <f>HYPERLINK("https://klasma.github.io/Logging_2481/tillsyn/A 24515-2025 tillsynsbegäran.docx", "A 24515-2025")</f>
        <v/>
      </c>
      <c r="Y1206">
        <f>HYPERLINK("https://klasma.github.io/Logging_2481/tillsynsmail/A 24515-2025 tillsynsbegäran mail.docx", "A 24515-2025")</f>
        <v/>
      </c>
      <c r="Z1206">
        <f>HYPERLINK("https://klasma.github.io/Logging_2481/fåglar/A 24515-2025 prioriterade fågelarter.docx", "A 24515-2025")</f>
        <v/>
      </c>
    </row>
    <row r="1207" ht="15" customHeight="1">
      <c r="A1207" t="inlineStr">
        <is>
          <t>A 58766-2021</t>
        </is>
      </c>
      <c r="B1207" s="1" t="n">
        <v>44489</v>
      </c>
      <c r="C1207" s="1" t="n">
        <v>46145</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25977-2025</t>
        </is>
      </c>
      <c r="B1208" s="1" t="n">
        <v>45804</v>
      </c>
      <c r="C1208" s="1" t="n">
        <v>46145</v>
      </c>
      <c r="D1208" t="inlineStr">
        <is>
          <t>VÄSTERBOTTENS LÄN</t>
        </is>
      </c>
      <c r="E1208" t="inlineStr">
        <is>
          <t>VILHELMINA</t>
        </is>
      </c>
      <c r="F1208" t="inlineStr">
        <is>
          <t>SCA</t>
        </is>
      </c>
      <c r="G1208" t="n">
        <v>6.2</v>
      </c>
      <c r="H1208" t="n">
        <v>0</v>
      </c>
      <c r="I1208" t="n">
        <v>0</v>
      </c>
      <c r="J1208" t="n">
        <v>1</v>
      </c>
      <c r="K1208" t="n">
        <v>0</v>
      </c>
      <c r="L1208" t="n">
        <v>0</v>
      </c>
      <c r="M1208" t="n">
        <v>0</v>
      </c>
      <c r="N1208" t="n">
        <v>0</v>
      </c>
      <c r="O1208" t="n">
        <v>1</v>
      </c>
      <c r="P1208" t="n">
        <v>0</v>
      </c>
      <c r="Q1208" t="n">
        <v>1</v>
      </c>
      <c r="R1208" s="2" t="inlineStr">
        <is>
          <t>Rosenticka</t>
        </is>
      </c>
      <c r="S1208">
        <f>HYPERLINK("https://klasma.github.io/Logging_2462/artfynd/A 25977-2025 artfynd.xlsx", "A 25977-2025")</f>
        <v/>
      </c>
      <c r="T1208">
        <f>HYPERLINK("https://klasma.github.io/Logging_2462/kartor/A 25977-2025 karta.png", "A 25977-2025")</f>
        <v/>
      </c>
      <c r="V1208">
        <f>HYPERLINK("https://klasma.github.io/Logging_2462/klagomål/A 25977-2025 FSC-klagomål.docx", "A 25977-2025")</f>
        <v/>
      </c>
      <c r="W1208">
        <f>HYPERLINK("https://klasma.github.io/Logging_2462/klagomålsmail/A 25977-2025 FSC-klagomål mail.docx", "A 25977-2025")</f>
        <v/>
      </c>
      <c r="X1208">
        <f>HYPERLINK("https://klasma.github.io/Logging_2462/tillsyn/A 25977-2025 tillsynsbegäran.docx", "A 25977-2025")</f>
        <v/>
      </c>
      <c r="Y1208">
        <f>HYPERLINK("https://klasma.github.io/Logging_2462/tillsynsmail/A 25977-2025 tillsynsbegäran mail.docx", "A 25977-2025")</f>
        <v/>
      </c>
    </row>
    <row r="1209" ht="15" customHeight="1">
      <c r="A1209" t="inlineStr">
        <is>
          <t>A 6156-2025</t>
        </is>
      </c>
      <c r="B1209" s="1" t="n">
        <v>45695</v>
      </c>
      <c r="C1209" s="1" t="n">
        <v>46145</v>
      </c>
      <c r="D1209" t="inlineStr">
        <is>
          <t>VÄSTERBOTTENS LÄN</t>
        </is>
      </c>
      <c r="E1209" t="inlineStr">
        <is>
          <t>SKELLEFTEÅ</t>
        </is>
      </c>
      <c r="G1209" t="n">
        <v>5.1</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HYPERLINK("https://klasma.github.io/Logging_2482/artfynd/A 6156-2025 artfynd.xlsx", "A 6156-2025")</f>
        <v/>
      </c>
      <c r="T1209">
        <f>HYPERLINK("https://klasma.github.io/Logging_2482/kartor/A 6156-2025 karta.png", "A 6156-2025")</f>
        <v/>
      </c>
      <c r="V1209">
        <f>HYPERLINK("https://klasma.github.io/Logging_2482/klagomål/A 6156-2025 FSC-klagomål.docx", "A 6156-2025")</f>
        <v/>
      </c>
      <c r="W1209">
        <f>HYPERLINK("https://klasma.github.io/Logging_2482/klagomålsmail/A 6156-2025 FSC-klagomål mail.docx", "A 6156-2025")</f>
        <v/>
      </c>
      <c r="X1209">
        <f>HYPERLINK("https://klasma.github.io/Logging_2482/tillsyn/A 6156-2025 tillsynsbegäran.docx", "A 6156-2025")</f>
        <v/>
      </c>
      <c r="Y1209">
        <f>HYPERLINK("https://klasma.github.io/Logging_2482/tillsynsmail/A 6156-2025 tillsynsbegäran mail.docx", "A 6156-2025")</f>
        <v/>
      </c>
    </row>
    <row r="1210" ht="15" customHeight="1">
      <c r="A1210" t="inlineStr">
        <is>
          <t>A 19924-2025</t>
        </is>
      </c>
      <c r="B1210" s="1" t="n">
        <v>45771</v>
      </c>
      <c r="C1210" s="1" t="n">
        <v>46145</v>
      </c>
      <c r="D1210" t="inlineStr">
        <is>
          <t>VÄSTERBOTTENS LÄN</t>
        </is>
      </c>
      <c r="E1210" t="inlineStr">
        <is>
          <t>SKELLEFTEÅ</t>
        </is>
      </c>
      <c r="F1210" t="inlineStr">
        <is>
          <t>Holmen skog AB</t>
        </is>
      </c>
      <c r="G1210" t="n">
        <v>2.1</v>
      </c>
      <c r="H1210" t="n">
        <v>0</v>
      </c>
      <c r="I1210" t="n">
        <v>1</v>
      </c>
      <c r="J1210" t="n">
        <v>0</v>
      </c>
      <c r="K1210" t="n">
        <v>0</v>
      </c>
      <c r="L1210" t="n">
        <v>0</v>
      </c>
      <c r="M1210" t="n">
        <v>0</v>
      </c>
      <c r="N1210" t="n">
        <v>0</v>
      </c>
      <c r="O1210" t="n">
        <v>0</v>
      </c>
      <c r="P1210" t="n">
        <v>0</v>
      </c>
      <c r="Q1210" t="n">
        <v>1</v>
      </c>
      <c r="R1210" s="2" t="inlineStr">
        <is>
          <t>Tibast</t>
        </is>
      </c>
      <c r="S1210">
        <f>HYPERLINK("https://klasma.github.io/Logging_2482/artfynd/A 19924-2025 artfynd.xlsx", "A 19924-2025")</f>
        <v/>
      </c>
      <c r="T1210">
        <f>HYPERLINK("https://klasma.github.io/Logging_2482/kartor/A 19924-2025 karta.png", "A 19924-2025")</f>
        <v/>
      </c>
      <c r="V1210">
        <f>HYPERLINK("https://klasma.github.io/Logging_2482/klagomål/A 19924-2025 FSC-klagomål.docx", "A 19924-2025")</f>
        <v/>
      </c>
      <c r="W1210">
        <f>HYPERLINK("https://klasma.github.io/Logging_2482/klagomålsmail/A 19924-2025 FSC-klagomål mail.docx", "A 19924-2025")</f>
        <v/>
      </c>
      <c r="X1210">
        <f>HYPERLINK("https://klasma.github.io/Logging_2482/tillsyn/A 19924-2025 tillsynsbegäran.docx", "A 19924-2025")</f>
        <v/>
      </c>
      <c r="Y1210">
        <f>HYPERLINK("https://klasma.github.io/Logging_2482/tillsynsmail/A 19924-2025 tillsynsbegäran mail.docx", "A 19924-2025")</f>
        <v/>
      </c>
    </row>
    <row r="1211" ht="15" customHeight="1">
      <c r="A1211" t="inlineStr">
        <is>
          <t>A 40851-2024</t>
        </is>
      </c>
      <c r="B1211" s="1" t="n">
        <v>45558</v>
      </c>
      <c r="C1211" s="1" t="n">
        <v>46145</v>
      </c>
      <c r="D1211" t="inlineStr">
        <is>
          <t>VÄSTERBOTTENS LÄN</t>
        </is>
      </c>
      <c r="E1211" t="inlineStr">
        <is>
          <t>UMEÅ</t>
        </is>
      </c>
      <c r="G1211" t="n">
        <v>2.9</v>
      </c>
      <c r="H1211" t="n">
        <v>1</v>
      </c>
      <c r="I1211" t="n">
        <v>0</v>
      </c>
      <c r="J1211" t="n">
        <v>1</v>
      </c>
      <c r="K1211" t="n">
        <v>0</v>
      </c>
      <c r="L1211" t="n">
        <v>0</v>
      </c>
      <c r="M1211" t="n">
        <v>0</v>
      </c>
      <c r="N1211" t="n">
        <v>0</v>
      </c>
      <c r="O1211" t="n">
        <v>1</v>
      </c>
      <c r="P1211" t="n">
        <v>0</v>
      </c>
      <c r="Q1211" t="n">
        <v>1</v>
      </c>
      <c r="R1211" s="2" t="inlineStr">
        <is>
          <t>Havsörn</t>
        </is>
      </c>
      <c r="S1211">
        <f>HYPERLINK("https://klasma.github.io/Logging_2480/artfynd/A 40851-2024 artfynd.xlsx", "A 40851-2024")</f>
        <v/>
      </c>
      <c r="T1211">
        <f>HYPERLINK("https://klasma.github.io/Logging_2480/kartor/A 40851-2024 karta.png", "A 40851-2024")</f>
        <v/>
      </c>
      <c r="V1211">
        <f>HYPERLINK("https://klasma.github.io/Logging_2480/klagomål/A 40851-2024 FSC-klagomål.docx", "A 40851-2024")</f>
        <v/>
      </c>
      <c r="W1211">
        <f>HYPERLINK("https://klasma.github.io/Logging_2480/klagomålsmail/A 40851-2024 FSC-klagomål mail.docx", "A 40851-2024")</f>
        <v/>
      </c>
      <c r="X1211">
        <f>HYPERLINK("https://klasma.github.io/Logging_2480/tillsyn/A 40851-2024 tillsynsbegäran.docx", "A 40851-2024")</f>
        <v/>
      </c>
      <c r="Y1211">
        <f>HYPERLINK("https://klasma.github.io/Logging_2480/tillsynsmail/A 40851-2024 tillsynsbegäran mail.docx", "A 40851-2024")</f>
        <v/>
      </c>
      <c r="Z1211">
        <f>HYPERLINK("https://klasma.github.io/Logging_2480/fåglar/A 40851-2024 prioriterade fågelarter.docx", "A 40851-2024")</f>
        <v/>
      </c>
    </row>
    <row r="1212" ht="15" customHeight="1">
      <c r="A1212" t="inlineStr">
        <is>
          <t>A 26867-2025</t>
        </is>
      </c>
      <c r="B1212" s="1" t="n">
        <v>45810</v>
      </c>
      <c r="C1212" s="1" t="n">
        <v>46145</v>
      </c>
      <c r="D1212" t="inlineStr">
        <is>
          <t>VÄSTERBOTTENS LÄN</t>
        </is>
      </c>
      <c r="E1212" t="inlineStr">
        <is>
          <t>ÅSELE</t>
        </is>
      </c>
      <c r="F1212" t="inlineStr">
        <is>
          <t>SCA</t>
        </is>
      </c>
      <c r="G1212" t="n">
        <v>1.6</v>
      </c>
      <c r="H1212" t="n">
        <v>1</v>
      </c>
      <c r="I1212" t="n">
        <v>0</v>
      </c>
      <c r="J1212" t="n">
        <v>0</v>
      </c>
      <c r="K1212" t="n">
        <v>1</v>
      </c>
      <c r="L1212" t="n">
        <v>0</v>
      </c>
      <c r="M1212" t="n">
        <v>0</v>
      </c>
      <c r="N1212" t="n">
        <v>0</v>
      </c>
      <c r="O1212" t="n">
        <v>1</v>
      </c>
      <c r="P1212" t="n">
        <v>1</v>
      </c>
      <c r="Q1212" t="n">
        <v>1</v>
      </c>
      <c r="R1212" s="2" t="inlineStr">
        <is>
          <t>Knärot</t>
        </is>
      </c>
      <c r="S1212">
        <f>HYPERLINK("https://klasma.github.io/Logging_2463/artfynd/A 26867-2025 artfynd.xlsx", "A 26867-2025")</f>
        <v/>
      </c>
      <c r="T1212">
        <f>HYPERLINK("https://klasma.github.io/Logging_2463/kartor/A 26867-2025 karta.png", "A 26867-2025")</f>
        <v/>
      </c>
      <c r="U1212">
        <f>HYPERLINK("https://klasma.github.io/Logging_2463/knärot/A 26867-2025 karta knärot.png", "A 26867-2025")</f>
        <v/>
      </c>
      <c r="V1212">
        <f>HYPERLINK("https://klasma.github.io/Logging_2463/klagomål/A 26867-2025 FSC-klagomål.docx", "A 26867-2025")</f>
        <v/>
      </c>
      <c r="W1212">
        <f>HYPERLINK("https://klasma.github.io/Logging_2463/klagomålsmail/A 26867-2025 FSC-klagomål mail.docx", "A 26867-2025")</f>
        <v/>
      </c>
      <c r="X1212">
        <f>HYPERLINK("https://klasma.github.io/Logging_2463/tillsyn/A 26867-2025 tillsynsbegäran.docx", "A 26867-2025")</f>
        <v/>
      </c>
      <c r="Y1212">
        <f>HYPERLINK("https://klasma.github.io/Logging_2463/tillsynsmail/A 26867-2025 tillsynsbegäran mail.docx", "A 26867-2025")</f>
        <v/>
      </c>
    </row>
    <row r="1213" ht="15" customHeight="1">
      <c r="A1213" t="inlineStr">
        <is>
          <t>A 27106-2025</t>
        </is>
      </c>
      <c r="B1213" s="1" t="n">
        <v>45811</v>
      </c>
      <c r="C1213" s="1" t="n">
        <v>46145</v>
      </c>
      <c r="D1213" t="inlineStr">
        <is>
          <t>VÄSTERBOTTENS LÄN</t>
        </is>
      </c>
      <c r="E1213" t="inlineStr">
        <is>
          <t>ÅSELE</t>
        </is>
      </c>
      <c r="F1213" t="inlineStr">
        <is>
          <t>SCA</t>
        </is>
      </c>
      <c r="G1213" t="n">
        <v>8.300000000000001</v>
      </c>
      <c r="H1213" t="n">
        <v>0</v>
      </c>
      <c r="I1213" t="n">
        <v>0</v>
      </c>
      <c r="J1213" t="n">
        <v>1</v>
      </c>
      <c r="K1213" t="n">
        <v>0</v>
      </c>
      <c r="L1213" t="n">
        <v>0</v>
      </c>
      <c r="M1213" t="n">
        <v>0</v>
      </c>
      <c r="N1213" t="n">
        <v>0</v>
      </c>
      <c r="O1213" t="n">
        <v>1</v>
      </c>
      <c r="P1213" t="n">
        <v>0</v>
      </c>
      <c r="Q1213" t="n">
        <v>1</v>
      </c>
      <c r="R1213" s="2" t="inlineStr">
        <is>
          <t>Tallticka</t>
        </is>
      </c>
      <c r="S1213">
        <f>HYPERLINK("https://klasma.github.io/Logging_2463/artfynd/A 27106-2025 artfynd.xlsx", "A 27106-2025")</f>
        <v/>
      </c>
      <c r="T1213">
        <f>HYPERLINK("https://klasma.github.io/Logging_2463/kartor/A 27106-2025 karta.png", "A 27106-2025")</f>
        <v/>
      </c>
      <c r="V1213">
        <f>HYPERLINK("https://klasma.github.io/Logging_2463/klagomål/A 27106-2025 FSC-klagomål.docx", "A 27106-2025")</f>
        <v/>
      </c>
      <c r="W1213">
        <f>HYPERLINK("https://klasma.github.io/Logging_2463/klagomålsmail/A 27106-2025 FSC-klagomål mail.docx", "A 27106-2025")</f>
        <v/>
      </c>
      <c r="X1213">
        <f>HYPERLINK("https://klasma.github.io/Logging_2463/tillsyn/A 27106-2025 tillsynsbegäran.docx", "A 27106-2025")</f>
        <v/>
      </c>
      <c r="Y1213">
        <f>HYPERLINK("https://klasma.github.io/Logging_2463/tillsynsmail/A 27106-2025 tillsynsbegäran mail.docx", "A 27106-2025")</f>
        <v/>
      </c>
    </row>
    <row r="1214" ht="15" customHeight="1">
      <c r="A1214" t="inlineStr">
        <is>
          <t>A 28307-2025</t>
        </is>
      </c>
      <c r="B1214" s="1" t="n">
        <v>45818.61664351852</v>
      </c>
      <c r="C1214" s="1" t="n">
        <v>46145</v>
      </c>
      <c r="D1214" t="inlineStr">
        <is>
          <t>VÄSTERBOTTENS LÄN</t>
        </is>
      </c>
      <c r="E1214" t="inlineStr">
        <is>
          <t>LYCKSELE</t>
        </is>
      </c>
      <c r="F1214" t="inlineStr">
        <is>
          <t>Sveaskog</t>
        </is>
      </c>
      <c r="G1214" t="n">
        <v>3.6</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28307-2025 artfynd.xlsx", "A 28307-2025")</f>
        <v/>
      </c>
      <c r="T1214">
        <f>HYPERLINK("https://klasma.github.io/Logging_2481/kartor/A 28307-2025 karta.png", "A 28307-2025")</f>
        <v/>
      </c>
      <c r="V1214">
        <f>HYPERLINK("https://klasma.github.io/Logging_2481/klagomål/A 28307-2025 FSC-klagomål.docx", "A 28307-2025")</f>
        <v/>
      </c>
      <c r="W1214">
        <f>HYPERLINK("https://klasma.github.io/Logging_2481/klagomålsmail/A 28307-2025 FSC-klagomål mail.docx", "A 28307-2025")</f>
        <v/>
      </c>
      <c r="X1214">
        <f>HYPERLINK("https://klasma.github.io/Logging_2481/tillsyn/A 28307-2025 tillsynsbegäran.docx", "A 28307-2025")</f>
        <v/>
      </c>
      <c r="Y1214">
        <f>HYPERLINK("https://klasma.github.io/Logging_2481/tillsynsmail/A 28307-2025 tillsynsbegäran mail.docx", "A 28307-2025")</f>
        <v/>
      </c>
    </row>
    <row r="1215" ht="15" customHeight="1">
      <c r="A1215" t="inlineStr">
        <is>
          <t>A 28860-2025</t>
        </is>
      </c>
      <c r="B1215" s="1" t="n">
        <v>45820.59178240741</v>
      </c>
      <c r="C1215" s="1" t="n">
        <v>46145</v>
      </c>
      <c r="D1215" t="inlineStr">
        <is>
          <t>VÄSTERBOTTENS LÄN</t>
        </is>
      </c>
      <c r="E1215" t="inlineStr">
        <is>
          <t>SKELLEFTEÅ</t>
        </is>
      </c>
      <c r="F1215" t="inlineStr">
        <is>
          <t>Holmen skog AB</t>
        </is>
      </c>
      <c r="G1215" t="n">
        <v>3.2</v>
      </c>
      <c r="H1215" t="n">
        <v>0</v>
      </c>
      <c r="I1215" t="n">
        <v>0</v>
      </c>
      <c r="J1215" t="n">
        <v>1</v>
      </c>
      <c r="K1215" t="n">
        <v>0</v>
      </c>
      <c r="L1215" t="n">
        <v>0</v>
      </c>
      <c r="M1215" t="n">
        <v>0</v>
      </c>
      <c r="N1215" t="n">
        <v>0</v>
      </c>
      <c r="O1215" t="n">
        <v>1</v>
      </c>
      <c r="P1215" t="n">
        <v>0</v>
      </c>
      <c r="Q1215" t="n">
        <v>1</v>
      </c>
      <c r="R1215" s="2" t="inlineStr">
        <is>
          <t>Vedskivlav</t>
        </is>
      </c>
      <c r="S1215">
        <f>HYPERLINK("https://klasma.github.io/Logging_2482/artfynd/A 28860-2025 artfynd.xlsx", "A 28860-2025")</f>
        <v/>
      </c>
      <c r="T1215">
        <f>HYPERLINK("https://klasma.github.io/Logging_2482/kartor/A 28860-2025 karta.png", "A 28860-2025")</f>
        <v/>
      </c>
      <c r="V1215">
        <f>HYPERLINK("https://klasma.github.io/Logging_2482/klagomål/A 28860-2025 FSC-klagomål.docx", "A 28860-2025")</f>
        <v/>
      </c>
      <c r="W1215">
        <f>HYPERLINK("https://klasma.github.io/Logging_2482/klagomålsmail/A 28860-2025 FSC-klagomål mail.docx", "A 28860-2025")</f>
        <v/>
      </c>
      <c r="X1215">
        <f>HYPERLINK("https://klasma.github.io/Logging_2482/tillsyn/A 28860-2025 tillsynsbegäran.docx", "A 28860-2025")</f>
        <v/>
      </c>
      <c r="Y1215">
        <f>HYPERLINK("https://klasma.github.io/Logging_2482/tillsynsmail/A 28860-2025 tillsynsbegäran mail.docx", "A 28860-2025")</f>
        <v/>
      </c>
    </row>
    <row r="1216" ht="15" customHeight="1">
      <c r="A1216" t="inlineStr">
        <is>
          <t>A 28829-2025</t>
        </is>
      </c>
      <c r="B1216" s="1" t="n">
        <v>45820.55273148148</v>
      </c>
      <c r="C1216" s="1" t="n">
        <v>46145</v>
      </c>
      <c r="D1216" t="inlineStr">
        <is>
          <t>VÄSTERBOTTENS LÄN</t>
        </is>
      </c>
      <c r="E1216" t="inlineStr">
        <is>
          <t>LYCKSELE</t>
        </is>
      </c>
      <c r="F1216" t="inlineStr">
        <is>
          <t>Sveaskog</t>
        </is>
      </c>
      <c r="G1216" t="n">
        <v>9.9</v>
      </c>
      <c r="H1216" t="n">
        <v>0</v>
      </c>
      <c r="I1216" t="n">
        <v>1</v>
      </c>
      <c r="J1216" t="n">
        <v>0</v>
      </c>
      <c r="K1216" t="n">
        <v>0</v>
      </c>
      <c r="L1216" t="n">
        <v>0</v>
      </c>
      <c r="M1216" t="n">
        <v>0</v>
      </c>
      <c r="N1216" t="n">
        <v>0</v>
      </c>
      <c r="O1216" t="n">
        <v>0</v>
      </c>
      <c r="P1216" t="n">
        <v>0</v>
      </c>
      <c r="Q1216" t="n">
        <v>1</v>
      </c>
      <c r="R1216" s="2" t="inlineStr">
        <is>
          <t>Skarp dropptaggsvamp</t>
        </is>
      </c>
      <c r="S1216">
        <f>HYPERLINK("https://klasma.github.io/Logging_2481/artfynd/A 28829-2025 artfynd.xlsx", "A 28829-2025")</f>
        <v/>
      </c>
      <c r="T1216">
        <f>HYPERLINK("https://klasma.github.io/Logging_2481/kartor/A 28829-2025 karta.png", "A 28829-2025")</f>
        <v/>
      </c>
      <c r="V1216">
        <f>HYPERLINK("https://klasma.github.io/Logging_2481/klagomål/A 28829-2025 FSC-klagomål.docx", "A 28829-2025")</f>
        <v/>
      </c>
      <c r="W1216">
        <f>HYPERLINK("https://klasma.github.io/Logging_2481/klagomålsmail/A 28829-2025 FSC-klagomål mail.docx", "A 28829-2025")</f>
        <v/>
      </c>
      <c r="X1216">
        <f>HYPERLINK("https://klasma.github.io/Logging_2481/tillsyn/A 28829-2025 tillsynsbegäran.docx", "A 28829-2025")</f>
        <v/>
      </c>
      <c r="Y1216">
        <f>HYPERLINK("https://klasma.github.io/Logging_2481/tillsynsmail/A 28829-2025 tillsynsbegäran mail.docx", "A 28829-2025")</f>
        <v/>
      </c>
    </row>
    <row r="1217" ht="15" customHeight="1">
      <c r="A1217" t="inlineStr">
        <is>
          <t>A 28817-2025</t>
        </is>
      </c>
      <c r="B1217" s="1" t="n">
        <v>45820.53430555556</v>
      </c>
      <c r="C1217" s="1" t="n">
        <v>46145</v>
      </c>
      <c r="D1217" t="inlineStr">
        <is>
          <t>VÄSTERBOTTENS LÄN</t>
        </is>
      </c>
      <c r="E1217" t="inlineStr">
        <is>
          <t>NORDMALING</t>
        </is>
      </c>
      <c r="G1217" t="n">
        <v>6.5</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HYPERLINK("https://klasma.github.io/Logging_2401/artfynd/A 28817-2025 artfynd.xlsx", "A 28817-2025")</f>
        <v/>
      </c>
      <c r="T1217">
        <f>HYPERLINK("https://klasma.github.io/Logging_2401/kartor/A 28817-2025 karta.png", "A 28817-2025")</f>
        <v/>
      </c>
      <c r="V1217">
        <f>HYPERLINK("https://klasma.github.io/Logging_2401/klagomål/A 28817-2025 FSC-klagomål.docx", "A 28817-2025")</f>
        <v/>
      </c>
      <c r="W1217">
        <f>HYPERLINK("https://klasma.github.io/Logging_2401/klagomålsmail/A 28817-2025 FSC-klagomål mail.docx", "A 28817-2025")</f>
        <v/>
      </c>
      <c r="X1217">
        <f>HYPERLINK("https://klasma.github.io/Logging_2401/tillsyn/A 28817-2025 tillsynsbegäran.docx", "A 28817-2025")</f>
        <v/>
      </c>
      <c r="Y1217">
        <f>HYPERLINK("https://klasma.github.io/Logging_2401/tillsynsmail/A 28817-2025 tillsynsbegäran mail.docx", "A 28817-2025")</f>
        <v/>
      </c>
      <c r="Z1217">
        <f>HYPERLINK("https://klasma.github.io/Logging_2401/fåglar/A 28817-2025 prioriterade fågelarter.docx", "A 28817-2025")</f>
        <v/>
      </c>
    </row>
    <row r="1218" ht="15" customHeight="1">
      <c r="A1218" t="inlineStr">
        <is>
          <t>A 29397-2025</t>
        </is>
      </c>
      <c r="B1218" s="1" t="n">
        <v>45824.60902777778</v>
      </c>
      <c r="C1218" s="1" t="n">
        <v>46145</v>
      </c>
      <c r="D1218" t="inlineStr">
        <is>
          <t>VÄSTERBOTTENS LÄN</t>
        </is>
      </c>
      <c r="E1218" t="inlineStr">
        <is>
          <t>UMEÅ</t>
        </is>
      </c>
      <c r="F1218" t="inlineStr">
        <is>
          <t>Holmen skog AB</t>
        </is>
      </c>
      <c r="G1218" t="n">
        <v>4</v>
      </c>
      <c r="H1218" t="n">
        <v>1</v>
      </c>
      <c r="I1218" t="n">
        <v>0</v>
      </c>
      <c r="J1218" t="n">
        <v>0</v>
      </c>
      <c r="K1218" t="n">
        <v>0</v>
      </c>
      <c r="L1218" t="n">
        <v>0</v>
      </c>
      <c r="M1218" t="n">
        <v>0</v>
      </c>
      <c r="N1218" t="n">
        <v>0</v>
      </c>
      <c r="O1218" t="n">
        <v>0</v>
      </c>
      <c r="P1218" t="n">
        <v>0</v>
      </c>
      <c r="Q1218" t="n">
        <v>1</v>
      </c>
      <c r="R1218" s="2" t="inlineStr">
        <is>
          <t>Tjäder</t>
        </is>
      </c>
      <c r="S1218">
        <f>HYPERLINK("https://klasma.github.io/Logging_2480/artfynd/A 29397-2025 artfynd.xlsx", "A 29397-2025")</f>
        <v/>
      </c>
      <c r="T1218">
        <f>HYPERLINK("https://klasma.github.io/Logging_2480/kartor/A 29397-2025 karta.png", "A 29397-2025")</f>
        <v/>
      </c>
      <c r="V1218">
        <f>HYPERLINK("https://klasma.github.io/Logging_2480/klagomål/A 29397-2025 FSC-klagomål.docx", "A 29397-2025")</f>
        <v/>
      </c>
      <c r="W1218">
        <f>HYPERLINK("https://klasma.github.io/Logging_2480/klagomålsmail/A 29397-2025 FSC-klagomål mail.docx", "A 29397-2025")</f>
        <v/>
      </c>
      <c r="X1218">
        <f>HYPERLINK("https://klasma.github.io/Logging_2480/tillsyn/A 29397-2025 tillsynsbegäran.docx", "A 29397-2025")</f>
        <v/>
      </c>
      <c r="Y1218">
        <f>HYPERLINK("https://klasma.github.io/Logging_2480/tillsynsmail/A 29397-2025 tillsynsbegäran mail.docx", "A 29397-2025")</f>
        <v/>
      </c>
      <c r="Z1218">
        <f>HYPERLINK("https://klasma.github.io/Logging_2480/fåglar/A 29397-2025 prioriterade fågelarter.docx", "A 29397-2025")</f>
        <v/>
      </c>
    </row>
    <row r="1219" ht="15" customHeight="1">
      <c r="A1219" t="inlineStr">
        <is>
          <t>A 29121-2025</t>
        </is>
      </c>
      <c r="B1219" s="1" t="n">
        <v>45821</v>
      </c>
      <c r="C1219" s="1" t="n">
        <v>46145</v>
      </c>
      <c r="D1219" t="inlineStr">
        <is>
          <t>VÄSTERBOTTENS LÄN</t>
        </is>
      </c>
      <c r="E1219" t="inlineStr">
        <is>
          <t>VILHELMINA</t>
        </is>
      </c>
      <c r="F1219" t="inlineStr">
        <is>
          <t>SCA</t>
        </is>
      </c>
      <c r="G1219" t="n">
        <v>4.4</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29121-2025 artfynd.xlsx", "A 29121-2025")</f>
        <v/>
      </c>
      <c r="T1219">
        <f>HYPERLINK("https://klasma.github.io/Logging_2462/kartor/A 29121-2025 karta.png", "A 29121-2025")</f>
        <v/>
      </c>
      <c r="V1219">
        <f>HYPERLINK("https://klasma.github.io/Logging_2462/klagomål/A 29121-2025 FSC-klagomål.docx", "A 29121-2025")</f>
        <v/>
      </c>
      <c r="W1219">
        <f>HYPERLINK("https://klasma.github.io/Logging_2462/klagomålsmail/A 29121-2025 FSC-klagomål mail.docx", "A 29121-2025")</f>
        <v/>
      </c>
      <c r="X1219">
        <f>HYPERLINK("https://klasma.github.io/Logging_2462/tillsyn/A 29121-2025 tillsynsbegäran.docx", "A 29121-2025")</f>
        <v/>
      </c>
      <c r="Y1219">
        <f>HYPERLINK("https://klasma.github.io/Logging_2462/tillsynsmail/A 29121-2025 tillsynsbegäran mail.docx", "A 29121-2025")</f>
        <v/>
      </c>
    </row>
    <row r="1220" ht="15" customHeight="1">
      <c r="A1220" t="inlineStr">
        <is>
          <t>A 29611-2025</t>
        </is>
      </c>
      <c r="B1220" s="1" t="n">
        <v>45825</v>
      </c>
      <c r="C1220" s="1" t="n">
        <v>46145</v>
      </c>
      <c r="D1220" t="inlineStr">
        <is>
          <t>VÄSTERBOTTENS LÄN</t>
        </is>
      </c>
      <c r="E1220" t="inlineStr">
        <is>
          <t>VINDELN</t>
        </is>
      </c>
      <c r="G1220" t="n">
        <v>3</v>
      </c>
      <c r="H1220" t="n">
        <v>1</v>
      </c>
      <c r="I1220" t="n">
        <v>0</v>
      </c>
      <c r="J1220" t="n">
        <v>1</v>
      </c>
      <c r="K1220" t="n">
        <v>0</v>
      </c>
      <c r="L1220" t="n">
        <v>0</v>
      </c>
      <c r="M1220" t="n">
        <v>0</v>
      </c>
      <c r="N1220" t="n">
        <v>0</v>
      </c>
      <c r="O1220" t="n">
        <v>1</v>
      </c>
      <c r="P1220" t="n">
        <v>0</v>
      </c>
      <c r="Q1220" t="n">
        <v>1</v>
      </c>
      <c r="R1220" s="2" t="inlineStr">
        <is>
          <t>Slaguggla</t>
        </is>
      </c>
      <c r="S1220">
        <f>HYPERLINK("https://klasma.github.io/Logging_2404/artfynd/A 29611-2025 artfynd.xlsx", "A 29611-2025")</f>
        <v/>
      </c>
      <c r="T1220">
        <f>HYPERLINK("https://klasma.github.io/Logging_2404/kartor/A 29611-2025 karta.png", "A 29611-2025")</f>
        <v/>
      </c>
      <c r="V1220">
        <f>HYPERLINK("https://klasma.github.io/Logging_2404/klagomål/A 29611-2025 FSC-klagomål.docx", "A 29611-2025")</f>
        <v/>
      </c>
      <c r="W1220">
        <f>HYPERLINK("https://klasma.github.io/Logging_2404/klagomålsmail/A 29611-2025 FSC-klagomål mail.docx", "A 29611-2025")</f>
        <v/>
      </c>
      <c r="X1220">
        <f>HYPERLINK("https://klasma.github.io/Logging_2404/tillsyn/A 29611-2025 tillsynsbegäran.docx", "A 29611-2025")</f>
        <v/>
      </c>
      <c r="Y1220">
        <f>HYPERLINK("https://klasma.github.io/Logging_2404/tillsynsmail/A 29611-2025 tillsynsbegäran mail.docx", "A 29611-2025")</f>
        <v/>
      </c>
      <c r="Z1220">
        <f>HYPERLINK("https://klasma.github.io/Logging_2404/fåglar/A 29611-2025 prioriterade fågelarter.docx", "A 29611-2025")</f>
        <v/>
      </c>
    </row>
    <row r="1221" ht="15" customHeight="1">
      <c r="A1221" t="inlineStr">
        <is>
          <t>A 29623-2025</t>
        </is>
      </c>
      <c r="B1221" s="1" t="n">
        <v>45825.44150462963</v>
      </c>
      <c r="C1221" s="1" t="n">
        <v>46145</v>
      </c>
      <c r="D1221" t="inlineStr">
        <is>
          <t>VÄSTERBOTTENS LÄN</t>
        </is>
      </c>
      <c r="E1221" t="inlineStr">
        <is>
          <t>VINDELN</t>
        </is>
      </c>
      <c r="G1221" t="n">
        <v>7.2</v>
      </c>
      <c r="H1221" t="n">
        <v>1</v>
      </c>
      <c r="I1221" t="n">
        <v>0</v>
      </c>
      <c r="J1221" t="n">
        <v>0</v>
      </c>
      <c r="K1221" t="n">
        <v>1</v>
      </c>
      <c r="L1221" t="n">
        <v>0</v>
      </c>
      <c r="M1221" t="n">
        <v>0</v>
      </c>
      <c r="N1221" t="n">
        <v>0</v>
      </c>
      <c r="O1221" t="n">
        <v>1</v>
      </c>
      <c r="P1221" t="n">
        <v>1</v>
      </c>
      <c r="Q1221" t="n">
        <v>1</v>
      </c>
      <c r="R1221" s="2" t="inlineStr">
        <is>
          <t>Lappuggla</t>
        </is>
      </c>
      <c r="S1221">
        <f>HYPERLINK("https://klasma.github.io/Logging_2404/artfynd/A 29623-2025 artfynd.xlsx", "A 29623-2025")</f>
        <v/>
      </c>
      <c r="T1221">
        <f>HYPERLINK("https://klasma.github.io/Logging_2404/kartor/A 29623-2025 karta.png", "A 29623-2025")</f>
        <v/>
      </c>
      <c r="V1221">
        <f>HYPERLINK("https://klasma.github.io/Logging_2404/klagomål/A 29623-2025 FSC-klagomål.docx", "A 29623-2025")</f>
        <v/>
      </c>
      <c r="W1221">
        <f>HYPERLINK("https://klasma.github.io/Logging_2404/klagomålsmail/A 29623-2025 FSC-klagomål mail.docx", "A 29623-2025")</f>
        <v/>
      </c>
      <c r="X1221">
        <f>HYPERLINK("https://klasma.github.io/Logging_2404/tillsyn/A 29623-2025 tillsynsbegäran.docx", "A 29623-2025")</f>
        <v/>
      </c>
      <c r="Y1221">
        <f>HYPERLINK("https://klasma.github.io/Logging_2404/tillsynsmail/A 29623-2025 tillsynsbegäran mail.docx", "A 29623-2025")</f>
        <v/>
      </c>
      <c r="Z1221">
        <f>HYPERLINK("https://klasma.github.io/Logging_2404/fåglar/A 29623-2025 prioriterade fågelarter.docx", "A 29623-2025")</f>
        <v/>
      </c>
    </row>
    <row r="1222" ht="15" customHeight="1">
      <c r="A1222" t="inlineStr">
        <is>
          <t>A 30608-2025</t>
        </is>
      </c>
      <c r="B1222" s="1" t="n">
        <v>45831.45858796296</v>
      </c>
      <c r="C1222" s="1" t="n">
        <v>46145</v>
      </c>
      <c r="D1222" t="inlineStr">
        <is>
          <t>VÄSTERBOTTENS LÄN</t>
        </is>
      </c>
      <c r="E1222" t="inlineStr">
        <is>
          <t>LYCKSELE</t>
        </is>
      </c>
      <c r="F1222" t="inlineStr">
        <is>
          <t>Holmen skog AB</t>
        </is>
      </c>
      <c r="G1222" t="n">
        <v>3.2</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30608-2025 artfynd.xlsx", "A 30608-2025")</f>
        <v/>
      </c>
      <c r="T1222">
        <f>HYPERLINK("https://klasma.github.io/Logging_2481/kartor/A 30608-2025 karta.png", "A 30608-2025")</f>
        <v/>
      </c>
      <c r="V1222">
        <f>HYPERLINK("https://klasma.github.io/Logging_2481/klagomål/A 30608-2025 FSC-klagomål.docx", "A 30608-2025")</f>
        <v/>
      </c>
      <c r="W1222">
        <f>HYPERLINK("https://klasma.github.io/Logging_2481/klagomålsmail/A 30608-2025 FSC-klagomål mail.docx", "A 30608-2025")</f>
        <v/>
      </c>
      <c r="X1222">
        <f>HYPERLINK("https://klasma.github.io/Logging_2481/tillsyn/A 30608-2025 tillsynsbegäran.docx", "A 30608-2025")</f>
        <v/>
      </c>
      <c r="Y1222">
        <f>HYPERLINK("https://klasma.github.io/Logging_2481/tillsynsmail/A 30608-2025 tillsynsbegäran mail.docx", "A 30608-2025")</f>
        <v/>
      </c>
    </row>
    <row r="1223" ht="15" customHeight="1">
      <c r="A1223" t="inlineStr">
        <is>
          <t>A 30664-2025</t>
        </is>
      </c>
      <c r="B1223" s="1" t="n">
        <v>45831.51394675926</v>
      </c>
      <c r="C1223" s="1" t="n">
        <v>46145</v>
      </c>
      <c r="D1223" t="inlineStr">
        <is>
          <t>VÄSTERBOTTENS LÄN</t>
        </is>
      </c>
      <c r="E1223" t="inlineStr">
        <is>
          <t>LYCKSELE</t>
        </is>
      </c>
      <c r="F1223" t="inlineStr">
        <is>
          <t>Sveaskog</t>
        </is>
      </c>
      <c r="G1223" t="n">
        <v>7.1</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HYPERLINK("https://klasma.github.io/Logging_2481/artfynd/A 30664-2025 artfynd.xlsx", "A 30664-2025")</f>
        <v/>
      </c>
      <c r="T1223">
        <f>HYPERLINK("https://klasma.github.io/Logging_2481/kartor/A 30664-2025 karta.png", "A 30664-2025")</f>
        <v/>
      </c>
      <c r="V1223">
        <f>HYPERLINK("https://klasma.github.io/Logging_2481/klagomål/A 30664-2025 FSC-klagomål.docx", "A 30664-2025")</f>
        <v/>
      </c>
      <c r="W1223">
        <f>HYPERLINK("https://klasma.github.io/Logging_2481/klagomålsmail/A 30664-2025 FSC-klagomål mail.docx", "A 30664-2025")</f>
        <v/>
      </c>
      <c r="X1223">
        <f>HYPERLINK("https://klasma.github.io/Logging_2481/tillsyn/A 30664-2025 tillsynsbegäran.docx", "A 30664-2025")</f>
        <v/>
      </c>
      <c r="Y1223">
        <f>HYPERLINK("https://klasma.github.io/Logging_2481/tillsynsmail/A 30664-2025 tillsynsbegäran mail.docx", "A 30664-2025")</f>
        <v/>
      </c>
    </row>
    <row r="1224" ht="15" customHeight="1">
      <c r="A1224" t="inlineStr">
        <is>
          <t>A 30923-2025</t>
        </is>
      </c>
      <c r="B1224" s="1" t="n">
        <v>45832.38615740741</v>
      </c>
      <c r="C1224" s="1" t="n">
        <v>46145</v>
      </c>
      <c r="D1224" t="inlineStr">
        <is>
          <t>VÄSTERBOTTENS LÄN</t>
        </is>
      </c>
      <c r="E1224" t="inlineStr">
        <is>
          <t>VINDELN</t>
        </is>
      </c>
      <c r="G1224" t="n">
        <v>4.6</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HYPERLINK("https://klasma.github.io/Logging_2404/artfynd/A 30923-2025 artfynd.xlsx", "A 30923-2025")</f>
        <v/>
      </c>
      <c r="T1224">
        <f>HYPERLINK("https://klasma.github.io/Logging_2404/kartor/A 30923-2025 karta.png", "A 30923-2025")</f>
        <v/>
      </c>
      <c r="V1224">
        <f>HYPERLINK("https://klasma.github.io/Logging_2404/klagomål/A 30923-2025 FSC-klagomål.docx", "A 30923-2025")</f>
        <v/>
      </c>
      <c r="W1224">
        <f>HYPERLINK("https://klasma.github.io/Logging_2404/klagomålsmail/A 30923-2025 FSC-klagomål mail.docx", "A 30923-2025")</f>
        <v/>
      </c>
      <c r="X1224">
        <f>HYPERLINK("https://klasma.github.io/Logging_2404/tillsyn/A 30923-2025 tillsynsbegäran.docx", "A 30923-2025")</f>
        <v/>
      </c>
      <c r="Y1224">
        <f>HYPERLINK("https://klasma.github.io/Logging_2404/tillsynsmail/A 30923-2025 tillsynsbegäran mail.docx", "A 30923-2025")</f>
        <v/>
      </c>
    </row>
    <row r="1225" ht="15" customHeight="1">
      <c r="A1225" t="inlineStr">
        <is>
          <t>A 31162-2025</t>
        </is>
      </c>
      <c r="B1225" s="1" t="n">
        <v>45832.65657407408</v>
      </c>
      <c r="C1225" s="1" t="n">
        <v>46145</v>
      </c>
      <c r="D1225" t="inlineStr">
        <is>
          <t>VÄSTERBOTTENS LÄN</t>
        </is>
      </c>
      <c r="E1225" t="inlineStr">
        <is>
          <t>NORSJÖ</t>
        </is>
      </c>
      <c r="F1225" t="inlineStr">
        <is>
          <t>Sveaskog</t>
        </is>
      </c>
      <c r="G1225" t="n">
        <v>7.4</v>
      </c>
      <c r="H1225" t="n">
        <v>0</v>
      </c>
      <c r="I1225" t="n">
        <v>0</v>
      </c>
      <c r="J1225" t="n">
        <v>1</v>
      </c>
      <c r="K1225" t="n">
        <v>0</v>
      </c>
      <c r="L1225" t="n">
        <v>0</v>
      </c>
      <c r="M1225" t="n">
        <v>0</v>
      </c>
      <c r="N1225" t="n">
        <v>0</v>
      </c>
      <c r="O1225" t="n">
        <v>1</v>
      </c>
      <c r="P1225" t="n">
        <v>0</v>
      </c>
      <c r="Q1225" t="n">
        <v>1</v>
      </c>
      <c r="R1225" s="2" t="inlineStr">
        <is>
          <t>Blå taggsvamp</t>
        </is>
      </c>
      <c r="S1225">
        <f>HYPERLINK("https://klasma.github.io/Logging_2417/artfynd/A 31162-2025 artfynd.xlsx", "A 31162-2025")</f>
        <v/>
      </c>
      <c r="T1225">
        <f>HYPERLINK("https://klasma.github.io/Logging_2417/kartor/A 31162-2025 karta.png", "A 31162-2025")</f>
        <v/>
      </c>
      <c r="V1225">
        <f>HYPERLINK("https://klasma.github.io/Logging_2417/klagomål/A 31162-2025 FSC-klagomål.docx", "A 31162-2025")</f>
        <v/>
      </c>
      <c r="W1225">
        <f>HYPERLINK("https://klasma.github.io/Logging_2417/klagomålsmail/A 31162-2025 FSC-klagomål mail.docx", "A 31162-2025")</f>
        <v/>
      </c>
      <c r="X1225">
        <f>HYPERLINK("https://klasma.github.io/Logging_2417/tillsyn/A 31162-2025 tillsynsbegäran.docx", "A 31162-2025")</f>
        <v/>
      </c>
      <c r="Y1225">
        <f>HYPERLINK("https://klasma.github.io/Logging_2417/tillsynsmail/A 31162-2025 tillsynsbegäran mail.docx", "A 31162-2025")</f>
        <v/>
      </c>
    </row>
    <row r="1226" ht="15" customHeight="1">
      <c r="A1226" t="inlineStr">
        <is>
          <t>A 30756-2025</t>
        </is>
      </c>
      <c r="B1226" s="1" t="n">
        <v>45831</v>
      </c>
      <c r="C1226" s="1" t="n">
        <v>46145</v>
      </c>
      <c r="D1226" t="inlineStr">
        <is>
          <t>VÄSTERBOTTENS LÄN</t>
        </is>
      </c>
      <c r="E1226" t="inlineStr">
        <is>
          <t>DOROTEA</t>
        </is>
      </c>
      <c r="F1226" t="inlineStr">
        <is>
          <t>SCA</t>
        </is>
      </c>
      <c r="G1226" t="n">
        <v>6</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30756-2025 artfynd.xlsx", "A 30756-2025")</f>
        <v/>
      </c>
      <c r="T1226">
        <f>HYPERLINK("https://klasma.github.io/Logging_2425/kartor/A 30756-2025 karta.png", "A 30756-2025")</f>
        <v/>
      </c>
      <c r="V1226">
        <f>HYPERLINK("https://klasma.github.io/Logging_2425/klagomål/A 30756-2025 FSC-klagomål.docx", "A 30756-2025")</f>
        <v/>
      </c>
      <c r="W1226">
        <f>HYPERLINK("https://klasma.github.io/Logging_2425/klagomålsmail/A 30756-2025 FSC-klagomål mail.docx", "A 30756-2025")</f>
        <v/>
      </c>
      <c r="X1226">
        <f>HYPERLINK("https://klasma.github.io/Logging_2425/tillsyn/A 30756-2025 tillsynsbegäran.docx", "A 30756-2025")</f>
        <v/>
      </c>
      <c r="Y1226">
        <f>HYPERLINK("https://klasma.github.io/Logging_2425/tillsynsmail/A 30756-2025 tillsynsbegäran mail.docx", "A 30756-2025")</f>
        <v/>
      </c>
    </row>
    <row r="1227" ht="15" customHeight="1">
      <c r="A1227" t="inlineStr">
        <is>
          <t>A 31266-2025</t>
        </is>
      </c>
      <c r="B1227" s="1" t="n">
        <v>45833.32979166666</v>
      </c>
      <c r="C1227" s="1" t="n">
        <v>46145</v>
      </c>
      <c r="D1227" t="inlineStr">
        <is>
          <t>VÄSTERBOTTENS LÄN</t>
        </is>
      </c>
      <c r="E1227" t="inlineStr">
        <is>
          <t>LYCKSELE</t>
        </is>
      </c>
      <c r="F1227" t="inlineStr">
        <is>
          <t>Sveaskog</t>
        </is>
      </c>
      <c r="G1227" t="n">
        <v>4.4</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HYPERLINK("https://klasma.github.io/Logging_2481/artfynd/A 31266-2025 artfynd.xlsx", "A 31266-2025")</f>
        <v/>
      </c>
      <c r="T1227">
        <f>HYPERLINK("https://klasma.github.io/Logging_2481/kartor/A 31266-2025 karta.png", "A 31266-2025")</f>
        <v/>
      </c>
      <c r="V1227">
        <f>HYPERLINK("https://klasma.github.io/Logging_2481/klagomål/A 31266-2025 FSC-klagomål.docx", "A 31266-2025")</f>
        <v/>
      </c>
      <c r="W1227">
        <f>HYPERLINK("https://klasma.github.io/Logging_2481/klagomålsmail/A 31266-2025 FSC-klagomål mail.docx", "A 31266-2025")</f>
        <v/>
      </c>
      <c r="X1227">
        <f>HYPERLINK("https://klasma.github.io/Logging_2481/tillsyn/A 31266-2025 tillsynsbegäran.docx", "A 31266-2025")</f>
        <v/>
      </c>
      <c r="Y1227">
        <f>HYPERLINK("https://klasma.github.io/Logging_2481/tillsynsmail/A 31266-2025 tillsynsbegäran mail.docx", "A 31266-2025")</f>
        <v/>
      </c>
    </row>
    <row r="1228" ht="15" customHeight="1">
      <c r="A1228" t="inlineStr">
        <is>
          <t>A 32234-2025</t>
        </is>
      </c>
      <c r="B1228" s="1" t="n">
        <v>45835.60891203704</v>
      </c>
      <c r="C1228" s="1" t="n">
        <v>46145</v>
      </c>
      <c r="D1228" t="inlineStr">
        <is>
          <t>VÄSTERBOTTENS LÄN</t>
        </is>
      </c>
      <c r="E1228" t="inlineStr">
        <is>
          <t>VINDELN</t>
        </is>
      </c>
      <c r="F1228" t="inlineStr">
        <is>
          <t>Sveaskog</t>
        </is>
      </c>
      <c r="G1228" t="n">
        <v>3.1</v>
      </c>
      <c r="H1228" t="n">
        <v>0</v>
      </c>
      <c r="I1228" t="n">
        <v>0</v>
      </c>
      <c r="J1228" t="n">
        <v>1</v>
      </c>
      <c r="K1228" t="n">
        <v>0</v>
      </c>
      <c r="L1228" t="n">
        <v>0</v>
      </c>
      <c r="M1228" t="n">
        <v>0</v>
      </c>
      <c r="N1228" t="n">
        <v>0</v>
      </c>
      <c r="O1228" t="n">
        <v>1</v>
      </c>
      <c r="P1228" t="n">
        <v>0</v>
      </c>
      <c r="Q1228" t="n">
        <v>1</v>
      </c>
      <c r="R1228" s="2" t="inlineStr">
        <is>
          <t>Lunglav</t>
        </is>
      </c>
      <c r="S1228">
        <f>HYPERLINK("https://klasma.github.io/Logging_2404/artfynd/A 32234-2025 artfynd.xlsx", "A 32234-2025")</f>
        <v/>
      </c>
      <c r="T1228">
        <f>HYPERLINK("https://klasma.github.io/Logging_2404/kartor/A 32234-2025 karta.png", "A 32234-2025")</f>
        <v/>
      </c>
      <c r="V1228">
        <f>HYPERLINK("https://klasma.github.io/Logging_2404/klagomål/A 32234-2025 FSC-klagomål.docx", "A 32234-2025")</f>
        <v/>
      </c>
      <c r="W1228">
        <f>HYPERLINK("https://klasma.github.io/Logging_2404/klagomålsmail/A 32234-2025 FSC-klagomål mail.docx", "A 32234-2025")</f>
        <v/>
      </c>
      <c r="X1228">
        <f>HYPERLINK("https://klasma.github.io/Logging_2404/tillsyn/A 32234-2025 tillsynsbegäran.docx", "A 32234-2025")</f>
        <v/>
      </c>
      <c r="Y1228">
        <f>HYPERLINK("https://klasma.github.io/Logging_2404/tillsynsmail/A 32234-2025 tillsynsbegäran mail.docx", "A 32234-2025")</f>
        <v/>
      </c>
    </row>
    <row r="1229" ht="15" customHeight="1">
      <c r="A1229" t="inlineStr">
        <is>
          <t>A 32269-2025</t>
        </is>
      </c>
      <c r="B1229" s="1" t="n">
        <v>45835</v>
      </c>
      <c r="C1229" s="1" t="n">
        <v>46145</v>
      </c>
      <c r="D1229" t="inlineStr">
        <is>
          <t>VÄSTERBOTTENS LÄN</t>
        </is>
      </c>
      <c r="E1229" t="inlineStr">
        <is>
          <t>ROBERTSFORS</t>
        </is>
      </c>
      <c r="G1229" t="n">
        <v>2.2</v>
      </c>
      <c r="H1229" t="n">
        <v>0</v>
      </c>
      <c r="I1229" t="n">
        <v>0</v>
      </c>
      <c r="J1229" t="n">
        <v>1</v>
      </c>
      <c r="K1229" t="n">
        <v>0</v>
      </c>
      <c r="L1229" t="n">
        <v>0</v>
      </c>
      <c r="M1229" t="n">
        <v>0</v>
      </c>
      <c r="N1229" t="n">
        <v>0</v>
      </c>
      <c r="O1229" t="n">
        <v>1</v>
      </c>
      <c r="P1229" t="n">
        <v>0</v>
      </c>
      <c r="Q1229" t="n">
        <v>1</v>
      </c>
      <c r="R1229" s="2" t="inlineStr">
        <is>
          <t>Skogshare</t>
        </is>
      </c>
      <c r="S1229">
        <f>HYPERLINK("https://klasma.github.io/Logging_2409/artfynd/A 32269-2025 artfynd.xlsx", "A 32269-2025")</f>
        <v/>
      </c>
      <c r="T1229">
        <f>HYPERLINK("https://klasma.github.io/Logging_2409/kartor/A 32269-2025 karta.png", "A 32269-2025")</f>
        <v/>
      </c>
      <c r="V1229">
        <f>HYPERLINK("https://klasma.github.io/Logging_2409/klagomål/A 32269-2025 FSC-klagomål.docx", "A 32269-2025")</f>
        <v/>
      </c>
      <c r="W1229">
        <f>HYPERLINK("https://klasma.github.io/Logging_2409/klagomålsmail/A 32269-2025 FSC-klagomål mail.docx", "A 32269-2025")</f>
        <v/>
      </c>
      <c r="X1229">
        <f>HYPERLINK("https://klasma.github.io/Logging_2409/tillsyn/A 32269-2025 tillsynsbegäran.docx", "A 32269-2025")</f>
        <v/>
      </c>
      <c r="Y1229">
        <f>HYPERLINK("https://klasma.github.io/Logging_2409/tillsynsmail/A 32269-2025 tillsynsbegäran mail.docx", "A 32269-2025")</f>
        <v/>
      </c>
    </row>
    <row r="1230" ht="15" customHeight="1">
      <c r="A1230" t="inlineStr">
        <is>
          <t>A 33882-2025</t>
        </is>
      </c>
      <c r="B1230" s="1" t="n">
        <v>45842.56947916667</v>
      </c>
      <c r="C1230" s="1" t="n">
        <v>46145</v>
      </c>
      <c r="D1230" t="inlineStr">
        <is>
          <t>VÄSTERBOTTENS LÄN</t>
        </is>
      </c>
      <c r="E1230" t="inlineStr">
        <is>
          <t>STORUMAN</t>
        </is>
      </c>
      <c r="F1230" t="inlineStr">
        <is>
          <t>Sveaskog</t>
        </is>
      </c>
      <c r="G1230" t="n">
        <v>9.5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HYPERLINK("https://klasma.github.io/Logging_2421/artfynd/A 33882-2025 artfynd.xlsx", "A 33882-2025")</f>
        <v/>
      </c>
      <c r="T1230">
        <f>HYPERLINK("https://klasma.github.io/Logging_2421/kartor/A 33882-2025 karta.png", "A 33882-2025")</f>
        <v/>
      </c>
      <c r="V1230">
        <f>HYPERLINK("https://klasma.github.io/Logging_2421/klagomål/A 33882-2025 FSC-klagomål.docx", "A 33882-2025")</f>
        <v/>
      </c>
      <c r="W1230">
        <f>HYPERLINK("https://klasma.github.io/Logging_2421/klagomålsmail/A 33882-2025 FSC-klagomål mail.docx", "A 33882-2025")</f>
        <v/>
      </c>
      <c r="X1230">
        <f>HYPERLINK("https://klasma.github.io/Logging_2421/tillsyn/A 33882-2025 tillsynsbegäran.docx", "A 33882-2025")</f>
        <v/>
      </c>
      <c r="Y1230">
        <f>HYPERLINK("https://klasma.github.io/Logging_2421/tillsynsmail/A 33882-2025 tillsynsbegäran mail.docx", "A 33882-2025")</f>
        <v/>
      </c>
      <c r="Z1230">
        <f>HYPERLINK("https://klasma.github.io/Logging_2421/fåglar/A 33882-2025 prioriterade fågelarter.docx", "A 33882-2025")</f>
        <v/>
      </c>
    </row>
    <row r="1231" ht="15" customHeight="1">
      <c r="A1231" t="inlineStr">
        <is>
          <t>A 34007-2025</t>
        </is>
      </c>
      <c r="B1231" s="1" t="n">
        <v>45844.72150462963</v>
      </c>
      <c r="C1231" s="1" t="n">
        <v>46145</v>
      </c>
      <c r="D1231" t="inlineStr">
        <is>
          <t>VÄSTERBOTTENS LÄN</t>
        </is>
      </c>
      <c r="E1231" t="inlineStr">
        <is>
          <t>ROBERTSFORS</t>
        </is>
      </c>
      <c r="G1231" t="n">
        <v>1.3</v>
      </c>
      <c r="H1231" t="n">
        <v>0</v>
      </c>
      <c r="I1231" t="n">
        <v>0</v>
      </c>
      <c r="J1231" t="n">
        <v>1</v>
      </c>
      <c r="K1231" t="n">
        <v>0</v>
      </c>
      <c r="L1231" t="n">
        <v>0</v>
      </c>
      <c r="M1231" t="n">
        <v>0</v>
      </c>
      <c r="N1231" t="n">
        <v>0</v>
      </c>
      <c r="O1231" t="n">
        <v>1</v>
      </c>
      <c r="P1231" t="n">
        <v>0</v>
      </c>
      <c r="Q1231" t="n">
        <v>1</v>
      </c>
      <c r="R1231" s="2" t="inlineStr">
        <is>
          <t>Harticka</t>
        </is>
      </c>
      <c r="S1231">
        <f>HYPERLINK("https://klasma.github.io/Logging_2409/artfynd/A 34007-2025 artfynd.xlsx", "A 34007-2025")</f>
        <v/>
      </c>
      <c r="T1231">
        <f>HYPERLINK("https://klasma.github.io/Logging_2409/kartor/A 34007-2025 karta.png", "A 34007-2025")</f>
        <v/>
      </c>
      <c r="V1231">
        <f>HYPERLINK("https://klasma.github.io/Logging_2409/klagomål/A 34007-2025 FSC-klagomål.docx", "A 34007-2025")</f>
        <v/>
      </c>
      <c r="W1231">
        <f>HYPERLINK("https://klasma.github.io/Logging_2409/klagomålsmail/A 34007-2025 FSC-klagomål mail.docx", "A 34007-2025")</f>
        <v/>
      </c>
      <c r="X1231">
        <f>HYPERLINK("https://klasma.github.io/Logging_2409/tillsyn/A 34007-2025 tillsynsbegäran.docx", "A 34007-2025")</f>
        <v/>
      </c>
      <c r="Y1231">
        <f>HYPERLINK("https://klasma.github.io/Logging_2409/tillsynsmail/A 34007-2025 tillsynsbegäran mail.docx", "A 34007-2025")</f>
        <v/>
      </c>
    </row>
    <row r="1232" ht="15" customHeight="1">
      <c r="A1232" t="inlineStr">
        <is>
          <t>A 34496-2025</t>
        </is>
      </c>
      <c r="B1232" s="1" t="n">
        <v>45847</v>
      </c>
      <c r="C1232" s="1" t="n">
        <v>46145</v>
      </c>
      <c r="D1232" t="inlineStr">
        <is>
          <t>VÄSTERBOTTENS LÄN</t>
        </is>
      </c>
      <c r="E1232" t="inlineStr">
        <is>
          <t>UMEÅ</t>
        </is>
      </c>
      <c r="G1232" t="n">
        <v>4.6</v>
      </c>
      <c r="H1232" t="n">
        <v>1</v>
      </c>
      <c r="I1232" t="n">
        <v>0</v>
      </c>
      <c r="J1232" t="n">
        <v>0</v>
      </c>
      <c r="K1232" t="n">
        <v>0</v>
      </c>
      <c r="L1232" t="n">
        <v>0</v>
      </c>
      <c r="M1232" t="n">
        <v>0</v>
      </c>
      <c r="N1232" t="n">
        <v>0</v>
      </c>
      <c r="O1232" t="n">
        <v>0</v>
      </c>
      <c r="P1232" t="n">
        <v>0</v>
      </c>
      <c r="Q1232" t="n">
        <v>1</v>
      </c>
      <c r="R1232" s="2" t="inlineStr">
        <is>
          <t>Kungsfågel</t>
        </is>
      </c>
      <c r="S1232">
        <f>HYPERLINK("https://klasma.github.io/Logging_2480/artfynd/A 34496-2025 artfynd.xlsx", "A 34496-2025")</f>
        <v/>
      </c>
      <c r="T1232">
        <f>HYPERLINK("https://klasma.github.io/Logging_2480/kartor/A 34496-2025 karta.png", "A 34496-2025")</f>
        <v/>
      </c>
      <c r="V1232">
        <f>HYPERLINK("https://klasma.github.io/Logging_2480/klagomål/A 34496-2025 FSC-klagomål.docx", "A 34496-2025")</f>
        <v/>
      </c>
      <c r="W1232">
        <f>HYPERLINK("https://klasma.github.io/Logging_2480/klagomålsmail/A 34496-2025 FSC-klagomål mail.docx", "A 34496-2025")</f>
        <v/>
      </c>
      <c r="X1232">
        <f>HYPERLINK("https://klasma.github.io/Logging_2480/tillsyn/A 34496-2025 tillsynsbegäran.docx", "A 34496-2025")</f>
        <v/>
      </c>
      <c r="Y1232">
        <f>HYPERLINK("https://klasma.github.io/Logging_2480/tillsynsmail/A 34496-2025 tillsynsbegäran mail.docx", "A 34496-2025")</f>
        <v/>
      </c>
      <c r="Z1232">
        <f>HYPERLINK("https://klasma.github.io/Logging_2480/fåglar/A 34496-2025 prioriterade fågelarter.docx", "A 34496-2025")</f>
        <v/>
      </c>
    </row>
    <row r="1233" ht="15" customHeight="1">
      <c r="A1233" t="inlineStr">
        <is>
          <t>A 34497-2025</t>
        </is>
      </c>
      <c r="B1233" s="1" t="n">
        <v>45847.42752314815</v>
      </c>
      <c r="C1233" s="1" t="n">
        <v>46145</v>
      </c>
      <c r="D1233" t="inlineStr">
        <is>
          <t>VÄSTERBOTTENS LÄN</t>
        </is>
      </c>
      <c r="E1233" t="inlineStr">
        <is>
          <t>VINDELN</t>
        </is>
      </c>
      <c r="F1233" t="inlineStr">
        <is>
          <t>SCA</t>
        </is>
      </c>
      <c r="G1233" t="n">
        <v>4.8</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34497-2025 artfynd.xlsx", "A 34497-2025")</f>
        <v/>
      </c>
      <c r="T1233">
        <f>HYPERLINK("https://klasma.github.io/Logging_2404/kartor/A 34497-2025 karta.png", "A 34497-2025")</f>
        <v/>
      </c>
      <c r="V1233">
        <f>HYPERLINK("https://klasma.github.io/Logging_2404/klagomål/A 34497-2025 FSC-klagomål.docx", "A 34497-2025")</f>
        <v/>
      </c>
      <c r="W1233">
        <f>HYPERLINK("https://klasma.github.io/Logging_2404/klagomålsmail/A 34497-2025 FSC-klagomål mail.docx", "A 34497-2025")</f>
        <v/>
      </c>
      <c r="X1233">
        <f>HYPERLINK("https://klasma.github.io/Logging_2404/tillsyn/A 34497-2025 tillsynsbegäran.docx", "A 34497-2025")</f>
        <v/>
      </c>
      <c r="Y1233">
        <f>HYPERLINK("https://klasma.github.io/Logging_2404/tillsynsmail/A 34497-2025 tillsynsbegäran mail.docx", "A 34497-2025")</f>
        <v/>
      </c>
    </row>
    <row r="1234" ht="15" customHeight="1">
      <c r="A1234" t="inlineStr">
        <is>
          <t>A 34758-2025</t>
        </is>
      </c>
      <c r="B1234" s="1" t="n">
        <v>45848.63575231482</v>
      </c>
      <c r="C1234" s="1" t="n">
        <v>46145</v>
      </c>
      <c r="D1234" t="inlineStr">
        <is>
          <t>VÄSTERBOTTENS LÄN</t>
        </is>
      </c>
      <c r="E1234" t="inlineStr">
        <is>
          <t>ROBERTSFORS</t>
        </is>
      </c>
      <c r="G1234" t="n">
        <v>5</v>
      </c>
      <c r="H1234" t="n">
        <v>1</v>
      </c>
      <c r="I1234" t="n">
        <v>0</v>
      </c>
      <c r="J1234" t="n">
        <v>0</v>
      </c>
      <c r="K1234" t="n">
        <v>0</v>
      </c>
      <c r="L1234" t="n">
        <v>0</v>
      </c>
      <c r="M1234" t="n">
        <v>0</v>
      </c>
      <c r="N1234" t="n">
        <v>0</v>
      </c>
      <c r="O1234" t="n">
        <v>0</v>
      </c>
      <c r="P1234" t="n">
        <v>0</v>
      </c>
      <c r="Q1234" t="n">
        <v>1</v>
      </c>
      <c r="R1234" s="2" t="inlineStr">
        <is>
          <t>Tjäder</t>
        </is>
      </c>
      <c r="S1234">
        <f>HYPERLINK("https://klasma.github.io/Logging_2409/artfynd/A 34758-2025 artfynd.xlsx", "A 34758-2025")</f>
        <v/>
      </c>
      <c r="T1234">
        <f>HYPERLINK("https://klasma.github.io/Logging_2409/kartor/A 34758-2025 karta.png", "A 34758-2025")</f>
        <v/>
      </c>
      <c r="V1234">
        <f>HYPERLINK("https://klasma.github.io/Logging_2409/klagomål/A 34758-2025 FSC-klagomål.docx", "A 34758-2025")</f>
        <v/>
      </c>
      <c r="W1234">
        <f>HYPERLINK("https://klasma.github.io/Logging_2409/klagomålsmail/A 34758-2025 FSC-klagomål mail.docx", "A 34758-2025")</f>
        <v/>
      </c>
      <c r="X1234">
        <f>HYPERLINK("https://klasma.github.io/Logging_2409/tillsyn/A 34758-2025 tillsynsbegäran.docx", "A 34758-2025")</f>
        <v/>
      </c>
      <c r="Y1234">
        <f>HYPERLINK("https://klasma.github.io/Logging_2409/tillsynsmail/A 34758-2025 tillsynsbegäran mail.docx", "A 34758-2025")</f>
        <v/>
      </c>
      <c r="Z1234">
        <f>HYPERLINK("https://klasma.github.io/Logging_2409/fåglar/A 34758-2025 prioriterade fågelarter.docx", "A 34758-2025")</f>
        <v/>
      </c>
    </row>
    <row r="1235" ht="15" customHeight="1">
      <c r="A1235" t="inlineStr">
        <is>
          <t>A 34958-2025</t>
        </is>
      </c>
      <c r="B1235" s="1" t="n">
        <v>45849.61287037037</v>
      </c>
      <c r="C1235" s="1" t="n">
        <v>46145</v>
      </c>
      <c r="D1235" t="inlineStr">
        <is>
          <t>VÄSTERBOTTENS LÄN</t>
        </is>
      </c>
      <c r="E1235" t="inlineStr">
        <is>
          <t>LYCKSELE</t>
        </is>
      </c>
      <c r="F1235" t="inlineStr">
        <is>
          <t>Sveaskog</t>
        </is>
      </c>
      <c r="G1235" t="n">
        <v>4.1</v>
      </c>
      <c r="H1235" t="n">
        <v>1</v>
      </c>
      <c r="I1235" t="n">
        <v>0</v>
      </c>
      <c r="J1235" t="n">
        <v>1</v>
      </c>
      <c r="K1235" t="n">
        <v>0</v>
      </c>
      <c r="L1235" t="n">
        <v>0</v>
      </c>
      <c r="M1235" t="n">
        <v>0</v>
      </c>
      <c r="N1235" t="n">
        <v>0</v>
      </c>
      <c r="O1235" t="n">
        <v>1</v>
      </c>
      <c r="P1235" t="n">
        <v>0</v>
      </c>
      <c r="Q1235" t="n">
        <v>1</v>
      </c>
      <c r="R1235" s="2" t="inlineStr">
        <is>
          <t>Spillkråka</t>
        </is>
      </c>
      <c r="S1235">
        <f>HYPERLINK("https://klasma.github.io/Logging_2481/artfynd/A 34958-2025 artfynd.xlsx", "A 34958-2025")</f>
        <v/>
      </c>
      <c r="T1235">
        <f>HYPERLINK("https://klasma.github.io/Logging_2481/kartor/A 34958-2025 karta.png", "A 34958-2025")</f>
        <v/>
      </c>
      <c r="V1235">
        <f>HYPERLINK("https://klasma.github.io/Logging_2481/klagomål/A 34958-2025 FSC-klagomål.docx", "A 34958-2025")</f>
        <v/>
      </c>
      <c r="W1235">
        <f>HYPERLINK("https://klasma.github.io/Logging_2481/klagomålsmail/A 34958-2025 FSC-klagomål mail.docx", "A 34958-2025")</f>
        <v/>
      </c>
      <c r="X1235">
        <f>HYPERLINK("https://klasma.github.io/Logging_2481/tillsyn/A 34958-2025 tillsynsbegäran.docx", "A 34958-2025")</f>
        <v/>
      </c>
      <c r="Y1235">
        <f>HYPERLINK("https://klasma.github.io/Logging_2481/tillsynsmail/A 34958-2025 tillsynsbegäran mail.docx", "A 34958-2025")</f>
        <v/>
      </c>
      <c r="Z1235">
        <f>HYPERLINK("https://klasma.github.io/Logging_2481/fåglar/A 34958-2025 prioriterade fågelarter.docx", "A 34958-2025")</f>
        <v/>
      </c>
    </row>
    <row r="1236" ht="15" customHeight="1">
      <c r="A1236" t="inlineStr">
        <is>
          <t>A 1694-2025</t>
        </is>
      </c>
      <c r="B1236" s="1" t="n">
        <v>45670</v>
      </c>
      <c r="C1236" s="1" t="n">
        <v>46145</v>
      </c>
      <c r="D1236" t="inlineStr">
        <is>
          <t>VÄSTERBOTTENS LÄN</t>
        </is>
      </c>
      <c r="E1236" t="inlineStr">
        <is>
          <t>SKELLEFTEÅ</t>
        </is>
      </c>
      <c r="G1236" t="n">
        <v>1.8</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1694-2025 artfynd.xlsx", "A 1694-2025")</f>
        <v/>
      </c>
      <c r="T1236">
        <f>HYPERLINK("https://klasma.github.io/Logging_2482/kartor/A 1694-2025 karta.png", "A 1694-2025")</f>
        <v/>
      </c>
      <c r="V1236">
        <f>HYPERLINK("https://klasma.github.io/Logging_2482/klagomål/A 1694-2025 FSC-klagomål.docx", "A 1694-2025")</f>
        <v/>
      </c>
      <c r="W1236">
        <f>HYPERLINK("https://klasma.github.io/Logging_2482/klagomålsmail/A 1694-2025 FSC-klagomål mail.docx", "A 1694-2025")</f>
        <v/>
      </c>
      <c r="X1236">
        <f>HYPERLINK("https://klasma.github.io/Logging_2482/tillsyn/A 1694-2025 tillsynsbegäran.docx", "A 1694-2025")</f>
        <v/>
      </c>
      <c r="Y1236">
        <f>HYPERLINK("https://klasma.github.io/Logging_2482/tillsynsmail/A 1694-2025 tillsynsbegäran mail.docx", "A 1694-2025")</f>
        <v/>
      </c>
      <c r="Z1236">
        <f>HYPERLINK("https://klasma.github.io/Logging_2482/fåglar/A 1694-2025 prioriterade fågelarter.docx", "A 1694-2025")</f>
        <v/>
      </c>
    </row>
    <row r="1237" ht="15" customHeight="1">
      <c r="A1237" t="inlineStr">
        <is>
          <t>A 35226-2025</t>
        </is>
      </c>
      <c r="B1237" s="1" t="n">
        <v>45853.58109953703</v>
      </c>
      <c r="C1237" s="1" t="n">
        <v>46145</v>
      </c>
      <c r="D1237" t="inlineStr">
        <is>
          <t>VÄSTERBOTTENS LÄN</t>
        </is>
      </c>
      <c r="E1237" t="inlineStr">
        <is>
          <t>LYCKSELE</t>
        </is>
      </c>
      <c r="F1237" t="inlineStr">
        <is>
          <t>Sveaskog</t>
        </is>
      </c>
      <c r="G1237" t="n">
        <v>14.7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HYPERLINK("https://klasma.github.io/Logging_2481/artfynd/A 35226-2025 artfynd.xlsx", "A 35226-2025")</f>
        <v/>
      </c>
      <c r="T1237">
        <f>HYPERLINK("https://klasma.github.io/Logging_2481/kartor/A 35226-2025 karta.png", "A 35226-2025")</f>
        <v/>
      </c>
      <c r="V1237">
        <f>HYPERLINK("https://klasma.github.io/Logging_2481/klagomål/A 35226-2025 FSC-klagomål.docx", "A 35226-2025")</f>
        <v/>
      </c>
      <c r="W1237">
        <f>HYPERLINK("https://klasma.github.io/Logging_2481/klagomålsmail/A 35226-2025 FSC-klagomål mail.docx", "A 35226-2025")</f>
        <v/>
      </c>
      <c r="X1237">
        <f>HYPERLINK("https://klasma.github.io/Logging_2481/tillsyn/A 35226-2025 tillsynsbegäran.docx", "A 35226-2025")</f>
        <v/>
      </c>
      <c r="Y1237">
        <f>HYPERLINK("https://klasma.github.io/Logging_2481/tillsynsmail/A 35226-2025 tillsynsbegäran mail.docx", "A 35226-2025")</f>
        <v/>
      </c>
      <c r="Z1237">
        <f>HYPERLINK("https://klasma.github.io/Logging_2481/fåglar/A 35226-2025 prioriterade fågelarter.docx", "A 35226-2025")</f>
        <v/>
      </c>
    </row>
    <row r="1238" ht="15" customHeight="1">
      <c r="A1238" t="inlineStr">
        <is>
          <t>A 35233-2025</t>
        </is>
      </c>
      <c r="B1238" s="1" t="n">
        <v>45853.59981481481</v>
      </c>
      <c r="C1238" s="1" t="n">
        <v>46145</v>
      </c>
      <c r="D1238" t="inlineStr">
        <is>
          <t>VÄSTERBOTTENS LÄN</t>
        </is>
      </c>
      <c r="E1238" t="inlineStr">
        <is>
          <t>LYCKSELE</t>
        </is>
      </c>
      <c r="F1238" t="inlineStr">
        <is>
          <t>Sveaskog</t>
        </is>
      </c>
      <c r="G1238" t="n">
        <v>21.5</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35233-2025 artfynd.xlsx", "A 35233-2025")</f>
        <v/>
      </c>
      <c r="T1238">
        <f>HYPERLINK("https://klasma.github.io/Logging_2481/kartor/A 35233-2025 karta.png", "A 35233-2025")</f>
        <v/>
      </c>
      <c r="V1238">
        <f>HYPERLINK("https://klasma.github.io/Logging_2481/klagomål/A 35233-2025 FSC-klagomål.docx", "A 35233-2025")</f>
        <v/>
      </c>
      <c r="W1238">
        <f>HYPERLINK("https://klasma.github.io/Logging_2481/klagomålsmail/A 35233-2025 FSC-klagomål mail.docx", "A 35233-2025")</f>
        <v/>
      </c>
      <c r="X1238">
        <f>HYPERLINK("https://klasma.github.io/Logging_2481/tillsyn/A 35233-2025 tillsynsbegäran.docx", "A 35233-2025")</f>
        <v/>
      </c>
      <c r="Y1238">
        <f>HYPERLINK("https://klasma.github.io/Logging_2481/tillsynsmail/A 35233-2025 tillsynsbegäran mail.docx", "A 35233-2025")</f>
        <v/>
      </c>
    </row>
    <row r="1239" ht="15" customHeight="1">
      <c r="A1239" t="inlineStr">
        <is>
          <t>A 35239-2025</t>
        </is>
      </c>
      <c r="B1239" s="1" t="n">
        <v>45853.61649305555</v>
      </c>
      <c r="C1239" s="1" t="n">
        <v>46145</v>
      </c>
      <c r="D1239" t="inlineStr">
        <is>
          <t>VÄSTERBOTTENS LÄN</t>
        </is>
      </c>
      <c r="E1239" t="inlineStr">
        <is>
          <t>LYCKSELE</t>
        </is>
      </c>
      <c r="F1239" t="inlineStr">
        <is>
          <t>Sveaskog</t>
        </is>
      </c>
      <c r="G1239" t="n">
        <v>8.699999999999999</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35239-2025 artfynd.xlsx", "A 35239-2025")</f>
        <v/>
      </c>
      <c r="T1239">
        <f>HYPERLINK("https://klasma.github.io/Logging_2481/kartor/A 35239-2025 karta.png", "A 35239-2025")</f>
        <v/>
      </c>
      <c r="V1239">
        <f>HYPERLINK("https://klasma.github.io/Logging_2481/klagomål/A 35239-2025 FSC-klagomål.docx", "A 35239-2025")</f>
        <v/>
      </c>
      <c r="W1239">
        <f>HYPERLINK("https://klasma.github.io/Logging_2481/klagomålsmail/A 35239-2025 FSC-klagomål mail.docx", "A 35239-2025")</f>
        <v/>
      </c>
      <c r="X1239">
        <f>HYPERLINK("https://klasma.github.io/Logging_2481/tillsyn/A 35239-2025 tillsynsbegäran.docx", "A 35239-2025")</f>
        <v/>
      </c>
      <c r="Y1239">
        <f>HYPERLINK("https://klasma.github.io/Logging_2481/tillsynsmail/A 35239-2025 tillsynsbegäran mail.docx", "A 35239-2025")</f>
        <v/>
      </c>
    </row>
    <row r="1240" ht="15" customHeight="1">
      <c r="A1240" t="inlineStr">
        <is>
          <t>A 35551-2025</t>
        </is>
      </c>
      <c r="B1240" s="1" t="n">
        <v>45856.49604166667</v>
      </c>
      <c r="C1240" s="1" t="n">
        <v>46145</v>
      </c>
      <c r="D1240" t="inlineStr">
        <is>
          <t>VÄSTERBOTTENS LÄN</t>
        </is>
      </c>
      <c r="E1240" t="inlineStr">
        <is>
          <t>ROBERTSFORS</t>
        </is>
      </c>
      <c r="G1240" t="n">
        <v>1</v>
      </c>
      <c r="H1240" t="n">
        <v>1</v>
      </c>
      <c r="I1240" t="n">
        <v>0</v>
      </c>
      <c r="J1240" t="n">
        <v>0</v>
      </c>
      <c r="K1240" t="n">
        <v>0</v>
      </c>
      <c r="L1240" t="n">
        <v>0</v>
      </c>
      <c r="M1240" t="n">
        <v>0</v>
      </c>
      <c r="N1240" t="n">
        <v>0</v>
      </c>
      <c r="O1240" t="n">
        <v>0</v>
      </c>
      <c r="P1240" t="n">
        <v>0</v>
      </c>
      <c r="Q1240" t="n">
        <v>1</v>
      </c>
      <c r="R1240" s="2" t="inlineStr">
        <is>
          <t>Tjäder</t>
        </is>
      </c>
      <c r="S1240">
        <f>HYPERLINK("https://klasma.github.io/Logging_2409/artfynd/A 35551-2025 artfynd.xlsx", "A 35551-2025")</f>
        <v/>
      </c>
      <c r="T1240">
        <f>HYPERLINK("https://klasma.github.io/Logging_2409/kartor/A 35551-2025 karta.png", "A 35551-2025")</f>
        <v/>
      </c>
      <c r="V1240">
        <f>HYPERLINK("https://klasma.github.io/Logging_2409/klagomål/A 35551-2025 FSC-klagomål.docx", "A 35551-2025")</f>
        <v/>
      </c>
      <c r="W1240">
        <f>HYPERLINK("https://klasma.github.io/Logging_2409/klagomålsmail/A 35551-2025 FSC-klagomål mail.docx", "A 35551-2025")</f>
        <v/>
      </c>
      <c r="X1240">
        <f>HYPERLINK("https://klasma.github.io/Logging_2409/tillsyn/A 35551-2025 tillsynsbegäran.docx", "A 35551-2025")</f>
        <v/>
      </c>
      <c r="Y1240">
        <f>HYPERLINK("https://klasma.github.io/Logging_2409/tillsynsmail/A 35551-2025 tillsynsbegäran mail.docx", "A 35551-2025")</f>
        <v/>
      </c>
      <c r="Z1240">
        <f>HYPERLINK("https://klasma.github.io/Logging_2409/fåglar/A 35551-2025 prioriterade fågelarter.docx", "A 35551-2025")</f>
        <v/>
      </c>
    </row>
    <row r="1241" ht="15" customHeight="1">
      <c r="A1241" t="inlineStr">
        <is>
          <t>A 59709-2024</t>
        </is>
      </c>
      <c r="B1241" s="1" t="n">
        <v>45639.44667824074</v>
      </c>
      <c r="C1241" s="1" t="n">
        <v>46145</v>
      </c>
      <c r="D1241" t="inlineStr">
        <is>
          <t>VÄSTERBOTTENS LÄN</t>
        </is>
      </c>
      <c r="E1241" t="inlineStr">
        <is>
          <t>SKELLEFTEÅ</t>
        </is>
      </c>
      <c r="G1241" t="n">
        <v>2.7</v>
      </c>
      <c r="H1241" t="n">
        <v>1</v>
      </c>
      <c r="I1241" t="n">
        <v>0</v>
      </c>
      <c r="J1241" t="n">
        <v>1</v>
      </c>
      <c r="K1241" t="n">
        <v>0</v>
      </c>
      <c r="L1241" t="n">
        <v>0</v>
      </c>
      <c r="M1241" t="n">
        <v>0</v>
      </c>
      <c r="N1241" t="n">
        <v>0</v>
      </c>
      <c r="O1241" t="n">
        <v>1</v>
      </c>
      <c r="P1241" t="n">
        <v>0</v>
      </c>
      <c r="Q1241" t="n">
        <v>1</v>
      </c>
      <c r="R1241" s="2" t="inlineStr">
        <is>
          <t>Spillkråka</t>
        </is>
      </c>
      <c r="S1241">
        <f>HYPERLINK("https://klasma.github.io/Logging_2482/artfynd/A 59709-2024 artfynd.xlsx", "A 59709-2024")</f>
        <v/>
      </c>
      <c r="T1241">
        <f>HYPERLINK("https://klasma.github.io/Logging_2482/kartor/A 59709-2024 karta.png", "A 59709-2024")</f>
        <v/>
      </c>
      <c r="V1241">
        <f>HYPERLINK("https://klasma.github.io/Logging_2482/klagomål/A 59709-2024 FSC-klagomål.docx", "A 59709-2024")</f>
        <v/>
      </c>
      <c r="W1241">
        <f>HYPERLINK("https://klasma.github.io/Logging_2482/klagomålsmail/A 59709-2024 FSC-klagomål mail.docx", "A 59709-2024")</f>
        <v/>
      </c>
      <c r="X1241">
        <f>HYPERLINK("https://klasma.github.io/Logging_2482/tillsyn/A 59709-2024 tillsynsbegäran.docx", "A 59709-2024")</f>
        <v/>
      </c>
      <c r="Y1241">
        <f>HYPERLINK("https://klasma.github.io/Logging_2482/tillsynsmail/A 59709-2024 tillsynsbegäran mail.docx", "A 59709-2024")</f>
        <v/>
      </c>
      <c r="Z1241">
        <f>HYPERLINK("https://klasma.github.io/Logging_2482/fåglar/A 59709-2024 prioriterade fågelarter.docx", "A 59709-2024")</f>
        <v/>
      </c>
    </row>
    <row r="1242" ht="15" customHeight="1">
      <c r="A1242" t="inlineStr">
        <is>
          <t>A 57568-2024</t>
        </is>
      </c>
      <c r="B1242" s="1" t="n">
        <v>45630.46457175926</v>
      </c>
      <c r="C1242" s="1" t="n">
        <v>46145</v>
      </c>
      <c r="D1242" t="inlineStr">
        <is>
          <t>VÄSTERBOTTENS LÄN</t>
        </is>
      </c>
      <c r="E1242" t="inlineStr">
        <is>
          <t>SKELLEFTEÅ</t>
        </is>
      </c>
      <c r="F1242" t="inlineStr">
        <is>
          <t>Sveaskog</t>
        </is>
      </c>
      <c r="G1242" t="n">
        <v>7.3</v>
      </c>
      <c r="H1242" t="n">
        <v>0</v>
      </c>
      <c r="I1242" t="n">
        <v>0</v>
      </c>
      <c r="J1242" t="n">
        <v>1</v>
      </c>
      <c r="K1242" t="n">
        <v>0</v>
      </c>
      <c r="L1242" t="n">
        <v>0</v>
      </c>
      <c r="M1242" t="n">
        <v>0</v>
      </c>
      <c r="N1242" t="n">
        <v>0</v>
      </c>
      <c r="O1242" t="n">
        <v>1</v>
      </c>
      <c r="P1242" t="n">
        <v>0</v>
      </c>
      <c r="Q1242" t="n">
        <v>1</v>
      </c>
      <c r="R1242" s="2" t="inlineStr">
        <is>
          <t>Stjärntagging</t>
        </is>
      </c>
      <c r="S1242">
        <f>HYPERLINK("https://klasma.github.io/Logging_2482/artfynd/A 57568-2024 artfynd.xlsx", "A 57568-2024")</f>
        <v/>
      </c>
      <c r="T1242">
        <f>HYPERLINK("https://klasma.github.io/Logging_2482/kartor/A 57568-2024 karta.png", "A 57568-2024")</f>
        <v/>
      </c>
      <c r="V1242">
        <f>HYPERLINK("https://klasma.github.io/Logging_2482/klagomål/A 57568-2024 FSC-klagomål.docx", "A 57568-2024")</f>
        <v/>
      </c>
      <c r="W1242">
        <f>HYPERLINK("https://klasma.github.io/Logging_2482/klagomålsmail/A 57568-2024 FSC-klagomål mail.docx", "A 57568-2024")</f>
        <v/>
      </c>
      <c r="X1242">
        <f>HYPERLINK("https://klasma.github.io/Logging_2482/tillsyn/A 57568-2024 tillsynsbegäran.docx", "A 57568-2024")</f>
        <v/>
      </c>
      <c r="Y1242">
        <f>HYPERLINK("https://klasma.github.io/Logging_2482/tillsynsmail/A 57568-2024 tillsynsbegäran mail.docx", "A 57568-2024")</f>
        <v/>
      </c>
    </row>
    <row r="1243" ht="15" customHeight="1">
      <c r="A1243" t="inlineStr">
        <is>
          <t>A 35910-2025</t>
        </is>
      </c>
      <c r="B1243" s="1" t="n">
        <v>45862.5197800926</v>
      </c>
      <c r="C1243" s="1" t="n">
        <v>46145</v>
      </c>
      <c r="D1243" t="inlineStr">
        <is>
          <t>VÄSTERBOTTENS LÄN</t>
        </is>
      </c>
      <c r="E1243" t="inlineStr">
        <is>
          <t>SKELLEFTEÅ</t>
        </is>
      </c>
      <c r="F1243" t="inlineStr">
        <is>
          <t>Holmen skog AB</t>
        </is>
      </c>
      <c r="G1243" t="n">
        <v>5.6</v>
      </c>
      <c r="H1243" t="n">
        <v>0</v>
      </c>
      <c r="I1243" t="n">
        <v>1</v>
      </c>
      <c r="J1243" t="n">
        <v>0</v>
      </c>
      <c r="K1243" t="n">
        <v>0</v>
      </c>
      <c r="L1243" t="n">
        <v>0</v>
      </c>
      <c r="M1243" t="n">
        <v>0</v>
      </c>
      <c r="N1243" t="n">
        <v>0</v>
      </c>
      <c r="O1243" t="n">
        <v>0</v>
      </c>
      <c r="P1243" t="n">
        <v>0</v>
      </c>
      <c r="Q1243" t="n">
        <v>1</v>
      </c>
      <c r="R1243" s="2" t="inlineStr">
        <is>
          <t>Stuplav</t>
        </is>
      </c>
      <c r="S1243">
        <f>HYPERLINK("https://klasma.github.io/Logging_2482/artfynd/A 35910-2025 artfynd.xlsx", "A 35910-2025")</f>
        <v/>
      </c>
      <c r="T1243">
        <f>HYPERLINK("https://klasma.github.io/Logging_2482/kartor/A 35910-2025 karta.png", "A 35910-2025")</f>
        <v/>
      </c>
      <c r="U1243">
        <f>HYPERLINK("https://klasma.github.io/Logging_2482/knärot/A 35910-2025 karta knärot.png", "A 35910-2025")</f>
        <v/>
      </c>
      <c r="V1243">
        <f>HYPERLINK("https://klasma.github.io/Logging_2482/klagomål/A 35910-2025 FSC-klagomål.docx", "A 35910-2025")</f>
        <v/>
      </c>
      <c r="W1243">
        <f>HYPERLINK("https://klasma.github.io/Logging_2482/klagomålsmail/A 35910-2025 FSC-klagomål mail.docx", "A 35910-2025")</f>
        <v/>
      </c>
      <c r="X1243">
        <f>HYPERLINK("https://klasma.github.io/Logging_2482/tillsyn/A 35910-2025 tillsynsbegäran.docx", "A 35910-2025")</f>
        <v/>
      </c>
      <c r="Y1243">
        <f>HYPERLINK("https://klasma.github.io/Logging_2482/tillsynsmail/A 35910-2025 tillsynsbegäran mail.docx", "A 35910-2025")</f>
        <v/>
      </c>
    </row>
    <row r="1244" ht="15" customHeight="1">
      <c r="A1244" t="inlineStr">
        <is>
          <t>A 35981-2025</t>
        </is>
      </c>
      <c r="B1244" s="1" t="n">
        <v>45863.44873842593</v>
      </c>
      <c r="C1244" s="1" t="n">
        <v>46145</v>
      </c>
      <c r="D1244" t="inlineStr">
        <is>
          <t>VÄSTERBOTTENS LÄN</t>
        </is>
      </c>
      <c r="E1244" t="inlineStr">
        <is>
          <t>LYCKSELE</t>
        </is>
      </c>
      <c r="F1244" t="inlineStr">
        <is>
          <t>Sveaskog</t>
        </is>
      </c>
      <c r="G1244" t="n">
        <v>6.1</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35981-2025 artfynd.xlsx", "A 35981-2025")</f>
        <v/>
      </c>
      <c r="T1244">
        <f>HYPERLINK("https://klasma.github.io/Logging_2481/kartor/A 35981-2025 karta.png", "A 35981-2025")</f>
        <v/>
      </c>
      <c r="V1244">
        <f>HYPERLINK("https://klasma.github.io/Logging_2481/klagomål/A 35981-2025 FSC-klagomål.docx", "A 35981-2025")</f>
        <v/>
      </c>
      <c r="W1244">
        <f>HYPERLINK("https://klasma.github.io/Logging_2481/klagomålsmail/A 35981-2025 FSC-klagomål mail.docx", "A 35981-2025")</f>
        <v/>
      </c>
      <c r="X1244">
        <f>HYPERLINK("https://klasma.github.io/Logging_2481/tillsyn/A 35981-2025 tillsynsbegäran.docx", "A 35981-2025")</f>
        <v/>
      </c>
      <c r="Y1244">
        <f>HYPERLINK("https://klasma.github.io/Logging_2481/tillsynsmail/A 35981-2025 tillsynsbegäran mail.docx", "A 35981-2025")</f>
        <v/>
      </c>
    </row>
    <row r="1245" ht="15" customHeight="1">
      <c r="A1245" t="inlineStr">
        <is>
          <t>A 36797-2025</t>
        </is>
      </c>
      <c r="B1245" s="1" t="n">
        <v>45873.65006944445</v>
      </c>
      <c r="C1245" s="1" t="n">
        <v>46145</v>
      </c>
      <c r="D1245" t="inlineStr">
        <is>
          <t>VÄSTERBOTTENS LÄN</t>
        </is>
      </c>
      <c r="E1245" t="inlineStr">
        <is>
          <t>ROBERTSFORS</t>
        </is>
      </c>
      <c r="G1245" t="n">
        <v>3.5</v>
      </c>
      <c r="H1245" t="n">
        <v>1</v>
      </c>
      <c r="I1245" t="n">
        <v>1</v>
      </c>
      <c r="J1245" t="n">
        <v>0</v>
      </c>
      <c r="K1245" t="n">
        <v>0</v>
      </c>
      <c r="L1245" t="n">
        <v>0</v>
      </c>
      <c r="M1245" t="n">
        <v>0</v>
      </c>
      <c r="N1245" t="n">
        <v>0</v>
      </c>
      <c r="O1245" t="n">
        <v>0</v>
      </c>
      <c r="P1245" t="n">
        <v>0</v>
      </c>
      <c r="Q1245" t="n">
        <v>1</v>
      </c>
      <c r="R1245" s="2" t="inlineStr">
        <is>
          <t>Korallrot</t>
        </is>
      </c>
      <c r="S1245">
        <f>HYPERLINK("https://klasma.github.io/Logging_2409/artfynd/A 36797-2025 artfynd.xlsx", "A 36797-2025")</f>
        <v/>
      </c>
      <c r="T1245">
        <f>HYPERLINK("https://klasma.github.io/Logging_2409/kartor/A 36797-2025 karta.png", "A 36797-2025")</f>
        <v/>
      </c>
      <c r="V1245">
        <f>HYPERLINK("https://klasma.github.io/Logging_2409/klagomål/A 36797-2025 FSC-klagomål.docx", "A 36797-2025")</f>
        <v/>
      </c>
      <c r="W1245">
        <f>HYPERLINK("https://klasma.github.io/Logging_2409/klagomålsmail/A 36797-2025 FSC-klagomål mail.docx", "A 36797-2025")</f>
        <v/>
      </c>
      <c r="X1245">
        <f>HYPERLINK("https://klasma.github.io/Logging_2409/tillsyn/A 36797-2025 tillsynsbegäran.docx", "A 36797-2025")</f>
        <v/>
      </c>
      <c r="Y1245">
        <f>HYPERLINK("https://klasma.github.io/Logging_2409/tillsynsmail/A 36797-2025 tillsynsbegäran mail.docx", "A 36797-2025")</f>
        <v/>
      </c>
    </row>
    <row r="1246" ht="15" customHeight="1">
      <c r="A1246" t="inlineStr">
        <is>
          <t>A 36880-2025</t>
        </is>
      </c>
      <c r="B1246" s="1" t="n">
        <v>45874.43534722222</v>
      </c>
      <c r="C1246" s="1" t="n">
        <v>46145</v>
      </c>
      <c r="D1246" t="inlineStr">
        <is>
          <t>VÄSTERBOTTENS LÄN</t>
        </is>
      </c>
      <c r="E1246" t="inlineStr">
        <is>
          <t>UMEÅ</t>
        </is>
      </c>
      <c r="G1246" t="n">
        <v>11.4</v>
      </c>
      <c r="H1246" t="n">
        <v>1</v>
      </c>
      <c r="I1246" t="n">
        <v>0</v>
      </c>
      <c r="J1246" t="n">
        <v>0</v>
      </c>
      <c r="K1246" t="n">
        <v>0</v>
      </c>
      <c r="L1246" t="n">
        <v>0</v>
      </c>
      <c r="M1246" t="n">
        <v>0</v>
      </c>
      <c r="N1246" t="n">
        <v>0</v>
      </c>
      <c r="O1246" t="n">
        <v>0</v>
      </c>
      <c r="P1246" t="n">
        <v>0</v>
      </c>
      <c r="Q1246" t="n">
        <v>1</v>
      </c>
      <c r="R1246" s="2" t="inlineStr">
        <is>
          <t>Vanlig groda</t>
        </is>
      </c>
      <c r="S1246">
        <f>HYPERLINK("https://klasma.github.io/Logging_2480/artfynd/A 36880-2025 artfynd.xlsx", "A 36880-2025")</f>
        <v/>
      </c>
      <c r="T1246">
        <f>HYPERLINK("https://klasma.github.io/Logging_2480/kartor/A 36880-2025 karta.png", "A 36880-2025")</f>
        <v/>
      </c>
      <c r="V1246">
        <f>HYPERLINK("https://klasma.github.io/Logging_2480/klagomål/A 36880-2025 FSC-klagomål.docx", "A 36880-2025")</f>
        <v/>
      </c>
      <c r="W1246">
        <f>HYPERLINK("https://klasma.github.io/Logging_2480/klagomålsmail/A 36880-2025 FSC-klagomål mail.docx", "A 36880-2025")</f>
        <v/>
      </c>
      <c r="X1246">
        <f>HYPERLINK("https://klasma.github.io/Logging_2480/tillsyn/A 36880-2025 tillsynsbegäran.docx", "A 36880-2025")</f>
        <v/>
      </c>
      <c r="Y1246">
        <f>HYPERLINK("https://klasma.github.io/Logging_2480/tillsynsmail/A 36880-2025 tillsynsbegäran mail.docx", "A 36880-2025")</f>
        <v/>
      </c>
    </row>
    <row r="1247" ht="15" customHeight="1">
      <c r="A1247" t="inlineStr">
        <is>
          <t>A 36730-2025</t>
        </is>
      </c>
      <c r="B1247" s="1" t="n">
        <v>45873.49789351852</v>
      </c>
      <c r="C1247" s="1" t="n">
        <v>46145</v>
      </c>
      <c r="D1247" t="inlineStr">
        <is>
          <t>VÄSTERBOTTENS LÄN</t>
        </is>
      </c>
      <c r="E1247" t="inlineStr">
        <is>
          <t>STORUMAN</t>
        </is>
      </c>
      <c r="F1247" t="inlineStr">
        <is>
          <t>Sveaskog</t>
        </is>
      </c>
      <c r="G1247" t="n">
        <v>10.5</v>
      </c>
      <c r="H1247" t="n">
        <v>0</v>
      </c>
      <c r="I1247" t="n">
        <v>0</v>
      </c>
      <c r="J1247" t="n">
        <v>1</v>
      </c>
      <c r="K1247" t="n">
        <v>0</v>
      </c>
      <c r="L1247" t="n">
        <v>0</v>
      </c>
      <c r="M1247" t="n">
        <v>0</v>
      </c>
      <c r="N1247" t="n">
        <v>0</v>
      </c>
      <c r="O1247" t="n">
        <v>1</v>
      </c>
      <c r="P1247" t="n">
        <v>0</v>
      </c>
      <c r="Q1247" t="n">
        <v>1</v>
      </c>
      <c r="R1247" s="2" t="inlineStr">
        <is>
          <t>Orange taggsvamp</t>
        </is>
      </c>
      <c r="S1247">
        <f>HYPERLINK("https://klasma.github.io/Logging_2421/artfynd/A 36730-2025 artfynd.xlsx", "A 36730-2025")</f>
        <v/>
      </c>
      <c r="T1247">
        <f>HYPERLINK("https://klasma.github.io/Logging_2421/kartor/A 36730-2025 karta.png", "A 36730-2025")</f>
        <v/>
      </c>
      <c r="V1247">
        <f>HYPERLINK("https://klasma.github.io/Logging_2421/klagomål/A 36730-2025 FSC-klagomål.docx", "A 36730-2025")</f>
        <v/>
      </c>
      <c r="W1247">
        <f>HYPERLINK("https://klasma.github.io/Logging_2421/klagomålsmail/A 36730-2025 FSC-klagomål mail.docx", "A 36730-2025")</f>
        <v/>
      </c>
      <c r="X1247">
        <f>HYPERLINK("https://klasma.github.io/Logging_2421/tillsyn/A 36730-2025 tillsynsbegäran.docx", "A 36730-2025")</f>
        <v/>
      </c>
      <c r="Y1247">
        <f>HYPERLINK("https://klasma.github.io/Logging_2421/tillsynsmail/A 36730-2025 tillsynsbegäran mail.docx", "A 36730-2025")</f>
        <v/>
      </c>
    </row>
    <row r="1248" ht="15" customHeight="1">
      <c r="A1248" t="inlineStr">
        <is>
          <t>A 36687-2025</t>
        </is>
      </c>
      <c r="B1248" s="1" t="n">
        <v>45873.41922453704</v>
      </c>
      <c r="C1248" s="1" t="n">
        <v>46145</v>
      </c>
      <c r="D1248" t="inlineStr">
        <is>
          <t>VÄSTERBOTTENS LÄN</t>
        </is>
      </c>
      <c r="E1248" t="inlineStr">
        <is>
          <t>LYCKSELE</t>
        </is>
      </c>
      <c r="F1248" t="inlineStr">
        <is>
          <t>Sveaskog</t>
        </is>
      </c>
      <c r="G1248" t="n">
        <v>1.9</v>
      </c>
      <c r="H1248" t="n">
        <v>0</v>
      </c>
      <c r="I1248" t="n">
        <v>0</v>
      </c>
      <c r="J1248" t="n">
        <v>1</v>
      </c>
      <c r="K1248" t="n">
        <v>0</v>
      </c>
      <c r="L1248" t="n">
        <v>0</v>
      </c>
      <c r="M1248" t="n">
        <v>0</v>
      </c>
      <c r="N1248" t="n">
        <v>0</v>
      </c>
      <c r="O1248" t="n">
        <v>1</v>
      </c>
      <c r="P1248" t="n">
        <v>0</v>
      </c>
      <c r="Q1248" t="n">
        <v>1</v>
      </c>
      <c r="R1248" s="2" t="inlineStr">
        <is>
          <t>Kolflarnlav</t>
        </is>
      </c>
      <c r="S1248">
        <f>HYPERLINK("https://klasma.github.io/Logging_2481/artfynd/A 36687-2025 artfynd.xlsx", "A 36687-2025")</f>
        <v/>
      </c>
      <c r="T1248">
        <f>HYPERLINK("https://klasma.github.io/Logging_2481/kartor/A 36687-2025 karta.png", "A 36687-2025")</f>
        <v/>
      </c>
      <c r="V1248">
        <f>HYPERLINK("https://klasma.github.io/Logging_2481/klagomål/A 36687-2025 FSC-klagomål.docx", "A 36687-2025")</f>
        <v/>
      </c>
      <c r="W1248">
        <f>HYPERLINK("https://klasma.github.io/Logging_2481/klagomålsmail/A 36687-2025 FSC-klagomål mail.docx", "A 36687-2025")</f>
        <v/>
      </c>
      <c r="X1248">
        <f>HYPERLINK("https://klasma.github.io/Logging_2481/tillsyn/A 36687-2025 tillsynsbegäran.docx", "A 36687-2025")</f>
        <v/>
      </c>
      <c r="Y1248">
        <f>HYPERLINK("https://klasma.github.io/Logging_2481/tillsynsmail/A 36687-2025 tillsynsbegäran mail.docx", "A 36687-2025")</f>
        <v/>
      </c>
    </row>
    <row r="1249" ht="15" customHeight="1">
      <c r="A1249" t="inlineStr">
        <is>
          <t>A 39233-2022</t>
        </is>
      </c>
      <c r="B1249" s="1" t="n">
        <v>44817.5884375</v>
      </c>
      <c r="C1249" s="1" t="n">
        <v>46145</v>
      </c>
      <c r="D1249" t="inlineStr">
        <is>
          <t>VÄSTERBOTTENS LÄN</t>
        </is>
      </c>
      <c r="E1249" t="inlineStr">
        <is>
          <t>UMEÅ</t>
        </is>
      </c>
      <c r="F1249" t="inlineStr">
        <is>
          <t>Holmen skog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33222-2021</t>
        </is>
      </c>
      <c r="B1250" s="1" t="n">
        <v>44376</v>
      </c>
      <c r="C1250" s="1" t="n">
        <v>46145</v>
      </c>
      <c r="D1250" t="inlineStr">
        <is>
          <t>VÄSTERBOTTENS LÄN</t>
        </is>
      </c>
      <c r="E1250" t="inlineStr">
        <is>
          <t>LYCKSELE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48329-2022</t>
        </is>
      </c>
      <c r="B1251" s="1" t="n">
        <v>44858</v>
      </c>
      <c r="C1251" s="1" t="n">
        <v>46145</v>
      </c>
      <c r="D1251" t="inlineStr">
        <is>
          <t>VÄSTERBOTTENS LÄN</t>
        </is>
      </c>
      <c r="E1251" t="inlineStr">
        <is>
          <t>NORDMALING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27315-2021</t>
        </is>
      </c>
      <c r="B1252" s="1" t="n">
        <v>44350</v>
      </c>
      <c r="C1252" s="1" t="n">
        <v>46145</v>
      </c>
      <c r="D1252" t="inlineStr">
        <is>
          <t>VÄSTERBOTTENS LÄN</t>
        </is>
      </c>
      <c r="E1252" t="inlineStr">
        <is>
          <t>ÅSELE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38416-2022</t>
        </is>
      </c>
      <c r="B1253" s="1" t="n">
        <v>44812</v>
      </c>
      <c r="C1253" s="1" t="n">
        <v>46145</v>
      </c>
      <c r="D1253" t="inlineStr">
        <is>
          <t>VÄSTERBOTTENS LÄN</t>
        </is>
      </c>
      <c r="E1253" t="inlineStr">
        <is>
          <t>VILHELMINA</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46026-2022</t>
        </is>
      </c>
      <c r="B1254" s="1" t="n">
        <v>44846</v>
      </c>
      <c r="C1254" s="1" t="n">
        <v>46145</v>
      </c>
      <c r="D1254" t="inlineStr">
        <is>
          <t>VÄSTERBOTTENS LÄN</t>
        </is>
      </c>
      <c r="E1254" t="inlineStr">
        <is>
          <t>MALÅ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46092-2022</t>
        </is>
      </c>
      <c r="B1255" s="1" t="n">
        <v>44845</v>
      </c>
      <c r="C1255" s="1" t="n">
        <v>46145</v>
      </c>
      <c r="D1255" t="inlineStr">
        <is>
          <t>VÄSTERBOTTENS LÄN</t>
        </is>
      </c>
      <c r="E1255" t="inlineStr">
        <is>
          <t>VINDELN</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52885-2022</t>
        </is>
      </c>
      <c r="B1256" s="1" t="n">
        <v>44872</v>
      </c>
      <c r="C1256" s="1" t="n">
        <v>46145</v>
      </c>
      <c r="D1256" t="inlineStr">
        <is>
          <t>VÄSTERBOTTENS LÄN</t>
        </is>
      </c>
      <c r="E1256" t="inlineStr">
        <is>
          <t>VINDELN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19442-2022</t>
        </is>
      </c>
      <c r="B1257" s="1" t="n">
        <v>44693</v>
      </c>
      <c r="C1257" s="1" t="n">
        <v>46145</v>
      </c>
      <c r="D1257" t="inlineStr">
        <is>
          <t>VÄSTERBOTTENS LÄN</t>
        </is>
      </c>
      <c r="E1257" t="inlineStr">
        <is>
          <t>VINDELN</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20856-2021</t>
        </is>
      </c>
      <c r="B1258" s="1" t="n">
        <v>44319</v>
      </c>
      <c r="C1258" s="1" t="n">
        <v>46145</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38893-2021</t>
        </is>
      </c>
      <c r="B1259" s="1" t="n">
        <v>44410</v>
      </c>
      <c r="C1259" s="1" t="n">
        <v>46145</v>
      </c>
      <c r="D1259" t="inlineStr">
        <is>
          <t>VÄSTERBOTTENS LÄN</t>
        </is>
      </c>
      <c r="E1259" t="inlineStr">
        <is>
          <t>UMEÅ</t>
        </is>
      </c>
      <c r="F1259" t="inlineStr">
        <is>
          <t>Övriga statliga verk och myndigheter</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36450-2021</t>
        </is>
      </c>
      <c r="B1260" s="1" t="n">
        <v>44390</v>
      </c>
      <c r="C1260" s="1" t="n">
        <v>46145</v>
      </c>
      <c r="D1260" t="inlineStr">
        <is>
          <t>VÄSTERBOTTENS LÄN</t>
        </is>
      </c>
      <c r="E1260" t="inlineStr">
        <is>
          <t>ÅSELE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71582-2021</t>
        </is>
      </c>
      <c r="B1261" s="1" t="n">
        <v>44540</v>
      </c>
      <c r="C1261" s="1" t="n">
        <v>46145</v>
      </c>
      <c r="D1261" t="inlineStr">
        <is>
          <t>VÄSTERBOTTENS LÄN</t>
        </is>
      </c>
      <c r="E1261" t="inlineStr">
        <is>
          <t>VINDELN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36046-2021</t>
        </is>
      </c>
      <c r="B1262" s="1" t="n">
        <v>44386</v>
      </c>
      <c r="C1262" s="1" t="n">
        <v>46145</v>
      </c>
      <c r="D1262" t="inlineStr">
        <is>
          <t>VÄSTERBOTTENS LÄN</t>
        </is>
      </c>
      <c r="E1262" t="inlineStr">
        <is>
          <t>LYCKSELE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33294-2021</t>
        </is>
      </c>
      <c r="B1263" s="1" t="n">
        <v>44377</v>
      </c>
      <c r="C1263" s="1" t="n">
        <v>46145</v>
      </c>
      <c r="D1263" t="inlineStr">
        <is>
          <t>VÄSTERBOTTENS LÄN</t>
        </is>
      </c>
      <c r="E1263" t="inlineStr">
        <is>
          <t>DOROTEA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29332-2021</t>
        </is>
      </c>
      <c r="B1264" s="1" t="n">
        <v>44361</v>
      </c>
      <c r="C1264" s="1" t="n">
        <v>46145</v>
      </c>
      <c r="D1264" t="inlineStr">
        <is>
          <t>VÄSTERBOTTENS LÄN</t>
        </is>
      </c>
      <c r="E1264" t="inlineStr">
        <is>
          <t>VILHELMINA</t>
        </is>
      </c>
      <c r="F1264" t="inlineStr">
        <is>
          <t>Allmännings- och besparingsskogar</t>
        </is>
      </c>
      <c r="G1264" t="n">
        <v>51.8</v>
      </c>
      <c r="H1264" t="n">
        <v>0</v>
      </c>
      <c r="I1264" t="n">
        <v>0</v>
      </c>
      <c r="J1264" t="n">
        <v>0</v>
      </c>
      <c r="K1264" t="n">
        <v>0</v>
      </c>
      <c r="L1264" t="n">
        <v>0</v>
      </c>
      <c r="M1264" t="n">
        <v>0</v>
      </c>
      <c r="N1264" t="n">
        <v>0</v>
      </c>
      <c r="O1264" t="n">
        <v>0</v>
      </c>
      <c r="P1264" t="n">
        <v>0</v>
      </c>
      <c r="Q1264" t="n">
        <v>0</v>
      </c>
      <c r="R1264" s="2" t="inlineStr"/>
    </row>
    <row r="1265" ht="15" customHeight="1">
      <c r="A1265" t="inlineStr">
        <is>
          <t>A 64316-2021</t>
        </is>
      </c>
      <c r="B1265" s="1" t="n">
        <v>44510</v>
      </c>
      <c r="C1265" s="1" t="n">
        <v>46145</v>
      </c>
      <c r="D1265" t="inlineStr">
        <is>
          <t>VÄSTERBOTTENS LÄN</t>
        </is>
      </c>
      <c r="E1265" t="inlineStr">
        <is>
          <t>SKELLEFTEÅ</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40470-2021</t>
        </is>
      </c>
      <c r="B1266" s="1" t="n">
        <v>44419.94226851852</v>
      </c>
      <c r="C1266" s="1" t="n">
        <v>46145</v>
      </c>
      <c r="D1266" t="inlineStr">
        <is>
          <t>VÄSTERBOTTENS LÄN</t>
        </is>
      </c>
      <c r="E1266" t="inlineStr">
        <is>
          <t>VILHELMINA</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46145</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36603-2021</t>
        </is>
      </c>
      <c r="B1268" s="1" t="n">
        <v>44391</v>
      </c>
      <c r="C1268" s="1" t="n">
        <v>46145</v>
      </c>
      <c r="D1268" t="inlineStr">
        <is>
          <t>VÄSTERBOTTENS LÄN</t>
        </is>
      </c>
      <c r="E1268" t="inlineStr">
        <is>
          <t>SKELLEFTEÅ</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31185-2021</t>
        </is>
      </c>
      <c r="B1269" s="1" t="n">
        <v>44367</v>
      </c>
      <c r="C1269" s="1" t="n">
        <v>46145</v>
      </c>
      <c r="D1269" t="inlineStr">
        <is>
          <t>VÄSTERBOTTENS LÄN</t>
        </is>
      </c>
      <c r="E1269" t="inlineStr">
        <is>
          <t>SKELLEFTEÅ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9779-2022</t>
        </is>
      </c>
      <c r="B1270" s="1" t="n">
        <v>44619.87392361111</v>
      </c>
      <c r="C1270" s="1" t="n">
        <v>46145</v>
      </c>
      <c r="D1270" t="inlineStr">
        <is>
          <t>VÄSTERBOTTENS LÄN</t>
        </is>
      </c>
      <c r="E1270" t="inlineStr">
        <is>
          <t>VILHELMINA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35430-2021</t>
        </is>
      </c>
      <c r="B1271" s="1" t="n">
        <v>44384</v>
      </c>
      <c r="C1271" s="1" t="n">
        <v>46145</v>
      </c>
      <c r="D1271" t="inlineStr">
        <is>
          <t>VÄSTERBOTTENS LÄN</t>
        </is>
      </c>
      <c r="E1271" t="inlineStr">
        <is>
          <t>VINDELN</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8023-2022</t>
        </is>
      </c>
      <c r="B1272" s="1" t="n">
        <v>44609</v>
      </c>
      <c r="C1272" s="1" t="n">
        <v>46145</v>
      </c>
      <c r="D1272" t="inlineStr">
        <is>
          <t>VÄSTERBOTTENS LÄN</t>
        </is>
      </c>
      <c r="E1272" t="inlineStr">
        <is>
          <t>SKELLEFTEÅ</t>
        </is>
      </c>
      <c r="F1272" t="inlineStr">
        <is>
          <t>Kyrkan</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37987-2021</t>
        </is>
      </c>
      <c r="B1273" s="1" t="n">
        <v>44403</v>
      </c>
      <c r="C1273" s="1" t="n">
        <v>46145</v>
      </c>
      <c r="D1273" t="inlineStr">
        <is>
          <t>VÄSTERBOTTENS LÄN</t>
        </is>
      </c>
      <c r="E1273" t="inlineStr">
        <is>
          <t>LYCKSELE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59249-2021</t>
        </is>
      </c>
      <c r="B1274" s="1" t="n">
        <v>44490.65641203704</v>
      </c>
      <c r="C1274" s="1" t="n">
        <v>46145</v>
      </c>
      <c r="D1274" t="inlineStr">
        <is>
          <t>VÄSTERBOTTENS LÄN</t>
        </is>
      </c>
      <c r="E1274" t="inlineStr">
        <is>
          <t>ÅSELE</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60044-2021</t>
        </is>
      </c>
      <c r="B1275" s="1" t="n">
        <v>44495</v>
      </c>
      <c r="C1275" s="1" t="n">
        <v>46145</v>
      </c>
      <c r="D1275" t="inlineStr">
        <is>
          <t>VÄSTERBOTTENS LÄN</t>
        </is>
      </c>
      <c r="E1275" t="inlineStr">
        <is>
          <t>LYCKSELE</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3940-2022</t>
        </is>
      </c>
      <c r="B1276" s="1" t="n">
        <v>44587</v>
      </c>
      <c r="C1276" s="1" t="n">
        <v>46145</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38685-2021</t>
        </is>
      </c>
      <c r="B1277" s="1" t="n">
        <v>44407</v>
      </c>
      <c r="C1277" s="1" t="n">
        <v>46145</v>
      </c>
      <c r="D1277" t="inlineStr">
        <is>
          <t>VÄSTERBOTTENS LÄN</t>
        </is>
      </c>
      <c r="E1277" t="inlineStr">
        <is>
          <t>UMEÅ</t>
        </is>
      </c>
      <c r="F1277" t="inlineStr">
        <is>
          <t>Kommuner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38691-2021</t>
        </is>
      </c>
      <c r="B1278" s="1" t="n">
        <v>44407</v>
      </c>
      <c r="C1278" s="1" t="n">
        <v>46145</v>
      </c>
      <c r="D1278" t="inlineStr">
        <is>
          <t>VÄSTERBOTTENS LÄN</t>
        </is>
      </c>
      <c r="E1278" t="inlineStr">
        <is>
          <t>UMEÅ</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40825-2022</t>
        </is>
      </c>
      <c r="B1279" s="1" t="n">
        <v>44824.91319444445</v>
      </c>
      <c r="C1279" s="1" t="n">
        <v>46145</v>
      </c>
      <c r="D1279" t="inlineStr">
        <is>
          <t>VÄSTERBOTTENS LÄN</t>
        </is>
      </c>
      <c r="E1279" t="inlineStr">
        <is>
          <t>UMEÅ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9777-2022</t>
        </is>
      </c>
      <c r="B1280" s="1" t="n">
        <v>44619.86621527778</v>
      </c>
      <c r="C1280" s="1" t="n">
        <v>46145</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58046-2021</t>
        </is>
      </c>
      <c r="B1281" s="1" t="n">
        <v>44487</v>
      </c>
      <c r="C1281" s="1" t="n">
        <v>46145</v>
      </c>
      <c r="D1281" t="inlineStr">
        <is>
          <t>VÄSTERBOTTENS LÄN</t>
        </is>
      </c>
      <c r="E1281" t="inlineStr">
        <is>
          <t>NORDMALING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58844-2021</t>
        </is>
      </c>
      <c r="B1282" s="1" t="n">
        <v>44489.61810185185</v>
      </c>
      <c r="C1282" s="1" t="n">
        <v>46145</v>
      </c>
      <c r="D1282" t="inlineStr">
        <is>
          <t>VÄSTERBOTTENS LÄN</t>
        </is>
      </c>
      <c r="E1282" t="inlineStr">
        <is>
          <t>SKELLEFTEÅ</t>
        </is>
      </c>
      <c r="F1282" t="inlineStr">
        <is>
          <t>Sveaskog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52412-2021</t>
        </is>
      </c>
      <c r="B1283" s="1" t="n">
        <v>44463</v>
      </c>
      <c r="C1283" s="1" t="n">
        <v>46145</v>
      </c>
      <c r="D1283" t="inlineStr">
        <is>
          <t>VÄSTERBOTTENS LÄN</t>
        </is>
      </c>
      <c r="E1283" t="inlineStr">
        <is>
          <t>NORDMALING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11076-2022</t>
        </is>
      </c>
      <c r="B1284" s="1" t="n">
        <v>44628</v>
      </c>
      <c r="C1284" s="1" t="n">
        <v>46145</v>
      </c>
      <c r="D1284" t="inlineStr">
        <is>
          <t>VÄSTERBOTTENS LÄN</t>
        </is>
      </c>
      <c r="E1284" t="inlineStr">
        <is>
          <t>VILHELMINA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24669-2022</t>
        </is>
      </c>
      <c r="B1285" s="1" t="n">
        <v>44727.65446759259</v>
      </c>
      <c r="C1285" s="1" t="n">
        <v>46145</v>
      </c>
      <c r="D1285" t="inlineStr">
        <is>
          <t>VÄSTERBOTTENS LÄN</t>
        </is>
      </c>
      <c r="E1285" t="inlineStr">
        <is>
          <t>ÅSELE</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37655-2022</t>
        </is>
      </c>
      <c r="B1286" s="1" t="n">
        <v>44810</v>
      </c>
      <c r="C1286" s="1" t="n">
        <v>46145</v>
      </c>
      <c r="D1286" t="inlineStr">
        <is>
          <t>VÄSTERBOTTENS LÄN</t>
        </is>
      </c>
      <c r="E1286" t="inlineStr">
        <is>
          <t>VILHELMINA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32942-2022</t>
        </is>
      </c>
      <c r="B1287" s="1" t="n">
        <v>44784.69390046296</v>
      </c>
      <c r="C1287" s="1" t="n">
        <v>46145</v>
      </c>
      <c r="D1287" t="inlineStr">
        <is>
          <t>VÄSTERBOTTENS LÄN</t>
        </is>
      </c>
      <c r="E1287" t="inlineStr">
        <is>
          <t>ROBERTSFORS</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3695-2022</t>
        </is>
      </c>
      <c r="B1288" s="1" t="n">
        <v>44586</v>
      </c>
      <c r="C1288" s="1" t="n">
        <v>46145</v>
      </c>
      <c r="D1288" t="inlineStr">
        <is>
          <t>VÄSTERBOTTENS LÄN</t>
        </is>
      </c>
      <c r="E1288" t="inlineStr">
        <is>
          <t>VINDELN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3703-2022</t>
        </is>
      </c>
      <c r="B1289" s="1" t="n">
        <v>44586</v>
      </c>
      <c r="C1289" s="1" t="n">
        <v>46145</v>
      </c>
      <c r="D1289" t="inlineStr">
        <is>
          <t>VÄSTERBOTTENS LÄN</t>
        </is>
      </c>
      <c r="E1289" t="inlineStr">
        <is>
          <t>VINDELN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42860-2021</t>
        </is>
      </c>
      <c r="B1290" s="1" t="n">
        <v>44430.85060185185</v>
      </c>
      <c r="C1290" s="1" t="n">
        <v>46145</v>
      </c>
      <c r="D1290" t="inlineStr">
        <is>
          <t>VÄSTERBOTTENS LÄN</t>
        </is>
      </c>
      <c r="E1290" t="inlineStr">
        <is>
          <t>NORDMALING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42885-2021</t>
        </is>
      </c>
      <c r="B1291" s="1" t="n">
        <v>44431</v>
      </c>
      <c r="C1291" s="1" t="n">
        <v>46145</v>
      </c>
      <c r="D1291" t="inlineStr">
        <is>
          <t>VÄSTERBOTTENS LÄN</t>
        </is>
      </c>
      <c r="E1291" t="inlineStr">
        <is>
          <t>NORDMALING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38516-2021</t>
        </is>
      </c>
      <c r="B1292" s="1" t="n">
        <v>44407</v>
      </c>
      <c r="C1292" s="1" t="n">
        <v>46145</v>
      </c>
      <c r="D1292" t="inlineStr">
        <is>
          <t>VÄSTERBOTTENS LÄN</t>
        </is>
      </c>
      <c r="E1292" t="inlineStr">
        <is>
          <t>UMEÅ</t>
        </is>
      </c>
      <c r="F1292" t="inlineStr">
        <is>
          <t>Kommuner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36846-2022</t>
        </is>
      </c>
      <c r="B1293" s="1" t="n">
        <v>44805.5905324074</v>
      </c>
      <c r="C1293" s="1" t="n">
        <v>46145</v>
      </c>
      <c r="D1293" t="inlineStr">
        <is>
          <t>VÄSTERBOTTENS LÄN</t>
        </is>
      </c>
      <c r="E1293" t="inlineStr">
        <is>
          <t>LYCKSELE</t>
        </is>
      </c>
      <c r="F1293" t="inlineStr">
        <is>
          <t>Holmen skog AB</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615-2022</t>
        </is>
      </c>
      <c r="B1294" s="1" t="n">
        <v>44567.84981481481</v>
      </c>
      <c r="C1294" s="1" t="n">
        <v>46145</v>
      </c>
      <c r="D1294" t="inlineStr">
        <is>
          <t>VÄSTERBOTTENS LÄN</t>
        </is>
      </c>
      <c r="E1294" t="inlineStr">
        <is>
          <t>LYCKSELE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37805-2022</t>
        </is>
      </c>
      <c r="B1295" s="1" t="n">
        <v>44810</v>
      </c>
      <c r="C1295" s="1" t="n">
        <v>46145</v>
      </c>
      <c r="D1295" t="inlineStr">
        <is>
          <t>VÄSTERBOTTENS LÄN</t>
        </is>
      </c>
      <c r="E1295" t="inlineStr">
        <is>
          <t>ROBERTSFORS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37833-2022</t>
        </is>
      </c>
      <c r="B1296" s="1" t="n">
        <v>44810.9431712963</v>
      </c>
      <c r="C1296" s="1" t="n">
        <v>46145</v>
      </c>
      <c r="D1296" t="inlineStr">
        <is>
          <t>VÄSTERBOTTENS LÄN</t>
        </is>
      </c>
      <c r="E1296" t="inlineStr">
        <is>
          <t>DOROTEA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38394-2021</t>
        </is>
      </c>
      <c r="B1297" s="1" t="n">
        <v>44406</v>
      </c>
      <c r="C1297" s="1" t="n">
        <v>46145</v>
      </c>
      <c r="D1297" t="inlineStr">
        <is>
          <t>VÄSTERBOTTENS LÄN</t>
        </is>
      </c>
      <c r="E1297" t="inlineStr">
        <is>
          <t>UMEÅ</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38402-2021</t>
        </is>
      </c>
      <c r="B1298" s="1" t="n">
        <v>44406</v>
      </c>
      <c r="C1298" s="1" t="n">
        <v>46145</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46145</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37592-2022</t>
        </is>
      </c>
      <c r="B1300" s="1" t="n">
        <v>44809.94574074074</v>
      </c>
      <c r="C1300" s="1" t="n">
        <v>46145</v>
      </c>
      <c r="D1300" t="inlineStr">
        <is>
          <t>VÄSTERBOTTENS LÄN</t>
        </is>
      </c>
      <c r="E1300" t="inlineStr">
        <is>
          <t>VINDELN</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32787-2022</t>
        </is>
      </c>
      <c r="B1301" s="1" t="n">
        <v>44784.31969907408</v>
      </c>
      <c r="C1301" s="1" t="n">
        <v>46145</v>
      </c>
      <c r="D1301" t="inlineStr">
        <is>
          <t>VÄSTERBOTTENS LÄN</t>
        </is>
      </c>
      <c r="E1301" t="inlineStr">
        <is>
          <t>UMEÅ</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38403-2021</t>
        </is>
      </c>
      <c r="B1302" s="1" t="n">
        <v>44406</v>
      </c>
      <c r="C1302" s="1" t="n">
        <v>46145</v>
      </c>
      <c r="D1302" t="inlineStr">
        <is>
          <t>VÄSTERBOTTENS LÄN</t>
        </is>
      </c>
      <c r="E1302" t="inlineStr">
        <is>
          <t>UMEÅ</t>
        </is>
      </c>
      <c r="F1302" t="inlineStr">
        <is>
          <t>Övriga statliga verk och myndigheter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38435-2021</t>
        </is>
      </c>
      <c r="B1303" s="1" t="n">
        <v>44406</v>
      </c>
      <c r="C1303" s="1" t="n">
        <v>46145</v>
      </c>
      <c r="D1303" t="inlineStr">
        <is>
          <t>VÄSTERBOTTENS LÄN</t>
        </is>
      </c>
      <c r="E1303" t="inlineStr">
        <is>
          <t>UMEÅ</t>
        </is>
      </c>
      <c r="F1303" t="inlineStr">
        <is>
          <t>Övriga statliga verk och myndigheter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38439-2021</t>
        </is>
      </c>
      <c r="B1304" s="1" t="n">
        <v>44406</v>
      </c>
      <c r="C1304" s="1" t="n">
        <v>46145</v>
      </c>
      <c r="D1304" t="inlineStr">
        <is>
          <t>VÄSTERBOTTENS LÄN</t>
        </is>
      </c>
      <c r="E1304" t="inlineStr">
        <is>
          <t>UMEÅ</t>
        </is>
      </c>
      <c r="F1304" t="inlineStr">
        <is>
          <t>Kommuner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51017-2022</t>
        </is>
      </c>
      <c r="B1305" s="1" t="n">
        <v>44867.95054398148</v>
      </c>
      <c r="C1305" s="1" t="n">
        <v>46145</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17551-2022</t>
        </is>
      </c>
      <c r="B1306" s="1" t="n">
        <v>44679</v>
      </c>
      <c r="C1306" s="1" t="n">
        <v>46145</v>
      </c>
      <c r="D1306" t="inlineStr">
        <is>
          <t>VÄSTERBOTTENS LÄN</t>
        </is>
      </c>
      <c r="E1306" t="inlineStr">
        <is>
          <t>BJURHOLM</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40345-2022</t>
        </is>
      </c>
      <c r="B1307" s="1" t="n">
        <v>44823</v>
      </c>
      <c r="C1307" s="1" t="n">
        <v>46145</v>
      </c>
      <c r="D1307" t="inlineStr">
        <is>
          <t>VÄSTERBOTTENS LÄN</t>
        </is>
      </c>
      <c r="E1307" t="inlineStr">
        <is>
          <t>SKELLEFTEÅ</t>
        </is>
      </c>
      <c r="F1307" t="inlineStr">
        <is>
          <t>Holmen skog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14431-2022</t>
        </is>
      </c>
      <c r="B1308" s="1" t="n">
        <v>44652.92739583334</v>
      </c>
      <c r="C1308" s="1" t="n">
        <v>46145</v>
      </c>
      <c r="D1308" t="inlineStr">
        <is>
          <t>VÄSTERBOTTENS LÄN</t>
        </is>
      </c>
      <c r="E1308" t="inlineStr">
        <is>
          <t>UMEÅ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23698-2022</t>
        </is>
      </c>
      <c r="B1309" s="1" t="n">
        <v>44721.941875</v>
      </c>
      <c r="C1309" s="1" t="n">
        <v>46145</v>
      </c>
      <c r="D1309" t="inlineStr">
        <is>
          <t>VÄSTERBOTTENS LÄN</t>
        </is>
      </c>
      <c r="E1309" t="inlineStr">
        <is>
          <t>VINDELN</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48768-2022</t>
        </is>
      </c>
      <c r="B1310" s="1" t="n">
        <v>44859</v>
      </c>
      <c r="C1310" s="1" t="n">
        <v>46145</v>
      </c>
      <c r="D1310" t="inlineStr">
        <is>
          <t>VÄSTERBOTTENS LÄN</t>
        </is>
      </c>
      <c r="E1310" t="inlineStr">
        <is>
          <t>VILHELMINA</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48834-2021</t>
        </is>
      </c>
      <c r="B1311" s="1" t="n">
        <v>44452.92001157408</v>
      </c>
      <c r="C1311" s="1" t="n">
        <v>46145</v>
      </c>
      <c r="D1311" t="inlineStr">
        <is>
          <t>VÄSTERBOTTENS LÄN</t>
        </is>
      </c>
      <c r="E1311" t="inlineStr">
        <is>
          <t>ROBERTSFORS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42253-2022</t>
        </is>
      </c>
      <c r="B1312" s="1" t="n">
        <v>44830.92861111111</v>
      </c>
      <c r="C1312" s="1" t="n">
        <v>46145</v>
      </c>
      <c r="D1312" t="inlineStr">
        <is>
          <t>VÄSTERBOTTENS LÄN</t>
        </is>
      </c>
      <c r="E1312" t="inlineStr">
        <is>
          <t>NORSJÖ</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48890-2021</t>
        </is>
      </c>
      <c r="B1313" s="1" t="n">
        <v>44452</v>
      </c>
      <c r="C1313" s="1" t="n">
        <v>46145</v>
      </c>
      <c r="D1313" t="inlineStr">
        <is>
          <t>VÄSTERBOTTENS LÄN</t>
        </is>
      </c>
      <c r="E1313" t="inlineStr">
        <is>
          <t>VÄNNÄS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33409-2022</t>
        </is>
      </c>
      <c r="B1314" s="1" t="n">
        <v>44788</v>
      </c>
      <c r="C1314" s="1" t="n">
        <v>46145</v>
      </c>
      <c r="D1314" t="inlineStr">
        <is>
          <t>VÄSTERBOTTENS LÄN</t>
        </is>
      </c>
      <c r="E1314" t="inlineStr">
        <is>
          <t>UMEÅ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36723-2022</t>
        </is>
      </c>
      <c r="B1315" s="1" t="n">
        <v>44804</v>
      </c>
      <c r="C1315" s="1" t="n">
        <v>46145</v>
      </c>
      <c r="D1315" t="inlineStr">
        <is>
          <t>VÄSTERBOTTENS LÄN</t>
        </is>
      </c>
      <c r="E1315" t="inlineStr">
        <is>
          <t>SKELLEFTEÅ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36167-2022</t>
        </is>
      </c>
      <c r="B1316" s="1" t="n">
        <v>44803.40796296296</v>
      </c>
      <c r="C1316" s="1" t="n">
        <v>46145</v>
      </c>
      <c r="D1316" t="inlineStr">
        <is>
          <t>VÄSTERBOTTENS LÄN</t>
        </is>
      </c>
      <c r="E1316" t="inlineStr">
        <is>
          <t>ROBERTSFORS</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48280-2022</t>
        </is>
      </c>
      <c r="B1317" s="1" t="n">
        <v>44858.49686342593</v>
      </c>
      <c r="C1317" s="1" t="n">
        <v>46145</v>
      </c>
      <c r="D1317" t="inlineStr">
        <is>
          <t>VÄSTERBOTTENS LÄN</t>
        </is>
      </c>
      <c r="E1317" t="inlineStr">
        <is>
          <t>ÅSELE</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42193-2021</t>
        </is>
      </c>
      <c r="B1318" s="1" t="n">
        <v>44426.69363425926</v>
      </c>
      <c r="C1318" s="1" t="n">
        <v>46145</v>
      </c>
      <c r="D1318" t="inlineStr">
        <is>
          <t>VÄSTERBOTTENS LÄN</t>
        </is>
      </c>
      <c r="E1318" t="inlineStr">
        <is>
          <t>ÅSELE</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56001-2021</t>
        </is>
      </c>
      <c r="B1319" s="1" t="n">
        <v>44477</v>
      </c>
      <c r="C1319" s="1" t="n">
        <v>46145</v>
      </c>
      <c r="D1319" t="inlineStr">
        <is>
          <t>VÄSTERBOTTENS LÄN</t>
        </is>
      </c>
      <c r="E1319" t="inlineStr">
        <is>
          <t>SKELLEFTEÅ</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47991-2022</t>
        </is>
      </c>
      <c r="B1320" s="1" t="n">
        <v>44853</v>
      </c>
      <c r="C1320" s="1" t="n">
        <v>46145</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42144-2021</t>
        </is>
      </c>
      <c r="B1321" s="1" t="n">
        <v>44426</v>
      </c>
      <c r="C1321" s="1" t="n">
        <v>46145</v>
      </c>
      <c r="D1321" t="inlineStr">
        <is>
          <t>VÄSTERBOTTENS LÄN</t>
        </is>
      </c>
      <c r="E1321" t="inlineStr">
        <is>
          <t>LYCKSELE</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57821-2021</t>
        </is>
      </c>
      <c r="B1322" s="1" t="n">
        <v>44484.65474537037</v>
      </c>
      <c r="C1322" s="1" t="n">
        <v>46145</v>
      </c>
      <c r="D1322" t="inlineStr">
        <is>
          <t>VÄSTERBOTTENS LÄN</t>
        </is>
      </c>
      <c r="E1322" t="inlineStr">
        <is>
          <t>LYCKSELE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48783-2021</t>
        </is>
      </c>
      <c r="B1323" s="1" t="n">
        <v>44452</v>
      </c>
      <c r="C1323" s="1" t="n">
        <v>46145</v>
      </c>
      <c r="D1323" t="inlineStr">
        <is>
          <t>VÄSTERBOTTENS LÄN</t>
        </is>
      </c>
      <c r="E1323" t="inlineStr">
        <is>
          <t>VILHELMINA</t>
        </is>
      </c>
      <c r="F1323" t="inlineStr">
        <is>
          <t>Allmännings- och besparingsskogar</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66612-2021</t>
        </is>
      </c>
      <c r="B1324" s="1" t="n">
        <v>44519.49189814815</v>
      </c>
      <c r="C1324" s="1" t="n">
        <v>46145</v>
      </c>
      <c r="D1324" t="inlineStr">
        <is>
          <t>VÄSTERBOTTENS LÄN</t>
        </is>
      </c>
      <c r="E1324" t="inlineStr">
        <is>
          <t>ÅSELE</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59457-2021</t>
        </is>
      </c>
      <c r="B1325" s="1" t="n">
        <v>44491.47449074074</v>
      </c>
      <c r="C1325" s="1" t="n">
        <v>46145</v>
      </c>
      <c r="D1325" t="inlineStr">
        <is>
          <t>VÄSTERBOTTENS LÄN</t>
        </is>
      </c>
      <c r="E1325" t="inlineStr">
        <is>
          <t>SKELLEFTEÅ</t>
        </is>
      </c>
      <c r="F1325" t="inlineStr">
        <is>
          <t>Sveaskog</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3368-2022</t>
        </is>
      </c>
      <c r="B1326" s="1" t="n">
        <v>44585</v>
      </c>
      <c r="C1326" s="1" t="n">
        <v>46145</v>
      </c>
      <c r="D1326" t="inlineStr">
        <is>
          <t>VÄSTERBOTTENS LÄN</t>
        </is>
      </c>
      <c r="E1326" t="inlineStr">
        <is>
          <t>LYCKSELE</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70508-2021</t>
        </is>
      </c>
      <c r="B1327" s="1" t="n">
        <v>44536</v>
      </c>
      <c r="C1327" s="1" t="n">
        <v>46145</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64399-2021</t>
        </is>
      </c>
      <c r="B1328" s="1" t="n">
        <v>44511</v>
      </c>
      <c r="C1328" s="1" t="n">
        <v>46145</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70117-2021</t>
        </is>
      </c>
      <c r="B1329" s="1" t="n">
        <v>44533</v>
      </c>
      <c r="C1329" s="1" t="n">
        <v>46145</v>
      </c>
      <c r="D1329" t="inlineStr">
        <is>
          <t>VÄSTERBOTTENS LÄN</t>
        </is>
      </c>
      <c r="E1329" t="inlineStr">
        <is>
          <t>VILHELMINA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27508-2021</t>
        </is>
      </c>
      <c r="B1330" s="1" t="n">
        <v>44351</v>
      </c>
      <c r="C1330" s="1" t="n">
        <v>46145</v>
      </c>
      <c r="D1330" t="inlineStr">
        <is>
          <t>VÄSTERBOTTENS LÄN</t>
        </is>
      </c>
      <c r="E1330" t="inlineStr">
        <is>
          <t>DOROTEA</t>
        </is>
      </c>
      <c r="F1330" t="inlineStr">
        <is>
          <t>Kommuner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38447-2021</t>
        </is>
      </c>
      <c r="B1331" s="1" t="n">
        <v>44406</v>
      </c>
      <c r="C1331" s="1" t="n">
        <v>46145</v>
      </c>
      <c r="D1331" t="inlineStr">
        <is>
          <t>VÄSTERBOTTENS LÄN</t>
        </is>
      </c>
      <c r="E1331" t="inlineStr">
        <is>
          <t>UMEÅ</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27514-2021</t>
        </is>
      </c>
      <c r="B1332" s="1" t="n">
        <v>44351</v>
      </c>
      <c r="C1332" s="1" t="n">
        <v>46145</v>
      </c>
      <c r="D1332" t="inlineStr">
        <is>
          <t>VÄSTERBOTTENS LÄN</t>
        </is>
      </c>
      <c r="E1332" t="inlineStr">
        <is>
          <t>DOROTEA</t>
        </is>
      </c>
      <c r="F1332" t="inlineStr">
        <is>
          <t>Kommuner</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32439-2021</t>
        </is>
      </c>
      <c r="B1333" s="1" t="n">
        <v>44371</v>
      </c>
      <c r="C1333" s="1" t="n">
        <v>46145</v>
      </c>
      <c r="D1333" t="inlineStr">
        <is>
          <t>VÄSTERBOTTENS LÄN</t>
        </is>
      </c>
      <c r="E1333" t="inlineStr">
        <is>
          <t>SKELLEFTEÅ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38535-2021</t>
        </is>
      </c>
      <c r="B1334" s="1" t="n">
        <v>44407</v>
      </c>
      <c r="C1334" s="1" t="n">
        <v>46145</v>
      </c>
      <c r="D1334" t="inlineStr">
        <is>
          <t>VÄSTERBOTTENS LÄN</t>
        </is>
      </c>
      <c r="E1334" t="inlineStr">
        <is>
          <t>UMEÅ</t>
        </is>
      </c>
      <c r="F1334" t="inlineStr">
        <is>
          <t>Kommuner</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28959-2021</t>
        </is>
      </c>
      <c r="B1335" s="1" t="n">
        <v>44358.37585648148</v>
      </c>
      <c r="C1335" s="1" t="n">
        <v>46145</v>
      </c>
      <c r="D1335" t="inlineStr">
        <is>
          <t>VÄSTERBOTTENS LÄN</t>
        </is>
      </c>
      <c r="E1335" t="inlineStr">
        <is>
          <t>SKELLEFTEÅ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47018-2021</t>
        </is>
      </c>
      <c r="B1336" s="1" t="n">
        <v>44446.59321759259</v>
      </c>
      <c r="C1336" s="1" t="n">
        <v>46145</v>
      </c>
      <c r="D1336" t="inlineStr">
        <is>
          <t>VÄSTERBOTTENS LÄN</t>
        </is>
      </c>
      <c r="E1336" t="inlineStr">
        <is>
          <t>LYCKSELE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21261-2021</t>
        </is>
      </c>
      <c r="B1337" s="1" t="n">
        <v>44320</v>
      </c>
      <c r="C1337" s="1" t="n">
        <v>46145</v>
      </c>
      <c r="D1337" t="inlineStr">
        <is>
          <t>VÄSTERBOTTENS LÄN</t>
        </is>
      </c>
      <c r="E1337" t="inlineStr">
        <is>
          <t>UMEÅ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46006-2021</t>
        </is>
      </c>
      <c r="B1338" s="1" t="n">
        <v>44441</v>
      </c>
      <c r="C1338" s="1" t="n">
        <v>46145</v>
      </c>
      <c r="D1338" t="inlineStr">
        <is>
          <t>VÄSTERBOTTENS LÄN</t>
        </is>
      </c>
      <c r="E1338" t="inlineStr">
        <is>
          <t>SKELLEFTEÅ</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55168-2021</t>
        </is>
      </c>
      <c r="B1339" s="1" t="n">
        <v>44475.23858796297</v>
      </c>
      <c r="C1339" s="1" t="n">
        <v>46145</v>
      </c>
      <c r="D1339" t="inlineStr">
        <is>
          <t>VÄSTERBOTTENS LÄN</t>
        </is>
      </c>
      <c r="E1339" t="inlineStr">
        <is>
          <t>SKELLEFTEÅ</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38519-2021</t>
        </is>
      </c>
      <c r="B1340" s="1" t="n">
        <v>44407</v>
      </c>
      <c r="C1340" s="1" t="n">
        <v>46145</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31434-2021</t>
        </is>
      </c>
      <c r="B1341" s="1" t="n">
        <v>44369</v>
      </c>
      <c r="C1341" s="1" t="n">
        <v>46145</v>
      </c>
      <c r="D1341" t="inlineStr">
        <is>
          <t>VÄSTERBOTTENS LÄN</t>
        </is>
      </c>
      <c r="E1341" t="inlineStr">
        <is>
          <t>NORDMALING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67751-2021</t>
        </is>
      </c>
      <c r="B1342" s="1" t="n">
        <v>44524</v>
      </c>
      <c r="C1342" s="1" t="n">
        <v>46145</v>
      </c>
      <c r="D1342" t="inlineStr">
        <is>
          <t>VÄSTERBOTTENS LÄN</t>
        </is>
      </c>
      <c r="E1342" t="inlineStr">
        <is>
          <t>BJURHOLM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28065-2021</t>
        </is>
      </c>
      <c r="B1343" s="1" t="n">
        <v>44355</v>
      </c>
      <c r="C1343" s="1" t="n">
        <v>46145</v>
      </c>
      <c r="D1343" t="inlineStr">
        <is>
          <t>VÄSTERBOTTENS LÄN</t>
        </is>
      </c>
      <c r="E1343" t="inlineStr">
        <is>
          <t>VÄNNÄS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17139-2022</t>
        </is>
      </c>
      <c r="B1344" s="1" t="n">
        <v>44677</v>
      </c>
      <c r="C1344" s="1" t="n">
        <v>46145</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38915-2021</t>
        </is>
      </c>
      <c r="B1345" s="1" t="n">
        <v>44410</v>
      </c>
      <c r="C1345" s="1" t="n">
        <v>46145</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38921-2021</t>
        </is>
      </c>
      <c r="B1346" s="1" t="n">
        <v>44410</v>
      </c>
      <c r="C1346" s="1" t="n">
        <v>46145</v>
      </c>
      <c r="D1346" t="inlineStr">
        <is>
          <t>VÄSTERBOTTENS LÄN</t>
        </is>
      </c>
      <c r="E1346" t="inlineStr">
        <is>
          <t>UMEÅ</t>
        </is>
      </c>
      <c r="F1346" t="inlineStr">
        <is>
          <t>Övriga statliga verk och myndigheter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53979-2021</t>
        </is>
      </c>
      <c r="B1347" s="1" t="n">
        <v>44469</v>
      </c>
      <c r="C1347" s="1" t="n">
        <v>46145</v>
      </c>
      <c r="D1347" t="inlineStr">
        <is>
          <t>VÄSTERBOTTENS LÄN</t>
        </is>
      </c>
      <c r="E1347" t="inlineStr">
        <is>
          <t>LYCKSELE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54606-2022</t>
        </is>
      </c>
      <c r="B1348" s="1" t="n">
        <v>44880</v>
      </c>
      <c r="C1348" s="1" t="n">
        <v>46145</v>
      </c>
      <c r="D1348" t="inlineStr">
        <is>
          <t>VÄSTERBOTTENS LÄN</t>
        </is>
      </c>
      <c r="E1348" t="inlineStr">
        <is>
          <t>ROBERTSFORS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9007-2022</t>
        </is>
      </c>
      <c r="B1349" s="1" t="n">
        <v>44615.35633101852</v>
      </c>
      <c r="C1349" s="1" t="n">
        <v>46145</v>
      </c>
      <c r="D1349" t="inlineStr">
        <is>
          <t>VÄSTERBOTTENS LÄN</t>
        </is>
      </c>
      <c r="E1349" t="inlineStr">
        <is>
          <t>ÅSELE</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11468-2022</t>
        </is>
      </c>
      <c r="B1350" s="1" t="n">
        <v>44630.82231481482</v>
      </c>
      <c r="C1350" s="1" t="n">
        <v>46145</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31848-2022</t>
        </is>
      </c>
      <c r="B1351" s="1" t="n">
        <v>44776</v>
      </c>
      <c r="C1351" s="1" t="n">
        <v>46145</v>
      </c>
      <c r="D1351" t="inlineStr">
        <is>
          <t>VÄSTERBOTTENS LÄN</t>
        </is>
      </c>
      <c r="E1351" t="inlineStr">
        <is>
          <t>ÅSELE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31920-2022</t>
        </is>
      </c>
      <c r="B1352" s="1" t="n">
        <v>44777.60917824074</v>
      </c>
      <c r="C1352" s="1" t="n">
        <v>46145</v>
      </c>
      <c r="D1352" t="inlineStr">
        <is>
          <t>VÄSTERBOTTENS LÄN</t>
        </is>
      </c>
      <c r="E1352" t="inlineStr">
        <is>
          <t>UMEÅ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40503-2021</t>
        </is>
      </c>
      <c r="B1353" s="1" t="n">
        <v>44420.34442129629</v>
      </c>
      <c r="C1353" s="1" t="n">
        <v>46145</v>
      </c>
      <c r="D1353" t="inlineStr">
        <is>
          <t>VÄSTERBOTTENS LÄN</t>
        </is>
      </c>
      <c r="E1353" t="inlineStr">
        <is>
          <t>ÅSELE</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29529-2021</t>
        </is>
      </c>
      <c r="B1354" s="1" t="n">
        <v>44361</v>
      </c>
      <c r="C1354" s="1" t="n">
        <v>46145</v>
      </c>
      <c r="D1354" t="inlineStr">
        <is>
          <t>VÄSTERBOTTENS LÄN</t>
        </is>
      </c>
      <c r="E1354" t="inlineStr">
        <is>
          <t>UMEÅ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29534-2021</t>
        </is>
      </c>
      <c r="B1355" s="1" t="n">
        <v>44361</v>
      </c>
      <c r="C1355" s="1" t="n">
        <v>46145</v>
      </c>
      <c r="D1355" t="inlineStr">
        <is>
          <t>VÄSTERBOTTENS LÄN</t>
        </is>
      </c>
      <c r="E1355" t="inlineStr">
        <is>
          <t>UMEÅ</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11226-2022</t>
        </is>
      </c>
      <c r="B1356" s="1" t="n">
        <v>44624</v>
      </c>
      <c r="C1356" s="1" t="n">
        <v>46145</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30626-2021</t>
        </is>
      </c>
      <c r="B1357" s="1" t="n">
        <v>44364</v>
      </c>
      <c r="C1357" s="1" t="n">
        <v>46145</v>
      </c>
      <c r="D1357" t="inlineStr">
        <is>
          <t>VÄSTERBOTTENS LÄN</t>
        </is>
      </c>
      <c r="E1357" t="inlineStr">
        <is>
          <t>SORSELE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40314-2022</t>
        </is>
      </c>
      <c r="B1358" s="1" t="n">
        <v>44823.28108796296</v>
      </c>
      <c r="C1358" s="1" t="n">
        <v>46145</v>
      </c>
      <c r="D1358" t="inlineStr">
        <is>
          <t>VÄSTERBOTTENS LÄN</t>
        </is>
      </c>
      <c r="E1358" t="inlineStr">
        <is>
          <t>SKELLEFTEÅ</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25401-2021</t>
        </is>
      </c>
      <c r="B1359" s="1" t="n">
        <v>44342</v>
      </c>
      <c r="C1359" s="1" t="n">
        <v>46145</v>
      </c>
      <c r="D1359" t="inlineStr">
        <is>
          <t>VÄSTERBOTTENS LÄN</t>
        </is>
      </c>
      <c r="E1359" t="inlineStr">
        <is>
          <t>NORDMALING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12529-2022</t>
        </is>
      </c>
      <c r="B1360" s="1" t="n">
        <v>44638</v>
      </c>
      <c r="C1360" s="1" t="n">
        <v>46145</v>
      </c>
      <c r="D1360" t="inlineStr">
        <is>
          <t>VÄSTERBOTTENS LÄN</t>
        </is>
      </c>
      <c r="E1360" t="inlineStr">
        <is>
          <t>SKELLEFTEÅ</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33236-2021</t>
        </is>
      </c>
      <c r="B1361" s="1" t="n">
        <v>44376</v>
      </c>
      <c r="C1361" s="1" t="n">
        <v>46145</v>
      </c>
      <c r="D1361" t="inlineStr">
        <is>
          <t>VÄSTERBOTTENS LÄN</t>
        </is>
      </c>
      <c r="E1361" t="inlineStr">
        <is>
          <t>SKELLEFTEÅ</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36719-2021</t>
        </is>
      </c>
      <c r="B1362" s="1" t="n">
        <v>44392</v>
      </c>
      <c r="C1362" s="1" t="n">
        <v>46145</v>
      </c>
      <c r="D1362" t="inlineStr">
        <is>
          <t>VÄSTERBOTTENS LÄN</t>
        </is>
      </c>
      <c r="E1362" t="inlineStr">
        <is>
          <t>STORUMAN</t>
        </is>
      </c>
      <c r="F1362" t="inlineStr">
        <is>
          <t>Sveaskog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37979-2021</t>
        </is>
      </c>
      <c r="B1363" s="1" t="n">
        <v>44403</v>
      </c>
      <c r="C1363" s="1" t="n">
        <v>46145</v>
      </c>
      <c r="D1363" t="inlineStr">
        <is>
          <t>VÄSTERBOTTENS LÄN</t>
        </is>
      </c>
      <c r="E1363" t="inlineStr">
        <is>
          <t>LYCKSELE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11309-2022</t>
        </is>
      </c>
      <c r="B1364" s="1" t="n">
        <v>44629</v>
      </c>
      <c r="C1364" s="1" t="n">
        <v>46145</v>
      </c>
      <c r="D1364" t="inlineStr">
        <is>
          <t>VÄSTERBOTTENS LÄN</t>
        </is>
      </c>
      <c r="E1364" t="inlineStr">
        <is>
          <t>DOROTEA</t>
        </is>
      </c>
      <c r="F1364" t="inlineStr">
        <is>
          <t>SCA</t>
        </is>
      </c>
      <c r="G1364" t="n">
        <v>16.8</v>
      </c>
      <c r="H1364" t="n">
        <v>0</v>
      </c>
      <c r="I1364" t="n">
        <v>0</v>
      </c>
      <c r="J1364" t="n">
        <v>0</v>
      </c>
      <c r="K1364" t="n">
        <v>0</v>
      </c>
      <c r="L1364" t="n">
        <v>0</v>
      </c>
      <c r="M1364" t="n">
        <v>0</v>
      </c>
      <c r="N1364" t="n">
        <v>0</v>
      </c>
      <c r="O1364" t="n">
        <v>0</v>
      </c>
      <c r="P1364" t="n">
        <v>0</v>
      </c>
      <c r="Q1364" t="n">
        <v>0</v>
      </c>
      <c r="R1364" s="2" t="inlineStr"/>
    </row>
    <row r="1365" ht="15" customHeight="1">
      <c r="A1365" t="inlineStr">
        <is>
          <t>A 36460-2021</t>
        </is>
      </c>
      <c r="B1365" s="1" t="n">
        <v>44390</v>
      </c>
      <c r="C1365" s="1" t="n">
        <v>46145</v>
      </c>
      <c r="D1365" t="inlineStr">
        <is>
          <t>VÄSTERBOTTENS LÄN</t>
        </is>
      </c>
      <c r="E1365" t="inlineStr">
        <is>
          <t>ÅSELE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26018-2022</t>
        </is>
      </c>
      <c r="B1366" s="1" t="n">
        <v>44734</v>
      </c>
      <c r="C1366" s="1" t="n">
        <v>46145</v>
      </c>
      <c r="D1366" t="inlineStr">
        <is>
          <t>VÄSTERBOTTENS LÄN</t>
        </is>
      </c>
      <c r="E1366" t="inlineStr">
        <is>
          <t>ROBERTSFORS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26048-2022</t>
        </is>
      </c>
      <c r="B1367" s="1" t="n">
        <v>44734.59699074074</v>
      </c>
      <c r="C1367" s="1" t="n">
        <v>46145</v>
      </c>
      <c r="D1367" t="inlineStr">
        <is>
          <t>VÄSTERBOTTENS LÄN</t>
        </is>
      </c>
      <c r="E1367" t="inlineStr">
        <is>
          <t>ROBERTSFORS</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11116-2022</t>
        </is>
      </c>
      <c r="B1368" s="1" t="n">
        <v>44628.92569444444</v>
      </c>
      <c r="C1368" s="1" t="n">
        <v>46145</v>
      </c>
      <c r="D1368" t="inlineStr">
        <is>
          <t>VÄSTERBOTTENS LÄN</t>
        </is>
      </c>
      <c r="E1368" t="inlineStr">
        <is>
          <t>VILHELMINA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24871-2021</t>
        </is>
      </c>
      <c r="B1369" s="1" t="n">
        <v>44340</v>
      </c>
      <c r="C1369" s="1" t="n">
        <v>46145</v>
      </c>
      <c r="D1369" t="inlineStr">
        <is>
          <t>VÄSTERBOTTENS LÄN</t>
        </is>
      </c>
      <c r="E1369" t="inlineStr">
        <is>
          <t>VINDELN</t>
        </is>
      </c>
      <c r="G1369" t="n">
        <v>10.7</v>
      </c>
      <c r="H1369" t="n">
        <v>0</v>
      </c>
      <c r="I1369" t="n">
        <v>0</v>
      </c>
      <c r="J1369" t="n">
        <v>0</v>
      </c>
      <c r="K1369" t="n">
        <v>0</v>
      </c>
      <c r="L1369" t="n">
        <v>0</v>
      </c>
      <c r="M1369" t="n">
        <v>0</v>
      </c>
      <c r="N1369" t="n">
        <v>0</v>
      </c>
      <c r="O1369" t="n">
        <v>0</v>
      </c>
      <c r="P1369" t="n">
        <v>0</v>
      </c>
      <c r="Q1369" t="n">
        <v>0</v>
      </c>
      <c r="R1369" s="2" t="inlineStr"/>
    </row>
    <row r="1370" ht="15" customHeight="1">
      <c r="A1370" t="inlineStr">
        <is>
          <t>A 35943-2021</t>
        </is>
      </c>
      <c r="B1370" s="1" t="n">
        <v>44388.59247685185</v>
      </c>
      <c r="C1370" s="1" t="n">
        <v>46145</v>
      </c>
      <c r="D1370" t="inlineStr">
        <is>
          <t>VÄSTERBOTTENS LÄN</t>
        </is>
      </c>
      <c r="E1370" t="inlineStr">
        <is>
          <t>LYCKSELE</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46145</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46145</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24892-2021</t>
        </is>
      </c>
      <c r="B1373" s="1" t="n">
        <v>44340</v>
      </c>
      <c r="C1373" s="1" t="n">
        <v>46145</v>
      </c>
      <c r="D1373" t="inlineStr">
        <is>
          <t>VÄSTERBOTTENS LÄN</t>
        </is>
      </c>
      <c r="E1373" t="inlineStr">
        <is>
          <t>VINDELN</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58428-2021</t>
        </is>
      </c>
      <c r="B1374" s="1" t="n">
        <v>44488</v>
      </c>
      <c r="C1374" s="1" t="n">
        <v>46145</v>
      </c>
      <c r="D1374" t="inlineStr">
        <is>
          <t>VÄSTERBOTTENS LÄN</t>
        </is>
      </c>
      <c r="E1374" t="inlineStr">
        <is>
          <t>STORUMAN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28040-2022</t>
        </is>
      </c>
      <c r="B1375" s="1" t="n">
        <v>44746</v>
      </c>
      <c r="C1375" s="1" t="n">
        <v>46145</v>
      </c>
      <c r="D1375" t="inlineStr">
        <is>
          <t>VÄSTERBOTTENS LÄN</t>
        </is>
      </c>
      <c r="E1375" t="inlineStr">
        <is>
          <t>BJURHOLM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70229-2021</t>
        </is>
      </c>
      <c r="B1376" s="1" t="n">
        <v>44533</v>
      </c>
      <c r="C1376" s="1" t="n">
        <v>46145</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24503-2021</t>
        </is>
      </c>
      <c r="B1377" s="1" t="n">
        <v>44337</v>
      </c>
      <c r="C1377" s="1" t="n">
        <v>46145</v>
      </c>
      <c r="D1377" t="inlineStr">
        <is>
          <t>VÄSTERBOTTENS LÄN</t>
        </is>
      </c>
      <c r="E1377" t="inlineStr">
        <is>
          <t>MALÅ</t>
        </is>
      </c>
      <c r="G1377" t="n">
        <v>33.3</v>
      </c>
      <c r="H1377" t="n">
        <v>0</v>
      </c>
      <c r="I1377" t="n">
        <v>0</v>
      </c>
      <c r="J1377" t="n">
        <v>0</v>
      </c>
      <c r="K1377" t="n">
        <v>0</v>
      </c>
      <c r="L1377" t="n">
        <v>0</v>
      </c>
      <c r="M1377" t="n">
        <v>0</v>
      </c>
      <c r="N1377" t="n">
        <v>0</v>
      </c>
      <c r="O1377" t="n">
        <v>0</v>
      </c>
      <c r="P1377" t="n">
        <v>0</v>
      </c>
      <c r="Q1377" t="n">
        <v>0</v>
      </c>
      <c r="R1377" s="2" t="inlineStr"/>
    </row>
    <row r="1378" ht="15" customHeight="1">
      <c r="A1378" t="inlineStr">
        <is>
          <t>A 27265-2022</t>
        </is>
      </c>
      <c r="B1378" s="1" t="n">
        <v>44741.85099537037</v>
      </c>
      <c r="C1378" s="1" t="n">
        <v>46145</v>
      </c>
      <c r="D1378" t="inlineStr">
        <is>
          <t>VÄSTERBOTTENS LÄN</t>
        </is>
      </c>
      <c r="E1378" t="inlineStr">
        <is>
          <t>SKELLEFTEÅ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30389-2022</t>
        </is>
      </c>
      <c r="B1379" s="1" t="n">
        <v>44760</v>
      </c>
      <c r="C1379" s="1" t="n">
        <v>46145</v>
      </c>
      <c r="D1379" t="inlineStr">
        <is>
          <t>VÄSTERBOTTENS LÄN</t>
        </is>
      </c>
      <c r="E1379" t="inlineStr">
        <is>
          <t>SKELLEFTEÅ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15680-2022</t>
        </is>
      </c>
      <c r="B1380" s="1" t="n">
        <v>44663</v>
      </c>
      <c r="C1380" s="1" t="n">
        <v>46145</v>
      </c>
      <c r="D1380" t="inlineStr">
        <is>
          <t>VÄSTERBOTTENS LÄN</t>
        </is>
      </c>
      <c r="E1380" t="inlineStr">
        <is>
          <t>STORUMAN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46145</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54225-2021</t>
        </is>
      </c>
      <c r="B1382" s="1" t="n">
        <v>44470.62471064815</v>
      </c>
      <c r="C1382" s="1" t="n">
        <v>46145</v>
      </c>
      <c r="D1382" t="inlineStr">
        <is>
          <t>VÄSTERBOTTENS LÄN</t>
        </is>
      </c>
      <c r="E1382" t="inlineStr">
        <is>
          <t>UMEÅ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54297-2021</t>
        </is>
      </c>
      <c r="B1383" s="1" t="n">
        <v>44472</v>
      </c>
      <c r="C1383" s="1" t="n">
        <v>46145</v>
      </c>
      <c r="D1383" t="inlineStr">
        <is>
          <t>VÄSTERBOTTENS LÄN</t>
        </is>
      </c>
      <c r="E1383" t="inlineStr">
        <is>
          <t>MALÅ</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54298-2021</t>
        </is>
      </c>
      <c r="B1384" s="1" t="n">
        <v>44472</v>
      </c>
      <c r="C1384" s="1" t="n">
        <v>46145</v>
      </c>
      <c r="D1384" t="inlineStr">
        <is>
          <t>VÄSTERBOTTENS LÄN</t>
        </is>
      </c>
      <c r="E1384" t="inlineStr">
        <is>
          <t>MALÅ</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48432-2022</t>
        </is>
      </c>
      <c r="B1385" s="1" t="n">
        <v>44858.64782407408</v>
      </c>
      <c r="C1385" s="1" t="n">
        <v>46145</v>
      </c>
      <c r="D1385" t="inlineStr">
        <is>
          <t>VÄSTERBOTTENS LÄN</t>
        </is>
      </c>
      <c r="E1385" t="inlineStr">
        <is>
          <t>ROBERTSFORS</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8731-2022</t>
        </is>
      </c>
      <c r="B1386" s="1" t="n">
        <v>44613</v>
      </c>
      <c r="C1386" s="1" t="n">
        <v>46145</v>
      </c>
      <c r="D1386" t="inlineStr">
        <is>
          <t>VÄSTERBOTTENS LÄN</t>
        </is>
      </c>
      <c r="E1386" t="inlineStr">
        <is>
          <t>VILHELMINA</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64098-2021</t>
        </is>
      </c>
      <c r="B1387" s="1" t="n">
        <v>44510.4482175926</v>
      </c>
      <c r="C1387" s="1" t="n">
        <v>46145</v>
      </c>
      <c r="D1387" t="inlineStr">
        <is>
          <t>VÄSTERBOTTENS LÄN</t>
        </is>
      </c>
      <c r="E1387" t="inlineStr">
        <is>
          <t>NORDMALING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50110-2021</t>
        </is>
      </c>
      <c r="B1388" s="1" t="n">
        <v>44456</v>
      </c>
      <c r="C1388" s="1" t="n">
        <v>46145</v>
      </c>
      <c r="D1388" t="inlineStr">
        <is>
          <t>VÄSTERBOTTENS LÄN</t>
        </is>
      </c>
      <c r="E1388" t="inlineStr">
        <is>
          <t>UMEÅ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13369-2022</t>
        </is>
      </c>
      <c r="B1389" s="1" t="n">
        <v>44645</v>
      </c>
      <c r="C1389" s="1" t="n">
        <v>46145</v>
      </c>
      <c r="D1389" t="inlineStr">
        <is>
          <t>VÄSTERBOTTENS LÄN</t>
        </is>
      </c>
      <c r="E1389" t="inlineStr">
        <is>
          <t>ROBERTSFORS</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31296-2022</t>
        </is>
      </c>
      <c r="B1390" s="1" t="n">
        <v>44772.67398148148</v>
      </c>
      <c r="C1390" s="1" t="n">
        <v>46145</v>
      </c>
      <c r="D1390" t="inlineStr">
        <is>
          <t>VÄSTERBOTTENS LÄN</t>
        </is>
      </c>
      <c r="E1390" t="inlineStr">
        <is>
          <t>UMEÅ</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26798-2022</t>
        </is>
      </c>
      <c r="B1391" s="1" t="n">
        <v>44740</v>
      </c>
      <c r="C1391" s="1" t="n">
        <v>46145</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46005-2021</t>
        </is>
      </c>
      <c r="B1392" s="1" t="n">
        <v>44441.85534722222</v>
      </c>
      <c r="C1392" s="1" t="n">
        <v>46145</v>
      </c>
      <c r="D1392" t="inlineStr">
        <is>
          <t>VÄSTERBOTTENS LÄN</t>
        </is>
      </c>
      <c r="E1392" t="inlineStr">
        <is>
          <t>SKELLEFTEÅ</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31412-2022</t>
        </is>
      </c>
      <c r="B1393" s="1" t="n">
        <v>44774</v>
      </c>
      <c r="C1393" s="1" t="n">
        <v>46145</v>
      </c>
      <c r="D1393" t="inlineStr">
        <is>
          <t>VÄSTERBOTTENS LÄN</t>
        </is>
      </c>
      <c r="E1393" t="inlineStr">
        <is>
          <t>BJURHOLM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52482-2022</t>
        </is>
      </c>
      <c r="B1394" s="1" t="n">
        <v>44869</v>
      </c>
      <c r="C1394" s="1" t="n">
        <v>46145</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33235-2022</t>
        </is>
      </c>
      <c r="B1395" s="1" t="n">
        <v>44785.94342592593</v>
      </c>
      <c r="C1395" s="1" t="n">
        <v>46145</v>
      </c>
      <c r="D1395" t="inlineStr">
        <is>
          <t>VÄSTERBOTTENS LÄN</t>
        </is>
      </c>
      <c r="E1395" t="inlineStr">
        <is>
          <t>LYCKSELE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35954-2022</t>
        </is>
      </c>
      <c r="B1396" s="1" t="n">
        <v>44802</v>
      </c>
      <c r="C1396" s="1" t="n">
        <v>46145</v>
      </c>
      <c r="D1396" t="inlineStr">
        <is>
          <t>VÄSTERBOTTENS LÄN</t>
        </is>
      </c>
      <c r="E1396" t="inlineStr">
        <is>
          <t>NORDMALING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53826-2022</t>
        </is>
      </c>
      <c r="B1397" s="1" t="n">
        <v>44876</v>
      </c>
      <c r="C1397" s="1" t="n">
        <v>46145</v>
      </c>
      <c r="D1397" t="inlineStr">
        <is>
          <t>VÄSTERBOTTENS LÄN</t>
        </is>
      </c>
      <c r="E1397" t="inlineStr">
        <is>
          <t>VINDELN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33261-2021</t>
        </is>
      </c>
      <c r="B1398" s="1" t="n">
        <v>44376</v>
      </c>
      <c r="C1398" s="1" t="n">
        <v>46145</v>
      </c>
      <c r="D1398" t="inlineStr">
        <is>
          <t>VÄSTERBOTTENS LÄN</t>
        </is>
      </c>
      <c r="E1398" t="inlineStr">
        <is>
          <t>NORSJÖ</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46145</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31955-2022</t>
        </is>
      </c>
      <c r="B1400" s="1" t="n">
        <v>44777.92472222223</v>
      </c>
      <c r="C1400" s="1" t="n">
        <v>46145</v>
      </c>
      <c r="D1400" t="inlineStr">
        <is>
          <t>VÄSTERBOTTENS LÄN</t>
        </is>
      </c>
      <c r="E1400" t="inlineStr">
        <is>
          <t>SKELLEFTEÅ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71934-2021</t>
        </is>
      </c>
      <c r="B1401" s="1" t="n">
        <v>44543.94390046296</v>
      </c>
      <c r="C1401" s="1" t="n">
        <v>46145</v>
      </c>
      <c r="D1401" t="inlineStr">
        <is>
          <t>VÄSTERBOTTENS LÄN</t>
        </is>
      </c>
      <c r="E1401" t="inlineStr">
        <is>
          <t>SKELLEFTEÅ</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39676-2022</t>
        </is>
      </c>
      <c r="B1402" s="1" t="n">
        <v>44818</v>
      </c>
      <c r="C1402" s="1" t="n">
        <v>46145</v>
      </c>
      <c r="D1402" t="inlineStr">
        <is>
          <t>VÄSTERBOTTENS LÄN</t>
        </is>
      </c>
      <c r="E1402" t="inlineStr">
        <is>
          <t>NORDMALING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42403-2022</t>
        </is>
      </c>
      <c r="B1403" s="1" t="n">
        <v>44831.43211805556</v>
      </c>
      <c r="C1403" s="1" t="n">
        <v>46145</v>
      </c>
      <c r="D1403" t="inlineStr">
        <is>
          <t>VÄSTERBOTTENS LÄN</t>
        </is>
      </c>
      <c r="E1403" t="inlineStr">
        <is>
          <t>BJURHOLM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31181-2021</t>
        </is>
      </c>
      <c r="B1404" s="1" t="n">
        <v>44368</v>
      </c>
      <c r="C1404" s="1" t="n">
        <v>46145</v>
      </c>
      <c r="D1404" t="inlineStr">
        <is>
          <t>VÄSTERBOTTENS LÄN</t>
        </is>
      </c>
      <c r="E1404" t="inlineStr">
        <is>
          <t>SKELLEFTEÅ</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58639-2021</t>
        </is>
      </c>
      <c r="B1405" s="1" t="n">
        <v>44488</v>
      </c>
      <c r="C1405" s="1" t="n">
        <v>46145</v>
      </c>
      <c r="D1405" t="inlineStr">
        <is>
          <t>VÄSTERBOTTENS LÄN</t>
        </is>
      </c>
      <c r="E1405" t="inlineStr">
        <is>
          <t>VINDELN</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36588-2021</t>
        </is>
      </c>
      <c r="B1406" s="1" t="n">
        <v>44391</v>
      </c>
      <c r="C1406" s="1" t="n">
        <v>46145</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58612-2021</t>
        </is>
      </c>
      <c r="B1407" s="1" t="n">
        <v>44489</v>
      </c>
      <c r="C1407" s="1" t="n">
        <v>46145</v>
      </c>
      <c r="D1407" t="inlineStr">
        <is>
          <t>VÄSTERBOTTENS LÄN</t>
        </is>
      </c>
      <c r="E1407" t="inlineStr">
        <is>
          <t>UMEÅ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30344-2021</t>
        </is>
      </c>
      <c r="B1408" s="1" t="n">
        <v>44363</v>
      </c>
      <c r="C1408" s="1" t="n">
        <v>46145</v>
      </c>
      <c r="D1408" t="inlineStr">
        <is>
          <t>VÄSTERBOTTENS LÄN</t>
        </is>
      </c>
      <c r="E1408" t="inlineStr">
        <is>
          <t>NORDMALING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39986-2022</t>
        </is>
      </c>
      <c r="B1409" s="1" t="n">
        <v>44820.34625</v>
      </c>
      <c r="C1409" s="1" t="n">
        <v>46145</v>
      </c>
      <c r="D1409" t="inlineStr">
        <is>
          <t>VÄSTERBOTTENS LÄN</t>
        </is>
      </c>
      <c r="E1409" t="inlineStr">
        <is>
          <t>SKELLEFTEÅ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39998-2022</t>
        </is>
      </c>
      <c r="B1410" s="1" t="n">
        <v>44820.35803240741</v>
      </c>
      <c r="C1410" s="1" t="n">
        <v>46145</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40000-2022</t>
        </is>
      </c>
      <c r="B1411" s="1" t="n">
        <v>44818</v>
      </c>
      <c r="C1411" s="1" t="n">
        <v>46145</v>
      </c>
      <c r="D1411" t="inlineStr">
        <is>
          <t>VÄSTERBOTTENS LÄN</t>
        </is>
      </c>
      <c r="E1411" t="inlineStr">
        <is>
          <t>BJURHOLM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45425-2022</t>
        </is>
      </c>
      <c r="B1412" s="1" t="n">
        <v>44844</v>
      </c>
      <c r="C1412" s="1" t="n">
        <v>46145</v>
      </c>
      <c r="D1412" t="inlineStr">
        <is>
          <t>VÄSTERBOTTENS LÄN</t>
        </is>
      </c>
      <c r="E1412" t="inlineStr">
        <is>
          <t>VILHELMINA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29902-2022</t>
        </is>
      </c>
      <c r="B1413" s="1" t="n">
        <v>44756.49922453704</v>
      </c>
      <c r="C1413" s="1" t="n">
        <v>46145</v>
      </c>
      <c r="D1413" t="inlineStr">
        <is>
          <t>VÄSTERBOTTENS LÄN</t>
        </is>
      </c>
      <c r="E1413" t="inlineStr">
        <is>
          <t>ÅSELE</t>
        </is>
      </c>
      <c r="F1413" t="inlineStr">
        <is>
          <t>Holmen skog AB</t>
        </is>
      </c>
      <c r="G1413" t="n">
        <v>20.6</v>
      </c>
      <c r="H1413" t="n">
        <v>0</v>
      </c>
      <c r="I1413" t="n">
        <v>0</v>
      </c>
      <c r="J1413" t="n">
        <v>0</v>
      </c>
      <c r="K1413" t="n">
        <v>0</v>
      </c>
      <c r="L1413" t="n">
        <v>0</v>
      </c>
      <c r="M1413" t="n">
        <v>0</v>
      </c>
      <c r="N1413" t="n">
        <v>0</v>
      </c>
      <c r="O1413" t="n">
        <v>0</v>
      </c>
      <c r="P1413" t="n">
        <v>0</v>
      </c>
      <c r="Q1413" t="n">
        <v>0</v>
      </c>
      <c r="R1413" s="2" t="inlineStr"/>
    </row>
    <row r="1414" ht="15" customHeight="1">
      <c r="A1414" t="inlineStr">
        <is>
          <t>A 43078-2022</t>
        </is>
      </c>
      <c r="B1414" s="1" t="n">
        <v>44833.64483796297</v>
      </c>
      <c r="C1414" s="1" t="n">
        <v>46145</v>
      </c>
      <c r="D1414" t="inlineStr">
        <is>
          <t>VÄSTERBOTTENS LÄN</t>
        </is>
      </c>
      <c r="E1414" t="inlineStr">
        <is>
          <t>SKELLEFTEÅ</t>
        </is>
      </c>
      <c r="F1414" t="inlineStr">
        <is>
          <t>Sveaskog</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41513-2022</t>
        </is>
      </c>
      <c r="B1415" s="1" t="n">
        <v>44827</v>
      </c>
      <c r="C1415" s="1" t="n">
        <v>46145</v>
      </c>
      <c r="D1415" t="inlineStr">
        <is>
          <t>VÄSTERBOTTENS LÄN</t>
        </is>
      </c>
      <c r="E1415" t="inlineStr">
        <is>
          <t>SKELLEFTEÅ</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44820.42978009259</v>
      </c>
      <c r="C1416" s="1" t="n">
        <v>46145</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36188-2022</t>
        </is>
      </c>
      <c r="B1417" s="1" t="n">
        <v>44803.43947916666</v>
      </c>
      <c r="C1417" s="1" t="n">
        <v>46145</v>
      </c>
      <c r="D1417" t="inlineStr">
        <is>
          <t>VÄSTERBOTTENS LÄN</t>
        </is>
      </c>
      <c r="E1417" t="inlineStr">
        <is>
          <t>ÅSELE</t>
        </is>
      </c>
      <c r="F1417" t="inlineStr">
        <is>
          <t>Sveaskog</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48943-2022</t>
        </is>
      </c>
      <c r="B1418" s="1" t="n">
        <v>44859.95741898148</v>
      </c>
      <c r="C1418" s="1" t="n">
        <v>46145</v>
      </c>
      <c r="D1418" t="inlineStr">
        <is>
          <t>VÄSTERBOTTENS LÄN</t>
        </is>
      </c>
      <c r="E1418" t="inlineStr">
        <is>
          <t>NORDMALING</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30019-2022</t>
        </is>
      </c>
      <c r="B1419" s="1" t="n">
        <v>44756.94431712963</v>
      </c>
      <c r="C1419" s="1" t="n">
        <v>46145</v>
      </c>
      <c r="D1419" t="inlineStr">
        <is>
          <t>VÄSTERBOTTENS LÄN</t>
        </is>
      </c>
      <c r="E1419" t="inlineStr">
        <is>
          <t>VILHELMINA</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30020-2022</t>
        </is>
      </c>
      <c r="B1420" s="1" t="n">
        <v>44756.94440972222</v>
      </c>
      <c r="C1420" s="1" t="n">
        <v>46145</v>
      </c>
      <c r="D1420" t="inlineStr">
        <is>
          <t>VÄSTERBOTTENS LÄN</t>
        </is>
      </c>
      <c r="E1420" t="inlineStr">
        <is>
          <t>VILHELMINA</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51555-2021</t>
        </is>
      </c>
      <c r="B1421" s="1" t="n">
        <v>44462.42559027778</v>
      </c>
      <c r="C1421" s="1" t="n">
        <v>46145</v>
      </c>
      <c r="D1421" t="inlineStr">
        <is>
          <t>VÄSTERBOTTENS LÄN</t>
        </is>
      </c>
      <c r="E1421" t="inlineStr">
        <is>
          <t>NORDMALING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66756-2021</t>
        </is>
      </c>
      <c r="B1422" s="1" t="n">
        <v>44521.76505787037</v>
      </c>
      <c r="C1422" s="1" t="n">
        <v>46145</v>
      </c>
      <c r="D1422" t="inlineStr">
        <is>
          <t>VÄSTERBOTTENS LÄN</t>
        </is>
      </c>
      <c r="E1422" t="inlineStr">
        <is>
          <t>SKELLEFTEÅ</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36609-2021</t>
        </is>
      </c>
      <c r="B1423" s="1" t="n">
        <v>44391</v>
      </c>
      <c r="C1423" s="1" t="n">
        <v>46145</v>
      </c>
      <c r="D1423" t="inlineStr">
        <is>
          <t>VÄSTERBOTTENS LÄN</t>
        </is>
      </c>
      <c r="E1423" t="inlineStr">
        <is>
          <t>SKELLEFTEÅ</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53389-2022</t>
        </is>
      </c>
      <c r="B1424" s="1" t="n">
        <v>44874</v>
      </c>
      <c r="C1424" s="1" t="n">
        <v>46145</v>
      </c>
      <c r="D1424" t="inlineStr">
        <is>
          <t>VÄSTERBOTTENS LÄN</t>
        </is>
      </c>
      <c r="E1424" t="inlineStr">
        <is>
          <t>LYCKSELE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46981-2022</t>
        </is>
      </c>
      <c r="B1425" s="1" t="n">
        <v>44851.95386574074</v>
      </c>
      <c r="C1425" s="1" t="n">
        <v>46145</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51682-2021</t>
        </is>
      </c>
      <c r="B1426" s="1" t="n">
        <v>44462.53556712963</v>
      </c>
      <c r="C1426" s="1" t="n">
        <v>46145</v>
      </c>
      <c r="D1426" t="inlineStr">
        <is>
          <t>VÄSTERBOTTENS LÄN</t>
        </is>
      </c>
      <c r="E1426" t="inlineStr">
        <is>
          <t>NORSJÖ</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49644-2021</t>
        </is>
      </c>
      <c r="B1427" s="1" t="n">
        <v>44454</v>
      </c>
      <c r="C1427" s="1" t="n">
        <v>46145</v>
      </c>
      <c r="D1427" t="inlineStr">
        <is>
          <t>VÄSTERBOTTENS LÄN</t>
        </is>
      </c>
      <c r="E1427" t="inlineStr">
        <is>
          <t>VÄNNÄS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6901-2022</t>
        </is>
      </c>
      <c r="B1428" s="1" t="n">
        <v>44602.92150462963</v>
      </c>
      <c r="C1428" s="1" t="n">
        <v>46145</v>
      </c>
      <c r="D1428" t="inlineStr">
        <is>
          <t>VÄSTERBOTTENS LÄN</t>
        </is>
      </c>
      <c r="E1428" t="inlineStr">
        <is>
          <t>NORSJÖ</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46145</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70365-2021</t>
        </is>
      </c>
      <c r="B1430" s="1" t="n">
        <v>44535</v>
      </c>
      <c r="C1430" s="1" t="n">
        <v>46145</v>
      </c>
      <c r="D1430" t="inlineStr">
        <is>
          <t>VÄSTERBOTTENS LÄN</t>
        </is>
      </c>
      <c r="E1430" t="inlineStr">
        <is>
          <t>ROBERTSFORS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45031-2022</t>
        </is>
      </c>
      <c r="B1431" s="1" t="n">
        <v>44841.65748842592</v>
      </c>
      <c r="C1431" s="1" t="n">
        <v>46145</v>
      </c>
      <c r="D1431" t="inlineStr">
        <is>
          <t>VÄSTERBOTTENS LÄN</t>
        </is>
      </c>
      <c r="E1431" t="inlineStr">
        <is>
          <t>UMEÅ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49081-2022</t>
        </is>
      </c>
      <c r="B1432" s="1" t="n">
        <v>44860</v>
      </c>
      <c r="C1432" s="1" t="n">
        <v>46145</v>
      </c>
      <c r="D1432" t="inlineStr">
        <is>
          <t>VÄSTERBOTTENS LÄN</t>
        </is>
      </c>
      <c r="E1432" t="inlineStr">
        <is>
          <t>STORUMAN</t>
        </is>
      </c>
      <c r="F1432" t="inlineStr">
        <is>
          <t>Sveaskog</t>
        </is>
      </c>
      <c r="G1432" t="n">
        <v>19.8</v>
      </c>
      <c r="H1432" t="n">
        <v>0</v>
      </c>
      <c r="I1432" t="n">
        <v>0</v>
      </c>
      <c r="J1432" t="n">
        <v>0</v>
      </c>
      <c r="K1432" t="n">
        <v>0</v>
      </c>
      <c r="L1432" t="n">
        <v>0</v>
      </c>
      <c r="M1432" t="n">
        <v>0</v>
      </c>
      <c r="N1432" t="n">
        <v>0</v>
      </c>
      <c r="O1432" t="n">
        <v>0</v>
      </c>
      <c r="P1432" t="n">
        <v>0</v>
      </c>
      <c r="Q1432" t="n">
        <v>0</v>
      </c>
      <c r="R1432" s="2" t="inlineStr"/>
    </row>
    <row r="1433" ht="15" customHeight="1">
      <c r="A1433" t="inlineStr">
        <is>
          <t>A 59372-2021</t>
        </is>
      </c>
      <c r="B1433" s="1" t="n">
        <v>44491</v>
      </c>
      <c r="C1433" s="1" t="n">
        <v>46145</v>
      </c>
      <c r="D1433" t="inlineStr">
        <is>
          <t>VÄSTERBOTTENS LÄN</t>
        </is>
      </c>
      <c r="E1433" t="inlineStr">
        <is>
          <t>SKELLEFTEÅ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38395-2021</t>
        </is>
      </c>
      <c r="B1434" s="1" t="n">
        <v>44406</v>
      </c>
      <c r="C1434" s="1" t="n">
        <v>46145</v>
      </c>
      <c r="D1434" t="inlineStr">
        <is>
          <t>VÄSTERBOTTENS LÄN</t>
        </is>
      </c>
      <c r="E1434" t="inlineStr">
        <is>
          <t>UMEÅ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38406-2021</t>
        </is>
      </c>
      <c r="B1435" s="1" t="n">
        <v>44406</v>
      </c>
      <c r="C1435" s="1" t="n">
        <v>46145</v>
      </c>
      <c r="D1435" t="inlineStr">
        <is>
          <t>VÄSTERBOTTENS LÄN</t>
        </is>
      </c>
      <c r="E1435" t="inlineStr">
        <is>
          <t>UMEÅ</t>
        </is>
      </c>
      <c r="F1435" t="inlineStr">
        <is>
          <t>Kommuner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38397-2021</t>
        </is>
      </c>
      <c r="B1436" s="1" t="n">
        <v>44406</v>
      </c>
      <c r="C1436" s="1" t="n">
        <v>46145</v>
      </c>
      <c r="D1436" t="inlineStr">
        <is>
          <t>VÄSTERBOTTENS LÄN</t>
        </is>
      </c>
      <c r="E1436" t="inlineStr">
        <is>
          <t>UMEÅ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44834.76478009259</v>
      </c>
      <c r="C1437" s="1" t="n">
        <v>46145</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44847.94993055556</v>
      </c>
      <c r="C1438" s="1" t="n">
        <v>46145</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45902-2022</t>
        </is>
      </c>
      <c r="B1439" s="1" t="n">
        <v>44846</v>
      </c>
      <c r="C1439" s="1" t="n">
        <v>46145</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27475-2021</t>
        </is>
      </c>
      <c r="B1440" s="1" t="n">
        <v>44351</v>
      </c>
      <c r="C1440" s="1" t="n">
        <v>46145</v>
      </c>
      <c r="D1440" t="inlineStr">
        <is>
          <t>VÄSTERBOTTENS LÄN</t>
        </is>
      </c>
      <c r="E1440" t="inlineStr">
        <is>
          <t>VINDELN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1120-2022</t>
        </is>
      </c>
      <c r="B1441" s="1" t="n">
        <v>44572.34782407407</v>
      </c>
      <c r="C1441" s="1" t="n">
        <v>46145</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32934-2021</t>
        </is>
      </c>
      <c r="B1442" s="1" t="n">
        <v>44375</v>
      </c>
      <c r="C1442" s="1" t="n">
        <v>46145</v>
      </c>
      <c r="D1442" t="inlineStr">
        <is>
          <t>VÄSTERBOTTENS LÄN</t>
        </is>
      </c>
      <c r="E1442" t="inlineStr">
        <is>
          <t>BJURHOLM</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38891-2021</t>
        </is>
      </c>
      <c r="B1443" s="1" t="n">
        <v>44410</v>
      </c>
      <c r="C1443" s="1" t="n">
        <v>46145</v>
      </c>
      <c r="D1443" t="inlineStr">
        <is>
          <t>VÄSTERBOTTENS LÄN</t>
        </is>
      </c>
      <c r="E1443" t="inlineStr">
        <is>
          <t>UMEÅ</t>
        </is>
      </c>
      <c r="F1443" t="inlineStr">
        <is>
          <t>Övriga statliga verk och myndigheter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27511-2021</t>
        </is>
      </c>
      <c r="B1444" s="1" t="n">
        <v>44351</v>
      </c>
      <c r="C1444" s="1" t="n">
        <v>46145</v>
      </c>
      <c r="D1444" t="inlineStr">
        <is>
          <t>VÄSTERBOTTENS LÄN</t>
        </is>
      </c>
      <c r="E1444" t="inlineStr">
        <is>
          <t>DOROTEA</t>
        </is>
      </c>
      <c r="F1444" t="inlineStr">
        <is>
          <t>Kommuner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74394-2021</t>
        </is>
      </c>
      <c r="B1445" s="1" t="n">
        <v>44559</v>
      </c>
      <c r="C1445" s="1" t="n">
        <v>46145</v>
      </c>
      <c r="D1445" t="inlineStr">
        <is>
          <t>VÄSTERBOTTENS LÄN</t>
        </is>
      </c>
      <c r="E1445" t="inlineStr">
        <is>
          <t>VINDELN</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27945-2021</t>
        </is>
      </c>
      <c r="B1446" s="1" t="n">
        <v>44354</v>
      </c>
      <c r="C1446" s="1" t="n">
        <v>46145</v>
      </c>
      <c r="D1446" t="inlineStr">
        <is>
          <t>VÄSTERBOTTENS LÄN</t>
        </is>
      </c>
      <c r="E1446" t="inlineStr">
        <is>
          <t>LYCKSELE</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31186-2021</t>
        </is>
      </c>
      <c r="B1447" s="1" t="n">
        <v>44368</v>
      </c>
      <c r="C1447" s="1" t="n">
        <v>46145</v>
      </c>
      <c r="D1447" t="inlineStr">
        <is>
          <t>VÄSTERBOTTENS LÄN</t>
        </is>
      </c>
      <c r="E1447" t="inlineStr">
        <is>
          <t>SKELLEFTEÅ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27444-2021</t>
        </is>
      </c>
      <c r="B1448" s="1" t="n">
        <v>44351</v>
      </c>
      <c r="C1448" s="1" t="n">
        <v>46145</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32006-2021</t>
        </is>
      </c>
      <c r="B1449" s="1" t="n">
        <v>44370.62300925926</v>
      </c>
      <c r="C1449" s="1" t="n">
        <v>46145</v>
      </c>
      <c r="D1449" t="inlineStr">
        <is>
          <t>VÄSTERBOTTENS LÄN</t>
        </is>
      </c>
      <c r="E1449" t="inlineStr">
        <is>
          <t>NORSJÖ</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32081-2021</t>
        </is>
      </c>
      <c r="B1450" s="1" t="n">
        <v>44370</v>
      </c>
      <c r="C1450" s="1" t="n">
        <v>46145</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36023-2021</t>
        </is>
      </c>
      <c r="B1451" s="1" t="n">
        <v>44386</v>
      </c>
      <c r="C1451" s="1" t="n">
        <v>46145</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32319-2021</t>
        </is>
      </c>
      <c r="B1452" s="1" t="n">
        <v>44371</v>
      </c>
      <c r="C1452" s="1" t="n">
        <v>46145</v>
      </c>
      <c r="D1452" t="inlineStr">
        <is>
          <t>VÄSTERBOTTENS LÄN</t>
        </is>
      </c>
      <c r="E1452" t="inlineStr">
        <is>
          <t>NORDMALING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48772-2022</t>
        </is>
      </c>
      <c r="B1453" s="1" t="n">
        <v>44859</v>
      </c>
      <c r="C1453" s="1" t="n">
        <v>46145</v>
      </c>
      <c r="D1453" t="inlineStr">
        <is>
          <t>VÄSTERBOTTENS LÄN</t>
        </is>
      </c>
      <c r="E1453" t="inlineStr">
        <is>
          <t>ÅSELE</t>
        </is>
      </c>
      <c r="F1453" t="inlineStr">
        <is>
          <t>Sveaskog</t>
        </is>
      </c>
      <c r="G1453" t="n">
        <v>26.9</v>
      </c>
      <c r="H1453" t="n">
        <v>0</v>
      </c>
      <c r="I1453" t="n">
        <v>0</v>
      </c>
      <c r="J1453" t="n">
        <v>0</v>
      </c>
      <c r="K1453" t="n">
        <v>0</v>
      </c>
      <c r="L1453" t="n">
        <v>0</v>
      </c>
      <c r="M1453" t="n">
        <v>0</v>
      </c>
      <c r="N1453" t="n">
        <v>0</v>
      </c>
      <c r="O1453" t="n">
        <v>0</v>
      </c>
      <c r="P1453" t="n">
        <v>0</v>
      </c>
      <c r="Q1453" t="n">
        <v>0</v>
      </c>
      <c r="R1453" s="2" t="inlineStr"/>
    </row>
    <row r="1454" ht="15" customHeight="1">
      <c r="A1454" t="inlineStr">
        <is>
          <t>A 15441-2022</t>
        </is>
      </c>
      <c r="B1454" s="1" t="n">
        <v>44659</v>
      </c>
      <c r="C1454" s="1" t="n">
        <v>46145</v>
      </c>
      <c r="D1454" t="inlineStr">
        <is>
          <t>VÄSTERBOTTENS LÄN</t>
        </is>
      </c>
      <c r="E1454" t="inlineStr">
        <is>
          <t>SKELLEFTEÅ</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46923-2022</t>
        </is>
      </c>
      <c r="B1455" s="1" t="n">
        <v>44851.68325231481</v>
      </c>
      <c r="C1455" s="1" t="n">
        <v>46145</v>
      </c>
      <c r="D1455" t="inlineStr">
        <is>
          <t>VÄSTERBOTTENS LÄN</t>
        </is>
      </c>
      <c r="E1455" t="inlineStr">
        <is>
          <t>NORDMALING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18497-2022</t>
        </is>
      </c>
      <c r="B1456" s="1" t="n">
        <v>44686</v>
      </c>
      <c r="C1456" s="1" t="n">
        <v>46145</v>
      </c>
      <c r="D1456" t="inlineStr">
        <is>
          <t>VÄSTERBOTTENS LÄN</t>
        </is>
      </c>
      <c r="E1456" t="inlineStr">
        <is>
          <t>VILHELMINA</t>
        </is>
      </c>
      <c r="F1456" t="inlineStr">
        <is>
          <t>Övriga statliga verk och myndigheter</t>
        </is>
      </c>
      <c r="G1456" t="n">
        <v>64.7</v>
      </c>
      <c r="H1456" t="n">
        <v>0</v>
      </c>
      <c r="I1456" t="n">
        <v>0</v>
      </c>
      <c r="J1456" t="n">
        <v>0</v>
      </c>
      <c r="K1456" t="n">
        <v>0</v>
      </c>
      <c r="L1456" t="n">
        <v>0</v>
      </c>
      <c r="M1456" t="n">
        <v>0</v>
      </c>
      <c r="N1456" t="n">
        <v>0</v>
      </c>
      <c r="O1456" t="n">
        <v>0</v>
      </c>
      <c r="P1456" t="n">
        <v>0</v>
      </c>
      <c r="Q1456" t="n">
        <v>0</v>
      </c>
      <c r="R1456" s="2" t="inlineStr"/>
    </row>
    <row r="1457" ht="15" customHeight="1">
      <c r="A1457" t="inlineStr">
        <is>
          <t>A 32663-2022</t>
        </is>
      </c>
      <c r="B1457" s="1" t="n">
        <v>44783.5321875</v>
      </c>
      <c r="C1457" s="1" t="n">
        <v>46145</v>
      </c>
      <c r="D1457" t="inlineStr">
        <is>
          <t>VÄSTERBOTTENS LÄN</t>
        </is>
      </c>
      <c r="E1457" t="inlineStr">
        <is>
          <t>LYCKSELE</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18576-2022</t>
        </is>
      </c>
      <c r="B1458" s="1" t="n">
        <v>44687.29710648148</v>
      </c>
      <c r="C1458" s="1" t="n">
        <v>46145</v>
      </c>
      <c r="D1458" t="inlineStr">
        <is>
          <t>VÄSTERBOTTENS LÄN</t>
        </is>
      </c>
      <c r="E1458" t="inlineStr">
        <is>
          <t>ÅSELE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49594-2021</t>
        </is>
      </c>
      <c r="B1459" s="1" t="n">
        <v>44455</v>
      </c>
      <c r="C1459" s="1" t="n">
        <v>46145</v>
      </c>
      <c r="D1459" t="inlineStr">
        <is>
          <t>VÄSTERBOTTENS LÄN</t>
        </is>
      </c>
      <c r="E1459" t="inlineStr">
        <is>
          <t>ROBERTSFORS</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47708-2021</t>
        </is>
      </c>
      <c r="B1460" s="1" t="n">
        <v>44448.48563657407</v>
      </c>
      <c r="C1460" s="1" t="n">
        <v>46145</v>
      </c>
      <c r="D1460" t="inlineStr">
        <is>
          <t>VÄSTERBOTTENS LÄN</t>
        </is>
      </c>
      <c r="E1460" t="inlineStr">
        <is>
          <t>LYCKSELE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64087-2021</t>
        </is>
      </c>
      <c r="B1461" s="1" t="n">
        <v>44509</v>
      </c>
      <c r="C1461" s="1" t="n">
        <v>46145</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46628-2021</t>
        </is>
      </c>
      <c r="B1462" s="1" t="n">
        <v>44445</v>
      </c>
      <c r="C1462" s="1" t="n">
        <v>46145</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47285-2022</t>
        </is>
      </c>
      <c r="B1463" s="1" t="n">
        <v>44852.95126157408</v>
      </c>
      <c r="C1463" s="1" t="n">
        <v>46145</v>
      </c>
      <c r="D1463" t="inlineStr">
        <is>
          <t>VÄSTERBOTTENS LÄN</t>
        </is>
      </c>
      <c r="E1463" t="inlineStr">
        <is>
          <t>VILHELMINA</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49876-2022</t>
        </is>
      </c>
      <c r="B1464" s="1" t="n">
        <v>44863.95594907407</v>
      </c>
      <c r="C1464" s="1" t="n">
        <v>46145</v>
      </c>
      <c r="D1464" t="inlineStr">
        <is>
          <t>VÄSTERBOTTENS LÄN</t>
        </is>
      </c>
      <c r="E1464" t="inlineStr">
        <is>
          <t>SKELLEFTEÅ</t>
        </is>
      </c>
      <c r="F1464" t="inlineStr">
        <is>
          <t>SCA</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60844-2021</t>
        </is>
      </c>
      <c r="B1465" s="1" t="n">
        <v>44497</v>
      </c>
      <c r="C1465" s="1" t="n">
        <v>46145</v>
      </c>
      <c r="D1465" t="inlineStr">
        <is>
          <t>VÄSTERBOTTENS LÄN</t>
        </is>
      </c>
      <c r="E1465" t="inlineStr">
        <is>
          <t>ROBERTSFORS</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23042-2022</t>
        </is>
      </c>
      <c r="B1466" s="1" t="n">
        <v>44719</v>
      </c>
      <c r="C1466" s="1" t="n">
        <v>46145</v>
      </c>
      <c r="D1466" t="inlineStr">
        <is>
          <t>VÄSTERBOTTENS LÄN</t>
        </is>
      </c>
      <c r="E1466" t="inlineStr">
        <is>
          <t>SKELLEFTEÅ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14199-2022</t>
        </is>
      </c>
      <c r="B1467" s="1" t="n">
        <v>44651</v>
      </c>
      <c r="C1467" s="1" t="n">
        <v>46145</v>
      </c>
      <c r="D1467" t="inlineStr">
        <is>
          <t>VÄSTERBOTTENS LÄN</t>
        </is>
      </c>
      <c r="E1467" t="inlineStr">
        <is>
          <t>NORDMALING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50206-2022</t>
        </is>
      </c>
      <c r="B1468" s="1" t="n">
        <v>44865</v>
      </c>
      <c r="C1468" s="1" t="n">
        <v>46145</v>
      </c>
      <c r="D1468" t="inlineStr">
        <is>
          <t>VÄSTERBOTTENS LÄN</t>
        </is>
      </c>
      <c r="E1468" t="inlineStr">
        <is>
          <t>UMEÅ</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20194-2022</t>
        </is>
      </c>
      <c r="B1469" s="1" t="n">
        <v>44698.55778935185</v>
      </c>
      <c r="C1469" s="1" t="n">
        <v>46145</v>
      </c>
      <c r="D1469" t="inlineStr">
        <is>
          <t>VÄSTERBOTTENS LÄN</t>
        </is>
      </c>
      <c r="E1469" t="inlineStr">
        <is>
          <t>STORUMAN</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32434-2022</t>
        </is>
      </c>
      <c r="B1470" s="1" t="n">
        <v>44782</v>
      </c>
      <c r="C1470" s="1" t="n">
        <v>46145</v>
      </c>
      <c r="D1470" t="inlineStr">
        <is>
          <t>VÄSTERBOTTENS LÄN</t>
        </is>
      </c>
      <c r="E1470" t="inlineStr">
        <is>
          <t>SKELLEFTEÅ</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22076-2022</t>
        </is>
      </c>
      <c r="B1471" s="1" t="n">
        <v>44711</v>
      </c>
      <c r="C1471" s="1" t="n">
        <v>46145</v>
      </c>
      <c r="D1471" t="inlineStr">
        <is>
          <t>VÄSTERBOTTENS LÄN</t>
        </is>
      </c>
      <c r="E1471" t="inlineStr">
        <is>
          <t>LYCKSELE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22325-2022</t>
        </is>
      </c>
      <c r="B1472" s="1" t="n">
        <v>44712</v>
      </c>
      <c r="C1472" s="1" t="n">
        <v>46145</v>
      </c>
      <c r="D1472" t="inlineStr">
        <is>
          <t>VÄSTERBOTTENS LÄN</t>
        </is>
      </c>
      <c r="E1472" t="inlineStr">
        <is>
          <t>VILHELMINA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36054-2022</t>
        </is>
      </c>
      <c r="B1473" s="1" t="n">
        <v>44802.7690625</v>
      </c>
      <c r="C1473" s="1" t="n">
        <v>46145</v>
      </c>
      <c r="D1473" t="inlineStr">
        <is>
          <t>VÄSTERBOTTENS LÄN</t>
        </is>
      </c>
      <c r="E1473" t="inlineStr">
        <is>
          <t>LYCKSELE</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51005-2022</t>
        </is>
      </c>
      <c r="B1474" s="1" t="n">
        <v>44867.94863425926</v>
      </c>
      <c r="C1474" s="1" t="n">
        <v>46145</v>
      </c>
      <c r="D1474" t="inlineStr">
        <is>
          <t>VÄSTERBOTTENS LÄN</t>
        </is>
      </c>
      <c r="E1474" t="inlineStr">
        <is>
          <t>NORDMALING</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51008-2022</t>
        </is>
      </c>
      <c r="B1475" s="1" t="n">
        <v>44867.94878472222</v>
      </c>
      <c r="C1475" s="1" t="n">
        <v>46145</v>
      </c>
      <c r="D1475" t="inlineStr">
        <is>
          <t>VÄSTERBOTTENS LÄN</t>
        </is>
      </c>
      <c r="E1475" t="inlineStr">
        <is>
          <t>NORDMALING</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55565-2021</t>
        </is>
      </c>
      <c r="B1476" s="1" t="n">
        <v>44475</v>
      </c>
      <c r="C1476" s="1" t="n">
        <v>46145</v>
      </c>
      <c r="D1476" t="inlineStr">
        <is>
          <t>VÄSTERBOTTENS LÄN</t>
        </is>
      </c>
      <c r="E1476" t="inlineStr">
        <is>
          <t>LYCKSELE</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52086-2021</t>
        </is>
      </c>
      <c r="B1477" s="1" t="n">
        <v>44463</v>
      </c>
      <c r="C1477" s="1" t="n">
        <v>46145</v>
      </c>
      <c r="D1477" t="inlineStr">
        <is>
          <t>VÄSTERBOTTENS LÄN</t>
        </is>
      </c>
      <c r="E1477" t="inlineStr">
        <is>
          <t>SKELLEFTEÅ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24183-2022</t>
        </is>
      </c>
      <c r="B1478" s="1" t="n">
        <v>44725</v>
      </c>
      <c r="C1478" s="1" t="n">
        <v>46145</v>
      </c>
      <c r="D1478" t="inlineStr">
        <is>
          <t>VÄSTERBOTTENS LÄN</t>
        </is>
      </c>
      <c r="E1478" t="inlineStr">
        <is>
          <t>DOROTEA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51356-2022</t>
        </is>
      </c>
      <c r="B1479" s="1" t="n">
        <v>44866</v>
      </c>
      <c r="C1479" s="1" t="n">
        <v>46145</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57573-2021</t>
        </is>
      </c>
      <c r="B1480" s="1" t="n">
        <v>44482</v>
      </c>
      <c r="C1480" s="1" t="n">
        <v>46145</v>
      </c>
      <c r="D1480" t="inlineStr">
        <is>
          <t>VÄSTERBOTTENS LÄN</t>
        </is>
      </c>
      <c r="E1480" t="inlineStr">
        <is>
          <t>DOROTEA</t>
        </is>
      </c>
      <c r="F1480" t="inlineStr">
        <is>
          <t>Övriga statliga verk och myndigheter</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60440-2021</t>
        </is>
      </c>
      <c r="B1481" s="1" t="n">
        <v>44496.42803240741</v>
      </c>
      <c r="C1481" s="1" t="n">
        <v>46145</v>
      </c>
      <c r="D1481" t="inlineStr">
        <is>
          <t>VÄSTERBOTTENS LÄN</t>
        </is>
      </c>
      <c r="E1481" t="inlineStr">
        <is>
          <t>LYCKSELE</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46145</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70177-2021</t>
        </is>
      </c>
      <c r="B1483" s="1" t="n">
        <v>44533</v>
      </c>
      <c r="C1483" s="1" t="n">
        <v>46145</v>
      </c>
      <c r="D1483" t="inlineStr">
        <is>
          <t>VÄSTERBOTTENS LÄN</t>
        </is>
      </c>
      <c r="E1483" t="inlineStr">
        <is>
          <t>SORSELE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6249-2022</t>
        </is>
      </c>
      <c r="B1484" s="1" t="n">
        <v>44600</v>
      </c>
      <c r="C1484" s="1" t="n">
        <v>46145</v>
      </c>
      <c r="D1484" t="inlineStr">
        <is>
          <t>VÄSTERBOTTENS LÄN</t>
        </is>
      </c>
      <c r="E1484" t="inlineStr">
        <is>
          <t>VINDELN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23505-2022</t>
        </is>
      </c>
      <c r="B1485" s="1" t="n">
        <v>44721</v>
      </c>
      <c r="C1485" s="1" t="n">
        <v>46145</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32661-2021</t>
        </is>
      </c>
      <c r="B1486" s="1" t="n">
        <v>44375</v>
      </c>
      <c r="C1486" s="1" t="n">
        <v>46145</v>
      </c>
      <c r="D1486" t="inlineStr">
        <is>
          <t>VÄSTERBOTTENS LÄN</t>
        </is>
      </c>
      <c r="E1486" t="inlineStr">
        <is>
          <t>NORSJÖ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51068-2022</t>
        </is>
      </c>
      <c r="B1487" s="1" t="n">
        <v>44865</v>
      </c>
      <c r="C1487" s="1" t="n">
        <v>46145</v>
      </c>
      <c r="D1487" t="inlineStr">
        <is>
          <t>VÄSTERBOTTENS LÄN</t>
        </is>
      </c>
      <c r="E1487" t="inlineStr">
        <is>
          <t>BJURHOLM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60862-2023</t>
        </is>
      </c>
      <c r="B1488" s="1" t="n">
        <v>45260.96586805556</v>
      </c>
      <c r="C1488" s="1" t="n">
        <v>46145</v>
      </c>
      <c r="D1488" t="inlineStr">
        <is>
          <t>VÄSTERBOTTENS LÄN</t>
        </is>
      </c>
      <c r="E1488" t="inlineStr">
        <is>
          <t>BJURHOLM</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45417-2022</t>
        </is>
      </c>
      <c r="B1489" s="1" t="n">
        <v>44844</v>
      </c>
      <c r="C1489" s="1" t="n">
        <v>46145</v>
      </c>
      <c r="D1489" t="inlineStr">
        <is>
          <t>VÄSTERBOTTENS LÄN</t>
        </is>
      </c>
      <c r="E1489" t="inlineStr">
        <is>
          <t>BJURHOLM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8983-2022</t>
        </is>
      </c>
      <c r="B1490" s="1" t="n">
        <v>44614</v>
      </c>
      <c r="C1490" s="1" t="n">
        <v>46145</v>
      </c>
      <c r="D1490" t="inlineStr">
        <is>
          <t>VÄSTERBOTTENS LÄN</t>
        </is>
      </c>
      <c r="E1490" t="inlineStr">
        <is>
          <t>DOROTEA</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7383-2022</t>
        </is>
      </c>
      <c r="B1491" s="1" t="n">
        <v>44606.62075231481</v>
      </c>
      <c r="C1491" s="1" t="n">
        <v>46145</v>
      </c>
      <c r="D1491" t="inlineStr">
        <is>
          <t>VÄSTERBOTTENS LÄN</t>
        </is>
      </c>
      <c r="E1491" t="inlineStr">
        <is>
          <t>UMEÅ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8457-2022</t>
        </is>
      </c>
      <c r="B1492" s="1" t="n">
        <v>44612.92134259259</v>
      </c>
      <c r="C1492" s="1" t="n">
        <v>46145</v>
      </c>
      <c r="D1492" t="inlineStr">
        <is>
          <t>VÄSTERBOTTENS LÄN</t>
        </is>
      </c>
      <c r="E1492" t="inlineStr">
        <is>
          <t>ROBERTSFORS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15111-2022</t>
        </is>
      </c>
      <c r="B1493" s="1" t="n">
        <v>44658</v>
      </c>
      <c r="C1493" s="1" t="n">
        <v>46145</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52685-2022</t>
        </is>
      </c>
      <c r="B1494" s="1" t="n">
        <v>44874.87652777778</v>
      </c>
      <c r="C1494" s="1" t="n">
        <v>46145</v>
      </c>
      <c r="D1494" t="inlineStr">
        <is>
          <t>VÄSTERBOTTENS LÄN</t>
        </is>
      </c>
      <c r="E1494" t="inlineStr">
        <is>
          <t>VINDELN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25068-2022</t>
        </is>
      </c>
      <c r="B1495" s="1" t="n">
        <v>44729</v>
      </c>
      <c r="C1495" s="1" t="n">
        <v>46145</v>
      </c>
      <c r="D1495" t="inlineStr">
        <is>
          <t>VÄSTERBOTTENS LÄN</t>
        </is>
      </c>
      <c r="E1495" t="inlineStr">
        <is>
          <t>UMEÅ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32998-2022</t>
        </is>
      </c>
      <c r="B1496" s="1" t="n">
        <v>44784</v>
      </c>
      <c r="C1496" s="1" t="n">
        <v>46145</v>
      </c>
      <c r="D1496" t="inlineStr">
        <is>
          <t>VÄSTERBOTTENS LÄN</t>
        </is>
      </c>
      <c r="E1496" t="inlineStr">
        <is>
          <t>LYCKSELE</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23188-2022</t>
        </is>
      </c>
      <c r="B1497" s="1" t="n">
        <v>44719.92506944444</v>
      </c>
      <c r="C1497" s="1" t="n">
        <v>46145</v>
      </c>
      <c r="D1497" t="inlineStr">
        <is>
          <t>VÄSTERBOTTENS LÄN</t>
        </is>
      </c>
      <c r="E1497" t="inlineStr">
        <is>
          <t>STORUMAN</t>
        </is>
      </c>
      <c r="F1497" t="inlineStr">
        <is>
          <t>Sveaskog</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8459-2022</t>
        </is>
      </c>
      <c r="B1498" s="1" t="n">
        <v>44612.92251157408</v>
      </c>
      <c r="C1498" s="1" t="n">
        <v>46145</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46145</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35227-2022</t>
        </is>
      </c>
      <c r="B1500" s="1" t="n">
        <v>44797.94505787037</v>
      </c>
      <c r="C1500" s="1" t="n">
        <v>46145</v>
      </c>
      <c r="D1500" t="inlineStr">
        <is>
          <t>VÄSTERBOTTENS LÄN</t>
        </is>
      </c>
      <c r="E1500" t="inlineStr">
        <is>
          <t>ÅSELE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45761-2022</t>
        </is>
      </c>
      <c r="B1501" s="1" t="n">
        <v>44846.3721875</v>
      </c>
      <c r="C1501" s="1" t="n">
        <v>46145</v>
      </c>
      <c r="D1501" t="inlineStr">
        <is>
          <t>VÄSTERBOTTENS LÄN</t>
        </is>
      </c>
      <c r="E1501" t="inlineStr">
        <is>
          <t>STORUMAN</t>
        </is>
      </c>
      <c r="F1501" t="inlineStr">
        <is>
          <t>Sveaskog</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33373-2021</t>
        </is>
      </c>
      <c r="B1502" s="1" t="n">
        <v>44377.5328125</v>
      </c>
      <c r="C1502" s="1" t="n">
        <v>46145</v>
      </c>
      <c r="D1502" t="inlineStr">
        <is>
          <t>VÄSTERBOTTENS LÄN</t>
        </is>
      </c>
      <c r="E1502" t="inlineStr">
        <is>
          <t>SKELLEFTEÅ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33354-2022</t>
        </is>
      </c>
      <c r="B1503" s="1" t="n">
        <v>44788</v>
      </c>
      <c r="C1503" s="1" t="n">
        <v>46145</v>
      </c>
      <c r="D1503" t="inlineStr">
        <is>
          <t>VÄSTERBOTTENS LÄN</t>
        </is>
      </c>
      <c r="E1503" t="inlineStr">
        <is>
          <t>VINDELN</t>
        </is>
      </c>
      <c r="F1503" t="inlineStr">
        <is>
          <t>Naturvårdsverket</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46145</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3963-2022</t>
        </is>
      </c>
      <c r="B1505" s="1" t="n">
        <v>44587.60012731481</v>
      </c>
      <c r="C1505" s="1" t="n">
        <v>46145</v>
      </c>
      <c r="D1505" t="inlineStr">
        <is>
          <t>VÄSTERBOTTENS LÄN</t>
        </is>
      </c>
      <c r="E1505" t="inlineStr">
        <is>
          <t>SKELLEFTEÅ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46145</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44612.92121527778</v>
      </c>
      <c r="C1507" s="1" t="n">
        <v>46145</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46145</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45890-2022</t>
        </is>
      </c>
      <c r="B1509" s="1" t="n">
        <v>44844</v>
      </c>
      <c r="C1509" s="1" t="n">
        <v>46145</v>
      </c>
      <c r="D1509" t="inlineStr">
        <is>
          <t>VÄSTERBOTTENS LÄN</t>
        </is>
      </c>
      <c r="E1509" t="inlineStr">
        <is>
          <t>SKELLEFTEÅ</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45418-2022</t>
        </is>
      </c>
      <c r="B1510" s="1" t="n">
        <v>44844.92738425926</v>
      </c>
      <c r="C1510" s="1" t="n">
        <v>46145</v>
      </c>
      <c r="D1510" t="inlineStr">
        <is>
          <t>VÄSTERBOTTENS LÄN</t>
        </is>
      </c>
      <c r="E1510" t="inlineStr">
        <is>
          <t>BJURHOLM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6834-2022</t>
        </is>
      </c>
      <c r="B1511" s="1" t="n">
        <v>44602</v>
      </c>
      <c r="C1511" s="1" t="n">
        <v>46145</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30434-2021</t>
        </is>
      </c>
      <c r="B1512" s="1" t="n">
        <v>44364</v>
      </c>
      <c r="C1512" s="1" t="n">
        <v>46145</v>
      </c>
      <c r="D1512" t="inlineStr">
        <is>
          <t>VÄSTERBOTTENS LÄN</t>
        </is>
      </c>
      <c r="E1512" t="inlineStr">
        <is>
          <t>STORUMAN</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12622-2022</t>
        </is>
      </c>
      <c r="B1513" s="1" t="n">
        <v>44641</v>
      </c>
      <c r="C1513" s="1" t="n">
        <v>46145</v>
      </c>
      <c r="D1513" t="inlineStr">
        <is>
          <t>VÄSTERBOTTENS LÄN</t>
        </is>
      </c>
      <c r="E1513" t="inlineStr">
        <is>
          <t>ROBERTSFORS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30938-2022</t>
        </is>
      </c>
      <c r="B1514" s="1" t="n">
        <v>44767.94136574074</v>
      </c>
      <c r="C1514" s="1" t="n">
        <v>46145</v>
      </c>
      <c r="D1514" t="inlineStr">
        <is>
          <t>VÄSTERBOTTENS LÄN</t>
        </is>
      </c>
      <c r="E1514" t="inlineStr">
        <is>
          <t>ÅSELE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22778-2022</t>
        </is>
      </c>
      <c r="B1515" s="1" t="n">
        <v>44714.94216435185</v>
      </c>
      <c r="C1515" s="1" t="n">
        <v>46145</v>
      </c>
      <c r="D1515" t="inlineStr">
        <is>
          <t>VÄSTERBOTTENS LÄN</t>
        </is>
      </c>
      <c r="E1515" t="inlineStr">
        <is>
          <t>VINDELN</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31596-2022</t>
        </is>
      </c>
      <c r="B1516" s="1" t="n">
        <v>44775</v>
      </c>
      <c r="C1516" s="1" t="n">
        <v>46145</v>
      </c>
      <c r="D1516" t="inlineStr">
        <is>
          <t>VÄSTERBOTTENS LÄN</t>
        </is>
      </c>
      <c r="E1516" t="inlineStr">
        <is>
          <t>ROBERTSFORS</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10302-2022</t>
        </is>
      </c>
      <c r="B1517" s="1" t="n">
        <v>44622.92310185185</v>
      </c>
      <c r="C1517" s="1" t="n">
        <v>46145</v>
      </c>
      <c r="D1517" t="inlineStr">
        <is>
          <t>VÄSTERBOTTENS LÄN</t>
        </is>
      </c>
      <c r="E1517" t="inlineStr">
        <is>
          <t>LYCKSELE</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48935-2022</t>
        </is>
      </c>
      <c r="B1518" s="1" t="n">
        <v>44859</v>
      </c>
      <c r="C1518" s="1" t="n">
        <v>46145</v>
      </c>
      <c r="D1518" t="inlineStr">
        <is>
          <t>VÄSTERBOTTENS LÄN</t>
        </is>
      </c>
      <c r="E1518" t="inlineStr">
        <is>
          <t>DOROTEA</t>
        </is>
      </c>
      <c r="F1518" t="inlineStr">
        <is>
          <t>SCA</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48941-2022</t>
        </is>
      </c>
      <c r="B1519" s="1" t="n">
        <v>44859.95730324074</v>
      </c>
      <c r="C1519" s="1" t="n">
        <v>46145</v>
      </c>
      <c r="D1519" t="inlineStr">
        <is>
          <t>VÄSTERBOTTENS LÄN</t>
        </is>
      </c>
      <c r="E1519" t="inlineStr">
        <is>
          <t>NORDMALING</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38812-2022</t>
        </is>
      </c>
      <c r="B1520" s="1" t="n">
        <v>44816.46444444444</v>
      </c>
      <c r="C1520" s="1" t="n">
        <v>46145</v>
      </c>
      <c r="D1520" t="inlineStr">
        <is>
          <t>VÄSTERBOTTENS LÄN</t>
        </is>
      </c>
      <c r="E1520" t="inlineStr">
        <is>
          <t>UMEÅ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72551-2021</t>
        </is>
      </c>
      <c r="B1521" s="1" t="n">
        <v>44545</v>
      </c>
      <c r="C1521" s="1" t="n">
        <v>46145</v>
      </c>
      <c r="D1521" t="inlineStr">
        <is>
          <t>VÄSTERBOTTENS LÄN</t>
        </is>
      </c>
      <c r="E1521" t="inlineStr">
        <is>
          <t>VINDELN</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38721-2021</t>
        </is>
      </c>
      <c r="B1522" s="1" t="n">
        <v>44410</v>
      </c>
      <c r="C1522" s="1" t="n">
        <v>46145</v>
      </c>
      <c r="D1522" t="inlineStr">
        <is>
          <t>VÄSTERBOTTENS LÄN</t>
        </is>
      </c>
      <c r="E1522" t="inlineStr">
        <is>
          <t>UMEÅ</t>
        </is>
      </c>
      <c r="F1522" t="inlineStr">
        <is>
          <t>Kommuner</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48144-2022</t>
        </is>
      </c>
      <c r="B1523" s="1" t="n">
        <v>44858</v>
      </c>
      <c r="C1523" s="1" t="n">
        <v>46145</v>
      </c>
      <c r="D1523" t="inlineStr">
        <is>
          <t>VÄSTERBOTTENS LÄN</t>
        </is>
      </c>
      <c r="E1523" t="inlineStr">
        <is>
          <t>MALÅ</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33161-2021</t>
        </is>
      </c>
      <c r="B1524" s="1" t="n">
        <v>44376.69396990741</v>
      </c>
      <c r="C1524" s="1" t="n">
        <v>46145</v>
      </c>
      <c r="D1524" t="inlineStr">
        <is>
          <t>VÄSTERBOTTENS LÄN</t>
        </is>
      </c>
      <c r="E1524" t="inlineStr">
        <is>
          <t>LYCKSELE</t>
        </is>
      </c>
      <c r="F1524" t="inlineStr">
        <is>
          <t>Holmen skog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38391-2021</t>
        </is>
      </c>
      <c r="B1525" s="1" t="n">
        <v>44406</v>
      </c>
      <c r="C1525" s="1" t="n">
        <v>46145</v>
      </c>
      <c r="D1525" t="inlineStr">
        <is>
          <t>VÄSTERBOTTENS LÄN</t>
        </is>
      </c>
      <c r="E1525" t="inlineStr">
        <is>
          <t>UMEÅ</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42682-2022</t>
        </is>
      </c>
      <c r="B1526" s="1" t="n">
        <v>44831</v>
      </c>
      <c r="C1526" s="1" t="n">
        <v>46145</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38544-2021</t>
        </is>
      </c>
      <c r="B1527" s="1" t="n">
        <v>44407</v>
      </c>
      <c r="C1527" s="1" t="n">
        <v>46145</v>
      </c>
      <c r="D1527" t="inlineStr">
        <is>
          <t>VÄSTERBOTTENS LÄN</t>
        </is>
      </c>
      <c r="E1527" t="inlineStr">
        <is>
          <t>LYCKSELE</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38679-2021</t>
        </is>
      </c>
      <c r="B1528" s="1" t="n">
        <v>44407</v>
      </c>
      <c r="C1528" s="1" t="n">
        <v>46145</v>
      </c>
      <c r="D1528" t="inlineStr">
        <is>
          <t>VÄSTERBOTTENS LÄN</t>
        </is>
      </c>
      <c r="E1528" t="inlineStr">
        <is>
          <t>UMEÅ</t>
        </is>
      </c>
      <c r="F1528" t="inlineStr">
        <is>
          <t>Kommuner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38690-2021</t>
        </is>
      </c>
      <c r="B1529" s="1" t="n">
        <v>44407</v>
      </c>
      <c r="C1529" s="1" t="n">
        <v>46145</v>
      </c>
      <c r="D1529" t="inlineStr">
        <is>
          <t>VÄSTERBOTTENS LÄN</t>
        </is>
      </c>
      <c r="E1529" t="inlineStr">
        <is>
          <t>UMEÅ</t>
        </is>
      </c>
      <c r="F1529" t="inlineStr">
        <is>
          <t>Kommuner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38712-2021</t>
        </is>
      </c>
      <c r="B1530" s="1" t="n">
        <v>44405</v>
      </c>
      <c r="C1530" s="1" t="n">
        <v>46145</v>
      </c>
      <c r="D1530" t="inlineStr">
        <is>
          <t>VÄSTERBOTTENS LÄN</t>
        </is>
      </c>
      <c r="E1530" t="inlineStr">
        <is>
          <t>LYCKSELE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26807-2022</t>
        </is>
      </c>
      <c r="B1531" s="1" t="n">
        <v>44740.4341087963</v>
      </c>
      <c r="C1531" s="1" t="n">
        <v>46145</v>
      </c>
      <c r="D1531" t="inlineStr">
        <is>
          <t>VÄSTERBOTTENS LÄN</t>
        </is>
      </c>
      <c r="E1531" t="inlineStr">
        <is>
          <t>SKELLEFTEÅ</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29029-2022</t>
        </is>
      </c>
      <c r="B1532" s="1" t="n">
        <v>44749</v>
      </c>
      <c r="C1532" s="1" t="n">
        <v>46145</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9781-2022</t>
        </is>
      </c>
      <c r="B1533" s="1" t="n">
        <v>44619</v>
      </c>
      <c r="C1533" s="1" t="n">
        <v>46145</v>
      </c>
      <c r="D1533" t="inlineStr">
        <is>
          <t>VÄSTERBOTTENS LÄN</t>
        </is>
      </c>
      <c r="E1533" t="inlineStr">
        <is>
          <t>VILHELMINA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427-2022</t>
        </is>
      </c>
      <c r="B1534" s="1" t="n">
        <v>44565.92820601852</v>
      </c>
      <c r="C1534" s="1" t="n">
        <v>46145</v>
      </c>
      <c r="D1534" t="inlineStr">
        <is>
          <t>VÄSTERBOTTENS LÄN</t>
        </is>
      </c>
      <c r="E1534" t="inlineStr">
        <is>
          <t>VÄNNÄS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18788-2022</t>
        </is>
      </c>
      <c r="B1535" s="1" t="n">
        <v>44687</v>
      </c>
      <c r="C1535" s="1" t="n">
        <v>46145</v>
      </c>
      <c r="D1535" t="inlineStr">
        <is>
          <t>VÄSTERBOTTENS LÄN</t>
        </is>
      </c>
      <c r="E1535" t="inlineStr">
        <is>
          <t>UMEÅ</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28989-2022</t>
        </is>
      </c>
      <c r="B1536" s="1" t="n">
        <v>44749.66362268518</v>
      </c>
      <c r="C1536" s="1" t="n">
        <v>46145</v>
      </c>
      <c r="D1536" t="inlineStr">
        <is>
          <t>VÄSTERBOTTENS LÄN</t>
        </is>
      </c>
      <c r="E1536" t="inlineStr">
        <is>
          <t>LYCKSELE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47642-2022</t>
        </is>
      </c>
      <c r="B1537" s="1" t="n">
        <v>44854.43480324074</v>
      </c>
      <c r="C1537" s="1" t="n">
        <v>46145</v>
      </c>
      <c r="D1537" t="inlineStr">
        <is>
          <t>VÄSTERBOTTENS LÄN</t>
        </is>
      </c>
      <c r="E1537" t="inlineStr">
        <is>
          <t>UMEÅ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42859-2021</t>
        </is>
      </c>
      <c r="B1538" s="1" t="n">
        <v>44430.8487962963</v>
      </c>
      <c r="C1538" s="1" t="n">
        <v>46145</v>
      </c>
      <c r="D1538" t="inlineStr">
        <is>
          <t>VÄSTERBOTTENS LÄN</t>
        </is>
      </c>
      <c r="E1538" t="inlineStr">
        <is>
          <t>NORDMALING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46422-2022</t>
        </is>
      </c>
      <c r="B1539" s="1" t="n">
        <v>44848.44364583334</v>
      </c>
      <c r="C1539" s="1" t="n">
        <v>46145</v>
      </c>
      <c r="D1539" t="inlineStr">
        <is>
          <t>VÄSTERBOTTENS LÄN</t>
        </is>
      </c>
      <c r="E1539" t="inlineStr">
        <is>
          <t>VINDELN</t>
        </is>
      </c>
      <c r="F1539" t="inlineStr">
        <is>
          <t>Holmen skog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61511-2021</t>
        </is>
      </c>
      <c r="B1540" s="1" t="n">
        <v>44501.35502314815</v>
      </c>
      <c r="C1540" s="1" t="n">
        <v>46145</v>
      </c>
      <c r="D1540" t="inlineStr">
        <is>
          <t>VÄSTERBOTTENS LÄN</t>
        </is>
      </c>
      <c r="E1540" t="inlineStr">
        <is>
          <t>LYCKSELE</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46145</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46145</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24663-2022</t>
        </is>
      </c>
      <c r="B1543" s="1" t="n">
        <v>44728</v>
      </c>
      <c r="C1543" s="1" t="n">
        <v>46145</v>
      </c>
      <c r="D1543" t="inlineStr">
        <is>
          <t>VÄSTERBOTTENS LÄN</t>
        </is>
      </c>
      <c r="E1543" t="inlineStr">
        <is>
          <t>SKELLEFTEÅ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27976-2022</t>
        </is>
      </c>
      <c r="B1544" s="1" t="n">
        <v>44744.94275462963</v>
      </c>
      <c r="C1544" s="1" t="n">
        <v>46145</v>
      </c>
      <c r="D1544" t="inlineStr">
        <is>
          <t>VÄSTERBOTTENS LÄN</t>
        </is>
      </c>
      <c r="E1544" t="inlineStr">
        <is>
          <t>NORDMALING</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34786-2022</t>
        </is>
      </c>
      <c r="B1545" s="1" t="n">
        <v>44795.94395833334</v>
      </c>
      <c r="C1545" s="1" t="n">
        <v>46145</v>
      </c>
      <c r="D1545" t="inlineStr">
        <is>
          <t>VÄSTERBOTTENS LÄN</t>
        </is>
      </c>
      <c r="E1545" t="inlineStr">
        <is>
          <t>ÅSELE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39509-2021</t>
        </is>
      </c>
      <c r="B1546" s="1" t="n">
        <v>44414.93936342592</v>
      </c>
      <c r="C1546" s="1" t="n">
        <v>46145</v>
      </c>
      <c r="D1546" t="inlineStr">
        <is>
          <t>VÄSTERBOTTENS LÄN</t>
        </is>
      </c>
      <c r="E1546" t="inlineStr">
        <is>
          <t>VINDELN</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27620-2022</t>
        </is>
      </c>
      <c r="B1547" s="1" t="n">
        <v>44742</v>
      </c>
      <c r="C1547" s="1" t="n">
        <v>46145</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1897-2022</t>
        </is>
      </c>
      <c r="B1548" s="1" t="n">
        <v>44575</v>
      </c>
      <c r="C1548" s="1" t="n">
        <v>46145</v>
      </c>
      <c r="D1548" t="inlineStr">
        <is>
          <t>VÄSTERBOTTENS LÄN</t>
        </is>
      </c>
      <c r="E1548" t="inlineStr">
        <is>
          <t>ROBERTSFORS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34587-2022</t>
        </is>
      </c>
      <c r="B1549" s="1" t="n">
        <v>44795</v>
      </c>
      <c r="C1549" s="1" t="n">
        <v>46145</v>
      </c>
      <c r="D1549" t="inlineStr">
        <is>
          <t>VÄSTERBOTTENS LÄN</t>
        </is>
      </c>
      <c r="E1549" t="inlineStr">
        <is>
          <t>ROBERTSFORS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54792-2021</t>
        </is>
      </c>
      <c r="B1550" s="1" t="n">
        <v>44473.94219907407</v>
      </c>
      <c r="C1550" s="1" t="n">
        <v>46145</v>
      </c>
      <c r="D1550" t="inlineStr">
        <is>
          <t>VÄSTERBOTTENS LÄN</t>
        </is>
      </c>
      <c r="E1550" t="inlineStr">
        <is>
          <t>STORUMAN</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59445-2021</t>
        </is>
      </c>
      <c r="B1551" s="1" t="n">
        <v>44490</v>
      </c>
      <c r="C1551" s="1" t="n">
        <v>46145</v>
      </c>
      <c r="D1551" t="inlineStr">
        <is>
          <t>VÄSTERBOTTENS LÄN</t>
        </is>
      </c>
      <c r="E1551" t="inlineStr">
        <is>
          <t>LYCKSELE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31163-2021</t>
        </is>
      </c>
      <c r="B1552" s="1" t="n">
        <v>44368.57520833334</v>
      </c>
      <c r="C1552" s="1" t="n">
        <v>46145</v>
      </c>
      <c r="D1552" t="inlineStr">
        <is>
          <t>VÄSTERBOTTENS LÄN</t>
        </is>
      </c>
      <c r="E1552" t="inlineStr">
        <is>
          <t>VINDELN</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68105-2021</t>
        </is>
      </c>
      <c r="B1553" s="1" t="n">
        <v>44526.36642361111</v>
      </c>
      <c r="C1553" s="1" t="n">
        <v>46145</v>
      </c>
      <c r="D1553" t="inlineStr">
        <is>
          <t>VÄSTERBOTTENS LÄN</t>
        </is>
      </c>
      <c r="E1553" t="inlineStr">
        <is>
          <t>ÅSELE</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46145</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26231-2022</t>
        </is>
      </c>
      <c r="B1555" s="1" t="n">
        <v>44735</v>
      </c>
      <c r="C1555" s="1" t="n">
        <v>46145</v>
      </c>
      <c r="D1555" t="inlineStr">
        <is>
          <t>VÄSTERBOTTENS LÄN</t>
        </is>
      </c>
      <c r="E1555" t="inlineStr">
        <is>
          <t>ROBERTSFORS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46145</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42348-2022</t>
        </is>
      </c>
      <c r="B1557" s="1" t="n">
        <v>44827</v>
      </c>
      <c r="C1557" s="1" t="n">
        <v>46145</v>
      </c>
      <c r="D1557" t="inlineStr">
        <is>
          <t>VÄSTERBOTTENS LÄN</t>
        </is>
      </c>
      <c r="E1557" t="inlineStr">
        <is>
          <t>SKELLEFTEÅ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44830-2022</t>
        </is>
      </c>
      <c r="B1558" s="1" t="n">
        <v>44841</v>
      </c>
      <c r="C1558" s="1" t="n">
        <v>46145</v>
      </c>
      <c r="D1558" t="inlineStr">
        <is>
          <t>VÄSTERBOTTENS LÄN</t>
        </is>
      </c>
      <c r="E1558" t="inlineStr">
        <is>
          <t>UMEÅ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49027-2022</t>
        </is>
      </c>
      <c r="B1559" s="1" t="n">
        <v>44860</v>
      </c>
      <c r="C1559" s="1" t="n">
        <v>46145</v>
      </c>
      <c r="D1559" t="inlineStr">
        <is>
          <t>VÄSTERBOTTENS LÄN</t>
        </is>
      </c>
      <c r="E1559" t="inlineStr">
        <is>
          <t>UMEÅ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43714-2022</t>
        </is>
      </c>
      <c r="B1560" s="1" t="n">
        <v>44837.66417824074</v>
      </c>
      <c r="C1560" s="1" t="n">
        <v>46145</v>
      </c>
      <c r="D1560" t="inlineStr">
        <is>
          <t>VÄSTERBOTTENS LÄN</t>
        </is>
      </c>
      <c r="E1560" t="inlineStr">
        <is>
          <t>VILHELMINA</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48024-2022</t>
        </is>
      </c>
      <c r="B1561" s="1" t="n">
        <v>44855</v>
      </c>
      <c r="C1561" s="1" t="n">
        <v>46145</v>
      </c>
      <c r="D1561" t="inlineStr">
        <is>
          <t>VÄSTERBOTTENS LÄN</t>
        </is>
      </c>
      <c r="E1561" t="inlineStr">
        <is>
          <t>ROBERTSFORS</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8461-2022</t>
        </is>
      </c>
      <c r="B1562" s="1" t="n">
        <v>44612.92259259259</v>
      </c>
      <c r="C1562" s="1" t="n">
        <v>46145</v>
      </c>
      <c r="D1562" t="inlineStr">
        <is>
          <t>VÄSTERBOTTENS LÄN</t>
        </is>
      </c>
      <c r="E1562" t="inlineStr">
        <is>
          <t>ROBERTSFORS</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54911-2021</t>
        </is>
      </c>
      <c r="B1563" s="1" t="n">
        <v>44474</v>
      </c>
      <c r="C1563" s="1" t="n">
        <v>46145</v>
      </c>
      <c r="D1563" t="inlineStr">
        <is>
          <t>VÄSTERBOTTENS LÄN</t>
        </is>
      </c>
      <c r="E1563" t="inlineStr">
        <is>
          <t>ÅSELE</t>
        </is>
      </c>
      <c r="F1563" t="inlineStr">
        <is>
          <t>Holmen skog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47266-2022</t>
        </is>
      </c>
      <c r="B1564" s="1" t="n">
        <v>44852</v>
      </c>
      <c r="C1564" s="1" t="n">
        <v>46145</v>
      </c>
      <c r="D1564" t="inlineStr">
        <is>
          <t>VÄSTERBOTTENS LÄN</t>
        </is>
      </c>
      <c r="E1564" t="inlineStr">
        <is>
          <t>DOROTEA</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46145</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46145</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46163-2022</t>
        </is>
      </c>
      <c r="B1567" s="1" t="n">
        <v>44845</v>
      </c>
      <c r="C1567" s="1" t="n">
        <v>46145</v>
      </c>
      <c r="D1567" t="inlineStr">
        <is>
          <t>VÄSTERBOTTENS LÄN</t>
        </is>
      </c>
      <c r="E1567" t="inlineStr">
        <is>
          <t>DOROTEA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27509-2021</t>
        </is>
      </c>
      <c r="B1568" s="1" t="n">
        <v>44351</v>
      </c>
      <c r="C1568" s="1" t="n">
        <v>46145</v>
      </c>
      <c r="D1568" t="inlineStr">
        <is>
          <t>VÄSTERBOTTENS LÄN</t>
        </is>
      </c>
      <c r="E1568" t="inlineStr">
        <is>
          <t>DOROTEA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42391-2022</t>
        </is>
      </c>
      <c r="B1569" s="1" t="n">
        <v>44831.42108796296</v>
      </c>
      <c r="C1569" s="1" t="n">
        <v>46145</v>
      </c>
      <c r="D1569" t="inlineStr">
        <is>
          <t>VÄSTERBOTTENS LÄN</t>
        </is>
      </c>
      <c r="E1569" t="inlineStr">
        <is>
          <t>BJURHOLM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46846-2022</t>
        </is>
      </c>
      <c r="B1570" s="1" t="n">
        <v>44851</v>
      </c>
      <c r="C1570" s="1" t="n">
        <v>46145</v>
      </c>
      <c r="D1570" t="inlineStr">
        <is>
          <t>VÄSTERBOTTENS LÄN</t>
        </is>
      </c>
      <c r="E1570" t="inlineStr">
        <is>
          <t>SORSELE</t>
        </is>
      </c>
      <c r="F1570" t="inlineStr">
        <is>
          <t>Sveaskog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69362-2021</t>
        </is>
      </c>
      <c r="B1571" s="1" t="n">
        <v>44531</v>
      </c>
      <c r="C1571" s="1" t="n">
        <v>46145</v>
      </c>
      <c r="D1571" t="inlineStr">
        <is>
          <t>VÄSTERBOTTENS LÄN</t>
        </is>
      </c>
      <c r="E1571" t="inlineStr">
        <is>
          <t>VILHELMINA</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46145</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46145</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63502-2021</t>
        </is>
      </c>
      <c r="B1574" s="1" t="n">
        <v>44508</v>
      </c>
      <c r="C1574" s="1" t="n">
        <v>46145</v>
      </c>
      <c r="D1574" t="inlineStr">
        <is>
          <t>VÄSTERBOTTENS LÄN</t>
        </is>
      </c>
      <c r="E1574" t="inlineStr">
        <is>
          <t>SKELLEFTEÅ</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48942-2022</t>
        </is>
      </c>
      <c r="B1575" s="1" t="n">
        <v>44859.95736111111</v>
      </c>
      <c r="C1575" s="1" t="n">
        <v>46145</v>
      </c>
      <c r="D1575" t="inlineStr">
        <is>
          <t>VÄSTERBOTTENS LÄN</t>
        </is>
      </c>
      <c r="E1575" t="inlineStr">
        <is>
          <t>NORDMALING</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48944-2022</t>
        </is>
      </c>
      <c r="B1576" s="1" t="n">
        <v>44859.95748842593</v>
      </c>
      <c r="C1576" s="1" t="n">
        <v>46145</v>
      </c>
      <c r="D1576" t="inlineStr">
        <is>
          <t>VÄSTERBOTTENS LÄN</t>
        </is>
      </c>
      <c r="E1576" t="inlineStr">
        <is>
          <t>NORDMALING</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38646-2022</t>
        </is>
      </c>
      <c r="B1577" s="1" t="n">
        <v>44813</v>
      </c>
      <c r="C1577" s="1" t="n">
        <v>46145</v>
      </c>
      <c r="D1577" t="inlineStr">
        <is>
          <t>VÄSTERBOTTENS LÄN</t>
        </is>
      </c>
      <c r="E1577" t="inlineStr">
        <is>
          <t>UMEÅ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31913-2022</t>
        </is>
      </c>
      <c r="B1578" s="1" t="n">
        <v>44777</v>
      </c>
      <c r="C1578" s="1" t="n">
        <v>46145</v>
      </c>
      <c r="D1578" t="inlineStr">
        <is>
          <t>VÄSTERBOTTENS LÄN</t>
        </is>
      </c>
      <c r="E1578" t="inlineStr">
        <is>
          <t>LYCKSELE</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39389-2022</t>
        </is>
      </c>
      <c r="B1579" s="1" t="n">
        <v>44817</v>
      </c>
      <c r="C1579" s="1" t="n">
        <v>46145</v>
      </c>
      <c r="D1579" t="inlineStr">
        <is>
          <t>VÄSTERBOTTENS LÄN</t>
        </is>
      </c>
      <c r="E1579" t="inlineStr">
        <is>
          <t>VILHELMINA</t>
        </is>
      </c>
      <c r="F1579" t="inlineStr">
        <is>
          <t>SCA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25513-2021</t>
        </is>
      </c>
      <c r="B1580" s="1" t="n">
        <v>44342.94737268519</v>
      </c>
      <c r="C1580" s="1" t="n">
        <v>46145</v>
      </c>
      <c r="D1580" t="inlineStr">
        <is>
          <t>VÄSTERBOTTENS LÄN</t>
        </is>
      </c>
      <c r="E1580" t="inlineStr">
        <is>
          <t>SKELLEFTEÅ</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54288-2022</t>
        </is>
      </c>
      <c r="B1581" s="1" t="n">
        <v>44882.3720949074</v>
      </c>
      <c r="C1581" s="1" t="n">
        <v>46145</v>
      </c>
      <c r="D1581" t="inlineStr">
        <is>
          <t>VÄSTERBOTTENS LÄN</t>
        </is>
      </c>
      <c r="E1581" t="inlineStr">
        <is>
          <t>LYCKSELE</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39400-2022</t>
        </is>
      </c>
      <c r="B1582" s="1" t="n">
        <v>44817.94888888889</v>
      </c>
      <c r="C1582" s="1" t="n">
        <v>46145</v>
      </c>
      <c r="D1582" t="inlineStr">
        <is>
          <t>VÄSTERBOTTENS LÄN</t>
        </is>
      </c>
      <c r="E1582" t="inlineStr">
        <is>
          <t>ÅSELE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36819-2022</t>
        </is>
      </c>
      <c r="B1583" s="1" t="n">
        <v>44805</v>
      </c>
      <c r="C1583" s="1" t="n">
        <v>46145</v>
      </c>
      <c r="D1583" t="inlineStr">
        <is>
          <t>VÄSTERBOTTENS LÄN</t>
        </is>
      </c>
      <c r="E1583" t="inlineStr">
        <is>
          <t>LYCKSELE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62658-2021</t>
        </is>
      </c>
      <c r="B1584" s="1" t="n">
        <v>44503</v>
      </c>
      <c r="C1584" s="1" t="n">
        <v>46145</v>
      </c>
      <c r="D1584" t="inlineStr">
        <is>
          <t>VÄSTERBOTTENS LÄN</t>
        </is>
      </c>
      <c r="E1584" t="inlineStr">
        <is>
          <t>VILHELMINA</t>
        </is>
      </c>
      <c r="F1584" t="inlineStr">
        <is>
          <t>SCA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30474-2022</t>
        </is>
      </c>
      <c r="B1585" s="1" t="n">
        <v>44761</v>
      </c>
      <c r="C1585" s="1" t="n">
        <v>46145</v>
      </c>
      <c r="D1585" t="inlineStr">
        <is>
          <t>VÄSTERBOTTENS LÄN</t>
        </is>
      </c>
      <c r="E1585" t="inlineStr">
        <is>
          <t>LYCKSELE</t>
        </is>
      </c>
      <c r="F1585" t="inlineStr">
        <is>
          <t>SCA</t>
        </is>
      </c>
      <c r="G1585" t="n">
        <v>14.9</v>
      </c>
      <c r="H1585" t="n">
        <v>0</v>
      </c>
      <c r="I1585" t="n">
        <v>0</v>
      </c>
      <c r="J1585" t="n">
        <v>0</v>
      </c>
      <c r="K1585" t="n">
        <v>0</v>
      </c>
      <c r="L1585" t="n">
        <v>0</v>
      </c>
      <c r="M1585" t="n">
        <v>0</v>
      </c>
      <c r="N1585" t="n">
        <v>0</v>
      </c>
      <c r="O1585" t="n">
        <v>0</v>
      </c>
      <c r="P1585" t="n">
        <v>0</v>
      </c>
      <c r="Q1585" t="n">
        <v>0</v>
      </c>
      <c r="R1585" s="2" t="inlineStr"/>
    </row>
    <row r="1586" ht="15" customHeight="1">
      <c r="A1586" t="inlineStr">
        <is>
          <t>A 24942-2021</t>
        </is>
      </c>
      <c r="B1586" s="1" t="n">
        <v>44341</v>
      </c>
      <c r="C1586" s="1" t="n">
        <v>46145</v>
      </c>
      <c r="D1586" t="inlineStr">
        <is>
          <t>VÄSTERBOTTENS LÄN</t>
        </is>
      </c>
      <c r="E1586" t="inlineStr">
        <is>
          <t>UMEÅ</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22125-2021</t>
        </is>
      </c>
      <c r="B1587" s="1" t="n">
        <v>44323</v>
      </c>
      <c r="C1587" s="1" t="n">
        <v>46145</v>
      </c>
      <c r="D1587" t="inlineStr">
        <is>
          <t>VÄSTERBOTTENS LÄN</t>
        </is>
      </c>
      <c r="E1587" t="inlineStr">
        <is>
          <t>VINDELN</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67534-2021</t>
        </is>
      </c>
      <c r="B1588" s="1" t="n">
        <v>44524.54244212963</v>
      </c>
      <c r="C1588" s="1" t="n">
        <v>46145</v>
      </c>
      <c r="D1588" t="inlineStr">
        <is>
          <t>VÄSTERBOTTENS LÄN</t>
        </is>
      </c>
      <c r="E1588" t="inlineStr">
        <is>
          <t>VÄNNÄS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27998-2021</t>
        </is>
      </c>
      <c r="B1589" s="1" t="n">
        <v>44354</v>
      </c>
      <c r="C1589" s="1" t="n">
        <v>46145</v>
      </c>
      <c r="D1589" t="inlineStr">
        <is>
          <t>VÄSTERBOTTENS LÄN</t>
        </is>
      </c>
      <c r="E1589" t="inlineStr">
        <is>
          <t>UMEÅ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52883-2022</t>
        </is>
      </c>
      <c r="B1590" s="1" t="n">
        <v>44875</v>
      </c>
      <c r="C1590" s="1" t="n">
        <v>46145</v>
      </c>
      <c r="D1590" t="inlineStr">
        <is>
          <t>VÄSTERBOTTENS LÄN</t>
        </is>
      </c>
      <c r="E1590" t="inlineStr">
        <is>
          <t>VINDELN</t>
        </is>
      </c>
      <c r="F1590" t="inlineStr">
        <is>
          <t>Sveaskog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47410-2022</t>
        </is>
      </c>
      <c r="B1591" s="1" t="n">
        <v>44853.53674768518</v>
      </c>
      <c r="C1591" s="1" t="n">
        <v>46145</v>
      </c>
      <c r="D1591" t="inlineStr">
        <is>
          <t>VÄSTERBOTTENS LÄN</t>
        </is>
      </c>
      <c r="E1591" t="inlineStr">
        <is>
          <t>SKELLEFTEÅ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46982-2022</t>
        </is>
      </c>
      <c r="B1592" s="1" t="n">
        <v>44851</v>
      </c>
      <c r="C1592" s="1" t="n">
        <v>46145</v>
      </c>
      <c r="D1592" t="inlineStr">
        <is>
          <t>VÄSTERBOTTENS LÄN</t>
        </is>
      </c>
      <c r="E1592" t="inlineStr">
        <is>
          <t>DOROTEA</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45907-2022</t>
        </is>
      </c>
      <c r="B1593" s="1" t="n">
        <v>44846</v>
      </c>
      <c r="C1593" s="1" t="n">
        <v>46145</v>
      </c>
      <c r="D1593" t="inlineStr">
        <is>
          <t>VÄSTERBOTTENS LÄN</t>
        </is>
      </c>
      <c r="E1593" t="inlineStr">
        <is>
          <t>UMEÅ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32672-2021</t>
        </is>
      </c>
      <c r="B1594" s="1" t="n">
        <v>44371</v>
      </c>
      <c r="C1594" s="1" t="n">
        <v>46145</v>
      </c>
      <c r="D1594" t="inlineStr">
        <is>
          <t>VÄSTERBOTTENS LÄN</t>
        </is>
      </c>
      <c r="E1594" t="inlineStr">
        <is>
          <t>VILHELMINA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34547-2022</t>
        </is>
      </c>
      <c r="B1595" s="1" t="n">
        <v>44793.9403587963</v>
      </c>
      <c r="C1595" s="1" t="n">
        <v>46145</v>
      </c>
      <c r="D1595" t="inlineStr">
        <is>
          <t>VÄSTERBOTTENS LÄN</t>
        </is>
      </c>
      <c r="E1595" t="inlineStr">
        <is>
          <t>SKELLEFTEÅ</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43069-2022</t>
        </is>
      </c>
      <c r="B1596" s="1" t="n">
        <v>44833.63614583333</v>
      </c>
      <c r="C1596" s="1" t="n">
        <v>46145</v>
      </c>
      <c r="D1596" t="inlineStr">
        <is>
          <t>VÄSTERBOTTENS LÄN</t>
        </is>
      </c>
      <c r="E1596" t="inlineStr">
        <is>
          <t>SKELLEFTEÅ</t>
        </is>
      </c>
      <c r="F1596" t="inlineStr">
        <is>
          <t>Sveaskog</t>
        </is>
      </c>
      <c r="G1596" t="n">
        <v>19.6</v>
      </c>
      <c r="H1596" t="n">
        <v>0</v>
      </c>
      <c r="I1596" t="n">
        <v>0</v>
      </c>
      <c r="J1596" t="n">
        <v>0</v>
      </c>
      <c r="K1596" t="n">
        <v>0</v>
      </c>
      <c r="L1596" t="n">
        <v>0</v>
      </c>
      <c r="M1596" t="n">
        <v>0</v>
      </c>
      <c r="N1596" t="n">
        <v>0</v>
      </c>
      <c r="O1596" t="n">
        <v>0</v>
      </c>
      <c r="P1596" t="n">
        <v>0</v>
      </c>
      <c r="Q1596" t="n">
        <v>0</v>
      </c>
      <c r="R1596" s="2" t="inlineStr"/>
    </row>
    <row r="1597" ht="15" customHeight="1">
      <c r="A1597" t="inlineStr">
        <is>
          <t>A 49887-2022</t>
        </is>
      </c>
      <c r="B1597" s="1" t="n">
        <v>44864.69234953704</v>
      </c>
      <c r="C1597" s="1" t="n">
        <v>46145</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43139-2022</t>
        </is>
      </c>
      <c r="B1598" s="1" t="n">
        <v>44833.94997685185</v>
      </c>
      <c r="C1598" s="1" t="n">
        <v>46145</v>
      </c>
      <c r="D1598" t="inlineStr">
        <is>
          <t>VÄSTERBOTTENS LÄN</t>
        </is>
      </c>
      <c r="E1598" t="inlineStr">
        <is>
          <t>NORDMALING</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325-2022</t>
        </is>
      </c>
      <c r="B1599" s="1" t="n">
        <v>44564</v>
      </c>
      <c r="C1599" s="1" t="n">
        <v>46145</v>
      </c>
      <c r="D1599" t="inlineStr">
        <is>
          <t>VÄSTERBOTTENS LÄN</t>
        </is>
      </c>
      <c r="E1599" t="inlineStr">
        <is>
          <t>LYCKSELE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29923-2021</t>
        </is>
      </c>
      <c r="B1600" s="1" t="n">
        <v>44362</v>
      </c>
      <c r="C1600" s="1" t="n">
        <v>46145</v>
      </c>
      <c r="D1600" t="inlineStr">
        <is>
          <t>VÄSTERBOTTENS LÄN</t>
        </is>
      </c>
      <c r="E1600" t="inlineStr">
        <is>
          <t>NORSJÖ</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16782-2022</t>
        </is>
      </c>
      <c r="B1601" s="1" t="n">
        <v>44673</v>
      </c>
      <c r="C1601" s="1" t="n">
        <v>46145</v>
      </c>
      <c r="D1601" t="inlineStr">
        <is>
          <t>VÄSTERBOTTENS LÄN</t>
        </is>
      </c>
      <c r="E1601" t="inlineStr">
        <is>
          <t>STORUMAN</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50398-2021</t>
        </is>
      </c>
      <c r="B1602" s="1" t="n">
        <v>44459.474375</v>
      </c>
      <c r="C1602" s="1" t="n">
        <v>46145</v>
      </c>
      <c r="D1602" t="inlineStr">
        <is>
          <t>VÄSTERBOTTENS LÄN</t>
        </is>
      </c>
      <c r="E1602" t="inlineStr">
        <is>
          <t>VINDELN</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16750-2022</t>
        </is>
      </c>
      <c r="B1603" s="1" t="n">
        <v>44673</v>
      </c>
      <c r="C1603" s="1" t="n">
        <v>46145</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18996-2022</t>
        </is>
      </c>
      <c r="B1604" s="1" t="n">
        <v>44690</v>
      </c>
      <c r="C1604" s="1" t="n">
        <v>46145</v>
      </c>
      <c r="D1604" t="inlineStr">
        <is>
          <t>VÄSTERBOTTENS LÄN</t>
        </is>
      </c>
      <c r="E1604" t="inlineStr">
        <is>
          <t>VILHELMINA</t>
        </is>
      </c>
      <c r="F1604" t="inlineStr">
        <is>
          <t>SCA</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34471-2021</t>
        </is>
      </c>
      <c r="B1605" s="1" t="n">
        <v>44381</v>
      </c>
      <c r="C1605" s="1" t="n">
        <v>46145</v>
      </c>
      <c r="D1605" t="inlineStr">
        <is>
          <t>VÄSTERBOTTENS LÄN</t>
        </is>
      </c>
      <c r="E1605" t="inlineStr">
        <is>
          <t>ÅSELE</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45270-2021</t>
        </is>
      </c>
      <c r="B1606" s="1" t="n">
        <v>44439</v>
      </c>
      <c r="C1606" s="1" t="n">
        <v>46145</v>
      </c>
      <c r="D1606" t="inlineStr">
        <is>
          <t>VÄSTERBOTTENS LÄN</t>
        </is>
      </c>
      <c r="E1606" t="inlineStr">
        <is>
          <t>LYCKSELE</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35040-2021</t>
        </is>
      </c>
      <c r="B1607" s="1" t="n">
        <v>44383</v>
      </c>
      <c r="C1607" s="1" t="n">
        <v>46145</v>
      </c>
      <c r="D1607" t="inlineStr">
        <is>
          <t>VÄSTERBOTTENS LÄN</t>
        </is>
      </c>
      <c r="E1607" t="inlineStr">
        <is>
          <t>DOROTEA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46145</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46145</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46145</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51361-2021</t>
        </is>
      </c>
      <c r="B1611" s="1" t="n">
        <v>44461</v>
      </c>
      <c r="C1611" s="1" t="n">
        <v>46145</v>
      </c>
      <c r="D1611" t="inlineStr">
        <is>
          <t>VÄSTERBOTTENS LÄN</t>
        </is>
      </c>
      <c r="E1611" t="inlineStr">
        <is>
          <t>BJURHOLM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51368-2021</t>
        </is>
      </c>
      <c r="B1612" s="1" t="n">
        <v>44461</v>
      </c>
      <c r="C1612" s="1" t="n">
        <v>46145</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27548-2022</t>
        </is>
      </c>
      <c r="B1613" s="1" t="n">
        <v>44742</v>
      </c>
      <c r="C1613" s="1" t="n">
        <v>46145</v>
      </c>
      <c r="D1613" t="inlineStr">
        <is>
          <t>VÄSTERBOTTENS LÄN</t>
        </is>
      </c>
      <c r="E1613" t="inlineStr">
        <is>
          <t>LYCKSELE</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24206-2021</t>
        </is>
      </c>
      <c r="B1614" s="1" t="n">
        <v>44336</v>
      </c>
      <c r="C1614" s="1" t="n">
        <v>46145</v>
      </c>
      <c r="D1614" t="inlineStr">
        <is>
          <t>VÄSTERBOTTENS LÄN</t>
        </is>
      </c>
      <c r="E1614" t="inlineStr">
        <is>
          <t>DOROTEA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46145</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46145</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24869-2021</t>
        </is>
      </c>
      <c r="B1617" s="1" t="n">
        <v>44340</v>
      </c>
      <c r="C1617" s="1" t="n">
        <v>46145</v>
      </c>
      <c r="D1617" t="inlineStr">
        <is>
          <t>VÄSTERBOTTENS LÄN</t>
        </is>
      </c>
      <c r="E1617" t="inlineStr">
        <is>
          <t>VINDELN</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24875-2021</t>
        </is>
      </c>
      <c r="B1618" s="1" t="n">
        <v>44340</v>
      </c>
      <c r="C1618" s="1" t="n">
        <v>46145</v>
      </c>
      <c r="D1618" t="inlineStr">
        <is>
          <t>VÄSTERBOTTENS LÄN</t>
        </is>
      </c>
      <c r="E1618" t="inlineStr">
        <is>
          <t>VINDELN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22259-2021</t>
        </is>
      </c>
      <c r="B1619" s="1" t="n">
        <v>44323</v>
      </c>
      <c r="C1619" s="1" t="n">
        <v>46145</v>
      </c>
      <c r="D1619" t="inlineStr">
        <is>
          <t>VÄSTERBOTTENS LÄN</t>
        </is>
      </c>
      <c r="E1619" t="inlineStr">
        <is>
          <t>VINDELN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46145</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26673-2021</t>
        </is>
      </c>
      <c r="B1621" s="1" t="n">
        <v>44348.93670138889</v>
      </c>
      <c r="C1621" s="1" t="n">
        <v>46145</v>
      </c>
      <c r="D1621" t="inlineStr">
        <is>
          <t>VÄSTERBOTTENS LÄN</t>
        </is>
      </c>
      <c r="E1621" t="inlineStr">
        <is>
          <t>LYCKSELE</t>
        </is>
      </c>
      <c r="F1621" t="inlineStr">
        <is>
          <t>SCA</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52095-2021</t>
        </is>
      </c>
      <c r="B1622" s="1" t="n">
        <v>44463</v>
      </c>
      <c r="C1622" s="1" t="n">
        <v>46145</v>
      </c>
      <c r="D1622" t="inlineStr">
        <is>
          <t>VÄSTERBOTTENS LÄN</t>
        </is>
      </c>
      <c r="E1622" t="inlineStr">
        <is>
          <t>VINDELN</t>
        </is>
      </c>
      <c r="F1622" t="inlineStr">
        <is>
          <t>Naturvårdsverket</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52329-2022</t>
        </is>
      </c>
      <c r="B1623" s="1" t="n">
        <v>44873.92929398148</v>
      </c>
      <c r="C1623" s="1" t="n">
        <v>46145</v>
      </c>
      <c r="D1623" t="inlineStr">
        <is>
          <t>VÄSTERBOTTENS LÄN</t>
        </is>
      </c>
      <c r="E1623" t="inlineStr">
        <is>
          <t>NORSJÖ</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52330-2022</t>
        </is>
      </c>
      <c r="B1624" s="1" t="n">
        <v>44873</v>
      </c>
      <c r="C1624" s="1" t="n">
        <v>46145</v>
      </c>
      <c r="D1624" t="inlineStr">
        <is>
          <t>VÄSTERBOTTENS LÄN</t>
        </is>
      </c>
      <c r="E1624" t="inlineStr">
        <is>
          <t>NORSJÖ</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52589-2022</t>
        </is>
      </c>
      <c r="B1625" s="1" t="n">
        <v>44874.63079861111</v>
      </c>
      <c r="C1625" s="1" t="n">
        <v>46145</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64075-2021</t>
        </is>
      </c>
      <c r="B1626" s="1" t="n">
        <v>44510</v>
      </c>
      <c r="C1626" s="1" t="n">
        <v>46145</v>
      </c>
      <c r="D1626" t="inlineStr">
        <is>
          <t>VÄSTERBOTTENS LÄN</t>
        </is>
      </c>
      <c r="E1626" t="inlineStr">
        <is>
          <t>ÅSELE</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22075-2022</t>
        </is>
      </c>
      <c r="B1627" s="1" t="n">
        <v>44711</v>
      </c>
      <c r="C1627" s="1" t="n">
        <v>46145</v>
      </c>
      <c r="D1627" t="inlineStr">
        <is>
          <t>VÄSTERBOTTENS LÄN</t>
        </is>
      </c>
      <c r="E1627" t="inlineStr">
        <is>
          <t>LYCKSELE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46145</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56060-2021</t>
        </is>
      </c>
      <c r="B1629" s="1" t="n">
        <v>44477.49746527777</v>
      </c>
      <c r="C1629" s="1" t="n">
        <v>46145</v>
      </c>
      <c r="D1629" t="inlineStr">
        <is>
          <t>VÄSTERBOTTENS LÄN</t>
        </is>
      </c>
      <c r="E1629" t="inlineStr">
        <is>
          <t>ÅSELE</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25397-2022</t>
        </is>
      </c>
      <c r="B1630" s="1" t="n">
        <v>44732</v>
      </c>
      <c r="C1630" s="1" t="n">
        <v>46145</v>
      </c>
      <c r="D1630" t="inlineStr">
        <is>
          <t>VÄSTERBOTTENS LÄN</t>
        </is>
      </c>
      <c r="E1630" t="inlineStr">
        <is>
          <t>STORUMAN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46145</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24203-2021</t>
        </is>
      </c>
      <c r="B1632" s="1" t="n">
        <v>44336</v>
      </c>
      <c r="C1632" s="1" t="n">
        <v>46145</v>
      </c>
      <c r="D1632" t="inlineStr">
        <is>
          <t>VÄSTERBOTTENS LÄN</t>
        </is>
      </c>
      <c r="E1632" t="inlineStr">
        <is>
          <t>DOROTEA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26599-2021</t>
        </is>
      </c>
      <c r="B1633" s="1" t="n">
        <v>44348</v>
      </c>
      <c r="C1633" s="1" t="n">
        <v>46145</v>
      </c>
      <c r="D1633" t="inlineStr">
        <is>
          <t>VÄSTERBOTTENS LÄN</t>
        </is>
      </c>
      <c r="E1633" t="inlineStr">
        <is>
          <t>SKELLEFTEÅ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34353-2021</t>
        </is>
      </c>
      <c r="B1634" s="1" t="n">
        <v>44379</v>
      </c>
      <c r="C1634" s="1" t="n">
        <v>46145</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22948-2022</t>
        </is>
      </c>
      <c r="B1635" s="1" t="n">
        <v>44715.92450231482</v>
      </c>
      <c r="C1635" s="1" t="n">
        <v>46145</v>
      </c>
      <c r="D1635" t="inlineStr">
        <is>
          <t>VÄSTERBOTTENS LÄN</t>
        </is>
      </c>
      <c r="E1635" t="inlineStr">
        <is>
          <t>VINDELN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23006-2022</t>
        </is>
      </c>
      <c r="B1636" s="1" t="n">
        <v>44715</v>
      </c>
      <c r="C1636" s="1" t="n">
        <v>46145</v>
      </c>
      <c r="D1636" t="inlineStr">
        <is>
          <t>VÄSTERBOTTENS LÄN</t>
        </is>
      </c>
      <c r="E1636" t="inlineStr">
        <is>
          <t>UMEÅ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62807-2021</t>
        </is>
      </c>
      <c r="B1637" s="1" t="n">
        <v>44504.48643518519</v>
      </c>
      <c r="C1637" s="1" t="n">
        <v>46145</v>
      </c>
      <c r="D1637" t="inlineStr">
        <is>
          <t>VÄSTERBOTTENS LÄN</t>
        </is>
      </c>
      <c r="E1637" t="inlineStr">
        <is>
          <t>BJURHOLM</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36869-2022</t>
        </is>
      </c>
      <c r="B1638" s="1" t="n">
        <v>44805</v>
      </c>
      <c r="C1638" s="1" t="n">
        <v>46145</v>
      </c>
      <c r="D1638" t="inlineStr">
        <is>
          <t>VÄSTERBOTTENS LÄN</t>
        </is>
      </c>
      <c r="E1638" t="inlineStr">
        <is>
          <t>LYCKSELE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34470-2021</t>
        </is>
      </c>
      <c r="B1639" s="1" t="n">
        <v>44381.91863425926</v>
      </c>
      <c r="C1639" s="1" t="n">
        <v>46145</v>
      </c>
      <c r="D1639" t="inlineStr">
        <is>
          <t>VÄSTERBOTTENS LÄN</t>
        </is>
      </c>
      <c r="E1639" t="inlineStr">
        <is>
          <t>ÅSELE</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27860-2021</t>
        </is>
      </c>
      <c r="B1640" s="1" t="n">
        <v>44354</v>
      </c>
      <c r="C1640" s="1" t="n">
        <v>46145</v>
      </c>
      <c r="D1640" t="inlineStr">
        <is>
          <t>VÄSTERBOTTENS LÄN</t>
        </is>
      </c>
      <c r="E1640" t="inlineStr">
        <is>
          <t>NORDMALING</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46145</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32665-2021</t>
        </is>
      </c>
      <c r="B1642" s="1" t="n">
        <v>44371</v>
      </c>
      <c r="C1642" s="1" t="n">
        <v>46145</v>
      </c>
      <c r="D1642" t="inlineStr">
        <is>
          <t>VÄSTERBOTTENS LÄN</t>
        </is>
      </c>
      <c r="E1642" t="inlineStr">
        <is>
          <t>VILHELMINA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39386-2022</t>
        </is>
      </c>
      <c r="B1643" s="1" t="n">
        <v>44817.94775462963</v>
      </c>
      <c r="C1643" s="1" t="n">
        <v>46145</v>
      </c>
      <c r="D1643" t="inlineStr">
        <is>
          <t>VÄSTERBOTTENS LÄN</t>
        </is>
      </c>
      <c r="E1643" t="inlineStr">
        <is>
          <t>ÅSELE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39827-2021</t>
        </is>
      </c>
      <c r="B1644" s="1" t="n">
        <v>44417</v>
      </c>
      <c r="C1644" s="1" t="n">
        <v>46145</v>
      </c>
      <c r="D1644" t="inlineStr">
        <is>
          <t>VÄSTERBOTTENS LÄN</t>
        </is>
      </c>
      <c r="E1644" t="inlineStr">
        <is>
          <t>SKELLEFTEÅ</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30437-2021</t>
        </is>
      </c>
      <c r="B1645" s="1" t="n">
        <v>44364</v>
      </c>
      <c r="C1645" s="1" t="n">
        <v>46145</v>
      </c>
      <c r="D1645" t="inlineStr">
        <is>
          <t>VÄSTERBOTTENS LÄN</t>
        </is>
      </c>
      <c r="E1645" t="inlineStr">
        <is>
          <t>STORUMAN</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72590-2021</t>
        </is>
      </c>
      <c r="B1646" s="1" t="n">
        <v>44546.4796875</v>
      </c>
      <c r="C1646" s="1" t="n">
        <v>46145</v>
      </c>
      <c r="D1646" t="inlineStr">
        <is>
          <t>VÄSTERBOTTENS LÄN</t>
        </is>
      </c>
      <c r="E1646" t="inlineStr">
        <is>
          <t>NORSJÖ</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71577-2021</t>
        </is>
      </c>
      <c r="B1647" s="1" t="n">
        <v>44540.92355324074</v>
      </c>
      <c r="C1647" s="1" t="n">
        <v>46145</v>
      </c>
      <c r="D1647" t="inlineStr">
        <is>
          <t>VÄSTERBOTTENS LÄN</t>
        </is>
      </c>
      <c r="E1647" t="inlineStr">
        <is>
          <t>VINDELN</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44136-2021</t>
        </is>
      </c>
      <c r="B1648" s="1" t="n">
        <v>44434</v>
      </c>
      <c r="C1648" s="1" t="n">
        <v>46145</v>
      </c>
      <c r="D1648" t="inlineStr">
        <is>
          <t>VÄSTERBOTTENS LÄN</t>
        </is>
      </c>
      <c r="E1648" t="inlineStr">
        <is>
          <t>VILHELMINA</t>
        </is>
      </c>
      <c r="F1648" t="inlineStr">
        <is>
          <t>Sveaskog</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30449-2021</t>
        </is>
      </c>
      <c r="B1649" s="1" t="n">
        <v>44364</v>
      </c>
      <c r="C1649" s="1" t="n">
        <v>46145</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46145</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46145</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48779-2022</t>
        </is>
      </c>
      <c r="B1652" s="1" t="n">
        <v>44859.60186342592</v>
      </c>
      <c r="C1652" s="1" t="n">
        <v>46145</v>
      </c>
      <c r="D1652" t="inlineStr">
        <is>
          <t>VÄSTERBOTTENS LÄN</t>
        </is>
      </c>
      <c r="E1652" t="inlineStr">
        <is>
          <t>UMEÅ</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439-2022</t>
        </is>
      </c>
      <c r="B1653" s="1" t="n">
        <v>44565.96545138889</v>
      </c>
      <c r="C1653" s="1" t="n">
        <v>46145</v>
      </c>
      <c r="D1653" t="inlineStr">
        <is>
          <t>VÄSTERBOTTENS LÄN</t>
        </is>
      </c>
      <c r="E1653" t="inlineStr">
        <is>
          <t>NORDMALING</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38920-2021</t>
        </is>
      </c>
      <c r="B1654" s="1" t="n">
        <v>44410</v>
      </c>
      <c r="C1654" s="1" t="n">
        <v>46145</v>
      </c>
      <c r="D1654" t="inlineStr">
        <is>
          <t>VÄSTERBOTTENS LÄN</t>
        </is>
      </c>
      <c r="E1654" t="inlineStr">
        <is>
          <t>UMEÅ</t>
        </is>
      </c>
      <c r="F1654" t="inlineStr">
        <is>
          <t>Övriga statliga verk och myndigheter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38924-2021</t>
        </is>
      </c>
      <c r="B1655" s="1" t="n">
        <v>44410</v>
      </c>
      <c r="C1655" s="1" t="n">
        <v>46145</v>
      </c>
      <c r="D1655" t="inlineStr">
        <is>
          <t>VÄSTERBOTTENS LÄN</t>
        </is>
      </c>
      <c r="E1655" t="inlineStr">
        <is>
          <t>UMEÅ</t>
        </is>
      </c>
      <c r="F1655" t="inlineStr">
        <is>
          <t>Övriga statliga verk och myndigheter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37937-2021</t>
        </is>
      </c>
      <c r="B1656" s="1" t="n">
        <v>44403</v>
      </c>
      <c r="C1656" s="1" t="n">
        <v>46145</v>
      </c>
      <c r="D1656" t="inlineStr">
        <is>
          <t>VÄSTERBOTTENS LÄN</t>
        </is>
      </c>
      <c r="E1656" t="inlineStr">
        <is>
          <t>SKELLEFTEÅ</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5969-2022</t>
        </is>
      </c>
      <c r="B1657" s="1" t="n">
        <v>44599</v>
      </c>
      <c r="C1657" s="1" t="n">
        <v>46145</v>
      </c>
      <c r="D1657" t="inlineStr">
        <is>
          <t>VÄSTERBOTTENS LÄN</t>
        </is>
      </c>
      <c r="E1657" t="inlineStr">
        <is>
          <t>UMEÅ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57866-2021</t>
        </is>
      </c>
      <c r="B1658" s="1" t="n">
        <v>44484.98724537037</v>
      </c>
      <c r="C1658" s="1" t="n">
        <v>46145</v>
      </c>
      <c r="D1658" t="inlineStr">
        <is>
          <t>VÄSTERBOTTENS LÄN</t>
        </is>
      </c>
      <c r="E1658" t="inlineStr">
        <is>
          <t>BJURHOLM</t>
        </is>
      </c>
      <c r="F1658" t="inlineStr">
        <is>
          <t>SCA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36564-2021</t>
        </is>
      </c>
      <c r="B1659" s="1" t="n">
        <v>44391</v>
      </c>
      <c r="C1659" s="1" t="n">
        <v>46145</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38932-2022</t>
        </is>
      </c>
      <c r="B1660" s="1" t="n">
        <v>44816</v>
      </c>
      <c r="C1660" s="1" t="n">
        <v>46145</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53152-2021</t>
        </is>
      </c>
      <c r="B1661" s="1" t="n">
        <v>44468.3399537037</v>
      </c>
      <c r="C1661" s="1" t="n">
        <v>46145</v>
      </c>
      <c r="D1661" t="inlineStr">
        <is>
          <t>VÄSTERBOTTENS LÄN</t>
        </is>
      </c>
      <c r="E1661" t="inlineStr">
        <is>
          <t>SKELLEFTEÅ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35754-2021</t>
        </is>
      </c>
      <c r="B1662" s="1" t="n">
        <v>44386</v>
      </c>
      <c r="C1662" s="1" t="n">
        <v>46145</v>
      </c>
      <c r="D1662" t="inlineStr">
        <is>
          <t>VÄSTERBOTTENS LÄN</t>
        </is>
      </c>
      <c r="E1662" t="inlineStr">
        <is>
          <t>ÅSELE</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50424-2021</t>
        </is>
      </c>
      <c r="B1663" s="1" t="n">
        <v>44459</v>
      </c>
      <c r="C1663" s="1" t="n">
        <v>46145</v>
      </c>
      <c r="D1663" t="inlineStr">
        <is>
          <t>VÄSTERBOTTENS LÄN</t>
        </is>
      </c>
      <c r="E1663" t="inlineStr">
        <is>
          <t>ÅSELE</t>
        </is>
      </c>
      <c r="F1663" t="inlineStr">
        <is>
          <t>Holmen skog AB</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46145</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8030-2022</t>
        </is>
      </c>
      <c r="B1665" s="1" t="n">
        <v>44606</v>
      </c>
      <c r="C1665" s="1" t="n">
        <v>46145</v>
      </c>
      <c r="D1665" t="inlineStr">
        <is>
          <t>VÄSTERBOTTENS LÄN</t>
        </is>
      </c>
      <c r="E1665" t="inlineStr">
        <is>
          <t>SORSELE</t>
        </is>
      </c>
      <c r="G1665" t="n">
        <v>116.5</v>
      </c>
      <c r="H1665" t="n">
        <v>0</v>
      </c>
      <c r="I1665" t="n">
        <v>0</v>
      </c>
      <c r="J1665" t="n">
        <v>0</v>
      </c>
      <c r="K1665" t="n">
        <v>0</v>
      </c>
      <c r="L1665" t="n">
        <v>0</v>
      </c>
      <c r="M1665" t="n">
        <v>0</v>
      </c>
      <c r="N1665" t="n">
        <v>0</v>
      </c>
      <c r="O1665" t="n">
        <v>0</v>
      </c>
      <c r="P1665" t="n">
        <v>0</v>
      </c>
      <c r="Q1665" t="n">
        <v>0</v>
      </c>
      <c r="R1665" s="2" t="inlineStr"/>
    </row>
    <row r="1666" ht="15" customHeight="1">
      <c r="A1666" t="inlineStr">
        <is>
          <t>A 54502-2021</t>
        </is>
      </c>
      <c r="B1666" s="1" t="n">
        <v>44473</v>
      </c>
      <c r="C1666" s="1" t="n">
        <v>46145</v>
      </c>
      <c r="D1666" t="inlineStr">
        <is>
          <t>VÄSTERBOTTENS LÄN</t>
        </is>
      </c>
      <c r="E1666" t="inlineStr">
        <is>
          <t>ROBERTSFORS</t>
        </is>
      </c>
      <c r="F1666" t="inlineStr">
        <is>
          <t>Sveaskog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36043-2021</t>
        </is>
      </c>
      <c r="B1667" s="1" t="n">
        <v>44389</v>
      </c>
      <c r="C1667" s="1" t="n">
        <v>46145</v>
      </c>
      <c r="D1667" t="inlineStr">
        <is>
          <t>VÄSTERBOTTENS LÄN</t>
        </is>
      </c>
      <c r="E1667" t="inlineStr">
        <is>
          <t>MALÅ</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36139-2021</t>
        </is>
      </c>
      <c r="B1668" s="1" t="n">
        <v>44389.5819675926</v>
      </c>
      <c r="C1668" s="1" t="n">
        <v>46145</v>
      </c>
      <c r="D1668" t="inlineStr">
        <is>
          <t>VÄSTERBOTTENS LÄN</t>
        </is>
      </c>
      <c r="E1668" t="inlineStr">
        <is>
          <t>VILHELMINA</t>
        </is>
      </c>
      <c r="F1668" t="inlineStr">
        <is>
          <t>Sveaskog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48613-2021</t>
        </is>
      </c>
      <c r="B1669" s="1" t="n">
        <v>44452</v>
      </c>
      <c r="C1669" s="1" t="n">
        <v>46145</v>
      </c>
      <c r="D1669" t="inlineStr">
        <is>
          <t>VÄSTERBOTTENS LÄN</t>
        </is>
      </c>
      <c r="E1669" t="inlineStr">
        <is>
          <t>UMEÅ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45043-2021</t>
        </is>
      </c>
      <c r="B1670" s="1" t="n">
        <v>44438</v>
      </c>
      <c r="C1670" s="1" t="n">
        <v>46145</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61900-2021</t>
        </is>
      </c>
      <c r="B1671" s="1" t="n">
        <v>44502.33094907407</v>
      </c>
      <c r="C1671" s="1" t="n">
        <v>46145</v>
      </c>
      <c r="D1671" t="inlineStr">
        <is>
          <t>VÄSTERBOTTENS LÄN</t>
        </is>
      </c>
      <c r="E1671" t="inlineStr">
        <is>
          <t>LYCKSELE</t>
        </is>
      </c>
      <c r="F1671" t="inlineStr">
        <is>
          <t>Sveaskog</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61907-2021</t>
        </is>
      </c>
      <c r="B1672" s="1" t="n">
        <v>44502.34732638889</v>
      </c>
      <c r="C1672" s="1" t="n">
        <v>46145</v>
      </c>
      <c r="D1672" t="inlineStr">
        <is>
          <t>VÄSTERBOTTENS LÄN</t>
        </is>
      </c>
      <c r="E1672" t="inlineStr">
        <is>
          <t>LYCKSELE</t>
        </is>
      </c>
      <c r="F1672" t="inlineStr">
        <is>
          <t>Sveaskog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46145</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47220-2021</t>
        </is>
      </c>
      <c r="B1674" s="1" t="n">
        <v>44447.35380787037</v>
      </c>
      <c r="C1674" s="1" t="n">
        <v>46145</v>
      </c>
      <c r="D1674" t="inlineStr">
        <is>
          <t>VÄSTERBOTTENS LÄN</t>
        </is>
      </c>
      <c r="E1674" t="inlineStr">
        <is>
          <t>ROBERTSFORS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47225-2021</t>
        </is>
      </c>
      <c r="B1675" s="1" t="n">
        <v>44447.36201388889</v>
      </c>
      <c r="C1675" s="1" t="n">
        <v>46145</v>
      </c>
      <c r="D1675" t="inlineStr">
        <is>
          <t>VÄSTERBOTTENS LÄN</t>
        </is>
      </c>
      <c r="E1675" t="inlineStr">
        <is>
          <t>ROBERTSFORS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7910-2022</t>
        </is>
      </c>
      <c r="B1676" s="1" t="n">
        <v>44608.67099537037</v>
      </c>
      <c r="C1676" s="1" t="n">
        <v>46145</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61573-2021</t>
        </is>
      </c>
      <c r="B1677" s="1" t="n">
        <v>44501.4425462963</v>
      </c>
      <c r="C1677" s="1" t="n">
        <v>46145</v>
      </c>
      <c r="D1677" t="inlineStr">
        <is>
          <t>VÄSTERBOTTENS LÄN</t>
        </is>
      </c>
      <c r="E1677" t="inlineStr">
        <is>
          <t>LYCKSELE</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58252-2021</t>
        </is>
      </c>
      <c r="B1678" s="1" t="n">
        <v>44487</v>
      </c>
      <c r="C1678" s="1" t="n">
        <v>46145</v>
      </c>
      <c r="D1678" t="inlineStr">
        <is>
          <t>VÄSTERBOTTENS LÄN</t>
        </is>
      </c>
      <c r="E1678" t="inlineStr">
        <is>
          <t>MALÅ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30194-2021</t>
        </is>
      </c>
      <c r="B1679" s="1" t="n">
        <v>44363</v>
      </c>
      <c r="C1679" s="1" t="n">
        <v>46145</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48823-2021</t>
        </is>
      </c>
      <c r="B1680" s="1" t="n">
        <v>44452.91890046297</v>
      </c>
      <c r="C1680" s="1" t="n">
        <v>46145</v>
      </c>
      <c r="D1680" t="inlineStr">
        <is>
          <t>VÄSTERBOTTENS LÄN</t>
        </is>
      </c>
      <c r="E1680" t="inlineStr">
        <is>
          <t>ROBERTSFORS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45756-2022</t>
        </is>
      </c>
      <c r="B1681" s="1" t="n">
        <v>44846</v>
      </c>
      <c r="C1681" s="1" t="n">
        <v>46145</v>
      </c>
      <c r="D1681" t="inlineStr">
        <is>
          <t>VÄSTERBOTTENS LÄN</t>
        </is>
      </c>
      <c r="E1681" t="inlineStr">
        <is>
          <t>STORUMAN</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59748-2021</t>
        </is>
      </c>
      <c r="B1682" s="1" t="n">
        <v>44494.44873842593</v>
      </c>
      <c r="C1682" s="1" t="n">
        <v>46145</v>
      </c>
      <c r="D1682" t="inlineStr">
        <is>
          <t>VÄSTERBOTTENS LÄN</t>
        </is>
      </c>
      <c r="E1682" t="inlineStr">
        <is>
          <t>SKELLEFTEÅ</t>
        </is>
      </c>
      <c r="F1682" t="inlineStr">
        <is>
          <t>Sveaskog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41464-2021</t>
        </is>
      </c>
      <c r="B1683" s="1" t="n">
        <v>44424.87716435185</v>
      </c>
      <c r="C1683" s="1" t="n">
        <v>46145</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52922-2021</t>
        </is>
      </c>
      <c r="B1684" s="1" t="n">
        <v>44466</v>
      </c>
      <c r="C1684" s="1" t="n">
        <v>46145</v>
      </c>
      <c r="D1684" t="inlineStr">
        <is>
          <t>VÄSTERBOTTENS LÄN</t>
        </is>
      </c>
      <c r="E1684" t="inlineStr">
        <is>
          <t>STORUMAN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47974-2021</t>
        </is>
      </c>
      <c r="B1685" s="1" t="n">
        <v>44448</v>
      </c>
      <c r="C1685" s="1" t="n">
        <v>46145</v>
      </c>
      <c r="D1685" t="inlineStr">
        <is>
          <t>VÄSTERBOTTENS LÄN</t>
        </is>
      </c>
      <c r="E1685" t="inlineStr">
        <is>
          <t>SKELLEFTEÅ</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14207-2022</t>
        </is>
      </c>
      <c r="B1686" s="1" t="n">
        <v>44651</v>
      </c>
      <c r="C1686" s="1" t="n">
        <v>46145</v>
      </c>
      <c r="D1686" t="inlineStr">
        <is>
          <t>VÄSTERBOTTENS LÄN</t>
        </is>
      </c>
      <c r="E1686" t="inlineStr">
        <is>
          <t>NORDMALING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4019-2022</t>
        </is>
      </c>
      <c r="B1687" s="1" t="n">
        <v>44587</v>
      </c>
      <c r="C1687" s="1" t="n">
        <v>46145</v>
      </c>
      <c r="D1687" t="inlineStr">
        <is>
          <t>VÄSTERBOTTENS LÄN</t>
        </is>
      </c>
      <c r="E1687" t="inlineStr">
        <is>
          <t>DOROTEA</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46145</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52552-2021</t>
        </is>
      </c>
      <c r="B1689" s="1" t="n">
        <v>44466</v>
      </c>
      <c r="C1689" s="1" t="n">
        <v>46145</v>
      </c>
      <c r="D1689" t="inlineStr">
        <is>
          <t>VÄSTERBOTTENS LÄN</t>
        </is>
      </c>
      <c r="E1689" t="inlineStr">
        <is>
          <t>NORSJÖ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52888-2022</t>
        </is>
      </c>
      <c r="B1690" s="1" t="n">
        <v>44872</v>
      </c>
      <c r="C1690" s="1" t="n">
        <v>46145</v>
      </c>
      <c r="D1690" t="inlineStr">
        <is>
          <t>VÄSTERBOTTENS LÄN</t>
        </is>
      </c>
      <c r="E1690" t="inlineStr">
        <is>
          <t>VINDELN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46145</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25129-2021</t>
        </is>
      </c>
      <c r="B1692" s="1" t="n">
        <v>44341</v>
      </c>
      <c r="C1692" s="1" t="n">
        <v>46145</v>
      </c>
      <c r="D1692" t="inlineStr">
        <is>
          <t>VÄSTERBOTTENS LÄN</t>
        </is>
      </c>
      <c r="E1692" t="inlineStr">
        <is>
          <t>ÅSELE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70753-2021</t>
        </is>
      </c>
      <c r="B1693" s="1" t="n">
        <v>44536</v>
      </c>
      <c r="C1693" s="1" t="n">
        <v>46145</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43202-2021</t>
        </is>
      </c>
      <c r="B1694" s="1" t="n">
        <v>44431</v>
      </c>
      <c r="C1694" s="1" t="n">
        <v>46145</v>
      </c>
      <c r="D1694" t="inlineStr">
        <is>
          <t>VÄSTERBOTTENS LÄN</t>
        </is>
      </c>
      <c r="E1694" t="inlineStr">
        <is>
          <t>STORUMAN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46145</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58034-2021</t>
        </is>
      </c>
      <c r="B1696" s="1" t="n">
        <v>44487</v>
      </c>
      <c r="C1696" s="1" t="n">
        <v>46145</v>
      </c>
      <c r="D1696" t="inlineStr">
        <is>
          <t>VÄSTERBOTTENS LÄN</t>
        </is>
      </c>
      <c r="E1696" t="inlineStr">
        <is>
          <t>NORDMALING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46145</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46145</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61651-2021</t>
        </is>
      </c>
      <c r="B1699" s="1" t="n">
        <v>44501.53170138889</v>
      </c>
      <c r="C1699" s="1" t="n">
        <v>46145</v>
      </c>
      <c r="D1699" t="inlineStr">
        <is>
          <t>VÄSTERBOTTENS LÄN</t>
        </is>
      </c>
      <c r="E1699" t="inlineStr">
        <is>
          <t>LYCKSELE</t>
        </is>
      </c>
      <c r="F1699" t="inlineStr">
        <is>
          <t>Sveaskog</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37328-2021</t>
        </is>
      </c>
      <c r="B1700" s="1" t="n">
        <v>44397.55902777778</v>
      </c>
      <c r="C1700" s="1" t="n">
        <v>46145</v>
      </c>
      <c r="D1700" t="inlineStr">
        <is>
          <t>VÄSTERBOTTENS LÄN</t>
        </is>
      </c>
      <c r="E1700" t="inlineStr">
        <is>
          <t>BJURHOLM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46145</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73665-2021</t>
        </is>
      </c>
      <c r="B1702" s="1" t="n">
        <v>44551</v>
      </c>
      <c r="C1702" s="1" t="n">
        <v>46145</v>
      </c>
      <c r="D1702" t="inlineStr">
        <is>
          <t>VÄSTERBOTTENS LÄN</t>
        </is>
      </c>
      <c r="E1702" t="inlineStr">
        <is>
          <t>BJURHOLM</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54794-2021</t>
        </is>
      </c>
      <c r="B1703" s="1" t="n">
        <v>44473.94274305556</v>
      </c>
      <c r="C1703" s="1" t="n">
        <v>46145</v>
      </c>
      <c r="D1703" t="inlineStr">
        <is>
          <t>VÄSTERBOTTENS LÄN</t>
        </is>
      </c>
      <c r="E1703" t="inlineStr">
        <is>
          <t>LYCKSELE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36711-2021</t>
        </is>
      </c>
      <c r="B1704" s="1" t="n">
        <v>44392</v>
      </c>
      <c r="C1704" s="1" t="n">
        <v>46145</v>
      </c>
      <c r="D1704" t="inlineStr">
        <is>
          <t>VÄSTERBOTTENS LÄN</t>
        </is>
      </c>
      <c r="E1704" t="inlineStr">
        <is>
          <t>STORUMAN</t>
        </is>
      </c>
      <c r="G1704" t="n">
        <v>24.7</v>
      </c>
      <c r="H1704" t="n">
        <v>0</v>
      </c>
      <c r="I1704" t="n">
        <v>0</v>
      </c>
      <c r="J1704" t="n">
        <v>0</v>
      </c>
      <c r="K1704" t="n">
        <v>0</v>
      </c>
      <c r="L1704" t="n">
        <v>0</v>
      </c>
      <c r="M1704" t="n">
        <v>0</v>
      </c>
      <c r="N1704" t="n">
        <v>0</v>
      </c>
      <c r="O1704" t="n">
        <v>0</v>
      </c>
      <c r="P1704" t="n">
        <v>0</v>
      </c>
      <c r="Q1704" t="n">
        <v>0</v>
      </c>
      <c r="R1704" s="2" t="inlineStr"/>
    </row>
    <row r="1705" ht="15" customHeight="1">
      <c r="A1705" t="inlineStr">
        <is>
          <t>A 41845-2021</t>
        </is>
      </c>
      <c r="B1705" s="1" t="n">
        <v>44425.93820601852</v>
      </c>
      <c r="C1705" s="1" t="n">
        <v>46145</v>
      </c>
      <c r="D1705" t="inlineStr">
        <is>
          <t>VÄSTERBOTTENS LÄN</t>
        </is>
      </c>
      <c r="E1705" t="inlineStr">
        <is>
          <t>VINDELN</t>
        </is>
      </c>
      <c r="F1705" t="inlineStr">
        <is>
          <t>SCA</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66503-2021</t>
        </is>
      </c>
      <c r="B1706" s="1" t="n">
        <v>44519.32098379629</v>
      </c>
      <c r="C1706" s="1" t="n">
        <v>46145</v>
      </c>
      <c r="D1706" t="inlineStr">
        <is>
          <t>VÄSTERBOTTENS LÄN</t>
        </is>
      </c>
      <c r="E1706" t="inlineStr">
        <is>
          <t>ROBERTSFORS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55921-2021</t>
        </is>
      </c>
      <c r="B1707" s="1" t="n">
        <v>44476</v>
      </c>
      <c r="C1707" s="1" t="n">
        <v>46145</v>
      </c>
      <c r="D1707" t="inlineStr">
        <is>
          <t>VÄSTERBOTTENS LÄN</t>
        </is>
      </c>
      <c r="E1707" t="inlineStr">
        <is>
          <t>ÅSELE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46145</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46145</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46145</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46145</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46145</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46145</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46145</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46145</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35878-2022</t>
        </is>
      </c>
      <c r="B1716" s="1" t="n">
        <v>44802</v>
      </c>
      <c r="C1716" s="1" t="n">
        <v>46145</v>
      </c>
      <c r="D1716" t="inlineStr">
        <is>
          <t>VÄSTERBOTTENS LÄN</t>
        </is>
      </c>
      <c r="E1716" t="inlineStr">
        <is>
          <t>UMEÅ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46145</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46145</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46145</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46145</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46145</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46145</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46145</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33395-2021</t>
        </is>
      </c>
      <c r="B1724" s="1" t="n">
        <v>44377</v>
      </c>
      <c r="C1724" s="1" t="n">
        <v>46145</v>
      </c>
      <c r="D1724" t="inlineStr">
        <is>
          <t>VÄSTERBOTTENS LÄN</t>
        </is>
      </c>
      <c r="E1724" t="inlineStr">
        <is>
          <t>SORSELE</t>
        </is>
      </c>
      <c r="G1724" t="n">
        <v>20</v>
      </c>
      <c r="H1724" t="n">
        <v>0</v>
      </c>
      <c r="I1724" t="n">
        <v>0</v>
      </c>
      <c r="J1724" t="n">
        <v>0</v>
      </c>
      <c r="K1724" t="n">
        <v>0</v>
      </c>
      <c r="L1724" t="n">
        <v>0</v>
      </c>
      <c r="M1724" t="n">
        <v>0</v>
      </c>
      <c r="N1724" t="n">
        <v>0</v>
      </c>
      <c r="O1724" t="n">
        <v>0</v>
      </c>
      <c r="P1724" t="n">
        <v>0</v>
      </c>
      <c r="Q1724" t="n">
        <v>0</v>
      </c>
      <c r="R1724" s="2" t="inlineStr"/>
    </row>
    <row r="1725" ht="15" customHeight="1">
      <c r="A1725" t="inlineStr">
        <is>
          <t>A 39623-2021</t>
        </is>
      </c>
      <c r="B1725" s="1" t="n">
        <v>44413</v>
      </c>
      <c r="C1725" s="1" t="n">
        <v>46145</v>
      </c>
      <c r="D1725" t="inlineStr">
        <is>
          <t>VÄSTERBOTTENS LÄN</t>
        </is>
      </c>
      <c r="E1725" t="inlineStr">
        <is>
          <t>SKELLEFTEÅ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50279-2021</t>
        </is>
      </c>
      <c r="B1726" s="1" t="n">
        <v>44459</v>
      </c>
      <c r="C1726" s="1" t="n">
        <v>46145</v>
      </c>
      <c r="D1726" t="inlineStr">
        <is>
          <t>VÄSTERBOTTENS LÄN</t>
        </is>
      </c>
      <c r="E1726" t="inlineStr">
        <is>
          <t>LYCKSELE</t>
        </is>
      </c>
      <c r="F1726" t="inlineStr">
        <is>
          <t>Sveaskog</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36111-2022</t>
        </is>
      </c>
      <c r="B1727" s="1" t="n">
        <v>44802</v>
      </c>
      <c r="C1727" s="1" t="n">
        <v>46145</v>
      </c>
      <c r="D1727" t="inlineStr">
        <is>
          <t>VÄSTERBOTTENS LÄN</t>
        </is>
      </c>
      <c r="E1727" t="inlineStr">
        <is>
          <t>VINDELN</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46145</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18641-2022</t>
        </is>
      </c>
      <c r="B1729" s="1" t="n">
        <v>44687</v>
      </c>
      <c r="C1729" s="1" t="n">
        <v>46145</v>
      </c>
      <c r="D1729" t="inlineStr">
        <is>
          <t>VÄSTERBOTTENS LÄN</t>
        </is>
      </c>
      <c r="E1729" t="inlineStr">
        <is>
          <t>NORDMALING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3882-2022</t>
        </is>
      </c>
      <c r="B1730" s="1" t="n">
        <v>44587.45986111111</v>
      </c>
      <c r="C1730" s="1" t="n">
        <v>46145</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73427-2021</t>
        </is>
      </c>
      <c r="B1731" s="1" t="n">
        <v>44550</v>
      </c>
      <c r="C1731" s="1" t="n">
        <v>46145</v>
      </c>
      <c r="D1731" t="inlineStr">
        <is>
          <t>VÄSTERBOTTENS LÄN</t>
        </is>
      </c>
      <c r="E1731" t="inlineStr">
        <is>
          <t>SORSELE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46950-2021</t>
        </is>
      </c>
      <c r="B1732" s="1" t="n">
        <v>44446</v>
      </c>
      <c r="C1732" s="1" t="n">
        <v>46145</v>
      </c>
      <c r="D1732" t="inlineStr">
        <is>
          <t>VÄSTERBOTTENS LÄN</t>
        </is>
      </c>
      <c r="E1732" t="inlineStr">
        <is>
          <t>VÄNNÄS</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46145</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24203-2021</t>
        </is>
      </c>
      <c r="B1734" s="1" t="n">
        <v>44336</v>
      </c>
      <c r="C1734" s="1" t="n">
        <v>46145</v>
      </c>
      <c r="D1734" t="inlineStr">
        <is>
          <t>VÄSTERBOTTENS LÄN</t>
        </is>
      </c>
      <c r="E1734" t="inlineStr">
        <is>
          <t>DOROTEA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24606-2021</t>
        </is>
      </c>
      <c r="B1735" s="1" t="n">
        <v>44319</v>
      </c>
      <c r="C1735" s="1" t="n">
        <v>46145</v>
      </c>
      <c r="D1735" t="inlineStr">
        <is>
          <t>VÄSTERBOTTENS LÄN</t>
        </is>
      </c>
      <c r="E1735" t="inlineStr">
        <is>
          <t>SKELLEFTEÅ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46145</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46145</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46145</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46145</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46145</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69805-2021</t>
        </is>
      </c>
      <c r="B1741" s="1" t="n">
        <v>44532</v>
      </c>
      <c r="C1741" s="1" t="n">
        <v>46145</v>
      </c>
      <c r="D1741" t="inlineStr">
        <is>
          <t>VÄSTERBOTTENS LÄN</t>
        </is>
      </c>
      <c r="E1741" t="inlineStr">
        <is>
          <t>ROBERTSFORS</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56898-2021</t>
        </is>
      </c>
      <c r="B1742" s="1" t="n">
        <v>44481</v>
      </c>
      <c r="C1742" s="1" t="n">
        <v>46145</v>
      </c>
      <c r="D1742" t="inlineStr">
        <is>
          <t>VÄSTERBOTTENS LÄN</t>
        </is>
      </c>
      <c r="E1742" t="inlineStr">
        <is>
          <t>LYCKSELE</t>
        </is>
      </c>
      <c r="F1742" t="inlineStr">
        <is>
          <t>Naturvårdsverket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46145</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46145</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8223-2022</t>
        </is>
      </c>
      <c r="B1745" s="1" t="n">
        <v>44609</v>
      </c>
      <c r="C1745" s="1" t="n">
        <v>46145</v>
      </c>
      <c r="D1745" t="inlineStr">
        <is>
          <t>VÄSTERBOTTENS LÄN</t>
        </is>
      </c>
      <c r="E1745" t="inlineStr">
        <is>
          <t>UMEÅ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27879-2022</t>
        </is>
      </c>
      <c r="B1746" s="1" t="n">
        <v>44743</v>
      </c>
      <c r="C1746" s="1" t="n">
        <v>46145</v>
      </c>
      <c r="D1746" t="inlineStr">
        <is>
          <t>VÄSTERBOTTENS LÄN</t>
        </is>
      </c>
      <c r="E1746" t="inlineStr">
        <is>
          <t>VILHELMINA</t>
        </is>
      </c>
      <c r="F1746" t="inlineStr">
        <is>
          <t>Sveaskog</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27935-2022</t>
        </is>
      </c>
      <c r="B1747" s="1" t="n">
        <v>44743.94269675926</v>
      </c>
      <c r="C1747" s="1" t="n">
        <v>46145</v>
      </c>
      <c r="D1747" t="inlineStr">
        <is>
          <t>VÄSTERBOTTENS LÄN</t>
        </is>
      </c>
      <c r="E1747" t="inlineStr">
        <is>
          <t>VILHELMINA</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46145</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31177-2022</t>
        </is>
      </c>
      <c r="B1749" s="1" t="n">
        <v>44770</v>
      </c>
      <c r="C1749" s="1" t="n">
        <v>46145</v>
      </c>
      <c r="D1749" t="inlineStr">
        <is>
          <t>VÄSTERBOTTENS LÄN</t>
        </is>
      </c>
      <c r="E1749" t="inlineStr">
        <is>
          <t>BJURHOLM</t>
        </is>
      </c>
      <c r="F1749" t="inlineStr">
        <is>
          <t>Holmen skog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46145</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46145</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46145</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46145</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46145</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46145</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57189-2021</t>
        </is>
      </c>
      <c r="B1756" s="1" t="n">
        <v>44482.92244212963</v>
      </c>
      <c r="C1756" s="1" t="n">
        <v>46145</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56179-2022</t>
        </is>
      </c>
      <c r="B1757" s="1" t="n">
        <v>44889.94913194444</v>
      </c>
      <c r="C1757" s="1" t="n">
        <v>46145</v>
      </c>
      <c r="D1757" t="inlineStr">
        <is>
          <t>VÄSTERBOTTENS LÄN</t>
        </is>
      </c>
      <c r="E1757" t="inlineStr">
        <is>
          <t>VILHELMINA</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46145</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22425-2021</t>
        </is>
      </c>
      <c r="B1759" s="1" t="n">
        <v>44326</v>
      </c>
      <c r="C1759" s="1" t="n">
        <v>46145</v>
      </c>
      <c r="D1759" t="inlineStr">
        <is>
          <t>VÄSTERBOTTENS LÄN</t>
        </is>
      </c>
      <c r="E1759" t="inlineStr">
        <is>
          <t>SORSELE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50895-2022</t>
        </is>
      </c>
      <c r="B1760" s="1" t="n">
        <v>44867</v>
      </c>
      <c r="C1760" s="1" t="n">
        <v>46145</v>
      </c>
      <c r="D1760" t="inlineStr">
        <is>
          <t>VÄSTERBOTTENS LÄN</t>
        </is>
      </c>
      <c r="E1760" t="inlineStr">
        <is>
          <t>SORSELE</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50901-2022</t>
        </is>
      </c>
      <c r="B1761" s="1" t="n">
        <v>44867</v>
      </c>
      <c r="C1761" s="1" t="n">
        <v>46145</v>
      </c>
      <c r="D1761" t="inlineStr">
        <is>
          <t>VÄSTERBOTTENS LÄN</t>
        </is>
      </c>
      <c r="E1761" t="inlineStr">
        <is>
          <t>SORSELE</t>
        </is>
      </c>
      <c r="F1761" t="inlineStr">
        <is>
          <t>Sveaskog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9061-2022</t>
        </is>
      </c>
      <c r="B1762" s="1" t="n">
        <v>44615</v>
      </c>
      <c r="C1762" s="1" t="n">
        <v>46145</v>
      </c>
      <c r="D1762" t="inlineStr">
        <is>
          <t>VÄSTERBOTTENS LÄN</t>
        </is>
      </c>
      <c r="E1762" t="inlineStr">
        <is>
          <t>NORSJÖ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46145</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46145</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8458-2022</t>
        </is>
      </c>
      <c r="B1765" s="1" t="n">
        <v>44612.92157407408</v>
      </c>
      <c r="C1765" s="1" t="n">
        <v>46145</v>
      </c>
      <c r="D1765" t="inlineStr">
        <is>
          <t>VÄSTERBOTTENS LÄN</t>
        </is>
      </c>
      <c r="E1765" t="inlineStr">
        <is>
          <t>ROBERTSFORS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8460-2022</t>
        </is>
      </c>
      <c r="B1766" s="1" t="n">
        <v>44612</v>
      </c>
      <c r="C1766" s="1" t="n">
        <v>46145</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28097-2021</t>
        </is>
      </c>
      <c r="B1767" s="1" t="n">
        <v>44355</v>
      </c>
      <c r="C1767" s="1" t="n">
        <v>46145</v>
      </c>
      <c r="D1767" t="inlineStr">
        <is>
          <t>VÄSTERBOTTENS LÄN</t>
        </is>
      </c>
      <c r="E1767" t="inlineStr">
        <is>
          <t>SORSELE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46145</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46145</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46145</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51491-2022</t>
        </is>
      </c>
      <c r="B1771" s="1" t="n">
        <v>44869</v>
      </c>
      <c r="C1771" s="1" t="n">
        <v>46145</v>
      </c>
      <c r="D1771" t="inlineStr">
        <is>
          <t>VÄSTERBOTTENS LÄN</t>
        </is>
      </c>
      <c r="E1771" t="inlineStr">
        <is>
          <t>NORSJÖ</t>
        </is>
      </c>
      <c r="F1771" t="inlineStr">
        <is>
          <t>Sveaskog</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36194-2022</t>
        </is>
      </c>
      <c r="B1772" s="1" t="n">
        <v>44803</v>
      </c>
      <c r="C1772" s="1" t="n">
        <v>46145</v>
      </c>
      <c r="D1772" t="inlineStr">
        <is>
          <t>VÄSTERBOTTENS LÄN</t>
        </is>
      </c>
      <c r="E1772" t="inlineStr">
        <is>
          <t>ÅSELE</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12674-2022</t>
        </is>
      </c>
      <c r="B1773" s="1" t="n">
        <v>44641</v>
      </c>
      <c r="C1773" s="1" t="n">
        <v>46145</v>
      </c>
      <c r="D1773" t="inlineStr">
        <is>
          <t>VÄSTERBOTTENS LÄN</t>
        </is>
      </c>
      <c r="E1773" t="inlineStr">
        <is>
          <t>MALÅ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45554-2022</t>
        </is>
      </c>
      <c r="B1774" s="1" t="n">
        <v>44845</v>
      </c>
      <c r="C1774" s="1" t="n">
        <v>46145</v>
      </c>
      <c r="D1774" t="inlineStr">
        <is>
          <t>VÄSTERBOTTENS LÄN</t>
        </is>
      </c>
      <c r="E1774" t="inlineStr">
        <is>
          <t>SKELLEFTEÅ</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22828-2022</t>
        </is>
      </c>
      <c r="B1775" s="1" t="n">
        <v>44714</v>
      </c>
      <c r="C1775" s="1" t="n">
        <v>46145</v>
      </c>
      <c r="D1775" t="inlineStr">
        <is>
          <t>VÄSTERBOTTENS LÄN</t>
        </is>
      </c>
      <c r="E1775" t="inlineStr">
        <is>
          <t>SKELLEFTEÅ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23513-2022</t>
        </is>
      </c>
      <c r="B1776" s="1" t="n">
        <v>44721.39010416667</v>
      </c>
      <c r="C1776" s="1" t="n">
        <v>46145</v>
      </c>
      <c r="D1776" t="inlineStr">
        <is>
          <t>VÄSTERBOTTENS LÄN</t>
        </is>
      </c>
      <c r="E1776" t="inlineStr">
        <is>
          <t>SKELLEFTEÅ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34883-2021</t>
        </is>
      </c>
      <c r="B1777" s="1" t="n">
        <v>44382</v>
      </c>
      <c r="C1777" s="1" t="n">
        <v>46145</v>
      </c>
      <c r="D1777" t="inlineStr">
        <is>
          <t>VÄSTERBOTTENS LÄN</t>
        </is>
      </c>
      <c r="E1777" t="inlineStr">
        <is>
          <t>NORSJÖ</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46145</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46145</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46145</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46145</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46145</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46145</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46145</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40477-2021</t>
        </is>
      </c>
      <c r="B1785" s="1" t="n">
        <v>44419.94302083334</v>
      </c>
      <c r="C1785" s="1" t="n">
        <v>46145</v>
      </c>
      <c r="D1785" t="inlineStr">
        <is>
          <t>VÄSTERBOTTENS LÄN</t>
        </is>
      </c>
      <c r="E1785" t="inlineStr">
        <is>
          <t>VILHELMINA</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46145</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46145</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46145</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46145</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46145</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46145</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46145</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46145</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46145</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46145</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46145</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46145</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35551-2021</t>
        </is>
      </c>
      <c r="B1798" s="1" t="n">
        <v>44385.82789351852</v>
      </c>
      <c r="C1798" s="1" t="n">
        <v>46145</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46145</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46145</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46145</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46145</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46145</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2607-2022</t>
        </is>
      </c>
      <c r="B1804" s="1" t="n">
        <v>44580</v>
      </c>
      <c r="C1804" s="1" t="n">
        <v>46145</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2706-2022</t>
        </is>
      </c>
      <c r="B1805" s="1" t="n">
        <v>44580</v>
      </c>
      <c r="C1805" s="1" t="n">
        <v>46145</v>
      </c>
      <c r="D1805" t="inlineStr">
        <is>
          <t>VÄSTERBOTTENS LÄN</t>
        </is>
      </c>
      <c r="E1805" t="inlineStr">
        <is>
          <t>BJURHOLM</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46145</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38746-2021</t>
        </is>
      </c>
      <c r="B1807" s="1" t="n">
        <v>44410</v>
      </c>
      <c r="C1807" s="1" t="n">
        <v>46145</v>
      </c>
      <c r="D1807" t="inlineStr">
        <is>
          <t>VÄSTERBOTTENS LÄN</t>
        </is>
      </c>
      <c r="E1807" t="inlineStr">
        <is>
          <t>UMEÅ</t>
        </is>
      </c>
      <c r="F1807" t="inlineStr">
        <is>
          <t>Övriga statliga verk och myndigheter</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46145</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46145</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46145</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46145</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46145</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46145</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46145</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46145</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46145</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46145</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46145</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54796-2021</t>
        </is>
      </c>
      <c r="B1819" s="1" t="n">
        <v>44473.94251157407</v>
      </c>
      <c r="C1819" s="1" t="n">
        <v>46145</v>
      </c>
      <c r="D1819" t="inlineStr">
        <is>
          <t>VÄSTERBOTTENS LÄN</t>
        </is>
      </c>
      <c r="E1819" t="inlineStr">
        <is>
          <t>STORUMAN</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46145</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46145</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46145</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46145</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46145</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46145</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46145</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46145</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46145</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46145</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46145</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46145</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46145</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46090-2022</t>
        </is>
      </c>
      <c r="B1833" s="1" t="n">
        <v>44844</v>
      </c>
      <c r="C1833" s="1" t="n">
        <v>46145</v>
      </c>
      <c r="D1833" t="inlineStr">
        <is>
          <t>VÄSTERBOTTENS LÄN</t>
        </is>
      </c>
      <c r="E1833" t="inlineStr">
        <is>
          <t>NORSJÖ</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46145</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21581-2021</t>
        </is>
      </c>
      <c r="B1835" s="1" t="n">
        <v>44321</v>
      </c>
      <c r="C1835" s="1" t="n">
        <v>46145</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63827-2021</t>
        </is>
      </c>
      <c r="B1836" s="1" t="n">
        <v>44509</v>
      </c>
      <c r="C1836" s="1" t="n">
        <v>46145</v>
      </c>
      <c r="D1836" t="inlineStr">
        <is>
          <t>VÄSTERBOTTENS LÄN</t>
        </is>
      </c>
      <c r="E1836" t="inlineStr">
        <is>
          <t>LYCKSELE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46145</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46145</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46145</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46145</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46145</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46145</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46145</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46145</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46145</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229-2022</t>
        </is>
      </c>
      <c r="B1846" s="1" t="n">
        <v>44564.92136574074</v>
      </c>
      <c r="C1846" s="1" t="n">
        <v>46145</v>
      </c>
      <c r="D1846" t="inlineStr">
        <is>
          <t>VÄSTERBOTTENS LÄN</t>
        </is>
      </c>
      <c r="E1846" t="inlineStr">
        <is>
          <t>LYCKSELE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46145</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73956-2021</t>
        </is>
      </c>
      <c r="B1848" s="1" t="n">
        <v>44553</v>
      </c>
      <c r="C1848" s="1" t="n">
        <v>46145</v>
      </c>
      <c r="D1848" t="inlineStr">
        <is>
          <t>VÄSTERBOTTENS LÄN</t>
        </is>
      </c>
      <c r="E1848" t="inlineStr">
        <is>
          <t>SKELLEFTEÅ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35888-2022</t>
        </is>
      </c>
      <c r="B1849" s="1" t="n">
        <v>44803</v>
      </c>
      <c r="C1849" s="1" t="n">
        <v>46145</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25403-2021</t>
        </is>
      </c>
      <c r="B1850" s="1" t="n">
        <v>44342</v>
      </c>
      <c r="C1850" s="1" t="n">
        <v>46145</v>
      </c>
      <c r="D1850" t="inlineStr">
        <is>
          <t>VÄSTERBOTTENS LÄN</t>
        </is>
      </c>
      <c r="E1850" t="inlineStr">
        <is>
          <t>NORDMALING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46145</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46145</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46145</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46145</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46145</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46145</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46145</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46145</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46145</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46145</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46145</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46145</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46145</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46145</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46145</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46145</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46145</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46145</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42043-2022</t>
        </is>
      </c>
      <c r="B1869" s="1" t="n">
        <v>44830</v>
      </c>
      <c r="C1869" s="1" t="n">
        <v>46145</v>
      </c>
      <c r="D1869" t="inlineStr">
        <is>
          <t>VÄSTERBOTTENS LÄN</t>
        </is>
      </c>
      <c r="E1869" t="inlineStr">
        <is>
          <t>UMEÅ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66557-2021</t>
        </is>
      </c>
      <c r="B1870" s="1" t="n">
        <v>44519.41366898148</v>
      </c>
      <c r="C1870" s="1" t="n">
        <v>46145</v>
      </c>
      <c r="D1870" t="inlineStr">
        <is>
          <t>VÄSTERBOTTENS LÄN</t>
        </is>
      </c>
      <c r="E1870" t="inlineStr">
        <is>
          <t>ÅSELE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25859-2021</t>
        </is>
      </c>
      <c r="B1871" s="1" t="n">
        <v>44343</v>
      </c>
      <c r="C1871" s="1" t="n">
        <v>46145</v>
      </c>
      <c r="D1871" t="inlineStr">
        <is>
          <t>VÄSTERBOTTENS LÄN</t>
        </is>
      </c>
      <c r="E1871" t="inlineStr">
        <is>
          <t>UMEÅ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46145</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46145</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46145</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46145</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46145</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46145</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46145</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46145</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4084-2022</t>
        </is>
      </c>
      <c r="B1880" s="1" t="n">
        <v>44588.39104166667</v>
      </c>
      <c r="C1880" s="1" t="n">
        <v>46145</v>
      </c>
      <c r="D1880" t="inlineStr">
        <is>
          <t>VÄSTERBOTTENS LÄN</t>
        </is>
      </c>
      <c r="E1880" t="inlineStr">
        <is>
          <t>UMEÅ</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69627-2021</t>
        </is>
      </c>
      <c r="B1881" s="1" t="n">
        <v>44532.41537037037</v>
      </c>
      <c r="C1881" s="1" t="n">
        <v>46145</v>
      </c>
      <c r="D1881" t="inlineStr">
        <is>
          <t>VÄSTERBOTTENS LÄN</t>
        </is>
      </c>
      <c r="E1881" t="inlineStr">
        <is>
          <t>LYCKSELE</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46145</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46145</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45964-2022</t>
        </is>
      </c>
      <c r="B1884" s="1" t="n">
        <v>44846</v>
      </c>
      <c r="C1884" s="1" t="n">
        <v>46145</v>
      </c>
      <c r="D1884" t="inlineStr">
        <is>
          <t>VÄSTERBOTTENS LÄN</t>
        </is>
      </c>
      <c r="E1884" t="inlineStr">
        <is>
          <t>LYCKSELE</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45985-2022</t>
        </is>
      </c>
      <c r="B1885" s="1" t="n">
        <v>44844</v>
      </c>
      <c r="C1885" s="1" t="n">
        <v>46145</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46145</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46145</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17149-2022</t>
        </is>
      </c>
      <c r="B1888" s="1" t="n">
        <v>44677</v>
      </c>
      <c r="C1888" s="1" t="n">
        <v>46145</v>
      </c>
      <c r="D1888" t="inlineStr">
        <is>
          <t>VÄSTERBOTTENS LÄN</t>
        </is>
      </c>
      <c r="E1888" t="inlineStr">
        <is>
          <t>STORUMAN</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39019-2022</t>
        </is>
      </c>
      <c r="B1889" s="1" t="n">
        <v>44817</v>
      </c>
      <c r="C1889" s="1" t="n">
        <v>46145</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46145</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72377-2021</t>
        </is>
      </c>
      <c r="B1891" s="1" t="n">
        <v>44544</v>
      </c>
      <c r="C1891" s="1" t="n">
        <v>46145</v>
      </c>
      <c r="D1891" t="inlineStr">
        <is>
          <t>VÄSTERBOTTENS LÄN</t>
        </is>
      </c>
      <c r="E1891" t="inlineStr">
        <is>
          <t>LYCKSELE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51093-2022</t>
        </is>
      </c>
      <c r="B1892" s="1" t="n">
        <v>44865</v>
      </c>
      <c r="C1892" s="1" t="n">
        <v>46145</v>
      </c>
      <c r="D1892" t="inlineStr">
        <is>
          <t>VÄSTERBOTTENS LÄN</t>
        </is>
      </c>
      <c r="E1892" t="inlineStr">
        <is>
          <t>VINDELN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46145</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49527-2022</t>
        </is>
      </c>
      <c r="B1894" s="1" t="n">
        <v>44861.95710648148</v>
      </c>
      <c r="C1894" s="1" t="n">
        <v>46145</v>
      </c>
      <c r="D1894" t="inlineStr">
        <is>
          <t>VÄSTERBOTTENS LÄN</t>
        </is>
      </c>
      <c r="E1894" t="inlineStr">
        <is>
          <t>ÅSELE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46145</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27637-2022</t>
        </is>
      </c>
      <c r="B1896" s="1" t="n">
        <v>44743</v>
      </c>
      <c r="C1896" s="1" t="n">
        <v>46145</v>
      </c>
      <c r="D1896" t="inlineStr">
        <is>
          <t>VÄSTERBOTTENS LÄN</t>
        </is>
      </c>
      <c r="E1896" t="inlineStr">
        <is>
          <t>SKELLEFTEÅ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46145</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46145</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46145</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46145</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46145</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46145</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46145</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46145</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46145</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46145</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46145</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46145</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46145</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47100-2021</t>
        </is>
      </c>
      <c r="B1910" s="1" t="n">
        <v>44446.67491898148</v>
      </c>
      <c r="C1910" s="1" t="n">
        <v>46145</v>
      </c>
      <c r="D1910" t="inlineStr">
        <is>
          <t>VÄSTERBOTTENS LÄN</t>
        </is>
      </c>
      <c r="E1910" t="inlineStr">
        <is>
          <t>VINDELN</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46145</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46145</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46145</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46145</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46145</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46145</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46145</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46145</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46145</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46145</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46145</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35195-2022</t>
        </is>
      </c>
      <c r="B1922" s="1" t="n">
        <v>44797</v>
      </c>
      <c r="C1922" s="1" t="n">
        <v>46145</v>
      </c>
      <c r="D1922" t="inlineStr">
        <is>
          <t>VÄSTERBOTTENS LÄN</t>
        </is>
      </c>
      <c r="E1922" t="inlineStr">
        <is>
          <t>VINDELN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19962-2022</t>
        </is>
      </c>
      <c r="B1923" s="1" t="n">
        <v>44697</v>
      </c>
      <c r="C1923" s="1" t="n">
        <v>46145</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46145</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46145</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46145</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46145</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46145</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46145</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46145</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46145</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32459-2022</t>
        </is>
      </c>
      <c r="B1932" s="1" t="n">
        <v>44782</v>
      </c>
      <c r="C1932" s="1" t="n">
        <v>46145</v>
      </c>
      <c r="D1932" t="inlineStr">
        <is>
          <t>VÄSTERBOTTENS LÄN</t>
        </is>
      </c>
      <c r="E1932" t="inlineStr">
        <is>
          <t>STORUMAN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46145</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46145</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46145</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46145</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46145</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46145</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46145</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41645-2022</t>
        </is>
      </c>
      <c r="B1940" s="1" t="n">
        <v>44827.50721064815</v>
      </c>
      <c r="C1940" s="1" t="n">
        <v>46145</v>
      </c>
      <c r="D1940" t="inlineStr">
        <is>
          <t>VÄSTERBOTTENS LÄN</t>
        </is>
      </c>
      <c r="E1940" t="inlineStr">
        <is>
          <t>ROBERTSFORS</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46145</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46145</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46145</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46145</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46145</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46145</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46145</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46145</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46145</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46145</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46145</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41388-2022</t>
        </is>
      </c>
      <c r="B1952" s="1" t="n">
        <v>44826</v>
      </c>
      <c r="C1952" s="1" t="n">
        <v>46145</v>
      </c>
      <c r="D1952" t="inlineStr">
        <is>
          <t>VÄSTERBOTTENS LÄN</t>
        </is>
      </c>
      <c r="E1952" t="inlineStr">
        <is>
          <t>BJURHOLM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46145</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46145</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46145</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46145</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46145</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46145</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46145</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46145</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46145</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22661-2022</t>
        </is>
      </c>
      <c r="B1962" s="1" t="n">
        <v>44714</v>
      </c>
      <c r="C1962" s="1" t="n">
        <v>46145</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46145</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46145</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46145</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46145</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6053-2022</t>
        </is>
      </c>
      <c r="B1967" s="1" t="n">
        <v>44599</v>
      </c>
      <c r="C1967" s="1" t="n">
        <v>46145</v>
      </c>
      <c r="D1967" t="inlineStr">
        <is>
          <t>VÄSTERBOTTENS LÄN</t>
        </is>
      </c>
      <c r="E1967" t="inlineStr">
        <is>
          <t>BJURHOLM</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46145</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46145</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46844-2022</t>
        </is>
      </c>
      <c r="B1970" s="1" t="n">
        <v>44851</v>
      </c>
      <c r="C1970" s="1" t="n">
        <v>46145</v>
      </c>
      <c r="D1970" t="inlineStr">
        <is>
          <t>VÄSTERBOTTENS LÄN</t>
        </is>
      </c>
      <c r="E1970" t="inlineStr">
        <is>
          <t>STORUMAN</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46145</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46145</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46145</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30754-2021</t>
        </is>
      </c>
      <c r="B1974" s="1" t="n">
        <v>44365.46270833333</v>
      </c>
      <c r="C1974" s="1" t="n">
        <v>46145</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46145</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46145</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46145</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46145</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49084-2022</t>
        </is>
      </c>
      <c r="B1979" s="1" t="n">
        <v>44860</v>
      </c>
      <c r="C1979" s="1" t="n">
        <v>46145</v>
      </c>
      <c r="D1979" t="inlineStr">
        <is>
          <t>VÄSTERBOTTENS LÄN</t>
        </is>
      </c>
      <c r="E1979" t="inlineStr">
        <is>
          <t>STORUMAN</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51995-2022</t>
        </is>
      </c>
      <c r="B1980" s="1" t="n">
        <v>44872.92878472222</v>
      </c>
      <c r="C1980" s="1" t="n">
        <v>46145</v>
      </c>
      <c r="D1980" t="inlineStr">
        <is>
          <t>VÄSTERBOTTENS LÄN</t>
        </is>
      </c>
      <c r="E1980" t="inlineStr">
        <is>
          <t>NORSJÖ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52019-2022</t>
        </is>
      </c>
      <c r="B1981" s="1" t="n">
        <v>44872</v>
      </c>
      <c r="C1981" s="1" t="n">
        <v>46145</v>
      </c>
      <c r="D1981" t="inlineStr">
        <is>
          <t>VÄSTERBOTTENS LÄN</t>
        </is>
      </c>
      <c r="E1981" t="inlineStr">
        <is>
          <t>VINDELN</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46145</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7356-2022</t>
        </is>
      </c>
      <c r="B1983" s="1" t="n">
        <v>44606</v>
      </c>
      <c r="C1983" s="1" t="n">
        <v>46145</v>
      </c>
      <c r="D1983" t="inlineStr">
        <is>
          <t>VÄSTERBOTTENS LÄN</t>
        </is>
      </c>
      <c r="E1983" t="inlineStr">
        <is>
          <t>UMEÅ</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27665-2022</t>
        </is>
      </c>
      <c r="B1984" s="1" t="n">
        <v>44743</v>
      </c>
      <c r="C1984" s="1" t="n">
        <v>46145</v>
      </c>
      <c r="D1984" t="inlineStr">
        <is>
          <t>VÄSTERBOTTENS LÄN</t>
        </is>
      </c>
      <c r="E1984" t="inlineStr">
        <is>
          <t>VINDELN</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46145</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43737-2021</t>
        </is>
      </c>
      <c r="B1986" s="1" t="n">
        <v>44433.64141203704</v>
      </c>
      <c r="C1986" s="1" t="n">
        <v>46145</v>
      </c>
      <c r="D1986" t="inlineStr">
        <is>
          <t>VÄSTERBOTTENS LÄN</t>
        </is>
      </c>
      <c r="E1986" t="inlineStr">
        <is>
          <t>ÅSELE</t>
        </is>
      </c>
      <c r="F1986" t="inlineStr">
        <is>
          <t>Naturvårdsverket</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46145</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46145</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46145</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46145</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46145</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46145</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46145</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46145</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46145</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27301-2021</t>
        </is>
      </c>
      <c r="B1996" s="1" t="n">
        <v>44350</v>
      </c>
      <c r="C1996" s="1" t="n">
        <v>46145</v>
      </c>
      <c r="D1996" t="inlineStr">
        <is>
          <t>VÄSTERBOTTENS LÄN</t>
        </is>
      </c>
      <c r="E1996" t="inlineStr">
        <is>
          <t>ÅSELE</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46145</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48600-2021</t>
        </is>
      </c>
      <c r="B1998" s="1" t="n">
        <v>44452</v>
      </c>
      <c r="C1998" s="1" t="n">
        <v>46145</v>
      </c>
      <c r="D1998" t="inlineStr">
        <is>
          <t>VÄSTERBOTTENS LÄN</t>
        </is>
      </c>
      <c r="E1998" t="inlineStr">
        <is>
          <t>VILHELMINA</t>
        </is>
      </c>
      <c r="F1998" t="inlineStr">
        <is>
          <t>Allmännings- och besparingsskogar</t>
        </is>
      </c>
      <c r="G1998" t="n">
        <v>48.6</v>
      </c>
      <c r="H1998" t="n">
        <v>0</v>
      </c>
      <c r="I1998" t="n">
        <v>0</v>
      </c>
      <c r="J1998" t="n">
        <v>0</v>
      </c>
      <c r="K1998" t="n">
        <v>0</v>
      </c>
      <c r="L1998" t="n">
        <v>0</v>
      </c>
      <c r="M1998" t="n">
        <v>0</v>
      </c>
      <c r="N1998" t="n">
        <v>0</v>
      </c>
      <c r="O1998" t="n">
        <v>0</v>
      </c>
      <c r="P1998" t="n">
        <v>0</v>
      </c>
      <c r="Q1998" t="n">
        <v>0</v>
      </c>
      <c r="R1998" s="2" t="inlineStr"/>
    </row>
    <row r="1999" ht="15" customHeight="1">
      <c r="A1999" t="inlineStr">
        <is>
          <t>A 49803-2021</t>
        </is>
      </c>
      <c r="B1999" s="1" t="n">
        <v>44455.60459490741</v>
      </c>
      <c r="C1999" s="1" t="n">
        <v>46145</v>
      </c>
      <c r="D1999" t="inlineStr">
        <is>
          <t>VÄSTERBOTTENS LÄN</t>
        </is>
      </c>
      <c r="E1999" t="inlineStr">
        <is>
          <t>ÅSELE</t>
        </is>
      </c>
      <c r="F1999" t="inlineStr">
        <is>
          <t>Holmen skog AB</t>
        </is>
      </c>
      <c r="G1999" t="n">
        <v>13.7</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46145</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46145</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46145</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54872-2021</t>
        </is>
      </c>
      <c r="B2003" s="1" t="n">
        <v>44473</v>
      </c>
      <c r="C2003" s="1" t="n">
        <v>46145</v>
      </c>
      <c r="D2003" t="inlineStr">
        <is>
          <t>VÄSTERBOTTENS LÄN</t>
        </is>
      </c>
      <c r="E2003" t="inlineStr">
        <is>
          <t>NORDMALING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55484-2021</t>
        </is>
      </c>
      <c r="B2004" s="1" t="n">
        <v>44475</v>
      </c>
      <c r="C2004" s="1" t="n">
        <v>46145</v>
      </c>
      <c r="D2004" t="inlineStr">
        <is>
          <t>VÄSTERBOTTENS LÄN</t>
        </is>
      </c>
      <c r="E2004" t="inlineStr">
        <is>
          <t>ROBERTSFORS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58847-2021</t>
        </is>
      </c>
      <c r="B2005" s="1" t="n">
        <v>44489.62116898148</v>
      </c>
      <c r="C2005" s="1" t="n">
        <v>46145</v>
      </c>
      <c r="D2005" t="inlineStr">
        <is>
          <t>VÄSTERBOTTENS LÄN</t>
        </is>
      </c>
      <c r="E2005" t="inlineStr">
        <is>
          <t>SKELLEFTEÅ</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24599-2021</t>
        </is>
      </c>
      <c r="B2006" s="1" t="n">
        <v>44341</v>
      </c>
      <c r="C2006" s="1" t="n">
        <v>46145</v>
      </c>
      <c r="D2006" t="inlineStr">
        <is>
          <t>VÄSTERBOTTENS LÄN</t>
        </is>
      </c>
      <c r="E2006" t="inlineStr">
        <is>
          <t>VILHELMINA</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27172-2021</t>
        </is>
      </c>
      <c r="B2007" s="1" t="n">
        <v>44350</v>
      </c>
      <c r="C2007" s="1" t="n">
        <v>46145</v>
      </c>
      <c r="D2007" t="inlineStr">
        <is>
          <t>VÄSTERBOTTENS LÄN</t>
        </is>
      </c>
      <c r="E2007" t="inlineStr">
        <is>
          <t>UMEÅ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71445-2021</t>
        </is>
      </c>
      <c r="B2008" s="1" t="n">
        <v>44540.45789351852</v>
      </c>
      <c r="C2008" s="1" t="n">
        <v>46145</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22534-2021</t>
        </is>
      </c>
      <c r="B2009" s="1" t="n">
        <v>44326</v>
      </c>
      <c r="C2009" s="1" t="n">
        <v>46145</v>
      </c>
      <c r="D2009" t="inlineStr">
        <is>
          <t>VÄSTERBOTTENS LÄN</t>
        </is>
      </c>
      <c r="E2009" t="inlineStr">
        <is>
          <t>SORSELE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71581-2021</t>
        </is>
      </c>
      <c r="B2010" s="1" t="n">
        <v>44540</v>
      </c>
      <c r="C2010" s="1" t="n">
        <v>46145</v>
      </c>
      <c r="D2010" t="inlineStr">
        <is>
          <t>VÄSTERBOTTENS LÄN</t>
        </is>
      </c>
      <c r="E2010" t="inlineStr">
        <is>
          <t>VINDELN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71434-2021</t>
        </is>
      </c>
      <c r="B2011" s="1" t="n">
        <v>44540.44325231481</v>
      </c>
      <c r="C2011" s="1" t="n">
        <v>46145</v>
      </c>
      <c r="D2011" t="inlineStr">
        <is>
          <t>VÄSTERBOTTENS LÄN</t>
        </is>
      </c>
      <c r="E2011" t="inlineStr">
        <is>
          <t>SKELLEFTEÅ</t>
        </is>
      </c>
      <c r="F2011" t="inlineStr">
        <is>
          <t>Sveaskog</t>
        </is>
      </c>
      <c r="G2011" t="n">
        <v>13.2</v>
      </c>
      <c r="H2011" t="n">
        <v>0</v>
      </c>
      <c r="I2011" t="n">
        <v>0</v>
      </c>
      <c r="J2011" t="n">
        <v>0</v>
      </c>
      <c r="K2011" t="n">
        <v>0</v>
      </c>
      <c r="L2011" t="n">
        <v>0</v>
      </c>
      <c r="M2011" t="n">
        <v>0</v>
      </c>
      <c r="N2011" t="n">
        <v>0</v>
      </c>
      <c r="O2011" t="n">
        <v>0</v>
      </c>
      <c r="P2011" t="n">
        <v>0</v>
      </c>
      <c r="Q2011" t="n">
        <v>0</v>
      </c>
      <c r="R2011" s="2" t="inlineStr"/>
    </row>
    <row r="2012" ht="15" customHeight="1">
      <c r="A2012" t="inlineStr">
        <is>
          <t>A 53736-2021</t>
        </is>
      </c>
      <c r="B2012" s="1" t="n">
        <v>44469.5366087963</v>
      </c>
      <c r="C2012" s="1" t="n">
        <v>46145</v>
      </c>
      <c r="D2012" t="inlineStr">
        <is>
          <t>VÄSTERBOTTENS LÄN</t>
        </is>
      </c>
      <c r="E2012" t="inlineStr">
        <is>
          <t>NORDMALING</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46145</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33541-2021</t>
        </is>
      </c>
      <c r="B2014" s="1" t="n">
        <v>44377</v>
      </c>
      <c r="C2014" s="1" t="n">
        <v>46145</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12013-2022</t>
        </is>
      </c>
      <c r="B2015" s="1" t="n">
        <v>44635.92523148148</v>
      </c>
      <c r="C2015" s="1" t="n">
        <v>46145</v>
      </c>
      <c r="D2015" t="inlineStr">
        <is>
          <t>VÄSTERBOTTENS LÄN</t>
        </is>
      </c>
      <c r="E2015" t="inlineStr">
        <is>
          <t>ROBERTSFORS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26574-2021</t>
        </is>
      </c>
      <c r="B2016" s="1" t="n">
        <v>44348</v>
      </c>
      <c r="C2016" s="1" t="n">
        <v>46145</v>
      </c>
      <c r="D2016" t="inlineStr">
        <is>
          <t>VÄSTERBOTTENS LÄN</t>
        </is>
      </c>
      <c r="E2016" t="inlineStr">
        <is>
          <t>VINDELN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9858-2022</t>
        </is>
      </c>
      <c r="B2017" s="1" t="n">
        <v>44620</v>
      </c>
      <c r="C2017" s="1" t="n">
        <v>46145</v>
      </c>
      <c r="D2017" t="inlineStr">
        <is>
          <t>VÄSTERBOTTENS LÄN</t>
        </is>
      </c>
      <c r="E2017" t="inlineStr">
        <is>
          <t>NORDMALING</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9926-2022</t>
        </is>
      </c>
      <c r="B2018" s="1" t="n">
        <v>44620</v>
      </c>
      <c r="C2018" s="1" t="n">
        <v>46145</v>
      </c>
      <c r="D2018" t="inlineStr">
        <is>
          <t>VÄSTERBOTTENS LÄN</t>
        </is>
      </c>
      <c r="E2018" t="inlineStr">
        <is>
          <t>BJURHOLM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9927-2022</t>
        </is>
      </c>
      <c r="B2019" s="1" t="n">
        <v>44620</v>
      </c>
      <c r="C2019" s="1" t="n">
        <v>46145</v>
      </c>
      <c r="D2019" t="inlineStr">
        <is>
          <t>VÄSTERBOTTENS LÄN</t>
        </is>
      </c>
      <c r="E2019" t="inlineStr">
        <is>
          <t>BJURHOLM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46145</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23885-2021</t>
        </is>
      </c>
      <c r="B2021" s="1" t="n">
        <v>44335</v>
      </c>
      <c r="C2021" s="1" t="n">
        <v>46145</v>
      </c>
      <c r="D2021" t="inlineStr">
        <is>
          <t>VÄSTERBOTTENS LÄN</t>
        </is>
      </c>
      <c r="E2021" t="inlineStr">
        <is>
          <t>SKELLEFTEÅ</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46145</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67775-2021</t>
        </is>
      </c>
      <c r="B2023" s="1" t="n">
        <v>44524</v>
      </c>
      <c r="C2023" s="1" t="n">
        <v>46145</v>
      </c>
      <c r="D2023" t="inlineStr">
        <is>
          <t>VÄSTERBOTTENS LÄN</t>
        </is>
      </c>
      <c r="E2023" t="inlineStr">
        <is>
          <t>BJURHOLM</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38731-2021</t>
        </is>
      </c>
      <c r="B2024" s="1" t="n">
        <v>44410</v>
      </c>
      <c r="C2024" s="1" t="n">
        <v>46145</v>
      </c>
      <c r="D2024" t="inlineStr">
        <is>
          <t>VÄSTERBOTTENS LÄN</t>
        </is>
      </c>
      <c r="E2024" t="inlineStr">
        <is>
          <t>UMEÅ</t>
        </is>
      </c>
      <c r="F2024" t="inlineStr">
        <is>
          <t>Kommuner</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38912-2021</t>
        </is>
      </c>
      <c r="B2025" s="1" t="n">
        <v>44410</v>
      </c>
      <c r="C2025" s="1" t="n">
        <v>46145</v>
      </c>
      <c r="D2025" t="inlineStr">
        <is>
          <t>VÄSTERBOTTENS LÄN</t>
        </is>
      </c>
      <c r="E2025" t="inlineStr">
        <is>
          <t>UMEÅ</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45266-2021</t>
        </is>
      </c>
      <c r="B2026" s="1" t="n">
        <v>44439</v>
      </c>
      <c r="C2026" s="1" t="n">
        <v>46145</v>
      </c>
      <c r="D2026" t="inlineStr">
        <is>
          <t>VÄSTERBOTTENS LÄN</t>
        </is>
      </c>
      <c r="E2026" t="inlineStr">
        <is>
          <t>LYCKSELE</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23801-2021</t>
        </is>
      </c>
      <c r="B2027" s="1" t="n">
        <v>44334</v>
      </c>
      <c r="C2027" s="1" t="n">
        <v>46145</v>
      </c>
      <c r="D2027" t="inlineStr">
        <is>
          <t>VÄSTERBOTTENS LÄN</t>
        </is>
      </c>
      <c r="E2027" t="inlineStr">
        <is>
          <t>SKELLEFTEÅ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46145</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46145</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46145</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46145</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24207-2021</t>
        </is>
      </c>
      <c r="B2032" s="1" t="n">
        <v>44336</v>
      </c>
      <c r="C2032" s="1" t="n">
        <v>46145</v>
      </c>
      <c r="D2032" t="inlineStr">
        <is>
          <t>VÄSTERBOTTENS LÄN</t>
        </is>
      </c>
      <c r="E2032" t="inlineStr">
        <is>
          <t>DOROTEA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46145</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46145</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46145</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12942-2022</t>
        </is>
      </c>
      <c r="B2036" s="1" t="n">
        <v>44642.92290509259</v>
      </c>
      <c r="C2036" s="1" t="n">
        <v>46145</v>
      </c>
      <c r="D2036" t="inlineStr">
        <is>
          <t>VÄSTERBOTTENS LÄN</t>
        </is>
      </c>
      <c r="E2036" t="inlineStr">
        <is>
          <t>UMEÅ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70817-2021</t>
        </is>
      </c>
      <c r="B2037" s="1" t="n">
        <v>44537</v>
      </c>
      <c r="C2037" s="1" t="n">
        <v>46145</v>
      </c>
      <c r="D2037" t="inlineStr">
        <is>
          <t>VÄSTERBOTTENS LÄN</t>
        </is>
      </c>
      <c r="E2037" t="inlineStr">
        <is>
          <t>LYCKSELE</t>
        </is>
      </c>
      <c r="F2037" t="inlineStr">
        <is>
          <t>Naturvårdsverket</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13693-2022</t>
        </is>
      </c>
      <c r="B2038" s="1" t="n">
        <v>44648</v>
      </c>
      <c r="C2038" s="1" t="n">
        <v>46145</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2590-2022</t>
        </is>
      </c>
      <c r="B2039" s="1" t="n">
        <v>44580</v>
      </c>
      <c r="C2039" s="1" t="n">
        <v>46145</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26130-2021</t>
        </is>
      </c>
      <c r="B2040" s="1" t="n">
        <v>44345.93436342593</v>
      </c>
      <c r="C2040" s="1" t="n">
        <v>46145</v>
      </c>
      <c r="D2040" t="inlineStr">
        <is>
          <t>VÄSTERBOTTENS LÄN</t>
        </is>
      </c>
      <c r="E2040" t="inlineStr">
        <is>
          <t>SKELLEFTEÅ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17471-2022</t>
        </is>
      </c>
      <c r="B2041" s="1" t="n">
        <v>44679</v>
      </c>
      <c r="C2041" s="1" t="n">
        <v>46145</v>
      </c>
      <c r="D2041" t="inlineStr">
        <is>
          <t>VÄSTERBOTTENS LÄN</t>
        </is>
      </c>
      <c r="E2041" t="inlineStr">
        <is>
          <t>STORUMAN</t>
        </is>
      </c>
      <c r="G2041" t="n">
        <v>59.1</v>
      </c>
      <c r="H2041" t="n">
        <v>0</v>
      </c>
      <c r="I2041" t="n">
        <v>0</v>
      </c>
      <c r="J2041" t="n">
        <v>0</v>
      </c>
      <c r="K2041" t="n">
        <v>0</v>
      </c>
      <c r="L2041" t="n">
        <v>0</v>
      </c>
      <c r="M2041" t="n">
        <v>0</v>
      </c>
      <c r="N2041" t="n">
        <v>0</v>
      </c>
      <c r="O2041" t="n">
        <v>0</v>
      </c>
      <c r="P2041" t="n">
        <v>0</v>
      </c>
      <c r="Q2041" t="n">
        <v>0</v>
      </c>
      <c r="R2041" s="2" t="inlineStr"/>
    </row>
    <row r="2042" ht="15" customHeight="1">
      <c r="A2042" t="inlineStr">
        <is>
          <t>A 38559-2021</t>
        </is>
      </c>
      <c r="B2042" s="1" t="n">
        <v>44407</v>
      </c>
      <c r="C2042" s="1" t="n">
        <v>46145</v>
      </c>
      <c r="D2042" t="inlineStr">
        <is>
          <t>VÄSTERBOTTENS LÄN</t>
        </is>
      </c>
      <c r="E2042" t="inlineStr">
        <is>
          <t>UMEÅ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38560-2021</t>
        </is>
      </c>
      <c r="B2043" s="1" t="n">
        <v>44407</v>
      </c>
      <c r="C2043" s="1" t="n">
        <v>46145</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46145</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52080-2021</t>
        </is>
      </c>
      <c r="B2045" s="1" t="n">
        <v>44463</v>
      </c>
      <c r="C2045" s="1" t="n">
        <v>46145</v>
      </c>
      <c r="D2045" t="inlineStr">
        <is>
          <t>VÄSTERBOTTENS LÄN</t>
        </is>
      </c>
      <c r="E2045" t="inlineStr">
        <is>
          <t>SKELLEFTEÅ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35745-2021</t>
        </is>
      </c>
      <c r="B2046" s="1" t="n">
        <v>44386.56488425926</v>
      </c>
      <c r="C2046" s="1" t="n">
        <v>46145</v>
      </c>
      <c r="D2046" t="inlineStr">
        <is>
          <t>VÄSTERBOTTENS LÄN</t>
        </is>
      </c>
      <c r="E2046" t="inlineStr">
        <is>
          <t>ÅSELE</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60317-2021</t>
        </is>
      </c>
      <c r="B2047" s="1" t="n">
        <v>44495.94003472223</v>
      </c>
      <c r="C2047" s="1" t="n">
        <v>46145</v>
      </c>
      <c r="D2047" t="inlineStr">
        <is>
          <t>VÄSTERBOTTENS LÄN</t>
        </is>
      </c>
      <c r="E2047" t="inlineStr">
        <is>
          <t>VILHELMINA</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60413-2021</t>
        </is>
      </c>
      <c r="B2048" s="1" t="n">
        <v>44496.39971064815</v>
      </c>
      <c r="C2048" s="1" t="n">
        <v>46145</v>
      </c>
      <c r="D2048" t="inlineStr">
        <is>
          <t>VÄSTERBOTTENS LÄN</t>
        </is>
      </c>
      <c r="E2048" t="inlineStr">
        <is>
          <t>ÅSELE</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28001-2022</t>
        </is>
      </c>
      <c r="B2049" s="1" t="n">
        <v>44743</v>
      </c>
      <c r="C2049" s="1" t="n">
        <v>46145</v>
      </c>
      <c r="D2049" t="inlineStr">
        <is>
          <t>VÄSTERBOTTENS LÄN</t>
        </is>
      </c>
      <c r="E2049" t="inlineStr">
        <is>
          <t>STORUMAN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62038-2021</t>
        </is>
      </c>
      <c r="B2050" s="1" t="n">
        <v>44501</v>
      </c>
      <c r="C2050" s="1" t="n">
        <v>46145</v>
      </c>
      <c r="D2050" t="inlineStr">
        <is>
          <t>VÄSTERBOTTENS LÄN</t>
        </is>
      </c>
      <c r="E2050" t="inlineStr">
        <is>
          <t>SORSELE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46145</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46145</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44375-2022</t>
        </is>
      </c>
      <c r="B2053" s="1" t="n">
        <v>44838</v>
      </c>
      <c r="C2053" s="1" t="n">
        <v>46145</v>
      </c>
      <c r="D2053" t="inlineStr">
        <is>
          <t>VÄSTERBOTTENS LÄN</t>
        </is>
      </c>
      <c r="E2053" t="inlineStr">
        <is>
          <t>UMEÅ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1671-2022</t>
        </is>
      </c>
      <c r="B2054" s="1" t="n">
        <v>44574</v>
      </c>
      <c r="C2054" s="1" t="n">
        <v>46145</v>
      </c>
      <c r="D2054" t="inlineStr">
        <is>
          <t>VÄSTERBOTTENS LÄN</t>
        </is>
      </c>
      <c r="E2054" t="inlineStr">
        <is>
          <t>ROBERTSFORS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40123-2022</t>
        </is>
      </c>
      <c r="B2055" s="1" t="n">
        <v>44820</v>
      </c>
      <c r="C2055" s="1" t="n">
        <v>46145</v>
      </c>
      <c r="D2055" t="inlineStr">
        <is>
          <t>VÄSTERBOTTENS LÄN</t>
        </is>
      </c>
      <c r="E2055" t="inlineStr">
        <is>
          <t>VINDELN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35465-2021</t>
        </is>
      </c>
      <c r="B2056" s="1" t="n">
        <v>44385</v>
      </c>
      <c r="C2056" s="1" t="n">
        <v>46145</v>
      </c>
      <c r="D2056" t="inlineStr">
        <is>
          <t>VÄSTERBOTTENS LÄN</t>
        </is>
      </c>
      <c r="E2056" t="inlineStr">
        <is>
          <t>UMEÅ</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31954-2022</t>
        </is>
      </c>
      <c r="B2057" s="1" t="n">
        <v>44777.92450231482</v>
      </c>
      <c r="C2057" s="1" t="n">
        <v>46145</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12629-2022</t>
        </is>
      </c>
      <c r="B2058" s="1" t="n">
        <v>44641</v>
      </c>
      <c r="C2058" s="1" t="n">
        <v>46145</v>
      </c>
      <c r="D2058" t="inlineStr">
        <is>
          <t>VÄSTERBOTTENS LÄN</t>
        </is>
      </c>
      <c r="E2058" t="inlineStr">
        <is>
          <t>ROBERTSFORS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41250-2021</t>
        </is>
      </c>
      <c r="B2059" s="1" t="n">
        <v>44424</v>
      </c>
      <c r="C2059" s="1" t="n">
        <v>46145</v>
      </c>
      <c r="D2059" t="inlineStr">
        <is>
          <t>VÄSTERBOTTENS LÄN</t>
        </is>
      </c>
      <c r="E2059" t="inlineStr">
        <is>
          <t>NORSJÖ</t>
        </is>
      </c>
      <c r="F2059" t="inlineStr">
        <is>
          <t>Kommuner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21058-2022</t>
        </is>
      </c>
      <c r="B2060" s="1" t="n">
        <v>44704</v>
      </c>
      <c r="C2060" s="1" t="n">
        <v>46145</v>
      </c>
      <c r="D2060" t="inlineStr">
        <is>
          <t>VÄSTERBOTTENS LÄN</t>
        </is>
      </c>
      <c r="E2060" t="inlineStr">
        <is>
          <t>LYCKSELE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7210-2022</t>
        </is>
      </c>
      <c r="B2061" s="1" t="n">
        <v>44606</v>
      </c>
      <c r="C2061" s="1" t="n">
        <v>46145</v>
      </c>
      <c r="D2061" t="inlineStr">
        <is>
          <t>VÄSTERBOTTENS LÄN</t>
        </is>
      </c>
      <c r="E2061" t="inlineStr">
        <is>
          <t>UMEÅ</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24478-2022</t>
        </is>
      </c>
      <c r="B2062" s="1" t="n">
        <v>44726</v>
      </c>
      <c r="C2062" s="1" t="n">
        <v>46145</v>
      </c>
      <c r="D2062" t="inlineStr">
        <is>
          <t>VÄSTERBOTTENS LÄN</t>
        </is>
      </c>
      <c r="E2062" t="inlineStr">
        <is>
          <t>LYCKSELE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46145</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37475-2021</t>
        </is>
      </c>
      <c r="B2064" s="1" t="n">
        <v>44398.90005787037</v>
      </c>
      <c r="C2064" s="1" t="n">
        <v>46145</v>
      </c>
      <c r="D2064" t="inlineStr">
        <is>
          <t>VÄSTERBOTTENS LÄN</t>
        </is>
      </c>
      <c r="E2064" t="inlineStr">
        <is>
          <t>VINDELN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6516-2022</t>
        </is>
      </c>
      <c r="B2065" s="1" t="n">
        <v>44600</v>
      </c>
      <c r="C2065" s="1" t="n">
        <v>46145</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67762-2021</t>
        </is>
      </c>
      <c r="B2066" s="1" t="n">
        <v>44524</v>
      </c>
      <c r="C2066" s="1" t="n">
        <v>46145</v>
      </c>
      <c r="D2066" t="inlineStr">
        <is>
          <t>VÄSTERBOTTENS LÄN</t>
        </is>
      </c>
      <c r="E2066" t="inlineStr">
        <is>
          <t>BJURHOLM</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49816-2021</t>
        </is>
      </c>
      <c r="B2067" s="1" t="n">
        <v>44454</v>
      </c>
      <c r="C2067" s="1" t="n">
        <v>46145</v>
      </c>
      <c r="D2067" t="inlineStr">
        <is>
          <t>VÄSTERBOTTENS LÄN</t>
        </is>
      </c>
      <c r="E2067" t="inlineStr">
        <is>
          <t>LYCKSELE</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31381-2022</t>
        </is>
      </c>
      <c r="B2068" s="1" t="n">
        <v>44774</v>
      </c>
      <c r="C2068" s="1" t="n">
        <v>46145</v>
      </c>
      <c r="D2068" t="inlineStr">
        <is>
          <t>VÄSTERBOTTENS LÄN</t>
        </is>
      </c>
      <c r="E2068" t="inlineStr">
        <is>
          <t>BJURHOLM</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55568-2021</t>
        </is>
      </c>
      <c r="B2069" s="1" t="n">
        <v>44475.72190972222</v>
      </c>
      <c r="C2069" s="1" t="n">
        <v>46145</v>
      </c>
      <c r="D2069" t="inlineStr">
        <is>
          <t>VÄSTERBOTTENS LÄN</t>
        </is>
      </c>
      <c r="E2069" t="inlineStr">
        <is>
          <t>SKELLEFTEÅ</t>
        </is>
      </c>
      <c r="F2069" t="inlineStr">
        <is>
          <t>Sveaskog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35608-2022</t>
        </is>
      </c>
      <c r="B2070" s="1" t="n">
        <v>44799</v>
      </c>
      <c r="C2070" s="1" t="n">
        <v>46145</v>
      </c>
      <c r="D2070" t="inlineStr">
        <is>
          <t>VÄSTERBOTTENS LÄN</t>
        </is>
      </c>
      <c r="E2070" t="inlineStr">
        <is>
          <t>SKELLEFTEÅ</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46145</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55590-2021</t>
        </is>
      </c>
      <c r="B2072" s="1" t="n">
        <v>44475.92033564814</v>
      </c>
      <c r="C2072" s="1" t="n">
        <v>46145</v>
      </c>
      <c r="D2072" t="inlineStr">
        <is>
          <t>VÄSTERBOTTENS LÄN</t>
        </is>
      </c>
      <c r="E2072" t="inlineStr">
        <is>
          <t>UMEÅ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46145</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46145</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46145</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35442-2021</t>
        </is>
      </c>
      <c r="B2076" s="1" t="n">
        <v>44384</v>
      </c>
      <c r="C2076" s="1" t="n">
        <v>46145</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30990-2021</t>
        </is>
      </c>
      <c r="B2077" s="1" t="n">
        <v>44365</v>
      </c>
      <c r="C2077" s="1" t="n">
        <v>46145</v>
      </c>
      <c r="D2077" t="inlineStr">
        <is>
          <t>VÄSTERBOTTENS LÄN</t>
        </is>
      </c>
      <c r="E2077" t="inlineStr">
        <is>
          <t>VINDELN</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58005-2021</t>
        </is>
      </c>
      <c r="B2078" s="1" t="n">
        <v>44487.42274305555</v>
      </c>
      <c r="C2078" s="1" t="n">
        <v>46145</v>
      </c>
      <c r="D2078" t="inlineStr">
        <is>
          <t>VÄSTERBOTTENS LÄN</t>
        </is>
      </c>
      <c r="E2078" t="inlineStr">
        <is>
          <t>NORSJÖ</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22364-2022</t>
        </is>
      </c>
      <c r="B2079" s="1" t="n">
        <v>44713</v>
      </c>
      <c r="C2079" s="1" t="n">
        <v>46145</v>
      </c>
      <c r="D2079" t="inlineStr">
        <is>
          <t>VÄSTERBOTTENS LÄN</t>
        </is>
      </c>
      <c r="E2079" t="inlineStr">
        <is>
          <t>SKELLEFTEÅ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46145</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46145</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22553-2022</t>
        </is>
      </c>
      <c r="B2082" s="1" t="n">
        <v>44713.93777777778</v>
      </c>
      <c r="C2082" s="1" t="n">
        <v>46145</v>
      </c>
      <c r="D2082" t="inlineStr">
        <is>
          <t>VÄSTERBOTTENS LÄN</t>
        </is>
      </c>
      <c r="E2082" t="inlineStr">
        <is>
          <t>VINDELN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59178-2021</t>
        </is>
      </c>
      <c r="B2083" s="1" t="n">
        <v>44490</v>
      </c>
      <c r="C2083" s="1" t="n">
        <v>46145</v>
      </c>
      <c r="D2083" t="inlineStr">
        <is>
          <t>VÄSTERBOTTENS LÄN</t>
        </is>
      </c>
      <c r="E2083" t="inlineStr">
        <is>
          <t>BJURHOLM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46145</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46145</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3266-2022</t>
        </is>
      </c>
      <c r="B2086" s="1" t="n">
        <v>44583.87421296296</v>
      </c>
      <c r="C2086" s="1" t="n">
        <v>46145</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54388-2021</t>
        </is>
      </c>
      <c r="B2087" s="1" t="n">
        <v>44470</v>
      </c>
      <c r="C2087" s="1" t="n">
        <v>46145</v>
      </c>
      <c r="D2087" t="inlineStr">
        <is>
          <t>VÄSTERBOTTENS LÄN</t>
        </is>
      </c>
      <c r="E2087" t="inlineStr">
        <is>
          <t>NORSJÖ</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54432-2021</t>
        </is>
      </c>
      <c r="B2088" s="1" t="n">
        <v>44472</v>
      </c>
      <c r="C2088" s="1" t="n">
        <v>46145</v>
      </c>
      <c r="D2088" t="inlineStr">
        <is>
          <t>VÄSTERBOTTENS LÄN</t>
        </is>
      </c>
      <c r="E2088" t="inlineStr">
        <is>
          <t>ÅSELE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57370-2021</t>
        </is>
      </c>
      <c r="B2089" s="1" t="n">
        <v>44483</v>
      </c>
      <c r="C2089" s="1" t="n">
        <v>46145</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46145</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46145</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49525-2022</t>
        </is>
      </c>
      <c r="B2092" s="1" t="n">
        <v>44861.95695601852</v>
      </c>
      <c r="C2092" s="1" t="n">
        <v>46145</v>
      </c>
      <c r="D2092" t="inlineStr">
        <is>
          <t>VÄSTERBOTTENS LÄN</t>
        </is>
      </c>
      <c r="E2092" t="inlineStr">
        <is>
          <t>NORDMALING</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72487-2021</t>
        </is>
      </c>
      <c r="B2093" s="1" t="n">
        <v>44545.92033564814</v>
      </c>
      <c r="C2093" s="1" t="n">
        <v>46145</v>
      </c>
      <c r="D2093" t="inlineStr">
        <is>
          <t>VÄSTERBOTTENS LÄN</t>
        </is>
      </c>
      <c r="E2093" t="inlineStr">
        <is>
          <t>VILHELMINA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46145</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60088-2021</t>
        </is>
      </c>
      <c r="B2095" s="1" t="n">
        <v>44495</v>
      </c>
      <c r="C2095" s="1" t="n">
        <v>46145</v>
      </c>
      <c r="D2095" t="inlineStr">
        <is>
          <t>VÄSTERBOTTENS LÄN</t>
        </is>
      </c>
      <c r="E2095" t="inlineStr">
        <is>
          <t>UMEÅ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61299-2021</t>
        </is>
      </c>
      <c r="B2096" s="1" t="n">
        <v>44498.62789351852</v>
      </c>
      <c r="C2096" s="1" t="n">
        <v>46145</v>
      </c>
      <c r="D2096" t="inlineStr">
        <is>
          <t>VÄSTERBOTTENS LÄN</t>
        </is>
      </c>
      <c r="E2096" t="inlineStr">
        <is>
          <t>ÅSELE</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70168-2021</t>
        </is>
      </c>
      <c r="B2097" s="1" t="n">
        <v>44533.82237268519</v>
      </c>
      <c r="C2097" s="1" t="n">
        <v>46145</v>
      </c>
      <c r="D2097" t="inlineStr">
        <is>
          <t>VÄSTERBOTTENS LÄN</t>
        </is>
      </c>
      <c r="E2097" t="inlineStr">
        <is>
          <t>SKELLEFTEÅ</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46145</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46145</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39283-2022</t>
        </is>
      </c>
      <c r="B2100" s="1" t="n">
        <v>44817</v>
      </c>
      <c r="C2100" s="1" t="n">
        <v>46145</v>
      </c>
      <c r="D2100" t="inlineStr">
        <is>
          <t>VÄSTERBOTTENS LÄN</t>
        </is>
      </c>
      <c r="E2100" t="inlineStr">
        <is>
          <t>ROBERTSFORS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46145</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46145</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46145</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46145</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46145</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46145</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58466-2021</t>
        </is>
      </c>
      <c r="B2107" s="1" t="n">
        <v>44488</v>
      </c>
      <c r="C2107" s="1" t="n">
        <v>46145</v>
      </c>
      <c r="D2107" t="inlineStr">
        <is>
          <t>VÄSTERBOTTENS LÄN</t>
        </is>
      </c>
      <c r="E2107" t="inlineStr">
        <is>
          <t>VINDELN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17257-2022</t>
        </is>
      </c>
      <c r="B2108" s="1" t="n">
        <v>44678.3941550926</v>
      </c>
      <c r="C2108" s="1" t="n">
        <v>46145</v>
      </c>
      <c r="D2108" t="inlineStr">
        <is>
          <t>VÄSTERBOTTENS LÄN</t>
        </is>
      </c>
      <c r="E2108" t="inlineStr">
        <is>
          <t>SKELLEFTEÅ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22011-2022</t>
        </is>
      </c>
      <c r="B2109" s="1" t="n">
        <v>44711</v>
      </c>
      <c r="C2109" s="1" t="n">
        <v>46145</v>
      </c>
      <c r="D2109" t="inlineStr">
        <is>
          <t>VÄSTERBOTTENS LÄN</t>
        </is>
      </c>
      <c r="E2109" t="inlineStr">
        <is>
          <t>ÅSELE</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9192-2022</t>
        </is>
      </c>
      <c r="B2110" s="1" t="n">
        <v>44615.9247800926</v>
      </c>
      <c r="C2110" s="1" t="n">
        <v>46145</v>
      </c>
      <c r="D2110" t="inlineStr">
        <is>
          <t>VÄSTERBOTTENS LÄN</t>
        </is>
      </c>
      <c r="E2110" t="inlineStr">
        <is>
          <t>ROBERTSFORS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3354-2022</t>
        </is>
      </c>
      <c r="B2111" s="1" t="n">
        <v>44585</v>
      </c>
      <c r="C2111" s="1" t="n">
        <v>46145</v>
      </c>
      <c r="D2111" t="inlineStr">
        <is>
          <t>VÄSTERBOTTENS LÄN</t>
        </is>
      </c>
      <c r="E2111" t="inlineStr">
        <is>
          <t>STORUMAN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20610-2022</t>
        </is>
      </c>
      <c r="B2112" s="1" t="n">
        <v>44700</v>
      </c>
      <c r="C2112" s="1" t="n">
        <v>46145</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14540-2022</t>
        </is>
      </c>
      <c r="B2113" s="1" t="n">
        <v>44655</v>
      </c>
      <c r="C2113" s="1" t="n">
        <v>46145</v>
      </c>
      <c r="D2113" t="inlineStr">
        <is>
          <t>VÄSTERBOTTENS LÄN</t>
        </is>
      </c>
      <c r="E2113" t="inlineStr">
        <is>
          <t>NORDMALING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46145</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38979-2022</t>
        </is>
      </c>
      <c r="B2115" s="1" t="n">
        <v>44816</v>
      </c>
      <c r="C2115" s="1" t="n">
        <v>46145</v>
      </c>
      <c r="D2115" t="inlineStr">
        <is>
          <t>VÄSTERBOTTENS LÄN</t>
        </is>
      </c>
      <c r="E2115" t="inlineStr">
        <is>
          <t>ÅSELE</t>
        </is>
      </c>
      <c r="F2115" t="inlineStr">
        <is>
          <t>Sveaskog</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24797-2021</t>
        </is>
      </c>
      <c r="B2116" s="1" t="n">
        <v>44340</v>
      </c>
      <c r="C2116" s="1" t="n">
        <v>46145</v>
      </c>
      <c r="D2116" t="inlineStr">
        <is>
          <t>VÄSTERBOTTENS LÄN</t>
        </is>
      </c>
      <c r="E2116" t="inlineStr">
        <is>
          <t>ROBERTSFORS</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46145</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24983-2021</t>
        </is>
      </c>
      <c r="B2118" s="1" t="n">
        <v>44341</v>
      </c>
      <c r="C2118" s="1" t="n">
        <v>46145</v>
      </c>
      <c r="D2118" t="inlineStr">
        <is>
          <t>VÄSTERBOTTENS LÄN</t>
        </is>
      </c>
      <c r="E2118" t="inlineStr">
        <is>
          <t>VILHELMINA</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33249-2021</t>
        </is>
      </c>
      <c r="B2119" s="1" t="n">
        <v>44376</v>
      </c>
      <c r="C2119" s="1" t="n">
        <v>46145</v>
      </c>
      <c r="D2119" t="inlineStr">
        <is>
          <t>VÄSTERBOTTENS LÄN</t>
        </is>
      </c>
      <c r="E2119" t="inlineStr">
        <is>
          <t>NORSJÖ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46145</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70068-2021</t>
        </is>
      </c>
      <c r="B2121" s="1" t="n">
        <v>44533</v>
      </c>
      <c r="C2121" s="1" t="n">
        <v>46145</v>
      </c>
      <c r="D2121" t="inlineStr">
        <is>
          <t>VÄSTERBOTTENS LÄN</t>
        </is>
      </c>
      <c r="E2121" t="inlineStr">
        <is>
          <t>UMEÅ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46145</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35435-2021</t>
        </is>
      </c>
      <c r="B2123" s="1" t="n">
        <v>44385</v>
      </c>
      <c r="C2123" s="1" t="n">
        <v>46145</v>
      </c>
      <c r="D2123" t="inlineStr">
        <is>
          <t>VÄSTERBOTTENS LÄN</t>
        </is>
      </c>
      <c r="E2123" t="inlineStr">
        <is>
          <t>SKELLEFTEÅ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38543-2021</t>
        </is>
      </c>
      <c r="B2124" s="1" t="n">
        <v>44407</v>
      </c>
      <c r="C2124" s="1" t="n">
        <v>46145</v>
      </c>
      <c r="D2124" t="inlineStr">
        <is>
          <t>VÄSTERBOTTENS LÄN</t>
        </is>
      </c>
      <c r="E2124" t="inlineStr">
        <is>
          <t>UMEÅ</t>
        </is>
      </c>
      <c r="F2124" t="inlineStr">
        <is>
          <t>Kommuner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46145</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38547-2021</t>
        </is>
      </c>
      <c r="B2126" s="1" t="n">
        <v>44407</v>
      </c>
      <c r="C2126" s="1" t="n">
        <v>46145</v>
      </c>
      <c r="D2126" t="inlineStr">
        <is>
          <t>VÄSTERBOTTENS LÄN</t>
        </is>
      </c>
      <c r="E2126" t="inlineStr">
        <is>
          <t>UMEÅ</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58631-2021</t>
        </is>
      </c>
      <c r="B2127" s="1" t="n">
        <v>44488</v>
      </c>
      <c r="C2127" s="1" t="n">
        <v>46145</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21117-2022</t>
        </is>
      </c>
      <c r="B2128" s="1" t="n">
        <v>44704.59678240741</v>
      </c>
      <c r="C2128" s="1" t="n">
        <v>46145</v>
      </c>
      <c r="D2128" t="inlineStr">
        <is>
          <t>VÄSTERBOTTENS LÄN</t>
        </is>
      </c>
      <c r="E2128" t="inlineStr">
        <is>
          <t>ÅSELE</t>
        </is>
      </c>
      <c r="F2128" t="inlineStr">
        <is>
          <t>Holmen skog AB</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21131-2022</t>
        </is>
      </c>
      <c r="B2129" s="1" t="n">
        <v>44704.6177662037</v>
      </c>
      <c r="C2129" s="1" t="n">
        <v>46145</v>
      </c>
      <c r="D2129" t="inlineStr">
        <is>
          <t>VÄSTERBOTTENS LÄN</t>
        </is>
      </c>
      <c r="E2129" t="inlineStr">
        <is>
          <t>ÅSELE</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46818-2021</t>
        </is>
      </c>
      <c r="B2130" s="1" t="n">
        <v>44446</v>
      </c>
      <c r="C2130" s="1" t="n">
        <v>46145</v>
      </c>
      <c r="D2130" t="inlineStr">
        <is>
          <t>VÄSTERBOTTENS LÄN</t>
        </is>
      </c>
      <c r="E2130" t="inlineStr">
        <is>
          <t>MALÅ</t>
        </is>
      </c>
      <c r="F2130" t="inlineStr">
        <is>
          <t>Sveaskog</t>
        </is>
      </c>
      <c r="G2130" t="n">
        <v>18.9</v>
      </c>
      <c r="H2130" t="n">
        <v>0</v>
      </c>
      <c r="I2130" t="n">
        <v>0</v>
      </c>
      <c r="J2130" t="n">
        <v>0</v>
      </c>
      <c r="K2130" t="n">
        <v>0</v>
      </c>
      <c r="L2130" t="n">
        <v>0</v>
      </c>
      <c r="M2130" t="n">
        <v>0</v>
      </c>
      <c r="N2130" t="n">
        <v>0</v>
      </c>
      <c r="O2130" t="n">
        <v>0</v>
      </c>
      <c r="P2130" t="n">
        <v>0</v>
      </c>
      <c r="Q2130" t="n">
        <v>0</v>
      </c>
      <c r="R2130" s="2" t="inlineStr"/>
    </row>
    <row r="2131" ht="15" customHeight="1">
      <c r="A2131" t="inlineStr">
        <is>
          <t>A 41959-2021</t>
        </is>
      </c>
      <c r="B2131" s="1" t="n">
        <v>44426</v>
      </c>
      <c r="C2131" s="1" t="n">
        <v>46145</v>
      </c>
      <c r="D2131" t="inlineStr">
        <is>
          <t>VÄSTERBOTTENS LÄN</t>
        </is>
      </c>
      <c r="E2131" t="inlineStr">
        <is>
          <t>VINDELN</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44386-2022</t>
        </is>
      </c>
      <c r="B2132" s="1" t="n">
        <v>44838</v>
      </c>
      <c r="C2132" s="1" t="n">
        <v>46145</v>
      </c>
      <c r="D2132" t="inlineStr">
        <is>
          <t>VÄSTERBOTTENS LÄN</t>
        </is>
      </c>
      <c r="E2132" t="inlineStr">
        <is>
          <t>DOROTEA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46145</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4077-2022</t>
        </is>
      </c>
      <c r="B2134" s="1" t="n">
        <v>44587</v>
      </c>
      <c r="C2134" s="1" t="n">
        <v>46145</v>
      </c>
      <c r="D2134" t="inlineStr">
        <is>
          <t>VÄSTERBOTTENS LÄN</t>
        </is>
      </c>
      <c r="E2134" t="inlineStr">
        <is>
          <t>MALÅ</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46145</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46145</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42026-2021</t>
        </is>
      </c>
      <c r="B2137" s="1" t="n">
        <v>44426.5275925926</v>
      </c>
      <c r="C2137" s="1" t="n">
        <v>46145</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63171-2021</t>
        </is>
      </c>
      <c r="B2138" s="1" t="n">
        <v>44506</v>
      </c>
      <c r="C2138" s="1" t="n">
        <v>46145</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43741-2022</t>
        </is>
      </c>
      <c r="B2139" s="1" t="n">
        <v>44837</v>
      </c>
      <c r="C2139" s="1" t="n">
        <v>46145</v>
      </c>
      <c r="D2139" t="inlineStr">
        <is>
          <t>VÄSTERBOTTENS LÄN</t>
        </is>
      </c>
      <c r="E2139" t="inlineStr">
        <is>
          <t>VILHELMINA</t>
        </is>
      </c>
      <c r="G2139" t="n">
        <v>54.2</v>
      </c>
      <c r="H2139" t="n">
        <v>0</v>
      </c>
      <c r="I2139" t="n">
        <v>0</v>
      </c>
      <c r="J2139" t="n">
        <v>0</v>
      </c>
      <c r="K2139" t="n">
        <v>0</v>
      </c>
      <c r="L2139" t="n">
        <v>0</v>
      </c>
      <c r="M2139" t="n">
        <v>0</v>
      </c>
      <c r="N2139" t="n">
        <v>0</v>
      </c>
      <c r="O2139" t="n">
        <v>0</v>
      </c>
      <c r="P2139" t="n">
        <v>0</v>
      </c>
      <c r="Q2139" t="n">
        <v>0</v>
      </c>
      <c r="R2139" s="2" t="inlineStr"/>
    </row>
    <row r="2140" ht="15" customHeight="1">
      <c r="A2140" t="inlineStr">
        <is>
          <t>A 18172-2022</t>
        </is>
      </c>
      <c r="B2140" s="1" t="n">
        <v>44684.64351851852</v>
      </c>
      <c r="C2140" s="1" t="n">
        <v>46145</v>
      </c>
      <c r="D2140" t="inlineStr">
        <is>
          <t>VÄSTERBOTTENS LÄN</t>
        </is>
      </c>
      <c r="E2140" t="inlineStr">
        <is>
          <t>VINDELN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42099-2022</t>
        </is>
      </c>
      <c r="B2141" s="1" t="n">
        <v>44827</v>
      </c>
      <c r="C2141" s="1" t="n">
        <v>46145</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36385-2022</t>
        </is>
      </c>
      <c r="B2142" s="1" t="n">
        <v>44803</v>
      </c>
      <c r="C2142" s="1" t="n">
        <v>46145</v>
      </c>
      <c r="D2142" t="inlineStr">
        <is>
          <t>VÄSTERBOTTENS LÄN</t>
        </is>
      </c>
      <c r="E2142" t="inlineStr">
        <is>
          <t>VINDELN</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46145</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46145</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46145</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46145</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48573-2022</t>
        </is>
      </c>
      <c r="B2147" s="1" t="n">
        <v>44854</v>
      </c>
      <c r="C2147" s="1" t="n">
        <v>46145</v>
      </c>
      <c r="D2147" t="inlineStr">
        <is>
          <t>VÄSTERBOTTENS LÄN</t>
        </is>
      </c>
      <c r="E2147" t="inlineStr">
        <is>
          <t>VINDELN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2857-2022</t>
        </is>
      </c>
      <c r="B2148" s="1" t="n">
        <v>44581.48346064815</v>
      </c>
      <c r="C2148" s="1" t="n">
        <v>46145</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33584-2022</t>
        </is>
      </c>
      <c r="B2149" s="1" t="n">
        <v>44789</v>
      </c>
      <c r="C2149" s="1" t="n">
        <v>46145</v>
      </c>
      <c r="D2149" t="inlineStr">
        <is>
          <t>VÄSTERBOTTENS LÄN</t>
        </is>
      </c>
      <c r="E2149" t="inlineStr">
        <is>
          <t>ROBERTSFORS</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40013-2022</t>
        </is>
      </c>
      <c r="B2150" s="1" t="n">
        <v>44820.3971875</v>
      </c>
      <c r="C2150" s="1" t="n">
        <v>46145</v>
      </c>
      <c r="D2150" t="inlineStr">
        <is>
          <t>VÄSTERBOTTENS LÄN</t>
        </is>
      </c>
      <c r="E2150" t="inlineStr">
        <is>
          <t>SKELLEFTEÅ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27920-2022</t>
        </is>
      </c>
      <c r="B2151" s="1" t="n">
        <v>44743</v>
      </c>
      <c r="C2151" s="1" t="n">
        <v>46145</v>
      </c>
      <c r="D2151" t="inlineStr">
        <is>
          <t>VÄSTERBOTTENS LÄN</t>
        </is>
      </c>
      <c r="E2151" t="inlineStr">
        <is>
          <t>VILHELMINA</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39558-2022</t>
        </is>
      </c>
      <c r="B2152" s="1" t="n">
        <v>44818.56847222222</v>
      </c>
      <c r="C2152" s="1" t="n">
        <v>46145</v>
      </c>
      <c r="D2152" t="inlineStr">
        <is>
          <t>VÄSTERBOTTENS LÄN</t>
        </is>
      </c>
      <c r="E2152" t="inlineStr">
        <is>
          <t>NORSJÖ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36539-2022</t>
        </is>
      </c>
      <c r="B2153" s="1" t="n">
        <v>44804</v>
      </c>
      <c r="C2153" s="1" t="n">
        <v>46145</v>
      </c>
      <c r="D2153" t="inlineStr">
        <is>
          <t>VÄSTERBOTTENS LÄN</t>
        </is>
      </c>
      <c r="E2153" t="inlineStr">
        <is>
          <t>SKELLEFTEÅ</t>
        </is>
      </c>
      <c r="F2153" t="inlineStr">
        <is>
          <t>Kommuner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67514-2021</t>
        </is>
      </c>
      <c r="B2154" s="1" t="n">
        <v>44524.5028587963</v>
      </c>
      <c r="C2154" s="1" t="n">
        <v>46145</v>
      </c>
      <c r="D2154" t="inlineStr">
        <is>
          <t>VÄSTERBOTTENS LÄN</t>
        </is>
      </c>
      <c r="E2154" t="inlineStr">
        <is>
          <t>VÄNNÄS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46145</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56797-2024</t>
        </is>
      </c>
      <c r="B2156" s="1" t="n">
        <v>45628.46482638889</v>
      </c>
      <c r="C2156" s="1" t="n">
        <v>46145</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4032-2024</t>
        </is>
      </c>
      <c r="B2157" s="1" t="n">
        <v>45323.40850694444</v>
      </c>
      <c r="C2157" s="1" t="n">
        <v>46145</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29466-2024</t>
        </is>
      </c>
      <c r="B2158" s="1" t="n">
        <v>45483.97041666666</v>
      </c>
      <c r="C2158" s="1" t="n">
        <v>46145</v>
      </c>
      <c r="D2158" t="inlineStr">
        <is>
          <t>VÄSTERBOTTENS LÄN</t>
        </is>
      </c>
      <c r="E2158" t="inlineStr">
        <is>
          <t>VINDELN</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16233-2025</t>
        </is>
      </c>
      <c r="B2159" s="1" t="n">
        <v>45750.65672453704</v>
      </c>
      <c r="C2159" s="1" t="n">
        <v>46145</v>
      </c>
      <c r="D2159" t="inlineStr">
        <is>
          <t>VÄSTERBOTTENS LÄN</t>
        </is>
      </c>
      <c r="E2159" t="inlineStr">
        <is>
          <t>NORSJÖ</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27194-2024</t>
        </is>
      </c>
      <c r="B2160" s="1" t="n">
        <v>45471</v>
      </c>
      <c r="C2160" s="1" t="n">
        <v>46145</v>
      </c>
      <c r="D2160" t="inlineStr">
        <is>
          <t>VÄSTERBOTTENS LÄN</t>
        </is>
      </c>
      <c r="E2160" t="inlineStr">
        <is>
          <t>VILHELMINA</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27199-2024</t>
        </is>
      </c>
      <c r="B2161" s="1" t="n">
        <v>45471</v>
      </c>
      <c r="C2161" s="1" t="n">
        <v>46145</v>
      </c>
      <c r="D2161" t="inlineStr">
        <is>
          <t>VÄSTERBOTTENS LÄN</t>
        </is>
      </c>
      <c r="E2161" t="inlineStr">
        <is>
          <t>DOROTEA</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52536-2023</t>
        </is>
      </c>
      <c r="B2162" s="1" t="n">
        <v>45218</v>
      </c>
      <c r="C2162" s="1" t="n">
        <v>46145</v>
      </c>
      <c r="D2162" t="inlineStr">
        <is>
          <t>VÄSTERBOTTENS LÄN</t>
        </is>
      </c>
      <c r="E2162" t="inlineStr">
        <is>
          <t>VÄNNÄS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30413-2021</t>
        </is>
      </c>
      <c r="B2163" s="1" t="n">
        <v>44364</v>
      </c>
      <c r="C2163" s="1" t="n">
        <v>46145</v>
      </c>
      <c r="D2163" t="inlineStr">
        <is>
          <t>VÄSTERBOTTENS LÄN</t>
        </is>
      </c>
      <c r="E2163" t="inlineStr">
        <is>
          <t>SORSELE</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8718-2025</t>
        </is>
      </c>
      <c r="B2164" s="1" t="n">
        <v>45712</v>
      </c>
      <c r="C2164" s="1" t="n">
        <v>46145</v>
      </c>
      <c r="D2164" t="inlineStr">
        <is>
          <t>VÄSTERBOTTENS LÄN</t>
        </is>
      </c>
      <c r="E2164" t="inlineStr">
        <is>
          <t>VILHELMINA</t>
        </is>
      </c>
      <c r="G2164" t="n">
        <v>21.3</v>
      </c>
      <c r="H2164" t="n">
        <v>0</v>
      </c>
      <c r="I2164" t="n">
        <v>0</v>
      </c>
      <c r="J2164" t="n">
        <v>0</v>
      </c>
      <c r="K2164" t="n">
        <v>0</v>
      </c>
      <c r="L2164" t="n">
        <v>0</v>
      </c>
      <c r="M2164" t="n">
        <v>0</v>
      </c>
      <c r="N2164" t="n">
        <v>0</v>
      </c>
      <c r="O2164" t="n">
        <v>0</v>
      </c>
      <c r="P2164" t="n">
        <v>0</v>
      </c>
      <c r="Q2164" t="n">
        <v>0</v>
      </c>
      <c r="R2164" s="2" t="inlineStr"/>
    </row>
    <row r="2165" ht="15" customHeight="1">
      <c r="A2165" t="inlineStr">
        <is>
          <t>A 41101-2022</t>
        </is>
      </c>
      <c r="B2165" s="1" t="n">
        <v>44820</v>
      </c>
      <c r="C2165" s="1" t="n">
        <v>46145</v>
      </c>
      <c r="D2165" t="inlineStr">
        <is>
          <t>VÄSTERBOTTENS LÄN</t>
        </is>
      </c>
      <c r="E2165" t="inlineStr">
        <is>
          <t>LYCKSELE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28525-2021</t>
        </is>
      </c>
      <c r="B2166" s="1" t="n">
        <v>44356</v>
      </c>
      <c r="C2166" s="1" t="n">
        <v>46145</v>
      </c>
      <c r="D2166" t="inlineStr">
        <is>
          <t>VÄSTERBOTTENS LÄN</t>
        </is>
      </c>
      <c r="E2166" t="inlineStr">
        <is>
          <t>SKELLEFTEÅ</t>
        </is>
      </c>
      <c r="F2166" t="inlineStr">
        <is>
          <t>Kyrkan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55157-2024</t>
        </is>
      </c>
      <c r="B2167" s="1" t="n">
        <v>45618</v>
      </c>
      <c r="C2167" s="1" t="n">
        <v>46145</v>
      </c>
      <c r="D2167" t="inlineStr">
        <is>
          <t>VÄSTERBOTTENS LÄN</t>
        </is>
      </c>
      <c r="E2167" t="inlineStr">
        <is>
          <t>NORSJÖ</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12037-2025</t>
        </is>
      </c>
      <c r="B2168" s="1" t="n">
        <v>45728.65577546296</v>
      </c>
      <c r="C2168" s="1" t="n">
        <v>46145</v>
      </c>
      <c r="D2168" t="inlineStr">
        <is>
          <t>VÄSTERBOTTENS LÄN</t>
        </is>
      </c>
      <c r="E2168" t="inlineStr">
        <is>
          <t>VINDELN</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13023-2025</t>
        </is>
      </c>
      <c r="B2169" s="1" t="n">
        <v>45734.55266203704</v>
      </c>
      <c r="C2169" s="1" t="n">
        <v>46145</v>
      </c>
      <c r="D2169" t="inlineStr">
        <is>
          <t>VÄSTERBOTTENS LÄN</t>
        </is>
      </c>
      <c r="E2169" t="inlineStr">
        <is>
          <t>DOROTEA</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13091-2025</t>
        </is>
      </c>
      <c r="B2170" s="1" t="n">
        <v>45734.65295138889</v>
      </c>
      <c r="C2170" s="1" t="n">
        <v>46145</v>
      </c>
      <c r="D2170" t="inlineStr">
        <is>
          <t>VÄSTERBOTTENS LÄN</t>
        </is>
      </c>
      <c r="E2170" t="inlineStr">
        <is>
          <t>VINDELN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9463-2025</t>
        </is>
      </c>
      <c r="B2171" s="1" t="n">
        <v>45715.45984953704</v>
      </c>
      <c r="C2171" s="1" t="n">
        <v>46145</v>
      </c>
      <c r="D2171" t="inlineStr">
        <is>
          <t>VÄSTERBOTTENS LÄN</t>
        </is>
      </c>
      <c r="E2171" t="inlineStr">
        <is>
          <t>ROBERTSFORS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9497-2025</t>
        </is>
      </c>
      <c r="B2172" s="1" t="n">
        <v>45715.51086805556</v>
      </c>
      <c r="C2172" s="1" t="n">
        <v>46145</v>
      </c>
      <c r="D2172" t="inlineStr">
        <is>
          <t>VÄSTERBOTTENS LÄN</t>
        </is>
      </c>
      <c r="E2172" t="inlineStr">
        <is>
          <t>VILHELMINA</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18478-2023</t>
        </is>
      </c>
      <c r="B2173" s="1" t="n">
        <v>45042.58392361111</v>
      </c>
      <c r="C2173" s="1" t="n">
        <v>46145</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40000-2024</t>
        </is>
      </c>
      <c r="B2174" s="1" t="n">
        <v>45553.64158564815</v>
      </c>
      <c r="C2174" s="1" t="n">
        <v>46145</v>
      </c>
      <c r="D2174" t="inlineStr">
        <is>
          <t>VÄSTERBOTTENS LÄN</t>
        </is>
      </c>
      <c r="E2174" t="inlineStr">
        <is>
          <t>VINDELN</t>
        </is>
      </c>
      <c r="F2174" t="inlineStr">
        <is>
          <t>Holmen skog AB</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24234-2021</t>
        </is>
      </c>
      <c r="B2175" s="1" t="n">
        <v>44336.9184375</v>
      </c>
      <c r="C2175" s="1" t="n">
        <v>46145</v>
      </c>
      <c r="D2175" t="inlineStr">
        <is>
          <t>VÄSTERBOTTENS LÄN</t>
        </is>
      </c>
      <c r="E2175" t="inlineStr">
        <is>
          <t>NORDMALING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9448-2025</t>
        </is>
      </c>
      <c r="B2176" s="1" t="n">
        <v>45715.42537037037</v>
      </c>
      <c r="C2176" s="1" t="n">
        <v>46145</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20008-2025</t>
        </is>
      </c>
      <c r="B2177" s="1" t="n">
        <v>45772.27237268518</v>
      </c>
      <c r="C2177" s="1" t="n">
        <v>46145</v>
      </c>
      <c r="D2177" t="inlineStr">
        <is>
          <t>VÄSTERBOTTENS LÄN</t>
        </is>
      </c>
      <c r="E2177" t="inlineStr">
        <is>
          <t>NORDMALING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9961-2025</t>
        </is>
      </c>
      <c r="B2178" s="1" t="n">
        <v>45719.36620370371</v>
      </c>
      <c r="C2178" s="1" t="n">
        <v>46145</v>
      </c>
      <c r="D2178" t="inlineStr">
        <is>
          <t>VÄSTERBOTTENS LÄN</t>
        </is>
      </c>
      <c r="E2178" t="inlineStr">
        <is>
          <t>STORUMAN</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30899-2024</t>
        </is>
      </c>
      <c r="B2179" s="1" t="n">
        <v>45498.47368055556</v>
      </c>
      <c r="C2179" s="1" t="n">
        <v>46145</v>
      </c>
      <c r="D2179" t="inlineStr">
        <is>
          <t>VÄSTERBOTTENS LÄN</t>
        </is>
      </c>
      <c r="E2179" t="inlineStr">
        <is>
          <t>LYCKSELE</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30901-2024</t>
        </is>
      </c>
      <c r="B2180" s="1" t="n">
        <v>45498</v>
      </c>
      <c r="C2180" s="1" t="n">
        <v>46145</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5251-2024</t>
        </is>
      </c>
      <c r="B2181" s="1" t="n">
        <v>45330</v>
      </c>
      <c r="C2181" s="1" t="n">
        <v>46145</v>
      </c>
      <c r="D2181" t="inlineStr">
        <is>
          <t>VÄSTERBOTTENS LÄN</t>
        </is>
      </c>
      <c r="E2181" t="inlineStr">
        <is>
          <t>DOROTEA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50081-2023</t>
        </is>
      </c>
      <c r="B2182" s="1" t="n">
        <v>45215.58771990741</v>
      </c>
      <c r="C2182" s="1" t="n">
        <v>46145</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18846-2023</t>
        </is>
      </c>
      <c r="B2183" s="1" t="n">
        <v>45042</v>
      </c>
      <c r="C2183" s="1" t="n">
        <v>46145</v>
      </c>
      <c r="D2183" t="inlineStr">
        <is>
          <t>VÄSTERBOTTENS LÄN</t>
        </is>
      </c>
      <c r="E2183" t="inlineStr">
        <is>
          <t>STORUMAN</t>
        </is>
      </c>
      <c r="G2183" t="n">
        <v>17.7</v>
      </c>
      <c r="H2183" t="n">
        <v>0</v>
      </c>
      <c r="I2183" t="n">
        <v>0</v>
      </c>
      <c r="J2183" t="n">
        <v>0</v>
      </c>
      <c r="K2183" t="n">
        <v>0</v>
      </c>
      <c r="L2183" t="n">
        <v>0</v>
      </c>
      <c r="M2183" t="n">
        <v>0</v>
      </c>
      <c r="N2183" t="n">
        <v>0</v>
      </c>
      <c r="O2183" t="n">
        <v>0</v>
      </c>
      <c r="P2183" t="n">
        <v>0</v>
      </c>
      <c r="Q2183" t="n">
        <v>0</v>
      </c>
      <c r="R2183" s="2" t="inlineStr"/>
    </row>
    <row r="2184" ht="15" customHeight="1">
      <c r="A2184" t="inlineStr">
        <is>
          <t>A 4482-2024</t>
        </is>
      </c>
      <c r="B2184" s="1" t="n">
        <v>45327</v>
      </c>
      <c r="C2184" s="1" t="n">
        <v>46145</v>
      </c>
      <c r="D2184" t="inlineStr">
        <is>
          <t>VÄSTERBOTTENS LÄN</t>
        </is>
      </c>
      <c r="E2184" t="inlineStr">
        <is>
          <t>NORSJÖ</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39425-2022</t>
        </is>
      </c>
      <c r="B2185" s="1" t="n">
        <v>44818</v>
      </c>
      <c r="C2185" s="1" t="n">
        <v>46145</v>
      </c>
      <c r="D2185" t="inlineStr">
        <is>
          <t>VÄSTERBOTTENS LÄN</t>
        </is>
      </c>
      <c r="E2185" t="inlineStr">
        <is>
          <t>VINDELN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8441-2025</t>
        </is>
      </c>
      <c r="B2186" s="1" t="n">
        <v>45709.44854166666</v>
      </c>
      <c r="C2186" s="1" t="n">
        <v>46145</v>
      </c>
      <c r="D2186" t="inlineStr">
        <is>
          <t>VÄSTERBOTTENS LÄN</t>
        </is>
      </c>
      <c r="E2186" t="inlineStr">
        <is>
          <t>MALÅ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32435-2024</t>
        </is>
      </c>
      <c r="B2187" s="1" t="n">
        <v>45512.92917824074</v>
      </c>
      <c r="C2187" s="1" t="n">
        <v>46145</v>
      </c>
      <c r="D2187" t="inlineStr">
        <is>
          <t>VÄSTERBOTTENS LÄN</t>
        </is>
      </c>
      <c r="E2187" t="inlineStr">
        <is>
          <t>VINDELN</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18827-2023</t>
        </is>
      </c>
      <c r="B2188" s="1" t="n">
        <v>45042</v>
      </c>
      <c r="C2188" s="1" t="n">
        <v>46145</v>
      </c>
      <c r="D2188" t="inlineStr">
        <is>
          <t>VÄSTERBOTTENS LÄN</t>
        </is>
      </c>
      <c r="E2188" t="inlineStr">
        <is>
          <t>ROBERTSFORS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5133-2025</t>
        </is>
      </c>
      <c r="B2189" s="1" t="n">
        <v>45691.57523148148</v>
      </c>
      <c r="C2189" s="1" t="n">
        <v>46145</v>
      </c>
      <c r="D2189" t="inlineStr">
        <is>
          <t>VÄSTERBOTTENS LÄN</t>
        </is>
      </c>
      <c r="E2189" t="inlineStr">
        <is>
          <t>SKELLEFTEÅ</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1437-2025</t>
        </is>
      </c>
      <c r="B2190" s="1" t="n">
        <v>45669.67790509259</v>
      </c>
      <c r="C2190" s="1" t="n">
        <v>46145</v>
      </c>
      <c r="D2190" t="inlineStr">
        <is>
          <t>VÄSTERBOTTENS LÄN</t>
        </is>
      </c>
      <c r="E2190" t="inlineStr">
        <is>
          <t>VÄNNÄS</t>
        </is>
      </c>
      <c r="G2190" t="n">
        <v>11.7</v>
      </c>
      <c r="H2190" t="n">
        <v>0</v>
      </c>
      <c r="I2190" t="n">
        <v>0</v>
      </c>
      <c r="J2190" t="n">
        <v>0</v>
      </c>
      <c r="K2190" t="n">
        <v>0</v>
      </c>
      <c r="L2190" t="n">
        <v>0</v>
      </c>
      <c r="M2190" t="n">
        <v>0</v>
      </c>
      <c r="N2190" t="n">
        <v>0</v>
      </c>
      <c r="O2190" t="n">
        <v>0</v>
      </c>
      <c r="P2190" t="n">
        <v>0</v>
      </c>
      <c r="Q2190" t="n">
        <v>0</v>
      </c>
      <c r="R2190" s="2" t="inlineStr"/>
    </row>
    <row r="2191" ht="15" customHeight="1">
      <c r="A2191" t="inlineStr">
        <is>
          <t>A 4700-2025</t>
        </is>
      </c>
      <c r="B2191" s="1" t="n">
        <v>45688</v>
      </c>
      <c r="C2191" s="1" t="n">
        <v>46145</v>
      </c>
      <c r="D2191" t="inlineStr">
        <is>
          <t>VÄSTERBOTTENS LÄN</t>
        </is>
      </c>
      <c r="E2191" t="inlineStr">
        <is>
          <t>SKELLEFTEÅ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44437-2022</t>
        </is>
      </c>
      <c r="B2192" s="1" t="n">
        <v>44839.95413194445</v>
      </c>
      <c r="C2192" s="1" t="n">
        <v>46145</v>
      </c>
      <c r="D2192" t="inlineStr">
        <is>
          <t>VÄSTERBOTTENS LÄN</t>
        </is>
      </c>
      <c r="E2192" t="inlineStr">
        <is>
          <t>VINDELN</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6463-2024</t>
        </is>
      </c>
      <c r="B2193" s="1" t="n">
        <v>45338</v>
      </c>
      <c r="C2193" s="1" t="n">
        <v>46145</v>
      </c>
      <c r="D2193" t="inlineStr">
        <is>
          <t>VÄSTERBOTTENS LÄN</t>
        </is>
      </c>
      <c r="E2193" t="inlineStr">
        <is>
          <t>VINDELN</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30959-2021</t>
        </is>
      </c>
      <c r="B2194" s="1" t="n">
        <v>44365.71322916666</v>
      </c>
      <c r="C2194" s="1" t="n">
        <v>46145</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4901-2024</t>
        </is>
      </c>
      <c r="B2195" s="1" t="n">
        <v>45329</v>
      </c>
      <c r="C2195" s="1" t="n">
        <v>46145</v>
      </c>
      <c r="D2195" t="inlineStr">
        <is>
          <t>VÄSTERBOTTENS LÄN</t>
        </is>
      </c>
      <c r="E2195" t="inlineStr">
        <is>
          <t>ÅSELE</t>
        </is>
      </c>
      <c r="F2195" t="inlineStr">
        <is>
          <t>Övriga Aktiebolag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19909-2025</t>
        </is>
      </c>
      <c r="B2196" s="1" t="n">
        <v>45771.60482638889</v>
      </c>
      <c r="C2196" s="1" t="n">
        <v>46145</v>
      </c>
      <c r="D2196" t="inlineStr">
        <is>
          <t>VÄSTERBOTTENS LÄN</t>
        </is>
      </c>
      <c r="E2196" t="inlineStr">
        <is>
          <t>VILHELMINA</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19272-2025</t>
        </is>
      </c>
      <c r="B2197" s="1" t="n">
        <v>45769.52287037037</v>
      </c>
      <c r="C2197" s="1" t="n">
        <v>46145</v>
      </c>
      <c r="D2197" t="inlineStr">
        <is>
          <t>VÄSTERBOTTENS LÄN</t>
        </is>
      </c>
      <c r="E2197" t="inlineStr">
        <is>
          <t>UMEÅ</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54958-2024</t>
        </is>
      </c>
      <c r="B2198" s="1" t="n">
        <v>45619.7193287037</v>
      </c>
      <c r="C2198" s="1" t="n">
        <v>46145</v>
      </c>
      <c r="D2198" t="inlineStr">
        <is>
          <t>VÄSTERBOTTENS LÄN</t>
        </is>
      </c>
      <c r="E2198" t="inlineStr">
        <is>
          <t>ÅSELE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57877-2023</t>
        </is>
      </c>
      <c r="B2199" s="1" t="n">
        <v>45247.46681712963</v>
      </c>
      <c r="C2199" s="1" t="n">
        <v>46145</v>
      </c>
      <c r="D2199" t="inlineStr">
        <is>
          <t>VÄSTERBOTTENS LÄN</t>
        </is>
      </c>
      <c r="E2199" t="inlineStr">
        <is>
          <t>BJURHOLM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6123-2025</t>
        </is>
      </c>
      <c r="B2200" s="1" t="n">
        <v>45698.34989583334</v>
      </c>
      <c r="C2200" s="1" t="n">
        <v>46145</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33496-2022</t>
        </is>
      </c>
      <c r="B2201" s="1" t="n">
        <v>44788.92680555556</v>
      </c>
      <c r="C2201" s="1" t="n">
        <v>46145</v>
      </c>
      <c r="D2201" t="inlineStr">
        <is>
          <t>VÄSTERBOTTENS LÄN</t>
        </is>
      </c>
      <c r="E2201" t="inlineStr">
        <is>
          <t>NORDMALING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41113-2021</t>
        </is>
      </c>
      <c r="B2202" s="1" t="n">
        <v>44423.50511574074</v>
      </c>
      <c r="C2202" s="1" t="n">
        <v>46145</v>
      </c>
      <c r="D2202" t="inlineStr">
        <is>
          <t>VÄSTERBOTTENS LÄN</t>
        </is>
      </c>
      <c r="E2202" t="inlineStr">
        <is>
          <t>VINDELN</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33529-2022</t>
        </is>
      </c>
      <c r="B2203" s="1" t="n">
        <v>44789.33445601852</v>
      </c>
      <c r="C2203" s="1" t="n">
        <v>46145</v>
      </c>
      <c r="D2203" t="inlineStr">
        <is>
          <t>VÄSTERBOTTENS LÄN</t>
        </is>
      </c>
      <c r="E2203" t="inlineStr">
        <is>
          <t>SKELLEFTEÅ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62504-2023</t>
        </is>
      </c>
      <c r="B2204" s="1" t="n">
        <v>45268</v>
      </c>
      <c r="C2204" s="1" t="n">
        <v>46145</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53117-2023</t>
        </is>
      </c>
      <c r="B2205" s="1" t="n">
        <v>45228</v>
      </c>
      <c r="C2205" s="1" t="n">
        <v>46145</v>
      </c>
      <c r="D2205" t="inlineStr">
        <is>
          <t>VÄSTERBOTTENS LÄN</t>
        </is>
      </c>
      <c r="E2205" t="inlineStr">
        <is>
          <t>DOROTEA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53118-2023</t>
        </is>
      </c>
      <c r="B2206" s="1" t="n">
        <v>45228</v>
      </c>
      <c r="C2206" s="1" t="n">
        <v>46145</v>
      </c>
      <c r="D2206" t="inlineStr">
        <is>
          <t>VÄSTERBOTTENS LÄN</t>
        </is>
      </c>
      <c r="E2206" t="inlineStr">
        <is>
          <t>DOROTEA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44790-2023</t>
        </is>
      </c>
      <c r="B2207" s="1" t="n">
        <v>45190.45606481482</v>
      </c>
      <c r="C2207" s="1" t="n">
        <v>46145</v>
      </c>
      <c r="D2207" t="inlineStr">
        <is>
          <t>VÄSTERBOTTENS LÄN</t>
        </is>
      </c>
      <c r="E2207" t="inlineStr">
        <is>
          <t>BJURHOLM</t>
        </is>
      </c>
      <c r="F2207" t="inlineStr">
        <is>
          <t>Holmen skog AB</t>
        </is>
      </c>
      <c r="G2207" t="n">
        <v>21.7</v>
      </c>
      <c r="H2207" t="n">
        <v>0</v>
      </c>
      <c r="I2207" t="n">
        <v>0</v>
      </c>
      <c r="J2207" t="n">
        <v>0</v>
      </c>
      <c r="K2207" t="n">
        <v>0</v>
      </c>
      <c r="L2207" t="n">
        <v>0</v>
      </c>
      <c r="M2207" t="n">
        <v>0</v>
      </c>
      <c r="N2207" t="n">
        <v>0</v>
      </c>
      <c r="O2207" t="n">
        <v>0</v>
      </c>
      <c r="P2207" t="n">
        <v>0</v>
      </c>
      <c r="Q2207" t="n">
        <v>0</v>
      </c>
      <c r="R2207" s="2" t="inlineStr"/>
    </row>
    <row r="2208" ht="15" customHeight="1">
      <c r="A2208" t="inlineStr">
        <is>
          <t>A 62506-2023</t>
        </is>
      </c>
      <c r="B2208" s="1" t="n">
        <v>45268</v>
      </c>
      <c r="C2208" s="1" t="n">
        <v>46145</v>
      </c>
      <c r="D2208" t="inlineStr">
        <is>
          <t>VÄSTERBOTTENS LÄN</t>
        </is>
      </c>
      <c r="E2208" t="inlineStr">
        <is>
          <t>ROBERTSFORS</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46145</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16003-2024</t>
        </is>
      </c>
      <c r="B2210" s="1" t="n">
        <v>45405</v>
      </c>
      <c r="C2210" s="1" t="n">
        <v>46145</v>
      </c>
      <c r="D2210" t="inlineStr">
        <is>
          <t>VÄSTERBOTTENS LÄN</t>
        </is>
      </c>
      <c r="E2210" t="inlineStr">
        <is>
          <t>UMEÅ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41076-2022</t>
        </is>
      </c>
      <c r="B2211" s="1" t="n">
        <v>44825</v>
      </c>
      <c r="C2211" s="1" t="n">
        <v>46145</v>
      </c>
      <c r="D2211" t="inlineStr">
        <is>
          <t>VÄSTERBOTTENS LÄN</t>
        </is>
      </c>
      <c r="E2211" t="inlineStr">
        <is>
          <t>VINDELN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13200-2025</t>
        </is>
      </c>
      <c r="B2212" s="1" t="n">
        <v>45735</v>
      </c>
      <c r="C2212" s="1" t="n">
        <v>46145</v>
      </c>
      <c r="D2212" t="inlineStr">
        <is>
          <t>VÄSTERBOTTENS LÄN</t>
        </is>
      </c>
      <c r="E2212" t="inlineStr">
        <is>
          <t>VILHELMINA</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38578-2022</t>
        </is>
      </c>
      <c r="B2213" s="1" t="n">
        <v>44813.48444444445</v>
      </c>
      <c r="C2213" s="1" t="n">
        <v>46145</v>
      </c>
      <c r="D2213" t="inlineStr">
        <is>
          <t>VÄSTERBOTTENS LÄN</t>
        </is>
      </c>
      <c r="E2213" t="inlineStr">
        <is>
          <t>SKELLEFTEÅ</t>
        </is>
      </c>
      <c r="F2213" t="inlineStr">
        <is>
          <t>Holmen skog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9147-2025</t>
        </is>
      </c>
      <c r="B2214" s="1" t="n">
        <v>45714</v>
      </c>
      <c r="C2214" s="1" t="n">
        <v>46145</v>
      </c>
      <c r="D2214" t="inlineStr">
        <is>
          <t>VÄSTERBOTTENS LÄN</t>
        </is>
      </c>
      <c r="E2214" t="inlineStr">
        <is>
          <t>UMEÅ</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27560-2022</t>
        </is>
      </c>
      <c r="B2215" s="1" t="n">
        <v>44742.9269212963</v>
      </c>
      <c r="C2215" s="1" t="n">
        <v>46145</v>
      </c>
      <c r="D2215" t="inlineStr">
        <is>
          <t>VÄSTERBOTTENS LÄN</t>
        </is>
      </c>
      <c r="E2215" t="inlineStr">
        <is>
          <t>SKELLEFTEÅ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41213-2022</t>
        </is>
      </c>
      <c r="B2216" s="1" t="n">
        <v>44825</v>
      </c>
      <c r="C2216" s="1" t="n">
        <v>46145</v>
      </c>
      <c r="D2216" t="inlineStr">
        <is>
          <t>VÄSTERBOTTENS LÄN</t>
        </is>
      </c>
      <c r="E2216" t="inlineStr">
        <is>
          <t>UMEÅ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18751-2023</t>
        </is>
      </c>
      <c r="B2217" s="1" t="n">
        <v>45043</v>
      </c>
      <c r="C2217" s="1" t="n">
        <v>46145</v>
      </c>
      <c r="D2217" t="inlineStr">
        <is>
          <t>VÄSTERBOTTENS LÄN</t>
        </is>
      </c>
      <c r="E2217" t="inlineStr">
        <is>
          <t>SORSELE</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16764-2025</t>
        </is>
      </c>
      <c r="B2218" s="1" t="n">
        <v>45754</v>
      </c>
      <c r="C2218" s="1" t="n">
        <v>46145</v>
      </c>
      <c r="D2218" t="inlineStr">
        <is>
          <t>VÄSTERBOTTENS LÄN</t>
        </is>
      </c>
      <c r="E2218" t="inlineStr">
        <is>
          <t>VINDELN</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43544-2022</t>
        </is>
      </c>
      <c r="B2219" s="1" t="n">
        <v>44837.42186342592</v>
      </c>
      <c r="C2219" s="1" t="n">
        <v>46145</v>
      </c>
      <c r="D2219" t="inlineStr">
        <is>
          <t>VÄSTERBOTTENS LÄN</t>
        </is>
      </c>
      <c r="E2219" t="inlineStr">
        <is>
          <t>SKELLEFTEÅ</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45881-2022</t>
        </is>
      </c>
      <c r="B2220" s="1" t="n">
        <v>44846</v>
      </c>
      <c r="C2220" s="1" t="n">
        <v>46145</v>
      </c>
      <c r="D2220" t="inlineStr">
        <is>
          <t>VÄSTERBOTTENS LÄN</t>
        </is>
      </c>
      <c r="E2220" t="inlineStr">
        <is>
          <t>UMEÅ</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54234-2023</t>
        </is>
      </c>
      <c r="B2221" s="1" t="n">
        <v>45232.60467592593</v>
      </c>
      <c r="C2221" s="1" t="n">
        <v>46145</v>
      </c>
      <c r="D2221" t="inlineStr">
        <is>
          <t>VÄSTERBOTTENS LÄN</t>
        </is>
      </c>
      <c r="E2221" t="inlineStr">
        <is>
          <t>LYCKSELE</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31896-2024</t>
        </is>
      </c>
      <c r="B2222" s="1" t="n">
        <v>45509</v>
      </c>
      <c r="C2222" s="1" t="n">
        <v>46145</v>
      </c>
      <c r="D2222" t="inlineStr">
        <is>
          <t>VÄSTERBOTTENS LÄN</t>
        </is>
      </c>
      <c r="E2222" t="inlineStr">
        <is>
          <t>VILHELMINA</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31782-2022</t>
        </is>
      </c>
      <c r="B2223" s="1" t="n">
        <v>44776</v>
      </c>
      <c r="C2223" s="1" t="n">
        <v>46145</v>
      </c>
      <c r="D2223" t="inlineStr">
        <is>
          <t>VÄSTERBOTTENS LÄN</t>
        </is>
      </c>
      <c r="E2223" t="inlineStr">
        <is>
          <t>BJURHOLM</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19972-2025</t>
        </is>
      </c>
      <c r="B2224" s="1" t="n">
        <v>45771.68980324074</v>
      </c>
      <c r="C2224" s="1" t="n">
        <v>46145</v>
      </c>
      <c r="D2224" t="inlineStr">
        <is>
          <t>VÄSTERBOTTENS LÄN</t>
        </is>
      </c>
      <c r="E2224" t="inlineStr">
        <is>
          <t>UMEÅ</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33341-2021</t>
        </is>
      </c>
      <c r="B2225" s="1" t="n">
        <v>44377</v>
      </c>
      <c r="C2225" s="1" t="n">
        <v>46145</v>
      </c>
      <c r="D2225" t="inlineStr">
        <is>
          <t>VÄSTERBOTTENS LÄN</t>
        </is>
      </c>
      <c r="E2225" t="inlineStr">
        <is>
          <t>STORUMAN</t>
        </is>
      </c>
      <c r="F2225" t="inlineStr">
        <is>
          <t>Allmännings- och besparingsskogar</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46145</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43426-2023</t>
        </is>
      </c>
      <c r="B2227" s="1" t="n">
        <v>45183</v>
      </c>
      <c r="C2227" s="1" t="n">
        <v>46145</v>
      </c>
      <c r="D2227" t="inlineStr">
        <is>
          <t>VÄSTERBOTTENS LÄN</t>
        </is>
      </c>
      <c r="E2227" t="inlineStr">
        <is>
          <t>NORDMALING</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11092-2025</t>
        </is>
      </c>
      <c r="B2228" s="1" t="n">
        <v>45723.57417824074</v>
      </c>
      <c r="C2228" s="1" t="n">
        <v>46145</v>
      </c>
      <c r="D2228" t="inlineStr">
        <is>
          <t>VÄSTERBOTTENS LÄN</t>
        </is>
      </c>
      <c r="E2228" t="inlineStr">
        <is>
          <t>VINDELN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43974-2024</t>
        </is>
      </c>
      <c r="B2229" s="1" t="n">
        <v>45572</v>
      </c>
      <c r="C2229" s="1" t="n">
        <v>46145</v>
      </c>
      <c r="D2229" t="inlineStr">
        <is>
          <t>VÄSTERBOTTENS LÄN</t>
        </is>
      </c>
      <c r="E2229" t="inlineStr">
        <is>
          <t>UMEÅ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43317-2022</t>
        </is>
      </c>
      <c r="B2230" s="1" t="n">
        <v>44834</v>
      </c>
      <c r="C2230" s="1" t="n">
        <v>46145</v>
      </c>
      <c r="D2230" t="inlineStr">
        <is>
          <t>VÄSTERBOTTENS LÄN</t>
        </is>
      </c>
      <c r="E2230" t="inlineStr">
        <is>
          <t>SORSELE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39736-2024</t>
        </is>
      </c>
      <c r="B2231" s="1" t="n">
        <v>45552.64715277778</v>
      </c>
      <c r="C2231" s="1" t="n">
        <v>46145</v>
      </c>
      <c r="D2231" t="inlineStr">
        <is>
          <t>VÄSTERBOTTENS LÄN</t>
        </is>
      </c>
      <c r="E2231" t="inlineStr">
        <is>
          <t>NORSJÖ</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39776-2024</t>
        </is>
      </c>
      <c r="B2232" s="1" t="n">
        <v>45552.8096875</v>
      </c>
      <c r="C2232" s="1" t="n">
        <v>46145</v>
      </c>
      <c r="D2232" t="inlineStr">
        <is>
          <t>VÄSTERBOTTENS LÄN</t>
        </is>
      </c>
      <c r="E2232" t="inlineStr">
        <is>
          <t>NORDMALING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41256-2022</t>
        </is>
      </c>
      <c r="B2233" s="1" t="n">
        <v>44826</v>
      </c>
      <c r="C2233" s="1" t="n">
        <v>46145</v>
      </c>
      <c r="D2233" t="inlineStr">
        <is>
          <t>VÄSTERBOTTENS LÄN</t>
        </is>
      </c>
      <c r="E2233" t="inlineStr">
        <is>
          <t>LYCKSELE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41330-2022</t>
        </is>
      </c>
      <c r="B2234" s="1" t="n">
        <v>44826</v>
      </c>
      <c r="C2234" s="1" t="n">
        <v>46145</v>
      </c>
      <c r="D2234" t="inlineStr">
        <is>
          <t>VÄSTERBOTTENS LÄN</t>
        </is>
      </c>
      <c r="E2234" t="inlineStr">
        <is>
          <t>VILHELMINA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48488-2023</t>
        </is>
      </c>
      <c r="B2235" s="1" t="n">
        <v>45206</v>
      </c>
      <c r="C2235" s="1" t="n">
        <v>46145</v>
      </c>
      <c r="D2235" t="inlineStr">
        <is>
          <t>VÄSTERBOTTENS LÄN</t>
        </is>
      </c>
      <c r="E2235" t="inlineStr">
        <is>
          <t>ÅSELE</t>
        </is>
      </c>
      <c r="F2235" t="inlineStr">
        <is>
          <t>SCA</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10162-2025</t>
        </is>
      </c>
      <c r="B2236" s="1" t="n">
        <v>45719.64917824074</v>
      </c>
      <c r="C2236" s="1" t="n">
        <v>46145</v>
      </c>
      <c r="D2236" t="inlineStr">
        <is>
          <t>VÄSTERBOTTENS LÄN</t>
        </is>
      </c>
      <c r="E2236" t="inlineStr">
        <is>
          <t>VINDELN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46173-2023</t>
        </is>
      </c>
      <c r="B2237" s="1" t="n">
        <v>45196.6055324074</v>
      </c>
      <c r="C2237" s="1" t="n">
        <v>46145</v>
      </c>
      <c r="D2237" t="inlineStr">
        <is>
          <t>VÄSTERBOTTENS LÄN</t>
        </is>
      </c>
      <c r="E2237" t="inlineStr">
        <is>
          <t>ÅSELE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46224-2023</t>
        </is>
      </c>
      <c r="B2238" s="1" t="n">
        <v>45196</v>
      </c>
      <c r="C2238" s="1" t="n">
        <v>46145</v>
      </c>
      <c r="D2238" t="inlineStr">
        <is>
          <t>VÄSTERBOTTENS LÄN</t>
        </is>
      </c>
      <c r="E2238" t="inlineStr">
        <is>
          <t>ÅSELE</t>
        </is>
      </c>
      <c r="F2238" t="inlineStr">
        <is>
          <t>Naturvårdsverket</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20324-2025</t>
        </is>
      </c>
      <c r="B2239" s="1" t="n">
        <v>45775</v>
      </c>
      <c r="C2239" s="1" t="n">
        <v>46145</v>
      </c>
      <c r="D2239" t="inlineStr">
        <is>
          <t>VÄSTERBOTTENS LÄN</t>
        </is>
      </c>
      <c r="E2239" t="inlineStr">
        <is>
          <t>VILHELMINA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20344-2025</t>
        </is>
      </c>
      <c r="B2240" s="1" t="n">
        <v>45775.37510416667</v>
      </c>
      <c r="C2240" s="1" t="n">
        <v>46145</v>
      </c>
      <c r="D2240" t="inlineStr">
        <is>
          <t>VÄSTERBOTTENS LÄN</t>
        </is>
      </c>
      <c r="E2240" t="inlineStr">
        <is>
          <t>LYCKSELE</t>
        </is>
      </c>
      <c r="F2240" t="inlineStr">
        <is>
          <t>Sveaskog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48631-2023</t>
        </is>
      </c>
      <c r="B2241" s="1" t="n">
        <v>45202</v>
      </c>
      <c r="C2241" s="1" t="n">
        <v>46145</v>
      </c>
      <c r="D2241" t="inlineStr">
        <is>
          <t>VÄSTERBOTTENS LÄN</t>
        </is>
      </c>
      <c r="E2241" t="inlineStr">
        <is>
          <t>UMEÅ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12780-2025</t>
        </is>
      </c>
      <c r="B2242" s="1" t="n">
        <v>45733.59627314815</v>
      </c>
      <c r="C2242" s="1" t="n">
        <v>46145</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39914-2023</t>
        </is>
      </c>
      <c r="B2243" s="1" t="n">
        <v>45166</v>
      </c>
      <c r="C2243" s="1" t="n">
        <v>46145</v>
      </c>
      <c r="D2243" t="inlineStr">
        <is>
          <t>VÄSTERBOTTENS LÄN</t>
        </is>
      </c>
      <c r="E2243" t="inlineStr">
        <is>
          <t>VILHELMINA</t>
        </is>
      </c>
      <c r="G2243" t="n">
        <v>27.5</v>
      </c>
      <c r="H2243" t="n">
        <v>0</v>
      </c>
      <c r="I2243" t="n">
        <v>0</v>
      </c>
      <c r="J2243" t="n">
        <v>0</v>
      </c>
      <c r="K2243" t="n">
        <v>0</v>
      </c>
      <c r="L2243" t="n">
        <v>0</v>
      </c>
      <c r="M2243" t="n">
        <v>0</v>
      </c>
      <c r="N2243" t="n">
        <v>0</v>
      </c>
      <c r="O2243" t="n">
        <v>0</v>
      </c>
      <c r="P2243" t="n">
        <v>0</v>
      </c>
      <c r="Q2243" t="n">
        <v>0</v>
      </c>
      <c r="R2243" s="2" t="inlineStr"/>
    </row>
    <row r="2244" ht="15" customHeight="1">
      <c r="A2244" t="inlineStr">
        <is>
          <t>A 16104-2025</t>
        </is>
      </c>
      <c r="B2244" s="1" t="n">
        <v>45750.3231712963</v>
      </c>
      <c r="C2244" s="1" t="n">
        <v>46145</v>
      </c>
      <c r="D2244" t="inlineStr">
        <is>
          <t>VÄSTERBOTTENS LÄN</t>
        </is>
      </c>
      <c r="E2244" t="inlineStr">
        <is>
          <t>ROBERTSFORS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12336-2024</t>
        </is>
      </c>
      <c r="B2245" s="1" t="n">
        <v>45378</v>
      </c>
      <c r="C2245" s="1" t="n">
        <v>46145</v>
      </c>
      <c r="D2245" t="inlineStr">
        <is>
          <t>VÄSTERBOTTENS LÄN</t>
        </is>
      </c>
      <c r="E2245" t="inlineStr">
        <is>
          <t>LYCKSELE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12359-2024</t>
        </is>
      </c>
      <c r="B2246" s="1" t="n">
        <v>45378.93795138889</v>
      </c>
      <c r="C2246" s="1" t="n">
        <v>46145</v>
      </c>
      <c r="D2246" t="inlineStr">
        <is>
          <t>VÄSTERBOTTENS LÄN</t>
        </is>
      </c>
      <c r="E2246" t="inlineStr">
        <is>
          <t>ÅSELE</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12374-2024</t>
        </is>
      </c>
      <c r="B2247" s="1" t="n">
        <v>45378</v>
      </c>
      <c r="C2247" s="1" t="n">
        <v>46145</v>
      </c>
      <c r="D2247" t="inlineStr">
        <is>
          <t>VÄSTERBOTTENS LÄN</t>
        </is>
      </c>
      <c r="E2247" t="inlineStr">
        <is>
          <t>NORDMALING</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50539-2022</t>
        </is>
      </c>
      <c r="B2248" s="1" t="n">
        <v>44866</v>
      </c>
      <c r="C2248" s="1" t="n">
        <v>46145</v>
      </c>
      <c r="D2248" t="inlineStr">
        <is>
          <t>VÄSTERBOTTENS LÄN</t>
        </is>
      </c>
      <c r="E2248" t="inlineStr">
        <is>
          <t>ÅSELE</t>
        </is>
      </c>
      <c r="F2248" t="inlineStr">
        <is>
          <t>Holmen skog AB</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3058-2025</t>
        </is>
      </c>
      <c r="B2249" s="1" t="n">
        <v>45678.61952546296</v>
      </c>
      <c r="C2249" s="1" t="n">
        <v>46145</v>
      </c>
      <c r="D2249" t="inlineStr">
        <is>
          <t>VÄSTERBOTTENS LÄN</t>
        </is>
      </c>
      <c r="E2249" t="inlineStr">
        <is>
          <t>BJURHOLM</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38940-2022</t>
        </is>
      </c>
      <c r="B2250" s="1" t="n">
        <v>44816</v>
      </c>
      <c r="C2250" s="1" t="n">
        <v>46145</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38956-2022</t>
        </is>
      </c>
      <c r="B2251" s="1" t="n">
        <v>44816</v>
      </c>
      <c r="C2251" s="1" t="n">
        <v>46145</v>
      </c>
      <c r="D2251" t="inlineStr">
        <is>
          <t>VÄSTERBOTTENS LÄN</t>
        </is>
      </c>
      <c r="E2251" t="inlineStr">
        <is>
          <t>VÄNNÄS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56717-2022</t>
        </is>
      </c>
      <c r="B2252" s="1" t="n">
        <v>44893.92833333334</v>
      </c>
      <c r="C2252" s="1" t="n">
        <v>46145</v>
      </c>
      <c r="D2252" t="inlineStr">
        <is>
          <t>VÄSTERBOTTENS LÄN</t>
        </is>
      </c>
      <c r="E2252" t="inlineStr">
        <is>
          <t>NORSJÖ</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47534-2023</t>
        </is>
      </c>
      <c r="B2253" s="1" t="n">
        <v>45203.36484953704</v>
      </c>
      <c r="C2253" s="1" t="n">
        <v>46145</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10134-2025</t>
        </is>
      </c>
      <c r="B2254" s="1" t="n">
        <v>45719</v>
      </c>
      <c r="C2254" s="1" t="n">
        <v>46145</v>
      </c>
      <c r="D2254" t="inlineStr">
        <is>
          <t>VÄSTERBOTTENS LÄN</t>
        </is>
      </c>
      <c r="E2254" t="inlineStr">
        <is>
          <t>NORSJÖ</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53642-2022</t>
        </is>
      </c>
      <c r="B2255" s="1" t="n">
        <v>44879</v>
      </c>
      <c r="C2255" s="1" t="n">
        <v>46145</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22020-2023</t>
        </is>
      </c>
      <c r="B2256" s="1" t="n">
        <v>45069</v>
      </c>
      <c r="C2256" s="1" t="n">
        <v>46145</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22036-2023</t>
        </is>
      </c>
      <c r="B2257" s="1" t="n">
        <v>45069.37450231481</v>
      </c>
      <c r="C2257" s="1" t="n">
        <v>46145</v>
      </c>
      <c r="D2257" t="inlineStr">
        <is>
          <t>VÄSTERBOTTENS LÄN</t>
        </is>
      </c>
      <c r="E2257" t="inlineStr">
        <is>
          <t>BJURHOLM</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49086-2023</t>
        </is>
      </c>
      <c r="B2258" s="1" t="n">
        <v>45210</v>
      </c>
      <c r="C2258" s="1" t="n">
        <v>46145</v>
      </c>
      <c r="D2258" t="inlineStr">
        <is>
          <t>VÄSTERBOTTENS LÄN</t>
        </is>
      </c>
      <c r="E2258" t="inlineStr">
        <is>
          <t>ROBERTSFORS</t>
        </is>
      </c>
      <c r="F2258" t="inlineStr">
        <is>
          <t>Holmen skog AB</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22093-2023</t>
        </is>
      </c>
      <c r="B2259" s="1" t="n">
        <v>45068</v>
      </c>
      <c r="C2259" s="1" t="n">
        <v>46145</v>
      </c>
      <c r="D2259" t="inlineStr">
        <is>
          <t>VÄSTERBOTTENS LÄN</t>
        </is>
      </c>
      <c r="E2259" t="inlineStr">
        <is>
          <t>ÅSELE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48670-2023</t>
        </is>
      </c>
      <c r="B2260" s="1" t="n">
        <v>45208.62702546296</v>
      </c>
      <c r="C2260" s="1" t="n">
        <v>46145</v>
      </c>
      <c r="D2260" t="inlineStr">
        <is>
          <t>VÄSTERBOTTENS LÄN</t>
        </is>
      </c>
      <c r="E2260" t="inlineStr">
        <is>
          <t>ÅSELE</t>
        </is>
      </c>
      <c r="F2260" t="inlineStr">
        <is>
          <t>Naturvårdsverket</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30456-2022</t>
        </is>
      </c>
      <c r="B2261" s="1" t="n">
        <v>44761</v>
      </c>
      <c r="C2261" s="1" t="n">
        <v>46145</v>
      </c>
      <c r="D2261" t="inlineStr">
        <is>
          <t>VÄSTERBOTTENS LÄN</t>
        </is>
      </c>
      <c r="E2261" t="inlineStr">
        <is>
          <t>DOROTEA</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54024-2023</t>
        </is>
      </c>
      <c r="B2262" s="1" t="n">
        <v>45231</v>
      </c>
      <c r="C2262" s="1" t="n">
        <v>46145</v>
      </c>
      <c r="D2262" t="inlineStr">
        <is>
          <t>VÄSTERBOTTENS LÄN</t>
        </is>
      </c>
      <c r="E2262" t="inlineStr">
        <is>
          <t>SKELLEFTEÅ</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48702-2023</t>
        </is>
      </c>
      <c r="B2263" s="1" t="n">
        <v>45208</v>
      </c>
      <c r="C2263" s="1" t="n">
        <v>46145</v>
      </c>
      <c r="D2263" t="inlineStr">
        <is>
          <t>VÄSTERBOTTENS LÄN</t>
        </is>
      </c>
      <c r="E2263" t="inlineStr">
        <is>
          <t>VINDELN</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54113-2023</t>
        </is>
      </c>
      <c r="B2264" s="1" t="n">
        <v>45232.39173611111</v>
      </c>
      <c r="C2264" s="1" t="n">
        <v>46145</v>
      </c>
      <c r="D2264" t="inlineStr">
        <is>
          <t>VÄSTERBOTTENS LÄN</t>
        </is>
      </c>
      <c r="E2264" t="inlineStr">
        <is>
          <t>SKELLEFTEÅ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48765-2023</t>
        </is>
      </c>
      <c r="B2265" s="1" t="n">
        <v>45208.94865740741</v>
      </c>
      <c r="C2265" s="1" t="n">
        <v>46145</v>
      </c>
      <c r="D2265" t="inlineStr">
        <is>
          <t>VÄSTERBOTTENS LÄN</t>
        </is>
      </c>
      <c r="E2265" t="inlineStr">
        <is>
          <t>NORSJÖ</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50531-2022</t>
        </is>
      </c>
      <c r="B2266" s="1" t="n">
        <v>44866.57714120371</v>
      </c>
      <c r="C2266" s="1" t="n">
        <v>46145</v>
      </c>
      <c r="D2266" t="inlineStr">
        <is>
          <t>VÄSTERBOTTENS LÄN</t>
        </is>
      </c>
      <c r="E2266" t="inlineStr">
        <is>
          <t>SKELLEFTEÅ</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54727-2022</t>
        </is>
      </c>
      <c r="B2267" s="1" t="n">
        <v>44881</v>
      </c>
      <c r="C2267" s="1" t="n">
        <v>46145</v>
      </c>
      <c r="D2267" t="inlineStr">
        <is>
          <t>VÄSTERBOTTENS LÄN</t>
        </is>
      </c>
      <c r="E2267" t="inlineStr">
        <is>
          <t>VILHELMINA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60871-2023</t>
        </is>
      </c>
      <c r="B2268" s="1" t="n">
        <v>45260.96678240741</v>
      </c>
      <c r="C2268" s="1" t="n">
        <v>46145</v>
      </c>
      <c r="D2268" t="inlineStr">
        <is>
          <t>VÄSTERBOTTENS LÄN</t>
        </is>
      </c>
      <c r="E2268" t="inlineStr">
        <is>
          <t>VINDELN</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50730-2022</t>
        </is>
      </c>
      <c r="B2269" s="1" t="n">
        <v>44867</v>
      </c>
      <c r="C2269" s="1" t="n">
        <v>46145</v>
      </c>
      <c r="D2269" t="inlineStr">
        <is>
          <t>VÄSTERBOTTENS LÄN</t>
        </is>
      </c>
      <c r="E2269" t="inlineStr">
        <is>
          <t>NORSJÖ</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48133-2022</t>
        </is>
      </c>
      <c r="B2270" s="1" t="n">
        <v>44857</v>
      </c>
      <c r="C2270" s="1" t="n">
        <v>46145</v>
      </c>
      <c r="D2270" t="inlineStr">
        <is>
          <t>VÄSTERBOTTENS LÄN</t>
        </is>
      </c>
      <c r="E2270" t="inlineStr">
        <is>
          <t>SKELLEFTEÅ</t>
        </is>
      </c>
      <c r="F2270" t="inlineStr">
        <is>
          <t>Sveaskog</t>
        </is>
      </c>
      <c r="G2270" t="n">
        <v>18.3</v>
      </c>
      <c r="H2270" t="n">
        <v>0</v>
      </c>
      <c r="I2270" t="n">
        <v>0</v>
      </c>
      <c r="J2270" t="n">
        <v>0</v>
      </c>
      <c r="K2270" t="n">
        <v>0</v>
      </c>
      <c r="L2270" t="n">
        <v>0</v>
      </c>
      <c r="M2270" t="n">
        <v>0</v>
      </c>
      <c r="N2270" t="n">
        <v>0</v>
      </c>
      <c r="O2270" t="n">
        <v>0</v>
      </c>
      <c r="P2270" t="n">
        <v>0</v>
      </c>
      <c r="Q2270" t="n">
        <v>0</v>
      </c>
      <c r="R2270" s="2" t="inlineStr"/>
    </row>
    <row r="2271" ht="15" customHeight="1">
      <c r="A2271" t="inlineStr">
        <is>
          <t>A 6671-2025</t>
        </is>
      </c>
      <c r="B2271" s="1" t="n">
        <v>45700.46908564815</v>
      </c>
      <c r="C2271" s="1" t="n">
        <v>46145</v>
      </c>
      <c r="D2271" t="inlineStr">
        <is>
          <t>VÄSTERBOTTENS LÄN</t>
        </is>
      </c>
      <c r="E2271" t="inlineStr">
        <is>
          <t>MALÅ</t>
        </is>
      </c>
      <c r="F2271" t="inlineStr">
        <is>
          <t>SCA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45549-2021</t>
        </is>
      </c>
      <c r="B2272" s="1" t="n">
        <v>44440</v>
      </c>
      <c r="C2272" s="1" t="n">
        <v>46145</v>
      </c>
      <c r="D2272" t="inlineStr">
        <is>
          <t>VÄSTERBOTTENS LÄN</t>
        </is>
      </c>
      <c r="E2272" t="inlineStr">
        <is>
          <t>MALÅ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48440-2023</t>
        </is>
      </c>
      <c r="B2273" s="1" t="n">
        <v>45205</v>
      </c>
      <c r="C2273" s="1" t="n">
        <v>46145</v>
      </c>
      <c r="D2273" t="inlineStr">
        <is>
          <t>VÄSTERBOTTENS LÄN</t>
        </is>
      </c>
      <c r="E2273" t="inlineStr">
        <is>
          <t>ÅSELE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51197-2023</t>
        </is>
      </c>
      <c r="B2274" s="1" t="n">
        <v>45219.41938657407</v>
      </c>
      <c r="C2274" s="1" t="n">
        <v>46145</v>
      </c>
      <c r="D2274" t="inlineStr">
        <is>
          <t>VÄSTERBOTTENS LÄN</t>
        </is>
      </c>
      <c r="E2274" t="inlineStr">
        <is>
          <t>NORSJÖ</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14774-2025</t>
        </is>
      </c>
      <c r="B2275" s="1" t="n">
        <v>45742.69414351852</v>
      </c>
      <c r="C2275" s="1" t="n">
        <v>46145</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47095-2024</t>
        </is>
      </c>
      <c r="B2276" s="1" t="n">
        <v>45586.52850694444</v>
      </c>
      <c r="C2276" s="1" t="n">
        <v>46145</v>
      </c>
      <c r="D2276" t="inlineStr">
        <is>
          <t>VÄSTERBOTTENS LÄN</t>
        </is>
      </c>
      <c r="E2276" t="inlineStr">
        <is>
          <t>LYCKSELE</t>
        </is>
      </c>
      <c r="F2276" t="inlineStr">
        <is>
          <t>Naturvårdsverket</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35935-2024</t>
        </is>
      </c>
      <c r="B2277" s="1" t="n">
        <v>45533.45237268518</v>
      </c>
      <c r="C2277" s="1" t="n">
        <v>46145</v>
      </c>
      <c r="D2277" t="inlineStr">
        <is>
          <t>VÄSTERBOTTENS LÄN</t>
        </is>
      </c>
      <c r="E2277" t="inlineStr">
        <is>
          <t>NORSJÖ</t>
        </is>
      </c>
      <c r="F2277" t="inlineStr">
        <is>
          <t>Holmen skog AB</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24430-2023</t>
        </is>
      </c>
      <c r="B2278" s="1" t="n">
        <v>45076</v>
      </c>
      <c r="C2278" s="1" t="n">
        <v>46145</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12190-2024</t>
        </is>
      </c>
      <c r="B2279" s="1" t="n">
        <v>45377.94954861111</v>
      </c>
      <c r="C2279" s="1" t="n">
        <v>46145</v>
      </c>
      <c r="D2279" t="inlineStr">
        <is>
          <t>VÄSTERBOTTENS LÄN</t>
        </is>
      </c>
      <c r="E2279" t="inlineStr">
        <is>
          <t>VILHELMINA</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16219-2024</t>
        </is>
      </c>
      <c r="B2280" s="1" t="n">
        <v>45406.96375</v>
      </c>
      <c r="C2280" s="1" t="n">
        <v>46145</v>
      </c>
      <c r="D2280" t="inlineStr">
        <is>
          <t>VÄSTERBOTTENS LÄN</t>
        </is>
      </c>
      <c r="E2280" t="inlineStr">
        <is>
          <t>LYCKSELE</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20161-2025</t>
        </is>
      </c>
      <c r="B2281" s="1" t="n">
        <v>45772.56854166667</v>
      </c>
      <c r="C2281" s="1" t="n">
        <v>46145</v>
      </c>
      <c r="D2281" t="inlineStr">
        <is>
          <t>VÄSTERBOTTENS LÄN</t>
        </is>
      </c>
      <c r="E2281" t="inlineStr">
        <is>
          <t>LYCKSELE</t>
        </is>
      </c>
      <c r="F2281" t="inlineStr">
        <is>
          <t>Holmen skog AB</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46145</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16865-2023</t>
        </is>
      </c>
      <c r="B2283" s="1" t="n">
        <v>45029</v>
      </c>
      <c r="C2283" s="1" t="n">
        <v>46145</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37688-2024</t>
        </is>
      </c>
      <c r="B2284" s="1" t="n">
        <v>45541</v>
      </c>
      <c r="C2284" s="1" t="n">
        <v>46145</v>
      </c>
      <c r="D2284" t="inlineStr">
        <is>
          <t>VÄSTERBOTTENS LÄN</t>
        </is>
      </c>
      <c r="E2284" t="inlineStr">
        <is>
          <t>MALÅ</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12187-2025</t>
        </is>
      </c>
      <c r="B2285" s="1" t="n">
        <v>45729.46915509259</v>
      </c>
      <c r="C2285" s="1" t="n">
        <v>46145</v>
      </c>
      <c r="D2285" t="inlineStr">
        <is>
          <t>VÄSTERBOTTENS LÄN</t>
        </is>
      </c>
      <c r="E2285" t="inlineStr">
        <is>
          <t>SORSELE</t>
        </is>
      </c>
      <c r="F2285" t="inlineStr">
        <is>
          <t>SCA</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27568-2023</t>
        </is>
      </c>
      <c r="B2286" s="1" t="n">
        <v>45092</v>
      </c>
      <c r="C2286" s="1" t="n">
        <v>46145</v>
      </c>
      <c r="D2286" t="inlineStr">
        <is>
          <t>VÄSTERBOTTENS LÄN</t>
        </is>
      </c>
      <c r="E2286" t="inlineStr">
        <is>
          <t>NORDMALING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27378-2023</t>
        </is>
      </c>
      <c r="B2287" s="1" t="n">
        <v>45096.93858796296</v>
      </c>
      <c r="C2287" s="1" t="n">
        <v>46145</v>
      </c>
      <c r="D2287" t="inlineStr">
        <is>
          <t>VÄSTERBOTTENS LÄN</t>
        </is>
      </c>
      <c r="E2287" t="inlineStr">
        <is>
          <t>NORDMALING</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48006-2023</t>
        </is>
      </c>
      <c r="B2288" s="1" t="n">
        <v>45198</v>
      </c>
      <c r="C2288" s="1" t="n">
        <v>46145</v>
      </c>
      <c r="D2288" t="inlineStr">
        <is>
          <t>VÄSTERBOTTENS LÄN</t>
        </is>
      </c>
      <c r="E2288" t="inlineStr">
        <is>
          <t>DOROTEA</t>
        </is>
      </c>
      <c r="F2288" t="inlineStr">
        <is>
          <t>Övriga statliga verk och myndigheter</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17432-2025</t>
        </is>
      </c>
      <c r="B2289" s="1" t="n">
        <v>45757</v>
      </c>
      <c r="C2289" s="1" t="n">
        <v>46145</v>
      </c>
      <c r="D2289" t="inlineStr">
        <is>
          <t>VÄSTERBOTTENS LÄN</t>
        </is>
      </c>
      <c r="E2289" t="inlineStr">
        <is>
          <t>VILHELMINA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17447-2025</t>
        </is>
      </c>
      <c r="B2290" s="1" t="n">
        <v>45757</v>
      </c>
      <c r="C2290" s="1" t="n">
        <v>46145</v>
      </c>
      <c r="D2290" t="inlineStr">
        <is>
          <t>VÄSTERBOTTENS LÄN</t>
        </is>
      </c>
      <c r="E2290" t="inlineStr">
        <is>
          <t>ÅSELE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26137-2023</t>
        </is>
      </c>
      <c r="B2291" s="1" t="n">
        <v>45091</v>
      </c>
      <c r="C2291" s="1" t="n">
        <v>46145</v>
      </c>
      <c r="D2291" t="inlineStr">
        <is>
          <t>VÄSTERBOTTENS LÄN</t>
        </is>
      </c>
      <c r="E2291" t="inlineStr">
        <is>
          <t>UMEÅ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26138-2023</t>
        </is>
      </c>
      <c r="B2292" s="1" t="n">
        <v>45091</v>
      </c>
      <c r="C2292" s="1" t="n">
        <v>46145</v>
      </c>
      <c r="D2292" t="inlineStr">
        <is>
          <t>VÄSTERBOTTENS LÄN</t>
        </is>
      </c>
      <c r="E2292" t="inlineStr">
        <is>
          <t>UMEÅ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53105-2022</t>
        </is>
      </c>
      <c r="B2293" s="1" t="n">
        <v>44876</v>
      </c>
      <c r="C2293" s="1" t="n">
        <v>46145</v>
      </c>
      <c r="D2293" t="inlineStr">
        <is>
          <t>VÄSTERBOTTENS LÄN</t>
        </is>
      </c>
      <c r="E2293" t="inlineStr">
        <is>
          <t>NORSJÖ</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51334-2023</t>
        </is>
      </c>
      <c r="B2294" s="1" t="n">
        <v>45219</v>
      </c>
      <c r="C2294" s="1" t="n">
        <v>46145</v>
      </c>
      <c r="D2294" t="inlineStr">
        <is>
          <t>VÄSTERBOTTENS LÄN</t>
        </is>
      </c>
      <c r="E2294" t="inlineStr">
        <is>
          <t>STORUMAN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14903-2025</t>
        </is>
      </c>
      <c r="B2295" s="1" t="n">
        <v>45743.48991898148</v>
      </c>
      <c r="C2295" s="1" t="n">
        <v>46145</v>
      </c>
      <c r="D2295" t="inlineStr">
        <is>
          <t>VÄSTERBOTTENS LÄN</t>
        </is>
      </c>
      <c r="E2295" t="inlineStr">
        <is>
          <t>ROBERTSFORS</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38285-2022</t>
        </is>
      </c>
      <c r="B2296" s="1" t="n">
        <v>44812</v>
      </c>
      <c r="C2296" s="1" t="n">
        <v>46145</v>
      </c>
      <c r="D2296" t="inlineStr">
        <is>
          <t>VÄSTERBOTTENS LÄN</t>
        </is>
      </c>
      <c r="E2296" t="inlineStr">
        <is>
          <t>NORDMALING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55745-2022</t>
        </is>
      </c>
      <c r="B2297" s="1" t="n">
        <v>44886</v>
      </c>
      <c r="C2297" s="1" t="n">
        <v>46145</v>
      </c>
      <c r="D2297" t="inlineStr">
        <is>
          <t>VÄSTERBOTTENS LÄN</t>
        </is>
      </c>
      <c r="E2297" t="inlineStr">
        <is>
          <t>VINDELN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36991-2022</t>
        </is>
      </c>
      <c r="B2298" s="1" t="n">
        <v>44806</v>
      </c>
      <c r="C2298" s="1" t="n">
        <v>46145</v>
      </c>
      <c r="D2298" t="inlineStr">
        <is>
          <t>VÄSTERBOTTENS LÄN</t>
        </is>
      </c>
      <c r="E2298" t="inlineStr">
        <is>
          <t>BJURHOLM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19806-2024</t>
        </is>
      </c>
      <c r="B2299" s="1" t="n">
        <v>45433</v>
      </c>
      <c r="C2299" s="1" t="n">
        <v>46145</v>
      </c>
      <c r="D2299" t="inlineStr">
        <is>
          <t>VÄSTERBOTTENS LÄN</t>
        </is>
      </c>
      <c r="E2299" t="inlineStr">
        <is>
          <t>ROBERTSFORS</t>
        </is>
      </c>
      <c r="F2299" t="inlineStr">
        <is>
          <t>Sveaskog</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46643-2024</t>
        </is>
      </c>
      <c r="B2300" s="1" t="n">
        <v>45583.34958333334</v>
      </c>
      <c r="C2300" s="1" t="n">
        <v>46145</v>
      </c>
      <c r="D2300" t="inlineStr">
        <is>
          <t>VÄSTERBOTTENS LÄN</t>
        </is>
      </c>
      <c r="E2300" t="inlineStr">
        <is>
          <t>NORSJÖ</t>
        </is>
      </c>
      <c r="F2300" t="inlineStr">
        <is>
          <t>Holmen skog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10253-2024</t>
        </is>
      </c>
      <c r="B2301" s="1" t="n">
        <v>45365.3941550926</v>
      </c>
      <c r="C2301" s="1" t="n">
        <v>46145</v>
      </c>
      <c r="D2301" t="inlineStr">
        <is>
          <t>VÄSTERBOTTENS LÄN</t>
        </is>
      </c>
      <c r="E2301" t="inlineStr">
        <is>
          <t>LYCKSELE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15617-2024</t>
        </is>
      </c>
      <c r="B2302" s="1" t="n">
        <v>45401.94358796296</v>
      </c>
      <c r="C2302" s="1" t="n">
        <v>46145</v>
      </c>
      <c r="D2302" t="inlineStr">
        <is>
          <t>VÄSTERBOTTENS LÄN</t>
        </is>
      </c>
      <c r="E2302" t="inlineStr">
        <is>
          <t>VILHELMINA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33952-2022</t>
        </is>
      </c>
      <c r="B2303" s="1" t="n">
        <v>44790</v>
      </c>
      <c r="C2303" s="1" t="n">
        <v>46145</v>
      </c>
      <c r="D2303" t="inlineStr">
        <is>
          <t>VÄSTERBOTTENS LÄN</t>
        </is>
      </c>
      <c r="E2303" t="inlineStr">
        <is>
          <t>UMEÅ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6721-2024</t>
        </is>
      </c>
      <c r="B2304" s="1" t="n">
        <v>45342</v>
      </c>
      <c r="C2304" s="1" t="n">
        <v>46145</v>
      </c>
      <c r="D2304" t="inlineStr">
        <is>
          <t>VÄSTERBOTTENS LÄN</t>
        </is>
      </c>
      <c r="E2304" t="inlineStr">
        <is>
          <t>BJURHOLM</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52270-2023</t>
        </is>
      </c>
      <c r="B2305" s="1" t="n">
        <v>45217</v>
      </c>
      <c r="C2305" s="1" t="n">
        <v>46145</v>
      </c>
      <c r="D2305" t="inlineStr">
        <is>
          <t>VÄSTERBOTTENS LÄN</t>
        </is>
      </c>
      <c r="E2305" t="inlineStr">
        <is>
          <t>MALÅ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34035-2023</t>
        </is>
      </c>
      <c r="B2306" s="1" t="n">
        <v>45135.41648148148</v>
      </c>
      <c r="C2306" s="1" t="n">
        <v>46145</v>
      </c>
      <c r="D2306" t="inlineStr">
        <is>
          <t>VÄSTERBOTTENS LÄN</t>
        </is>
      </c>
      <c r="E2306" t="inlineStr">
        <is>
          <t>SKELLEFTEÅ</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34043-2023</t>
        </is>
      </c>
      <c r="B2307" s="1" t="n">
        <v>45135</v>
      </c>
      <c r="C2307" s="1" t="n">
        <v>46145</v>
      </c>
      <c r="D2307" t="inlineStr">
        <is>
          <t>VÄSTERBOTTENS LÄN</t>
        </is>
      </c>
      <c r="E2307" t="inlineStr">
        <is>
          <t>LYCKSELE</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34176-2023</t>
        </is>
      </c>
      <c r="B2308" s="1" t="n">
        <v>45126</v>
      </c>
      <c r="C2308" s="1" t="n">
        <v>46145</v>
      </c>
      <c r="D2308" t="inlineStr">
        <is>
          <t>VÄSTERBOTTENS LÄN</t>
        </is>
      </c>
      <c r="E2308" t="inlineStr">
        <is>
          <t>NORDMALING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14421-2025</t>
        </is>
      </c>
      <c r="B2309" s="1" t="n">
        <v>45741</v>
      </c>
      <c r="C2309" s="1" t="n">
        <v>46145</v>
      </c>
      <c r="D2309" t="inlineStr">
        <is>
          <t>VÄSTERBOTTENS LÄN</t>
        </is>
      </c>
      <c r="E2309" t="inlineStr">
        <is>
          <t>ROBERTSFORS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44983-2022</t>
        </is>
      </c>
      <c r="B2310" s="1" t="n">
        <v>44841</v>
      </c>
      <c r="C2310" s="1" t="n">
        <v>46145</v>
      </c>
      <c r="D2310" t="inlineStr">
        <is>
          <t>VÄSTERBOTTENS LÄN</t>
        </is>
      </c>
      <c r="E2310" t="inlineStr">
        <is>
          <t>UMEÅ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19413-2024</t>
        </is>
      </c>
      <c r="B2311" s="1" t="n">
        <v>45429</v>
      </c>
      <c r="C2311" s="1" t="n">
        <v>46145</v>
      </c>
      <c r="D2311" t="inlineStr">
        <is>
          <t>VÄSTERBOTTENS LÄN</t>
        </is>
      </c>
      <c r="E2311" t="inlineStr">
        <is>
          <t>STORUMAN</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17892-2024</t>
        </is>
      </c>
      <c r="B2312" s="1" t="n">
        <v>45419.47746527778</v>
      </c>
      <c r="C2312" s="1" t="n">
        <v>46145</v>
      </c>
      <c r="D2312" t="inlineStr">
        <is>
          <t>VÄSTERBOTTENS LÄN</t>
        </is>
      </c>
      <c r="E2312" t="inlineStr">
        <is>
          <t>NORDMALING</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51048-2023</t>
        </is>
      </c>
      <c r="B2313" s="1" t="n">
        <v>45218.63373842592</v>
      </c>
      <c r="C2313" s="1" t="n">
        <v>46145</v>
      </c>
      <c r="D2313" t="inlineStr">
        <is>
          <t>VÄSTERBOTTENS LÄN</t>
        </is>
      </c>
      <c r="E2313" t="inlineStr">
        <is>
          <t>LYCKSELE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59067-2023</t>
        </is>
      </c>
      <c r="B2314" s="1" t="n">
        <v>45252</v>
      </c>
      <c r="C2314" s="1" t="n">
        <v>46145</v>
      </c>
      <c r="D2314" t="inlineStr">
        <is>
          <t>VÄSTERBOTTENS LÄN</t>
        </is>
      </c>
      <c r="E2314" t="inlineStr">
        <is>
          <t>MALÅ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21159-2024</t>
        </is>
      </c>
      <c r="B2315" s="1" t="n">
        <v>45440.42893518518</v>
      </c>
      <c r="C2315" s="1" t="n">
        <v>46145</v>
      </c>
      <c r="D2315" t="inlineStr">
        <is>
          <t>VÄSTERBOTTENS LÄN</t>
        </is>
      </c>
      <c r="E2315" t="inlineStr">
        <is>
          <t>UMEÅ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25491-2021</t>
        </is>
      </c>
      <c r="B2316" s="1" t="n">
        <v>44342</v>
      </c>
      <c r="C2316" s="1" t="n">
        <v>46145</v>
      </c>
      <c r="D2316" t="inlineStr">
        <is>
          <t>VÄSTERBOTTENS LÄN</t>
        </is>
      </c>
      <c r="E2316" t="inlineStr">
        <is>
          <t>SKELLEFTEÅ</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11525-2024</t>
        </is>
      </c>
      <c r="B2317" s="1" t="n">
        <v>45372</v>
      </c>
      <c r="C2317" s="1" t="n">
        <v>46145</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54985-2023</t>
        </is>
      </c>
      <c r="B2318" s="1" t="n">
        <v>45236</v>
      </c>
      <c r="C2318" s="1" t="n">
        <v>46145</v>
      </c>
      <c r="D2318" t="inlineStr">
        <is>
          <t>VÄSTERBOTTENS LÄN</t>
        </is>
      </c>
      <c r="E2318" t="inlineStr">
        <is>
          <t>VILHELMINA</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10719-2024</t>
        </is>
      </c>
      <c r="B2319" s="1" t="n">
        <v>45369</v>
      </c>
      <c r="C2319" s="1" t="n">
        <v>46145</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10770-2024</t>
        </is>
      </c>
      <c r="B2320" s="1" t="n">
        <v>45369</v>
      </c>
      <c r="C2320" s="1" t="n">
        <v>46145</v>
      </c>
      <c r="D2320" t="inlineStr">
        <is>
          <t>VÄSTERBOTTENS LÄN</t>
        </is>
      </c>
      <c r="E2320" t="inlineStr">
        <is>
          <t>ÅSELE</t>
        </is>
      </c>
      <c r="F2320" t="inlineStr">
        <is>
          <t>Holmen skog AB</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21412-2024</t>
        </is>
      </c>
      <c r="B2321" s="1" t="n">
        <v>45441</v>
      </c>
      <c r="C2321" s="1" t="n">
        <v>46145</v>
      </c>
      <c r="D2321" t="inlineStr">
        <is>
          <t>VÄSTERBOTTENS LÄN</t>
        </is>
      </c>
      <c r="E2321" t="inlineStr">
        <is>
          <t>STORUMAN</t>
        </is>
      </c>
      <c r="F2321" t="inlineStr">
        <is>
          <t>Allmännings- och besparingsskogar</t>
        </is>
      </c>
      <c r="G2321" t="n">
        <v>34.6</v>
      </c>
      <c r="H2321" t="n">
        <v>0</v>
      </c>
      <c r="I2321" t="n">
        <v>0</v>
      </c>
      <c r="J2321" t="n">
        <v>0</v>
      </c>
      <c r="K2321" t="n">
        <v>0</v>
      </c>
      <c r="L2321" t="n">
        <v>0</v>
      </c>
      <c r="M2321" t="n">
        <v>0</v>
      </c>
      <c r="N2321" t="n">
        <v>0</v>
      </c>
      <c r="O2321" t="n">
        <v>0</v>
      </c>
      <c r="P2321" t="n">
        <v>0</v>
      </c>
      <c r="Q2321" t="n">
        <v>0</v>
      </c>
      <c r="R2321" s="2" t="inlineStr"/>
    </row>
    <row r="2322" ht="15" customHeight="1">
      <c r="A2322" t="inlineStr">
        <is>
          <t>A 9425-2024</t>
        </is>
      </c>
      <c r="B2322" s="1" t="n">
        <v>45359</v>
      </c>
      <c r="C2322" s="1" t="n">
        <v>46145</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20453-2025</t>
        </is>
      </c>
      <c r="B2323" s="1" t="n">
        <v>45775.50346064815</v>
      </c>
      <c r="C2323" s="1" t="n">
        <v>46145</v>
      </c>
      <c r="D2323" t="inlineStr">
        <is>
          <t>VÄSTERBOTTENS LÄN</t>
        </is>
      </c>
      <c r="E2323" t="inlineStr">
        <is>
          <t>SORSELE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5955-2024</t>
        </is>
      </c>
      <c r="B2324" s="1" t="n">
        <v>45336.44858796296</v>
      </c>
      <c r="C2324" s="1" t="n">
        <v>46145</v>
      </c>
      <c r="D2324" t="inlineStr">
        <is>
          <t>VÄSTERBOTTENS LÄN</t>
        </is>
      </c>
      <c r="E2324" t="inlineStr">
        <is>
          <t>ÅSELE</t>
        </is>
      </c>
      <c r="F2324" t="inlineStr">
        <is>
          <t>Naturvårdsverket</t>
        </is>
      </c>
      <c r="G2324" t="n">
        <v>22.6</v>
      </c>
      <c r="H2324" t="n">
        <v>0</v>
      </c>
      <c r="I2324" t="n">
        <v>0</v>
      </c>
      <c r="J2324" t="n">
        <v>0</v>
      </c>
      <c r="K2324" t="n">
        <v>0</v>
      </c>
      <c r="L2324" t="n">
        <v>0</v>
      </c>
      <c r="M2324" t="n">
        <v>0</v>
      </c>
      <c r="N2324" t="n">
        <v>0</v>
      </c>
      <c r="O2324" t="n">
        <v>0</v>
      </c>
      <c r="P2324" t="n">
        <v>0</v>
      </c>
      <c r="Q2324" t="n">
        <v>0</v>
      </c>
      <c r="R2324" s="2" t="inlineStr"/>
    </row>
    <row r="2325" ht="15" customHeight="1">
      <c r="A2325" t="inlineStr">
        <is>
          <t>A 17889-2024</t>
        </is>
      </c>
      <c r="B2325" s="1" t="n">
        <v>45419.47402777777</v>
      </c>
      <c r="C2325" s="1" t="n">
        <v>46145</v>
      </c>
      <c r="D2325" t="inlineStr">
        <is>
          <t>VÄSTERBOTTENS LÄN</t>
        </is>
      </c>
      <c r="E2325" t="inlineStr">
        <is>
          <t>NORDMALING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20723-2024</t>
        </is>
      </c>
      <c r="B2326" s="1" t="n">
        <v>45436.65041666666</v>
      </c>
      <c r="C2326" s="1" t="n">
        <v>46145</v>
      </c>
      <c r="D2326" t="inlineStr">
        <is>
          <t>VÄSTERBOTTENS LÄN</t>
        </is>
      </c>
      <c r="E2326" t="inlineStr">
        <is>
          <t>SKELLEFTEÅ</t>
        </is>
      </c>
      <c r="F2326" t="inlineStr">
        <is>
          <t>Holmen skog AB</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46119-2022</t>
        </is>
      </c>
      <c r="B2327" s="1" t="n">
        <v>44847</v>
      </c>
      <c r="C2327" s="1" t="n">
        <v>46145</v>
      </c>
      <c r="D2327" t="inlineStr">
        <is>
          <t>VÄSTERBOTTENS LÄN</t>
        </is>
      </c>
      <c r="E2327" t="inlineStr">
        <is>
          <t>VILHELMINA</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46121-2022</t>
        </is>
      </c>
      <c r="B2328" s="1" t="n">
        <v>44847</v>
      </c>
      <c r="C2328" s="1" t="n">
        <v>46145</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38493-2024</t>
        </is>
      </c>
      <c r="B2329" s="1" t="n">
        <v>45546</v>
      </c>
      <c r="C2329" s="1" t="n">
        <v>46145</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20769-2024</t>
        </is>
      </c>
      <c r="B2330" s="1" t="n">
        <v>45436.94604166667</v>
      </c>
      <c r="C2330" s="1" t="n">
        <v>46145</v>
      </c>
      <c r="D2330" t="inlineStr">
        <is>
          <t>VÄSTERBOTTENS LÄN</t>
        </is>
      </c>
      <c r="E2330" t="inlineStr">
        <is>
          <t>VILHELMINA</t>
        </is>
      </c>
      <c r="F2330" t="inlineStr">
        <is>
          <t>SCA</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40828-2021</t>
        </is>
      </c>
      <c r="B2331" s="1" t="n">
        <v>44421.39377314815</v>
      </c>
      <c r="C2331" s="1" t="n">
        <v>46145</v>
      </c>
      <c r="D2331" t="inlineStr">
        <is>
          <t>VÄSTERBOTTENS LÄN</t>
        </is>
      </c>
      <c r="E2331" t="inlineStr">
        <is>
          <t>SKELLEFTEÅ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33841-2021</t>
        </is>
      </c>
      <c r="B2332" s="1" t="n">
        <v>44378</v>
      </c>
      <c r="C2332" s="1" t="n">
        <v>46145</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49599-2022</t>
        </is>
      </c>
      <c r="B2333" s="1" t="n">
        <v>44859</v>
      </c>
      <c r="C2333" s="1" t="n">
        <v>46145</v>
      </c>
      <c r="D2333" t="inlineStr">
        <is>
          <t>VÄSTERBOTTENS LÄN</t>
        </is>
      </c>
      <c r="E2333" t="inlineStr">
        <is>
          <t>VILHELMINA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23261-2021</t>
        </is>
      </c>
      <c r="B2334" s="1" t="n">
        <v>44330</v>
      </c>
      <c r="C2334" s="1" t="n">
        <v>46145</v>
      </c>
      <c r="D2334" t="inlineStr">
        <is>
          <t>VÄSTERBOTTENS LÄN</t>
        </is>
      </c>
      <c r="E2334" t="inlineStr">
        <is>
          <t>VILHELMINA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53753-2022</t>
        </is>
      </c>
      <c r="B2335" s="1" t="n">
        <v>44872</v>
      </c>
      <c r="C2335" s="1" t="n">
        <v>46145</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17632-2024</t>
        </is>
      </c>
      <c r="B2336" s="1" t="n">
        <v>45418</v>
      </c>
      <c r="C2336" s="1" t="n">
        <v>46145</v>
      </c>
      <c r="D2336" t="inlineStr">
        <is>
          <t>VÄSTERBOTTENS LÄN</t>
        </is>
      </c>
      <c r="E2336" t="inlineStr">
        <is>
          <t>UMEÅ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13011-2025</t>
        </is>
      </c>
      <c r="B2337" s="1" t="n">
        <v>45734.53167824074</v>
      </c>
      <c r="C2337" s="1" t="n">
        <v>46145</v>
      </c>
      <c r="D2337" t="inlineStr">
        <is>
          <t>VÄSTERBOTTENS LÄN</t>
        </is>
      </c>
      <c r="E2337" t="inlineStr">
        <is>
          <t>ÅSELE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8727-2024</t>
        </is>
      </c>
      <c r="B2338" s="1" t="n">
        <v>45356.42712962963</v>
      </c>
      <c r="C2338" s="1" t="n">
        <v>46145</v>
      </c>
      <c r="D2338" t="inlineStr">
        <is>
          <t>VÄSTERBOTTENS LÄN</t>
        </is>
      </c>
      <c r="E2338" t="inlineStr">
        <is>
          <t>LYCKSELE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55198-2022</t>
        </is>
      </c>
      <c r="B2339" s="1" t="n">
        <v>44886.93724537037</v>
      </c>
      <c r="C2339" s="1" t="n">
        <v>46145</v>
      </c>
      <c r="D2339" t="inlineStr">
        <is>
          <t>VÄSTERBOTTENS LÄN</t>
        </is>
      </c>
      <c r="E2339" t="inlineStr">
        <is>
          <t>NORDMALING</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47039-2021</t>
        </is>
      </c>
      <c r="B2340" s="1" t="n">
        <v>44446</v>
      </c>
      <c r="C2340" s="1" t="n">
        <v>46145</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15050-2024</t>
        </is>
      </c>
      <c r="B2341" s="1" t="n">
        <v>45399</v>
      </c>
      <c r="C2341" s="1" t="n">
        <v>46145</v>
      </c>
      <c r="D2341" t="inlineStr">
        <is>
          <t>VÄSTERBOTTENS LÄN</t>
        </is>
      </c>
      <c r="E2341" t="inlineStr">
        <is>
          <t>VILHELMINA</t>
        </is>
      </c>
      <c r="F2341" t="inlineStr">
        <is>
          <t>SCA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15057-2024</t>
        </is>
      </c>
      <c r="B2342" s="1" t="n">
        <v>45399</v>
      </c>
      <c r="C2342" s="1" t="n">
        <v>46145</v>
      </c>
      <c r="D2342" t="inlineStr">
        <is>
          <t>VÄSTERBOTTENS LÄN</t>
        </is>
      </c>
      <c r="E2342" t="inlineStr">
        <is>
          <t>DOROTEA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15059-2024</t>
        </is>
      </c>
      <c r="B2343" s="1" t="n">
        <v>45399</v>
      </c>
      <c r="C2343" s="1" t="n">
        <v>46145</v>
      </c>
      <c r="D2343" t="inlineStr">
        <is>
          <t>VÄSTERBOTTENS LÄN</t>
        </is>
      </c>
      <c r="E2343" t="inlineStr">
        <is>
          <t>VILHELMINA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19313-2024</t>
        </is>
      </c>
      <c r="B2344" s="1" t="n">
        <v>45428</v>
      </c>
      <c r="C2344" s="1" t="n">
        <v>46145</v>
      </c>
      <c r="D2344" t="inlineStr">
        <is>
          <t>VÄSTERBOTTENS LÄN</t>
        </is>
      </c>
      <c r="E2344" t="inlineStr">
        <is>
          <t>NORSJÖ</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19330-2024</t>
        </is>
      </c>
      <c r="B2345" s="1" t="n">
        <v>45428</v>
      </c>
      <c r="C2345" s="1" t="n">
        <v>46145</v>
      </c>
      <c r="D2345" t="inlineStr">
        <is>
          <t>VÄSTERBOTTENS LÄN</t>
        </is>
      </c>
      <c r="E2345" t="inlineStr">
        <is>
          <t>ÅSELE</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13830-2024</t>
        </is>
      </c>
      <c r="B2346" s="1" t="n">
        <v>45390</v>
      </c>
      <c r="C2346" s="1" t="n">
        <v>46145</v>
      </c>
      <c r="D2346" t="inlineStr">
        <is>
          <t>VÄSTERBOTTENS LÄN</t>
        </is>
      </c>
      <c r="E2346" t="inlineStr">
        <is>
          <t>VINDELN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7229-2025</t>
        </is>
      </c>
      <c r="B2347" s="1" t="n">
        <v>45702</v>
      </c>
      <c r="C2347" s="1" t="n">
        <v>46145</v>
      </c>
      <c r="D2347" t="inlineStr">
        <is>
          <t>VÄSTERBOTTENS LÄN</t>
        </is>
      </c>
      <c r="E2347" t="inlineStr">
        <is>
          <t>STORUMAN</t>
        </is>
      </c>
      <c r="G2347" t="n">
        <v>15.2</v>
      </c>
      <c r="H2347" t="n">
        <v>0</v>
      </c>
      <c r="I2347" t="n">
        <v>0</v>
      </c>
      <c r="J2347" t="n">
        <v>0</v>
      </c>
      <c r="K2347" t="n">
        <v>0</v>
      </c>
      <c r="L2347" t="n">
        <v>0</v>
      </c>
      <c r="M2347" t="n">
        <v>0</v>
      </c>
      <c r="N2347" t="n">
        <v>0</v>
      </c>
      <c r="O2347" t="n">
        <v>0</v>
      </c>
      <c r="P2347" t="n">
        <v>0</v>
      </c>
      <c r="Q2347" t="n">
        <v>0</v>
      </c>
      <c r="R2347" s="2" t="inlineStr"/>
    </row>
    <row r="2348" ht="15" customHeight="1">
      <c r="A2348" t="inlineStr">
        <is>
          <t>A 38026-2021</t>
        </is>
      </c>
      <c r="B2348" s="1" t="n">
        <v>44404</v>
      </c>
      <c r="C2348" s="1" t="n">
        <v>46145</v>
      </c>
      <c r="D2348" t="inlineStr">
        <is>
          <t>VÄSTERBOTTENS LÄN</t>
        </is>
      </c>
      <c r="E2348" t="inlineStr">
        <is>
          <t>SKELLEFTEÅ</t>
        </is>
      </c>
      <c r="F2348" t="inlineStr">
        <is>
          <t>Holmen skog AB</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13035-2024</t>
        </is>
      </c>
      <c r="B2349" s="1" t="n">
        <v>45385</v>
      </c>
      <c r="C2349" s="1" t="n">
        <v>46145</v>
      </c>
      <c r="D2349" t="inlineStr">
        <is>
          <t>VÄSTERBOTTENS LÄN</t>
        </is>
      </c>
      <c r="E2349" t="inlineStr">
        <is>
          <t>DOROTEA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46071-2022</t>
        </is>
      </c>
      <c r="B2350" s="1" t="n">
        <v>44847</v>
      </c>
      <c r="C2350" s="1" t="n">
        <v>46145</v>
      </c>
      <c r="D2350" t="inlineStr">
        <is>
          <t>VÄSTERBOTTENS LÄN</t>
        </is>
      </c>
      <c r="E2350" t="inlineStr">
        <is>
          <t>VILHELMINA</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16183-2025</t>
        </is>
      </c>
      <c r="B2351" s="1" t="n">
        <v>45750.57883101852</v>
      </c>
      <c r="C2351" s="1" t="n">
        <v>46145</v>
      </c>
      <c r="D2351" t="inlineStr">
        <is>
          <t>VÄSTERBOTTENS LÄN</t>
        </is>
      </c>
      <c r="E2351" t="inlineStr">
        <is>
          <t>LYCKSELE</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64761-2021</t>
        </is>
      </c>
      <c r="B2352" s="1" t="n">
        <v>44511</v>
      </c>
      <c r="C2352" s="1" t="n">
        <v>46145</v>
      </c>
      <c r="D2352" t="inlineStr">
        <is>
          <t>VÄSTERBOTTENS LÄN</t>
        </is>
      </c>
      <c r="E2352" t="inlineStr">
        <is>
          <t>SKELLEFTEÅ</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17996-2024</t>
        </is>
      </c>
      <c r="B2353" s="1" t="n">
        <v>45419</v>
      </c>
      <c r="C2353" s="1" t="n">
        <v>46145</v>
      </c>
      <c r="D2353" t="inlineStr">
        <is>
          <t>VÄSTERBOTTENS LÄN</t>
        </is>
      </c>
      <c r="E2353" t="inlineStr">
        <is>
          <t>VILHELMINA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19931-2024</t>
        </is>
      </c>
      <c r="B2354" s="1" t="n">
        <v>45433.59936342593</v>
      </c>
      <c r="C2354" s="1" t="n">
        <v>46145</v>
      </c>
      <c r="D2354" t="inlineStr">
        <is>
          <t>VÄSTERBOTTENS LÄN</t>
        </is>
      </c>
      <c r="E2354" t="inlineStr">
        <is>
          <t>VINDELN</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39431-2021</t>
        </is>
      </c>
      <c r="B2355" s="1" t="n">
        <v>44414.52152777778</v>
      </c>
      <c r="C2355" s="1" t="n">
        <v>46145</v>
      </c>
      <c r="D2355" t="inlineStr">
        <is>
          <t>VÄSTERBOTTENS LÄN</t>
        </is>
      </c>
      <c r="E2355" t="inlineStr">
        <is>
          <t>BJURHOLM</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14414-2024</t>
        </is>
      </c>
      <c r="B2356" s="1" t="n">
        <v>45393</v>
      </c>
      <c r="C2356" s="1" t="n">
        <v>46145</v>
      </c>
      <c r="D2356" t="inlineStr">
        <is>
          <t>VÄSTERBOTTENS LÄN</t>
        </is>
      </c>
      <c r="E2356" t="inlineStr">
        <is>
          <t>BJURHOLM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14888-2024</t>
        </is>
      </c>
      <c r="B2357" s="1" t="n">
        <v>45398</v>
      </c>
      <c r="C2357" s="1" t="n">
        <v>46145</v>
      </c>
      <c r="D2357" t="inlineStr">
        <is>
          <t>VÄSTERBOTTENS LÄN</t>
        </is>
      </c>
      <c r="E2357" t="inlineStr">
        <is>
          <t>BJURHOLM</t>
        </is>
      </c>
      <c r="F2357" t="inlineStr">
        <is>
          <t>Holmen skog AB</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14438-2024</t>
        </is>
      </c>
      <c r="B2358" s="1" t="n">
        <v>45394</v>
      </c>
      <c r="C2358" s="1" t="n">
        <v>46145</v>
      </c>
      <c r="D2358" t="inlineStr">
        <is>
          <t>VÄSTERBOTTENS LÄN</t>
        </is>
      </c>
      <c r="E2358" t="inlineStr">
        <is>
          <t>BJURHOLM</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14443-2024</t>
        </is>
      </c>
      <c r="B2359" s="1" t="n">
        <v>45394</v>
      </c>
      <c r="C2359" s="1" t="n">
        <v>46145</v>
      </c>
      <c r="D2359" t="inlineStr">
        <is>
          <t>VÄSTERBOTTENS LÄN</t>
        </is>
      </c>
      <c r="E2359" t="inlineStr">
        <is>
          <t>BJURHOLM</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11076-2024</t>
        </is>
      </c>
      <c r="B2360" s="1" t="n">
        <v>45370</v>
      </c>
      <c r="C2360" s="1" t="n">
        <v>46145</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12759-2024</t>
        </is>
      </c>
      <c r="B2361" s="1" t="n">
        <v>45384</v>
      </c>
      <c r="C2361" s="1" t="n">
        <v>46145</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58240-2023</t>
        </is>
      </c>
      <c r="B2362" s="1" t="n">
        <v>45250.47113425926</v>
      </c>
      <c r="C2362" s="1" t="n">
        <v>46145</v>
      </c>
      <c r="D2362" t="inlineStr">
        <is>
          <t>VÄSTERBOTTENS LÄN</t>
        </is>
      </c>
      <c r="E2362" t="inlineStr">
        <is>
          <t>ROBERTSFORS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11626-2024</t>
        </is>
      </c>
      <c r="B2363" s="1" t="n">
        <v>45373</v>
      </c>
      <c r="C2363" s="1" t="n">
        <v>46145</v>
      </c>
      <c r="D2363" t="inlineStr">
        <is>
          <t>VÄSTERBOTTENS LÄN</t>
        </is>
      </c>
      <c r="E2363" t="inlineStr">
        <is>
          <t>LYCKSELE</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48516-2023</t>
        </is>
      </c>
      <c r="B2364" s="1" t="n">
        <v>45208.32671296296</v>
      </c>
      <c r="C2364" s="1" t="n">
        <v>46145</v>
      </c>
      <c r="D2364" t="inlineStr">
        <is>
          <t>VÄSTERBOTTENS LÄN</t>
        </is>
      </c>
      <c r="E2364" t="inlineStr">
        <is>
          <t>SKELLEFTEÅ</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36082-2022</t>
        </is>
      </c>
      <c r="B2365" s="1" t="n">
        <v>44802</v>
      </c>
      <c r="C2365" s="1" t="n">
        <v>46145</v>
      </c>
      <c r="D2365" t="inlineStr">
        <is>
          <t>VÄSTERBOTTENS LÄN</t>
        </is>
      </c>
      <c r="E2365" t="inlineStr">
        <is>
          <t>VILHELMINA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19061-2024</t>
        </is>
      </c>
      <c r="B2366" s="1" t="n">
        <v>45427.93501157407</v>
      </c>
      <c r="C2366" s="1" t="n">
        <v>46145</v>
      </c>
      <c r="D2366" t="inlineStr">
        <is>
          <t>VÄSTERBOTTENS LÄN</t>
        </is>
      </c>
      <c r="E2366" t="inlineStr">
        <is>
          <t>UMEÅ</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46413-2022</t>
        </is>
      </c>
      <c r="B2367" s="1" t="n">
        <v>44846</v>
      </c>
      <c r="C2367" s="1" t="n">
        <v>46145</v>
      </c>
      <c r="D2367" t="inlineStr">
        <is>
          <t>VÄSTERBOTTENS LÄN</t>
        </is>
      </c>
      <c r="E2367" t="inlineStr">
        <is>
          <t>UMEÅ</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46434-2022</t>
        </is>
      </c>
      <c r="B2368" s="1" t="n">
        <v>44846</v>
      </c>
      <c r="C2368" s="1" t="n">
        <v>46145</v>
      </c>
      <c r="D2368" t="inlineStr">
        <is>
          <t>VÄSTERBOTTENS LÄN</t>
        </is>
      </c>
      <c r="E2368" t="inlineStr">
        <is>
          <t>VÄNNÄS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22755-2024</t>
        </is>
      </c>
      <c r="B2369" s="1" t="n">
        <v>45448.42561342593</v>
      </c>
      <c r="C2369" s="1" t="n">
        <v>46145</v>
      </c>
      <c r="D2369" t="inlineStr">
        <is>
          <t>VÄSTERBOTTENS LÄN</t>
        </is>
      </c>
      <c r="E2369" t="inlineStr">
        <is>
          <t>UMEÅ</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14297-2025</t>
        </is>
      </c>
      <c r="B2370" s="1" t="n">
        <v>45740.68304398148</v>
      </c>
      <c r="C2370" s="1" t="n">
        <v>46145</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14305-2025</t>
        </is>
      </c>
      <c r="B2371" s="1" t="n">
        <v>45740.69831018519</v>
      </c>
      <c r="C2371" s="1" t="n">
        <v>46145</v>
      </c>
      <c r="D2371" t="inlineStr">
        <is>
          <t>VÄSTERBOTTENS LÄN</t>
        </is>
      </c>
      <c r="E2371" t="inlineStr">
        <is>
          <t>MALÅ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23180-2024</t>
        </is>
      </c>
      <c r="B2372" s="1" t="n">
        <v>45450.9444212963</v>
      </c>
      <c r="C2372" s="1" t="n">
        <v>46145</v>
      </c>
      <c r="D2372" t="inlineStr">
        <is>
          <t>VÄSTERBOTTENS LÄN</t>
        </is>
      </c>
      <c r="E2372" t="inlineStr">
        <is>
          <t>VILHELMINA</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1013-2023</t>
        </is>
      </c>
      <c r="B2373" s="1" t="n">
        <v>44935.45384259259</v>
      </c>
      <c r="C2373" s="1" t="n">
        <v>46145</v>
      </c>
      <c r="D2373" t="inlineStr">
        <is>
          <t>VÄSTERBOTTENS LÄN</t>
        </is>
      </c>
      <c r="E2373" t="inlineStr">
        <is>
          <t>SORSELE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51664-2023</t>
        </is>
      </c>
      <c r="B2374" s="1" t="n">
        <v>45215</v>
      </c>
      <c r="C2374" s="1" t="n">
        <v>46145</v>
      </c>
      <c r="D2374" t="inlineStr">
        <is>
          <t>VÄSTERBOTTENS LÄN</t>
        </is>
      </c>
      <c r="E2374" t="inlineStr">
        <is>
          <t>SKELLEFTEÅ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23184-2024</t>
        </is>
      </c>
      <c r="B2375" s="1" t="n">
        <v>45450.94480324074</v>
      </c>
      <c r="C2375" s="1" t="n">
        <v>46145</v>
      </c>
      <c r="D2375" t="inlineStr">
        <is>
          <t>VÄSTERBOTTENS LÄN</t>
        </is>
      </c>
      <c r="E2375" t="inlineStr">
        <is>
          <t>BJURHOLM</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53083-2022</t>
        </is>
      </c>
      <c r="B2376" s="1" t="n">
        <v>44876</v>
      </c>
      <c r="C2376" s="1" t="n">
        <v>46145</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17957-2024</t>
        </is>
      </c>
      <c r="B2377" s="1" t="n">
        <v>45419</v>
      </c>
      <c r="C2377" s="1" t="n">
        <v>46145</v>
      </c>
      <c r="D2377" t="inlineStr">
        <is>
          <t>VÄSTERBOTTENS LÄN</t>
        </is>
      </c>
      <c r="E2377" t="inlineStr">
        <is>
          <t>STORUMAN</t>
        </is>
      </c>
      <c r="F2377" t="inlineStr">
        <is>
          <t>Allmännings- och besparingsskogar</t>
        </is>
      </c>
      <c r="G2377" t="n">
        <v>16.8</v>
      </c>
      <c r="H2377" t="n">
        <v>0</v>
      </c>
      <c r="I2377" t="n">
        <v>0</v>
      </c>
      <c r="J2377" t="n">
        <v>0</v>
      </c>
      <c r="K2377" t="n">
        <v>0</v>
      </c>
      <c r="L2377" t="n">
        <v>0</v>
      </c>
      <c r="M2377" t="n">
        <v>0</v>
      </c>
      <c r="N2377" t="n">
        <v>0</v>
      </c>
      <c r="O2377" t="n">
        <v>0</v>
      </c>
      <c r="P2377" t="n">
        <v>0</v>
      </c>
      <c r="Q2377" t="n">
        <v>0</v>
      </c>
      <c r="R2377" s="2" t="inlineStr"/>
    </row>
    <row r="2378" ht="15" customHeight="1">
      <c r="A2378" t="inlineStr">
        <is>
          <t>A 28666-2021</t>
        </is>
      </c>
      <c r="B2378" s="1" t="n">
        <v>44357</v>
      </c>
      <c r="C2378" s="1" t="n">
        <v>46145</v>
      </c>
      <c r="D2378" t="inlineStr">
        <is>
          <t>VÄSTERBOTTENS LÄN</t>
        </is>
      </c>
      <c r="E2378" t="inlineStr">
        <is>
          <t>SKELLEFTEÅ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24810-2024</t>
        </is>
      </c>
      <c r="B2379" s="1" t="n">
        <v>45460.95396990741</v>
      </c>
      <c r="C2379" s="1" t="n">
        <v>46145</v>
      </c>
      <c r="D2379" t="inlineStr">
        <is>
          <t>VÄSTERBOTTENS LÄN</t>
        </is>
      </c>
      <c r="E2379" t="inlineStr">
        <is>
          <t>LYCKSELE</t>
        </is>
      </c>
      <c r="F2379" t="inlineStr">
        <is>
          <t>SCA</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58440-2022</t>
        </is>
      </c>
      <c r="B2380" s="1" t="n">
        <v>44901</v>
      </c>
      <c r="C2380" s="1" t="n">
        <v>46145</v>
      </c>
      <c r="D2380" t="inlineStr">
        <is>
          <t>VÄSTERBOTTENS LÄN</t>
        </is>
      </c>
      <c r="E2380" t="inlineStr">
        <is>
          <t>LYCKSELE</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23435-2024</t>
        </is>
      </c>
      <c r="B2381" s="1" t="n">
        <v>45453</v>
      </c>
      <c r="C2381" s="1" t="n">
        <v>46145</v>
      </c>
      <c r="D2381" t="inlineStr">
        <is>
          <t>VÄSTERBOTTENS LÄN</t>
        </is>
      </c>
      <c r="E2381" t="inlineStr">
        <is>
          <t>VINDELN</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23438-2024</t>
        </is>
      </c>
      <c r="B2382" s="1" t="n">
        <v>45453.63103009259</v>
      </c>
      <c r="C2382" s="1" t="n">
        <v>46145</v>
      </c>
      <c r="D2382" t="inlineStr">
        <is>
          <t>VÄSTERBOTTENS LÄN</t>
        </is>
      </c>
      <c r="E2382" t="inlineStr">
        <is>
          <t>VINDELN</t>
        </is>
      </c>
      <c r="F2382" t="inlineStr">
        <is>
          <t>Sveaskog</t>
        </is>
      </c>
      <c r="G2382" t="n">
        <v>36.8</v>
      </c>
      <c r="H2382" t="n">
        <v>0</v>
      </c>
      <c r="I2382" t="n">
        <v>0</v>
      </c>
      <c r="J2382" t="n">
        <v>0</v>
      </c>
      <c r="K2382" t="n">
        <v>0</v>
      </c>
      <c r="L2382" t="n">
        <v>0</v>
      </c>
      <c r="M2382" t="n">
        <v>0</v>
      </c>
      <c r="N2382" t="n">
        <v>0</v>
      </c>
      <c r="O2382" t="n">
        <v>0</v>
      </c>
      <c r="P2382" t="n">
        <v>0</v>
      </c>
      <c r="Q2382" t="n">
        <v>0</v>
      </c>
      <c r="R2382" s="2" t="inlineStr"/>
    </row>
    <row r="2383" ht="15" customHeight="1">
      <c r="A2383" t="inlineStr">
        <is>
          <t>A 56674-2021</t>
        </is>
      </c>
      <c r="B2383" s="1" t="n">
        <v>44480</v>
      </c>
      <c r="C2383" s="1" t="n">
        <v>46145</v>
      </c>
      <c r="D2383" t="inlineStr">
        <is>
          <t>VÄSTERBOTTENS LÄN</t>
        </is>
      </c>
      <c r="E2383" t="inlineStr">
        <is>
          <t>NORDMALING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56676-2021</t>
        </is>
      </c>
      <c r="B2384" s="1" t="n">
        <v>44481.32383101852</v>
      </c>
      <c r="C2384" s="1" t="n">
        <v>46145</v>
      </c>
      <c r="D2384" t="inlineStr">
        <is>
          <t>VÄSTERBOTTENS LÄN</t>
        </is>
      </c>
      <c r="E2384" t="inlineStr">
        <is>
          <t>UMEÅ</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23445-2024</t>
        </is>
      </c>
      <c r="B2385" s="1" t="n">
        <v>45453</v>
      </c>
      <c r="C2385" s="1" t="n">
        <v>46145</v>
      </c>
      <c r="D2385" t="inlineStr">
        <is>
          <t>VÄSTERBOTTENS LÄN</t>
        </is>
      </c>
      <c r="E2385" t="inlineStr">
        <is>
          <t>SKELLEFTEÅ</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17683-2025</t>
        </is>
      </c>
      <c r="B2386" s="1" t="n">
        <v>45758.3859375</v>
      </c>
      <c r="C2386" s="1" t="n">
        <v>46145</v>
      </c>
      <c r="D2386" t="inlineStr">
        <is>
          <t>VÄSTERBOTTENS LÄN</t>
        </is>
      </c>
      <c r="E2386" t="inlineStr">
        <is>
          <t>ÅSELE</t>
        </is>
      </c>
      <c r="F2386" t="inlineStr">
        <is>
          <t>SCA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14504-2024</t>
        </is>
      </c>
      <c r="B2387" s="1" t="n">
        <v>45394</v>
      </c>
      <c r="C2387" s="1" t="n">
        <v>46145</v>
      </c>
      <c r="D2387" t="inlineStr">
        <is>
          <t>VÄSTERBOTTENS LÄN</t>
        </is>
      </c>
      <c r="E2387" t="inlineStr">
        <is>
          <t>MALÅ</t>
        </is>
      </c>
      <c r="F2387" t="inlineStr">
        <is>
          <t>Sveaskog</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51981-2021</t>
        </is>
      </c>
      <c r="B2388" s="1" t="n">
        <v>44462</v>
      </c>
      <c r="C2388" s="1" t="n">
        <v>46145</v>
      </c>
      <c r="D2388" t="inlineStr">
        <is>
          <t>VÄSTERBOTTENS LÄN</t>
        </is>
      </c>
      <c r="E2388" t="inlineStr">
        <is>
          <t>STORUMAN</t>
        </is>
      </c>
      <c r="G2388" t="n">
        <v>20.9</v>
      </c>
      <c r="H2388" t="n">
        <v>0</v>
      </c>
      <c r="I2388" t="n">
        <v>0</v>
      </c>
      <c r="J2388" t="n">
        <v>0</v>
      </c>
      <c r="K2388" t="n">
        <v>0</v>
      </c>
      <c r="L2388" t="n">
        <v>0</v>
      </c>
      <c r="M2388" t="n">
        <v>0</v>
      </c>
      <c r="N2388" t="n">
        <v>0</v>
      </c>
      <c r="O2388" t="n">
        <v>0</v>
      </c>
      <c r="P2388" t="n">
        <v>0</v>
      </c>
      <c r="Q2388" t="n">
        <v>0</v>
      </c>
      <c r="R2388" s="2" t="inlineStr"/>
    </row>
    <row r="2389" ht="15" customHeight="1">
      <c r="A2389" t="inlineStr">
        <is>
          <t>A 55722-2023</t>
        </is>
      </c>
      <c r="B2389" s="1" t="n">
        <v>45232</v>
      </c>
      <c r="C2389" s="1" t="n">
        <v>46145</v>
      </c>
      <c r="D2389" t="inlineStr">
        <is>
          <t>VÄSTERBOTTENS LÄN</t>
        </is>
      </c>
      <c r="E2389" t="inlineStr">
        <is>
          <t>VILHELMINA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34830-2021</t>
        </is>
      </c>
      <c r="B2390" s="1" t="n">
        <v>44383.37496527778</v>
      </c>
      <c r="C2390" s="1" t="n">
        <v>46145</v>
      </c>
      <c r="D2390" t="inlineStr">
        <is>
          <t>VÄSTERBOTTENS LÄN</t>
        </is>
      </c>
      <c r="E2390" t="inlineStr">
        <is>
          <t>VINDELN</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30715-2022</t>
        </is>
      </c>
      <c r="B2391" s="1" t="n">
        <v>44763</v>
      </c>
      <c r="C2391" s="1" t="n">
        <v>46145</v>
      </c>
      <c r="D2391" t="inlineStr">
        <is>
          <t>VÄSTERBOTTENS LÄN</t>
        </is>
      </c>
      <c r="E2391" t="inlineStr">
        <is>
          <t>NORDMALING</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4102-2023</t>
        </is>
      </c>
      <c r="B2392" s="1" t="n">
        <v>44952</v>
      </c>
      <c r="C2392" s="1" t="n">
        <v>46145</v>
      </c>
      <c r="D2392" t="inlineStr">
        <is>
          <t>VÄSTERBOTTENS LÄN</t>
        </is>
      </c>
      <c r="E2392" t="inlineStr">
        <is>
          <t>SKELLEFTEÅ</t>
        </is>
      </c>
      <c r="F2392" t="inlineStr">
        <is>
          <t>Sveaskog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14512-2024</t>
        </is>
      </c>
      <c r="B2393" s="1" t="n">
        <v>45394</v>
      </c>
      <c r="C2393" s="1" t="n">
        <v>46145</v>
      </c>
      <c r="D2393" t="inlineStr">
        <is>
          <t>VÄSTERBOTTENS LÄN</t>
        </is>
      </c>
      <c r="E2393" t="inlineStr">
        <is>
          <t>MALÅ</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47399-2022</t>
        </is>
      </c>
      <c r="B2394" s="1" t="n">
        <v>44853</v>
      </c>
      <c r="C2394" s="1" t="n">
        <v>46145</v>
      </c>
      <c r="D2394" t="inlineStr">
        <is>
          <t>VÄSTERBOTTENS LÄN</t>
        </is>
      </c>
      <c r="E2394" t="inlineStr">
        <is>
          <t>NORSJÖ</t>
        </is>
      </c>
      <c r="F2394" t="inlineStr">
        <is>
          <t>Holmen skog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34900-2021</t>
        </is>
      </c>
      <c r="B2395" s="1" t="n">
        <v>44383.50582175926</v>
      </c>
      <c r="C2395" s="1" t="n">
        <v>46145</v>
      </c>
      <c r="D2395" t="inlineStr">
        <is>
          <t>VÄSTERBOTTENS LÄN</t>
        </is>
      </c>
      <c r="E2395" t="inlineStr">
        <is>
          <t>NORSJÖ</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61281-2022</t>
        </is>
      </c>
      <c r="B2396" s="1" t="n">
        <v>44909</v>
      </c>
      <c r="C2396" s="1" t="n">
        <v>46145</v>
      </c>
      <c r="D2396" t="inlineStr">
        <is>
          <t>VÄSTERBOTTENS LÄN</t>
        </is>
      </c>
      <c r="E2396" t="inlineStr">
        <is>
          <t>LYCKSELE</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24604-2024</t>
        </is>
      </c>
      <c r="B2397" s="1" t="n">
        <v>45460</v>
      </c>
      <c r="C2397" s="1" t="n">
        <v>46145</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16327-2024</t>
        </is>
      </c>
      <c r="B2398" s="1" t="n">
        <v>45407.51649305555</v>
      </c>
      <c r="C2398" s="1" t="n">
        <v>46145</v>
      </c>
      <c r="D2398" t="inlineStr">
        <is>
          <t>VÄSTERBOTTENS LÄN</t>
        </is>
      </c>
      <c r="E2398" t="inlineStr">
        <is>
          <t>BJURHOLM</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52460-2023</t>
        </is>
      </c>
      <c r="B2399" s="1" t="n">
        <v>45225.40269675926</v>
      </c>
      <c r="C2399" s="1" t="n">
        <v>46145</v>
      </c>
      <c r="D2399" t="inlineStr">
        <is>
          <t>VÄSTERBOTTENS LÄN</t>
        </is>
      </c>
      <c r="E2399" t="inlineStr">
        <is>
          <t>VINDELN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1256-2024</t>
        </is>
      </c>
      <c r="B2400" s="1" t="n">
        <v>45302</v>
      </c>
      <c r="C2400" s="1" t="n">
        <v>46145</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12189-2024</t>
        </is>
      </c>
      <c r="B2401" s="1" t="n">
        <v>45377.94945601852</v>
      </c>
      <c r="C2401" s="1" t="n">
        <v>46145</v>
      </c>
      <c r="D2401" t="inlineStr">
        <is>
          <t>VÄSTERBOTTENS LÄN</t>
        </is>
      </c>
      <c r="E2401" t="inlineStr">
        <is>
          <t>VILHELMINA</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12333-2024</t>
        </is>
      </c>
      <c r="B2402" s="1" t="n">
        <v>45378</v>
      </c>
      <c r="C2402" s="1" t="n">
        <v>46145</v>
      </c>
      <c r="D2402" t="inlineStr">
        <is>
          <t>VÄSTERBOTTENS LÄN</t>
        </is>
      </c>
      <c r="E2402" t="inlineStr">
        <is>
          <t>LYCKSELE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22640-2024</t>
        </is>
      </c>
      <c r="B2403" s="1" t="n">
        <v>45447</v>
      </c>
      <c r="C2403" s="1" t="n">
        <v>46145</v>
      </c>
      <c r="D2403" t="inlineStr">
        <is>
          <t>VÄSTERBOTTENS LÄN</t>
        </is>
      </c>
      <c r="E2403" t="inlineStr">
        <is>
          <t>VINDELN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59549-2023</t>
        </is>
      </c>
      <c r="B2404" s="1" t="n">
        <v>45253</v>
      </c>
      <c r="C2404" s="1" t="n">
        <v>46145</v>
      </c>
      <c r="D2404" t="inlineStr">
        <is>
          <t>VÄSTERBOTTENS LÄN</t>
        </is>
      </c>
      <c r="E2404" t="inlineStr">
        <is>
          <t>ROBERTSFORS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14803-2024</t>
        </is>
      </c>
      <c r="B2405" s="1" t="n">
        <v>45397.92915509259</v>
      </c>
      <c r="C2405" s="1" t="n">
        <v>46145</v>
      </c>
      <c r="D2405" t="inlineStr">
        <is>
          <t>VÄSTERBOTTENS LÄN</t>
        </is>
      </c>
      <c r="E2405" t="inlineStr">
        <is>
          <t>STORUMAN</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15235-2024</t>
        </is>
      </c>
      <c r="B2406" s="1" t="n">
        <v>45400</v>
      </c>
      <c r="C2406" s="1" t="n">
        <v>46145</v>
      </c>
      <c r="D2406" t="inlineStr">
        <is>
          <t>VÄSTERBOTTENS LÄN</t>
        </is>
      </c>
      <c r="E2406" t="inlineStr">
        <is>
          <t>SORSELE</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48068-2022</t>
        </is>
      </c>
      <c r="B2407" s="1" t="n">
        <v>44855</v>
      </c>
      <c r="C2407" s="1" t="n">
        <v>46145</v>
      </c>
      <c r="D2407" t="inlineStr">
        <is>
          <t>VÄSTERBOTTENS LÄN</t>
        </is>
      </c>
      <c r="E2407" t="inlineStr">
        <is>
          <t>VILHELMINA</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50520-2023</t>
        </is>
      </c>
      <c r="B2408" s="1" t="n">
        <v>45216</v>
      </c>
      <c r="C2408" s="1" t="n">
        <v>46145</v>
      </c>
      <c r="D2408" t="inlineStr">
        <is>
          <t>VÄSTERBOTTENS LÄN</t>
        </is>
      </c>
      <c r="E2408" t="inlineStr">
        <is>
          <t>NORDMALING</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44968-2022</t>
        </is>
      </c>
      <c r="B2409" s="1" t="n">
        <v>44840</v>
      </c>
      <c r="C2409" s="1" t="n">
        <v>46145</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52393-2023</t>
        </is>
      </c>
      <c r="B2410" s="1" t="n">
        <v>45224.96391203703</v>
      </c>
      <c r="C2410" s="1" t="n">
        <v>46145</v>
      </c>
      <c r="D2410" t="inlineStr">
        <is>
          <t>VÄSTERBOTTENS LÄN</t>
        </is>
      </c>
      <c r="E2410" t="inlineStr">
        <is>
          <t>DOROTEA</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52103-2023</t>
        </is>
      </c>
      <c r="B2411" s="1" t="n">
        <v>45223</v>
      </c>
      <c r="C2411" s="1" t="n">
        <v>46145</v>
      </c>
      <c r="D2411" t="inlineStr">
        <is>
          <t>VÄSTERBOTTENS LÄN</t>
        </is>
      </c>
      <c r="E2411" t="inlineStr">
        <is>
          <t>ÅSELE</t>
        </is>
      </c>
      <c r="F2411" t="inlineStr">
        <is>
          <t>Holmen skog AB</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955-2024</t>
        </is>
      </c>
      <c r="B2412" s="1" t="n">
        <v>45301</v>
      </c>
      <c r="C2412" s="1" t="n">
        <v>46145</v>
      </c>
      <c r="D2412" t="inlineStr">
        <is>
          <t>VÄSTERBOTTENS LÄN</t>
        </is>
      </c>
      <c r="E2412" t="inlineStr">
        <is>
          <t>UMEÅ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25549-2024</t>
        </is>
      </c>
      <c r="B2413" s="1" t="n">
        <v>45463</v>
      </c>
      <c r="C2413" s="1" t="n">
        <v>46145</v>
      </c>
      <c r="D2413" t="inlineStr">
        <is>
          <t>VÄSTERBOTTENS LÄN</t>
        </is>
      </c>
      <c r="E2413" t="inlineStr">
        <is>
          <t>ÅSELE</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25574-2024</t>
        </is>
      </c>
      <c r="B2414" s="1" t="n">
        <v>45463.58829861111</v>
      </c>
      <c r="C2414" s="1" t="n">
        <v>46145</v>
      </c>
      <c r="D2414" t="inlineStr">
        <is>
          <t>VÄSTERBOTTENS LÄN</t>
        </is>
      </c>
      <c r="E2414" t="inlineStr">
        <is>
          <t>ÅSELE</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15607-2025</t>
        </is>
      </c>
      <c r="B2415" s="1" t="n">
        <v>45747</v>
      </c>
      <c r="C2415" s="1" t="n">
        <v>46145</v>
      </c>
      <c r="D2415" t="inlineStr">
        <is>
          <t>VÄSTERBOTTENS LÄN</t>
        </is>
      </c>
      <c r="E2415" t="inlineStr">
        <is>
          <t>SORSELE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15620-2025</t>
        </is>
      </c>
      <c r="B2416" s="1" t="n">
        <v>45747</v>
      </c>
      <c r="C2416" s="1" t="n">
        <v>46145</v>
      </c>
      <c r="D2416" t="inlineStr">
        <is>
          <t>VÄSTERBOTTENS LÄN</t>
        </is>
      </c>
      <c r="E2416" t="inlineStr">
        <is>
          <t>STORUMAN</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17168-2025</t>
        </is>
      </c>
      <c r="B2417" s="1" t="n">
        <v>45755</v>
      </c>
      <c r="C2417" s="1" t="n">
        <v>46145</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22107-2024</t>
        </is>
      </c>
      <c r="B2418" s="1" t="n">
        <v>45443</v>
      </c>
      <c r="C2418" s="1" t="n">
        <v>46145</v>
      </c>
      <c r="D2418" t="inlineStr">
        <is>
          <t>VÄSTERBOTTENS LÄN</t>
        </is>
      </c>
      <c r="E2418" t="inlineStr">
        <is>
          <t>VILHELMINA</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15674-2025</t>
        </is>
      </c>
      <c r="B2419" s="1" t="n">
        <v>45748.44657407407</v>
      </c>
      <c r="C2419" s="1" t="n">
        <v>46145</v>
      </c>
      <c r="D2419" t="inlineStr">
        <is>
          <t>VÄSTERBOTTENS LÄN</t>
        </is>
      </c>
      <c r="E2419" t="inlineStr">
        <is>
          <t>VÄNNÄS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12515-2024</t>
        </is>
      </c>
      <c r="B2420" s="1" t="n">
        <v>45379</v>
      </c>
      <c r="C2420" s="1" t="n">
        <v>46145</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17217-2025</t>
        </is>
      </c>
      <c r="B2421" s="1" t="n">
        <v>45756.4490625</v>
      </c>
      <c r="C2421" s="1" t="n">
        <v>46145</v>
      </c>
      <c r="D2421" t="inlineStr">
        <is>
          <t>VÄSTERBOTTENS LÄN</t>
        </is>
      </c>
      <c r="E2421" t="inlineStr">
        <is>
          <t>SORSELE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39553-2021</t>
        </is>
      </c>
      <c r="B2422" s="1" t="n">
        <v>44416</v>
      </c>
      <c r="C2422" s="1" t="n">
        <v>46145</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17228-2025</t>
        </is>
      </c>
      <c r="B2423" s="1" t="n">
        <v>45756.46568287037</v>
      </c>
      <c r="C2423" s="1" t="n">
        <v>46145</v>
      </c>
      <c r="D2423" t="inlineStr">
        <is>
          <t>VÄSTERBOTTENS LÄN</t>
        </is>
      </c>
      <c r="E2423" t="inlineStr">
        <is>
          <t>NORSJÖ</t>
        </is>
      </c>
      <c r="F2423" t="inlineStr">
        <is>
          <t>Holmen skog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53345-2023</t>
        </is>
      </c>
      <c r="B2424" s="1" t="n">
        <v>45229.64980324074</v>
      </c>
      <c r="C2424" s="1" t="n">
        <v>46145</v>
      </c>
      <c r="D2424" t="inlineStr">
        <is>
          <t>VÄSTERBOTTENS LÄN</t>
        </is>
      </c>
      <c r="E2424" t="inlineStr">
        <is>
          <t>NORSJÖ</t>
        </is>
      </c>
      <c r="F2424" t="inlineStr">
        <is>
          <t>Holmen skog AB</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31183-2023</t>
        </is>
      </c>
      <c r="B2425" s="1" t="n">
        <v>45113.94913194444</v>
      </c>
      <c r="C2425" s="1" t="n">
        <v>46145</v>
      </c>
      <c r="D2425" t="inlineStr">
        <is>
          <t>VÄSTERBOTTENS LÄN</t>
        </is>
      </c>
      <c r="E2425" t="inlineStr">
        <is>
          <t>ÅSELE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23454-2024</t>
        </is>
      </c>
      <c r="B2426" s="1" t="n">
        <v>45453</v>
      </c>
      <c r="C2426" s="1" t="n">
        <v>46145</v>
      </c>
      <c r="D2426" t="inlineStr">
        <is>
          <t>VÄSTERBOTTENS LÄN</t>
        </is>
      </c>
      <c r="E2426" t="inlineStr">
        <is>
          <t>STORUMAN</t>
        </is>
      </c>
      <c r="F2426" t="inlineStr">
        <is>
          <t>Sveaskog</t>
        </is>
      </c>
      <c r="G2426" t="n">
        <v>26.6</v>
      </c>
      <c r="H2426" t="n">
        <v>0</v>
      </c>
      <c r="I2426" t="n">
        <v>0</v>
      </c>
      <c r="J2426" t="n">
        <v>0</v>
      </c>
      <c r="K2426" t="n">
        <v>0</v>
      </c>
      <c r="L2426" t="n">
        <v>0</v>
      </c>
      <c r="M2426" t="n">
        <v>0</v>
      </c>
      <c r="N2426" t="n">
        <v>0</v>
      </c>
      <c r="O2426" t="n">
        <v>0</v>
      </c>
      <c r="P2426" t="n">
        <v>0</v>
      </c>
      <c r="Q2426" t="n">
        <v>0</v>
      </c>
      <c r="R2426" s="2" t="inlineStr"/>
    </row>
    <row r="2427" ht="15" customHeight="1">
      <c r="A2427" t="inlineStr">
        <is>
          <t>A 23463-2024</t>
        </is>
      </c>
      <c r="B2427" s="1" t="n">
        <v>45453</v>
      </c>
      <c r="C2427" s="1" t="n">
        <v>46145</v>
      </c>
      <c r="D2427" t="inlineStr">
        <is>
          <t>VÄSTERBOTTENS LÄN</t>
        </is>
      </c>
      <c r="E2427" t="inlineStr">
        <is>
          <t>VINDELN</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31205-2023</t>
        </is>
      </c>
      <c r="B2428" s="1" t="n">
        <v>45113</v>
      </c>
      <c r="C2428" s="1" t="n">
        <v>46145</v>
      </c>
      <c r="D2428" t="inlineStr">
        <is>
          <t>VÄSTERBOTTENS LÄN</t>
        </is>
      </c>
      <c r="E2428" t="inlineStr">
        <is>
          <t>BJURHOLM</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59165-2023</t>
        </is>
      </c>
      <c r="B2429" s="1" t="n">
        <v>45251</v>
      </c>
      <c r="C2429" s="1" t="n">
        <v>46145</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32989-2022</t>
        </is>
      </c>
      <c r="B2430" s="1" t="n">
        <v>44784.94172453704</v>
      </c>
      <c r="C2430" s="1" t="n">
        <v>46145</v>
      </c>
      <c r="D2430" t="inlineStr">
        <is>
          <t>VÄSTERBOTTENS LÄN</t>
        </is>
      </c>
      <c r="E2430" t="inlineStr">
        <is>
          <t>BJURHOLM</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58581-2022</t>
        </is>
      </c>
      <c r="B2431" s="1" t="n">
        <v>44902</v>
      </c>
      <c r="C2431" s="1" t="n">
        <v>46145</v>
      </c>
      <c r="D2431" t="inlineStr">
        <is>
          <t>VÄSTERBOTTENS LÄN</t>
        </is>
      </c>
      <c r="E2431" t="inlineStr">
        <is>
          <t>VINDELN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59228-2023</t>
        </is>
      </c>
      <c r="B2432" s="1" t="n">
        <v>45252</v>
      </c>
      <c r="C2432" s="1" t="n">
        <v>46145</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34488-2021</t>
        </is>
      </c>
      <c r="B2433" s="1" t="n">
        <v>44382.3005787037</v>
      </c>
      <c r="C2433" s="1" t="n">
        <v>46145</v>
      </c>
      <c r="D2433" t="inlineStr">
        <is>
          <t>VÄSTERBOTTENS LÄN</t>
        </is>
      </c>
      <c r="E2433" t="inlineStr">
        <is>
          <t>UMEÅ</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23954-2024</t>
        </is>
      </c>
      <c r="B2434" s="1" t="n">
        <v>45455</v>
      </c>
      <c r="C2434" s="1" t="n">
        <v>46145</v>
      </c>
      <c r="D2434" t="inlineStr">
        <is>
          <t>VÄSTERBOTTENS LÄN</t>
        </is>
      </c>
      <c r="E2434" t="inlineStr">
        <is>
          <t>VINDELN</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23955-2024</t>
        </is>
      </c>
      <c r="B2435" s="1" t="n">
        <v>45455</v>
      </c>
      <c r="C2435" s="1" t="n">
        <v>46145</v>
      </c>
      <c r="D2435" t="inlineStr">
        <is>
          <t>VÄSTERBOTTENS LÄN</t>
        </is>
      </c>
      <c r="E2435" t="inlineStr">
        <is>
          <t>VINDELN</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42109-2022</t>
        </is>
      </c>
      <c r="B2436" s="1" t="n">
        <v>44827</v>
      </c>
      <c r="C2436" s="1" t="n">
        <v>46145</v>
      </c>
      <c r="D2436" t="inlineStr">
        <is>
          <t>VÄSTERBOTTENS LÄN</t>
        </is>
      </c>
      <c r="E2436" t="inlineStr">
        <is>
          <t>SKELLEFTEÅ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59793-2023</t>
        </is>
      </c>
      <c r="B2437" s="1" t="n">
        <v>45257.4577199074</v>
      </c>
      <c r="C2437" s="1" t="n">
        <v>46145</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12763-2024</t>
        </is>
      </c>
      <c r="B2438" s="1" t="n">
        <v>45384</v>
      </c>
      <c r="C2438" s="1" t="n">
        <v>46145</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36288-2021</t>
        </is>
      </c>
      <c r="B2439" s="1" t="n">
        <v>44389</v>
      </c>
      <c r="C2439" s="1" t="n">
        <v>46145</v>
      </c>
      <c r="D2439" t="inlineStr">
        <is>
          <t>VÄSTERBOTTENS LÄN</t>
        </is>
      </c>
      <c r="E2439" t="inlineStr">
        <is>
          <t>VILHELMINA</t>
        </is>
      </c>
      <c r="G2439" t="n">
        <v>20.5</v>
      </c>
      <c r="H2439" t="n">
        <v>0</v>
      </c>
      <c r="I2439" t="n">
        <v>0</v>
      </c>
      <c r="J2439" t="n">
        <v>0</v>
      </c>
      <c r="K2439" t="n">
        <v>0</v>
      </c>
      <c r="L2439" t="n">
        <v>0</v>
      </c>
      <c r="M2439" t="n">
        <v>0</v>
      </c>
      <c r="N2439" t="n">
        <v>0</v>
      </c>
      <c r="O2439" t="n">
        <v>0</v>
      </c>
      <c r="P2439" t="n">
        <v>0</v>
      </c>
      <c r="Q2439" t="n">
        <v>0</v>
      </c>
      <c r="R2439" s="2" t="inlineStr"/>
    </row>
    <row r="2440" ht="15" customHeight="1">
      <c r="A2440" t="inlineStr">
        <is>
          <t>A 536-2024</t>
        </is>
      </c>
      <c r="B2440" s="1" t="n">
        <v>45299</v>
      </c>
      <c r="C2440" s="1" t="n">
        <v>46145</v>
      </c>
      <c r="D2440" t="inlineStr">
        <is>
          <t>VÄSTERBOTTENS LÄN</t>
        </is>
      </c>
      <c r="E2440" t="inlineStr">
        <is>
          <t>VINDELN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48931-2023</t>
        </is>
      </c>
      <c r="B2441" s="1" t="n">
        <v>45209</v>
      </c>
      <c r="C2441" s="1" t="n">
        <v>46145</v>
      </c>
      <c r="D2441" t="inlineStr">
        <is>
          <t>VÄSTERBOTTENS LÄN</t>
        </is>
      </c>
      <c r="E2441" t="inlineStr">
        <is>
          <t>MALÅ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5012-2024</t>
        </is>
      </c>
      <c r="B2442" s="1" t="n">
        <v>45329</v>
      </c>
      <c r="C2442" s="1" t="n">
        <v>46145</v>
      </c>
      <c r="D2442" t="inlineStr">
        <is>
          <t>VÄSTERBOTTENS LÄN</t>
        </is>
      </c>
      <c r="E2442" t="inlineStr">
        <is>
          <t>ÅSELE</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18152-2024</t>
        </is>
      </c>
      <c r="B2443" s="1" t="n">
        <v>45420</v>
      </c>
      <c r="C2443" s="1" t="n">
        <v>46145</v>
      </c>
      <c r="D2443" t="inlineStr">
        <is>
          <t>VÄSTERBOTTENS LÄN</t>
        </is>
      </c>
      <c r="E2443" t="inlineStr">
        <is>
          <t>VINDELN</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34563-2022</t>
        </is>
      </c>
      <c r="B2444" s="1" t="n">
        <v>44794</v>
      </c>
      <c r="C2444" s="1" t="n">
        <v>46145</v>
      </c>
      <c r="D2444" t="inlineStr">
        <is>
          <t>VÄSTERBOTTENS LÄN</t>
        </is>
      </c>
      <c r="E2444" t="inlineStr">
        <is>
          <t>VINDELN</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12857-2024</t>
        </is>
      </c>
      <c r="B2445" s="1" t="n">
        <v>45384</v>
      </c>
      <c r="C2445" s="1" t="n">
        <v>46145</v>
      </c>
      <c r="D2445" t="inlineStr">
        <is>
          <t>VÄSTERBOTTENS LÄN</t>
        </is>
      </c>
      <c r="E2445" t="inlineStr">
        <is>
          <t>MALÅ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13330-2024</t>
        </is>
      </c>
      <c r="B2446" s="1" t="n">
        <v>45386.89378472222</v>
      </c>
      <c r="C2446" s="1" t="n">
        <v>46145</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60304-2022</t>
        </is>
      </c>
      <c r="B2447" s="1" t="n">
        <v>44910</v>
      </c>
      <c r="C2447" s="1" t="n">
        <v>46145</v>
      </c>
      <c r="D2447" t="inlineStr">
        <is>
          <t>VÄSTERBOTTENS LÄN</t>
        </is>
      </c>
      <c r="E2447" t="inlineStr">
        <is>
          <t>DOROTEA</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14280-2024</t>
        </is>
      </c>
      <c r="B2448" s="1" t="n">
        <v>45393.61599537037</v>
      </c>
      <c r="C2448" s="1" t="n">
        <v>46145</v>
      </c>
      <c r="D2448" t="inlineStr">
        <is>
          <t>VÄSTERBOTTENS LÄN</t>
        </is>
      </c>
      <c r="E2448" t="inlineStr">
        <is>
          <t>MALÅ</t>
        </is>
      </c>
      <c r="F2448" t="inlineStr">
        <is>
          <t>Sveaskog</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45114-2021</t>
        </is>
      </c>
      <c r="B2449" s="1" t="n">
        <v>44439</v>
      </c>
      <c r="C2449" s="1" t="n">
        <v>46145</v>
      </c>
      <c r="D2449" t="inlineStr">
        <is>
          <t>VÄSTERBOTTENS LÄN</t>
        </is>
      </c>
      <c r="E2449" t="inlineStr">
        <is>
          <t>MALÅ</t>
        </is>
      </c>
      <c r="F2449" t="inlineStr">
        <is>
          <t>Sveaskog</t>
        </is>
      </c>
      <c r="G2449" t="n">
        <v>48.3</v>
      </c>
      <c r="H2449" t="n">
        <v>0</v>
      </c>
      <c r="I2449" t="n">
        <v>0</v>
      </c>
      <c r="J2449" t="n">
        <v>0</v>
      </c>
      <c r="K2449" t="n">
        <v>0</v>
      </c>
      <c r="L2449" t="n">
        <v>0</v>
      </c>
      <c r="M2449" t="n">
        <v>0</v>
      </c>
      <c r="N2449" t="n">
        <v>0</v>
      </c>
      <c r="O2449" t="n">
        <v>0</v>
      </c>
      <c r="P2449" t="n">
        <v>0</v>
      </c>
      <c r="Q2449" t="n">
        <v>0</v>
      </c>
      <c r="R2449" s="2" t="inlineStr"/>
    </row>
    <row r="2450" ht="15" customHeight="1">
      <c r="A2450" t="inlineStr">
        <is>
          <t>A 23544-2024</t>
        </is>
      </c>
      <c r="B2450" s="1" t="n">
        <v>45453.95314814815</v>
      </c>
      <c r="C2450" s="1" t="n">
        <v>46145</v>
      </c>
      <c r="D2450" t="inlineStr">
        <is>
          <t>VÄSTERBOTTENS LÄN</t>
        </is>
      </c>
      <c r="E2450" t="inlineStr">
        <is>
          <t>VILHELMINA</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23545-2024</t>
        </is>
      </c>
      <c r="B2451" s="1" t="n">
        <v>45453.95326388889</v>
      </c>
      <c r="C2451" s="1" t="n">
        <v>46145</v>
      </c>
      <c r="D2451" t="inlineStr">
        <is>
          <t>VÄSTERBOTTENS LÄN</t>
        </is>
      </c>
      <c r="E2451" t="inlineStr">
        <is>
          <t>VILHELMINA</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23562-2024</t>
        </is>
      </c>
      <c r="B2452" s="1" t="n">
        <v>45453</v>
      </c>
      <c r="C2452" s="1" t="n">
        <v>46145</v>
      </c>
      <c r="D2452" t="inlineStr">
        <is>
          <t>VÄSTERBOTTENS LÄN</t>
        </is>
      </c>
      <c r="E2452" t="inlineStr">
        <is>
          <t>VINDELN</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28609-2021</t>
        </is>
      </c>
      <c r="B2453" s="1" t="n">
        <v>44356.93478009259</v>
      </c>
      <c r="C2453" s="1" t="n">
        <v>46145</v>
      </c>
      <c r="D2453" t="inlineStr">
        <is>
          <t>VÄSTERBOTTENS LÄN</t>
        </is>
      </c>
      <c r="E2453" t="inlineStr">
        <is>
          <t>ÅSELE</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45844-2021</t>
        </is>
      </c>
      <c r="B2454" s="1" t="n">
        <v>44441</v>
      </c>
      <c r="C2454" s="1" t="n">
        <v>46145</v>
      </c>
      <c r="D2454" t="inlineStr">
        <is>
          <t>VÄSTERBOTTENS LÄN</t>
        </is>
      </c>
      <c r="E2454" t="inlineStr">
        <is>
          <t>BJURHOLM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47434-2023</t>
        </is>
      </c>
      <c r="B2455" s="1" t="n">
        <v>45197</v>
      </c>
      <c r="C2455" s="1" t="n">
        <v>46145</v>
      </c>
      <c r="D2455" t="inlineStr">
        <is>
          <t>VÄSTERBOTTENS LÄN</t>
        </is>
      </c>
      <c r="E2455" t="inlineStr">
        <is>
          <t>MALÅ</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33521-2021</t>
        </is>
      </c>
      <c r="B2456" s="1" t="n">
        <v>44377</v>
      </c>
      <c r="C2456" s="1" t="n">
        <v>46145</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19765-2024</t>
        </is>
      </c>
      <c r="B2457" s="1" t="n">
        <v>45432.70289351852</v>
      </c>
      <c r="C2457" s="1" t="n">
        <v>46145</v>
      </c>
      <c r="D2457" t="inlineStr">
        <is>
          <t>VÄSTERBOTTENS LÄN</t>
        </is>
      </c>
      <c r="E2457" t="inlineStr">
        <is>
          <t>LYCKSELE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51357-2023</t>
        </is>
      </c>
      <c r="B2458" s="1" t="n">
        <v>45219</v>
      </c>
      <c r="C2458" s="1" t="n">
        <v>46145</v>
      </c>
      <c r="D2458" t="inlineStr">
        <is>
          <t>VÄSTERBOTTENS LÄN</t>
        </is>
      </c>
      <c r="E2458" t="inlineStr">
        <is>
          <t>MALÅ</t>
        </is>
      </c>
      <c r="F2458" t="inlineStr">
        <is>
          <t>Sveaskog</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19782-2024</t>
        </is>
      </c>
      <c r="B2459" s="1" t="n">
        <v>45432</v>
      </c>
      <c r="C2459" s="1" t="n">
        <v>46145</v>
      </c>
      <c r="D2459" t="inlineStr">
        <is>
          <t>VÄSTERBOTTENS LÄN</t>
        </is>
      </c>
      <c r="E2459" t="inlineStr">
        <is>
          <t>SKELLEFTEÅ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10568-2024</t>
        </is>
      </c>
      <c r="B2460" s="1" t="n">
        <v>45366</v>
      </c>
      <c r="C2460" s="1" t="n">
        <v>46145</v>
      </c>
      <c r="D2460" t="inlineStr">
        <is>
          <t>VÄSTERBOTTENS LÄN</t>
        </is>
      </c>
      <c r="E2460" t="inlineStr">
        <is>
          <t>UMEÅ</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35839-2024</t>
        </is>
      </c>
      <c r="B2461" s="1" t="n">
        <v>45532.74556712963</v>
      </c>
      <c r="C2461" s="1" t="n">
        <v>46145</v>
      </c>
      <c r="D2461" t="inlineStr">
        <is>
          <t>VÄSTERBOTTENS LÄN</t>
        </is>
      </c>
      <c r="E2461" t="inlineStr">
        <is>
          <t>VINDELN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55032-2021</t>
        </is>
      </c>
      <c r="B2462" s="1" t="n">
        <v>44474.5962037037</v>
      </c>
      <c r="C2462" s="1" t="n">
        <v>46145</v>
      </c>
      <c r="D2462" t="inlineStr">
        <is>
          <t>VÄSTERBOTTENS LÄN</t>
        </is>
      </c>
      <c r="E2462" t="inlineStr">
        <is>
          <t>SKELLEFTEÅ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53320-2021</t>
        </is>
      </c>
      <c r="B2463" s="1" t="n">
        <v>44468.55635416666</v>
      </c>
      <c r="C2463" s="1" t="n">
        <v>46145</v>
      </c>
      <c r="D2463" t="inlineStr">
        <is>
          <t>VÄSTERBOTTENS LÄN</t>
        </is>
      </c>
      <c r="E2463" t="inlineStr">
        <is>
          <t>LYCKSELE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41749-2024</t>
        </is>
      </c>
      <c r="B2464" s="1" t="n">
        <v>45561.3359375</v>
      </c>
      <c r="C2464" s="1" t="n">
        <v>46145</v>
      </c>
      <c r="D2464" t="inlineStr">
        <is>
          <t>VÄSTERBOTTENS LÄN</t>
        </is>
      </c>
      <c r="E2464" t="inlineStr">
        <is>
          <t>LYCKSELE</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20011-2024</t>
        </is>
      </c>
      <c r="B2465" s="1" t="n">
        <v>45433.94342592593</v>
      </c>
      <c r="C2465" s="1" t="n">
        <v>46145</v>
      </c>
      <c r="D2465" t="inlineStr">
        <is>
          <t>VÄSTERBOTTENS LÄN</t>
        </is>
      </c>
      <c r="E2465" t="inlineStr">
        <is>
          <t>BJURHOLM</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34768-2024</t>
        </is>
      </c>
      <c r="B2466" s="1" t="n">
        <v>45526</v>
      </c>
      <c r="C2466" s="1" t="n">
        <v>46145</v>
      </c>
      <c r="D2466" t="inlineStr">
        <is>
          <t>VÄSTERBOTTENS LÄN</t>
        </is>
      </c>
      <c r="E2466" t="inlineStr">
        <is>
          <t>DOROTEA</t>
        </is>
      </c>
      <c r="F2466" t="inlineStr">
        <is>
          <t>SCA</t>
        </is>
      </c>
      <c r="G2466" t="n">
        <v>28.1</v>
      </c>
      <c r="H2466" t="n">
        <v>0</v>
      </c>
      <c r="I2466" t="n">
        <v>0</v>
      </c>
      <c r="J2466" t="n">
        <v>0</v>
      </c>
      <c r="K2466" t="n">
        <v>0</v>
      </c>
      <c r="L2466" t="n">
        <v>0</v>
      </c>
      <c r="M2466" t="n">
        <v>0</v>
      </c>
      <c r="N2466" t="n">
        <v>0</v>
      </c>
      <c r="O2466" t="n">
        <v>0</v>
      </c>
      <c r="P2466" t="n">
        <v>0</v>
      </c>
      <c r="Q2466" t="n">
        <v>0</v>
      </c>
      <c r="R2466" s="2" t="inlineStr"/>
    </row>
    <row r="2467" ht="15" customHeight="1">
      <c r="A2467" t="inlineStr">
        <is>
          <t>A 34771-2024</t>
        </is>
      </c>
      <c r="B2467" s="1" t="n">
        <v>45526.62267361111</v>
      </c>
      <c r="C2467" s="1" t="n">
        <v>46145</v>
      </c>
      <c r="D2467" t="inlineStr">
        <is>
          <t>VÄSTERBOTTENS LÄN</t>
        </is>
      </c>
      <c r="E2467" t="inlineStr">
        <is>
          <t>ROBERTSFORS</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56563-2021</t>
        </is>
      </c>
      <c r="B2468" s="1" t="n">
        <v>44480</v>
      </c>
      <c r="C2468" s="1" t="n">
        <v>46145</v>
      </c>
      <c r="D2468" t="inlineStr">
        <is>
          <t>VÄSTERBOTTENS LÄN</t>
        </is>
      </c>
      <c r="E2468" t="inlineStr">
        <is>
          <t>UMEÅ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62257-2023</t>
        </is>
      </c>
      <c r="B2469" s="1" t="n">
        <v>45267</v>
      </c>
      <c r="C2469" s="1" t="n">
        <v>46145</v>
      </c>
      <c r="D2469" t="inlineStr">
        <is>
          <t>VÄSTERBOTTENS LÄN</t>
        </is>
      </c>
      <c r="E2469" t="inlineStr">
        <is>
          <t>MALÅ</t>
        </is>
      </c>
      <c r="F2469" t="inlineStr">
        <is>
          <t>Sveaskog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13004-2023</t>
        </is>
      </c>
      <c r="B2470" s="1" t="n">
        <v>45002</v>
      </c>
      <c r="C2470" s="1" t="n">
        <v>46145</v>
      </c>
      <c r="D2470" t="inlineStr">
        <is>
          <t>VÄSTERBOTTENS LÄN</t>
        </is>
      </c>
      <c r="E2470" t="inlineStr">
        <is>
          <t>MALÅ</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36164-2024</t>
        </is>
      </c>
      <c r="B2471" s="1" t="n">
        <v>45534.3956712963</v>
      </c>
      <c r="C2471" s="1" t="n">
        <v>46145</v>
      </c>
      <c r="D2471" t="inlineStr">
        <is>
          <t>VÄSTERBOTTENS LÄN</t>
        </is>
      </c>
      <c r="E2471" t="inlineStr">
        <is>
          <t>ÅSELE</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38995-2022</t>
        </is>
      </c>
      <c r="B2472" s="1" t="n">
        <v>44816</v>
      </c>
      <c r="C2472" s="1" t="n">
        <v>46145</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36168-2024</t>
        </is>
      </c>
      <c r="B2473" s="1" t="n">
        <v>45534.40083333333</v>
      </c>
      <c r="C2473" s="1" t="n">
        <v>46145</v>
      </c>
      <c r="D2473" t="inlineStr">
        <is>
          <t>VÄSTERBOTTENS LÄN</t>
        </is>
      </c>
      <c r="E2473" t="inlineStr">
        <is>
          <t>VINDELN</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24361-2024</t>
        </is>
      </c>
      <c r="B2474" s="1" t="n">
        <v>45457.60049768518</v>
      </c>
      <c r="C2474" s="1" t="n">
        <v>46145</v>
      </c>
      <c r="D2474" t="inlineStr">
        <is>
          <t>VÄSTERBOTTENS LÄN</t>
        </is>
      </c>
      <c r="E2474" t="inlineStr">
        <is>
          <t>LYCKSELE</t>
        </is>
      </c>
      <c r="F2474" t="inlineStr">
        <is>
          <t>Sveaskog</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24445-2024</t>
        </is>
      </c>
      <c r="B2475" s="1" t="n">
        <v>45457.96494212963</v>
      </c>
      <c r="C2475" s="1" t="n">
        <v>46145</v>
      </c>
      <c r="D2475" t="inlineStr">
        <is>
          <t>VÄSTERBOTTENS LÄN</t>
        </is>
      </c>
      <c r="E2475" t="inlineStr">
        <is>
          <t>DOROTEA</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43735-2021</t>
        </is>
      </c>
      <c r="B2476" s="1" t="n">
        <v>44433</v>
      </c>
      <c r="C2476" s="1" t="n">
        <v>46145</v>
      </c>
      <c r="D2476" t="inlineStr">
        <is>
          <t>VÄSTERBOTTENS LÄN</t>
        </is>
      </c>
      <c r="E2476" t="inlineStr">
        <is>
          <t>NORDMALING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24899-2024</t>
        </is>
      </c>
      <c r="B2477" s="1" t="n">
        <v>45461.58384259259</v>
      </c>
      <c r="C2477" s="1" t="n">
        <v>46145</v>
      </c>
      <c r="D2477" t="inlineStr">
        <is>
          <t>VÄSTERBOTTENS LÄN</t>
        </is>
      </c>
      <c r="E2477" t="inlineStr">
        <is>
          <t>ROBERTSFORS</t>
        </is>
      </c>
      <c r="G2477" t="n">
        <v>14.3</v>
      </c>
      <c r="H2477" t="n">
        <v>0</v>
      </c>
      <c r="I2477" t="n">
        <v>0</v>
      </c>
      <c r="J2477" t="n">
        <v>0</v>
      </c>
      <c r="K2477" t="n">
        <v>0</v>
      </c>
      <c r="L2477" t="n">
        <v>0</v>
      </c>
      <c r="M2477" t="n">
        <v>0</v>
      </c>
      <c r="N2477" t="n">
        <v>0</v>
      </c>
      <c r="O2477" t="n">
        <v>0</v>
      </c>
      <c r="P2477" t="n">
        <v>0</v>
      </c>
      <c r="Q2477" t="n">
        <v>0</v>
      </c>
      <c r="R2477" s="2" t="inlineStr"/>
    </row>
    <row r="2478" ht="15" customHeight="1">
      <c r="A2478" t="inlineStr">
        <is>
          <t>A 33120-2023</t>
        </is>
      </c>
      <c r="B2478" s="1" t="n">
        <v>45114</v>
      </c>
      <c r="C2478" s="1" t="n">
        <v>46145</v>
      </c>
      <c r="D2478" t="inlineStr">
        <is>
          <t>VÄSTERBOTTENS LÄN</t>
        </is>
      </c>
      <c r="E2478" t="inlineStr">
        <is>
          <t>VINDELN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15183-2024</t>
        </is>
      </c>
      <c r="B2479" s="1" t="n">
        <v>45400</v>
      </c>
      <c r="C2479" s="1" t="n">
        <v>46145</v>
      </c>
      <c r="D2479" t="inlineStr">
        <is>
          <t>VÄSTERBOTTENS LÄN</t>
        </is>
      </c>
      <c r="E2479" t="inlineStr">
        <is>
          <t>SORSELE</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14407-2024</t>
        </is>
      </c>
      <c r="B2480" s="1" t="n">
        <v>45394</v>
      </c>
      <c r="C2480" s="1" t="n">
        <v>46145</v>
      </c>
      <c r="D2480" t="inlineStr">
        <is>
          <t>VÄSTERBOTTENS LÄN</t>
        </is>
      </c>
      <c r="E2480" t="inlineStr">
        <is>
          <t>BJURHOLM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45345-2024</t>
        </is>
      </c>
      <c r="B2481" s="1" t="n">
        <v>45576.4734375</v>
      </c>
      <c r="C2481" s="1" t="n">
        <v>46145</v>
      </c>
      <c r="D2481" t="inlineStr">
        <is>
          <t>VÄSTERBOTTENS LÄN</t>
        </is>
      </c>
      <c r="E2481" t="inlineStr">
        <is>
          <t>VINDELN</t>
        </is>
      </c>
      <c r="F2481" t="inlineStr">
        <is>
          <t>Holmen skog AB</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14431-2024</t>
        </is>
      </c>
      <c r="B2482" s="1" t="n">
        <v>45394</v>
      </c>
      <c r="C2482" s="1" t="n">
        <v>46145</v>
      </c>
      <c r="D2482" t="inlineStr">
        <is>
          <t>VÄSTERBOTTENS LÄN</t>
        </is>
      </c>
      <c r="E2482" t="inlineStr">
        <is>
          <t>NORDMALING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13758-2024</t>
        </is>
      </c>
      <c r="B2483" s="1" t="n">
        <v>45390.92747685185</v>
      </c>
      <c r="C2483" s="1" t="n">
        <v>46145</v>
      </c>
      <c r="D2483" t="inlineStr">
        <is>
          <t>VÄSTERBOTTENS LÄN</t>
        </is>
      </c>
      <c r="E2483" t="inlineStr">
        <is>
          <t>VÄNNÄS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45359-2024</t>
        </is>
      </c>
      <c r="B2484" s="1" t="n">
        <v>45576.48241898148</v>
      </c>
      <c r="C2484" s="1" t="n">
        <v>46145</v>
      </c>
      <c r="D2484" t="inlineStr">
        <is>
          <t>VÄSTERBOTTENS LÄN</t>
        </is>
      </c>
      <c r="E2484" t="inlineStr">
        <is>
          <t>UMEÅ</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14167-2024</t>
        </is>
      </c>
      <c r="B2485" s="1" t="n">
        <v>45392</v>
      </c>
      <c r="C2485" s="1" t="n">
        <v>46145</v>
      </c>
      <c r="D2485" t="inlineStr">
        <is>
          <t>VÄSTERBOTTENS LÄN</t>
        </is>
      </c>
      <c r="E2485" t="inlineStr">
        <is>
          <t>ÅSELE</t>
        </is>
      </c>
      <c r="F2485" t="inlineStr">
        <is>
          <t>SCA</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32655-2021</t>
        </is>
      </c>
      <c r="B2486" s="1" t="n">
        <v>44371</v>
      </c>
      <c r="C2486" s="1" t="n">
        <v>46145</v>
      </c>
      <c r="D2486" t="inlineStr">
        <is>
          <t>VÄSTERBOTTENS LÄN</t>
        </is>
      </c>
      <c r="E2486" t="inlineStr">
        <is>
          <t>VILHELMINA</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3018-2023</t>
        </is>
      </c>
      <c r="B2487" s="1" t="n">
        <v>44945.92484953703</v>
      </c>
      <c r="C2487" s="1" t="n">
        <v>46145</v>
      </c>
      <c r="D2487" t="inlineStr">
        <is>
          <t>VÄSTERBOTTENS LÄN</t>
        </is>
      </c>
      <c r="E2487" t="inlineStr">
        <is>
          <t>ROBERTSFORS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61792-2023</t>
        </is>
      </c>
      <c r="B2488" s="1" t="n">
        <v>45265</v>
      </c>
      <c r="C2488" s="1" t="n">
        <v>46145</v>
      </c>
      <c r="D2488" t="inlineStr">
        <is>
          <t>VÄSTERBOTTENS LÄN</t>
        </is>
      </c>
      <c r="E2488" t="inlineStr">
        <is>
          <t>NORDMALING</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61793-2023</t>
        </is>
      </c>
      <c r="B2489" s="1" t="n">
        <v>45265.958125</v>
      </c>
      <c r="C2489" s="1" t="n">
        <v>46145</v>
      </c>
      <c r="D2489" t="inlineStr">
        <is>
          <t>VÄSTERBOTTENS LÄN</t>
        </is>
      </c>
      <c r="E2489" t="inlineStr">
        <is>
          <t>NORDMALING</t>
        </is>
      </c>
      <c r="F2489" t="inlineStr">
        <is>
          <t>SCA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32289-2024</t>
        </is>
      </c>
      <c r="B2490" s="1" t="n">
        <v>45512</v>
      </c>
      <c r="C2490" s="1" t="n">
        <v>46145</v>
      </c>
      <c r="D2490" t="inlineStr">
        <is>
          <t>VÄSTERBOTTENS LÄN</t>
        </is>
      </c>
      <c r="E2490" t="inlineStr">
        <is>
          <t>BJURHOLM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42798-2022</t>
        </is>
      </c>
      <c r="B2491" s="1" t="n">
        <v>44832</v>
      </c>
      <c r="C2491" s="1" t="n">
        <v>46145</v>
      </c>
      <c r="D2491" t="inlineStr">
        <is>
          <t>VÄSTERBOTTENS LÄN</t>
        </is>
      </c>
      <c r="E2491" t="inlineStr">
        <is>
          <t>SKELLEFTEÅ</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4944-2023</t>
        </is>
      </c>
      <c r="B2492" s="1" t="n">
        <v>44958</v>
      </c>
      <c r="C2492" s="1" t="n">
        <v>46145</v>
      </c>
      <c r="D2492" t="inlineStr">
        <is>
          <t>VÄSTERBOTTENS LÄN</t>
        </is>
      </c>
      <c r="E2492" t="inlineStr">
        <is>
          <t>SORSELE</t>
        </is>
      </c>
      <c r="G2492" t="n">
        <v>29.8</v>
      </c>
      <c r="H2492" t="n">
        <v>0</v>
      </c>
      <c r="I2492" t="n">
        <v>0</v>
      </c>
      <c r="J2492" t="n">
        <v>0</v>
      </c>
      <c r="K2492" t="n">
        <v>0</v>
      </c>
      <c r="L2492" t="n">
        <v>0</v>
      </c>
      <c r="M2492" t="n">
        <v>0</v>
      </c>
      <c r="N2492" t="n">
        <v>0</v>
      </c>
      <c r="O2492" t="n">
        <v>0</v>
      </c>
      <c r="P2492" t="n">
        <v>0</v>
      </c>
      <c r="Q2492" t="n">
        <v>0</v>
      </c>
      <c r="R2492" s="2" t="inlineStr"/>
    </row>
    <row r="2493" ht="15" customHeight="1">
      <c r="A2493" t="inlineStr">
        <is>
          <t>A 73159-2021</t>
        </is>
      </c>
      <c r="B2493" s="1" t="n">
        <v>44550</v>
      </c>
      <c r="C2493" s="1" t="n">
        <v>46145</v>
      </c>
      <c r="D2493" t="inlineStr">
        <is>
          <t>VÄSTERBOTTENS LÄN</t>
        </is>
      </c>
      <c r="E2493" t="inlineStr">
        <is>
          <t>SKELLEFTEÅ</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5744-2023</t>
        </is>
      </c>
      <c r="B2494" s="1" t="n">
        <v>44962.86746527778</v>
      </c>
      <c r="C2494" s="1" t="n">
        <v>46145</v>
      </c>
      <c r="D2494" t="inlineStr">
        <is>
          <t>VÄSTERBOTTENS LÄN</t>
        </is>
      </c>
      <c r="E2494" t="inlineStr">
        <is>
          <t>SKELLEFTEÅ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57379-2023</t>
        </is>
      </c>
      <c r="B2495" s="1" t="n">
        <v>45245.92914351852</v>
      </c>
      <c r="C2495" s="1" t="n">
        <v>46145</v>
      </c>
      <c r="D2495" t="inlineStr">
        <is>
          <t>VÄSTERBOTTENS LÄN</t>
        </is>
      </c>
      <c r="E2495" t="inlineStr">
        <is>
          <t>DOROTEA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57388-2023</t>
        </is>
      </c>
      <c r="B2496" s="1" t="n">
        <v>45245</v>
      </c>
      <c r="C2496" s="1" t="n">
        <v>46145</v>
      </c>
      <c r="D2496" t="inlineStr">
        <is>
          <t>VÄSTERBOTTENS LÄN</t>
        </is>
      </c>
      <c r="E2496" t="inlineStr">
        <is>
          <t>NORDMALING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60612-2023</t>
        </is>
      </c>
      <c r="B2497" s="1" t="n">
        <v>45260</v>
      </c>
      <c r="C2497" s="1" t="n">
        <v>46145</v>
      </c>
      <c r="D2497" t="inlineStr">
        <is>
          <t>VÄSTERBOTTENS LÄN</t>
        </is>
      </c>
      <c r="E2497" t="inlineStr">
        <is>
          <t>SKELLEFTEÅ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28113-2023</t>
        </is>
      </c>
      <c r="B2498" s="1" t="n">
        <v>45096</v>
      </c>
      <c r="C2498" s="1" t="n">
        <v>46145</v>
      </c>
      <c r="D2498" t="inlineStr">
        <is>
          <t>VÄSTERBOTTENS LÄN</t>
        </is>
      </c>
      <c r="E2498" t="inlineStr">
        <is>
          <t>SKELLEFTEÅ</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25943-2024</t>
        </is>
      </c>
      <c r="B2499" s="1" t="n">
        <v>45467</v>
      </c>
      <c r="C2499" s="1" t="n">
        <v>46145</v>
      </c>
      <c r="D2499" t="inlineStr">
        <is>
          <t>VÄSTERBOTTENS LÄN</t>
        </is>
      </c>
      <c r="E2499" t="inlineStr">
        <is>
          <t>SKELLEFTEÅ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24195-2024</t>
        </is>
      </c>
      <c r="B2500" s="1" t="n">
        <v>45456</v>
      </c>
      <c r="C2500" s="1" t="n">
        <v>46145</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45872-2024</t>
        </is>
      </c>
      <c r="B2501" s="1" t="n">
        <v>45580.37296296296</v>
      </c>
      <c r="C2501" s="1" t="n">
        <v>46145</v>
      </c>
      <c r="D2501" t="inlineStr">
        <is>
          <t>VÄSTERBOTTENS LÄN</t>
        </is>
      </c>
      <c r="E2501" t="inlineStr">
        <is>
          <t>UMEÅ</t>
        </is>
      </c>
      <c r="F2501" t="inlineStr">
        <is>
          <t>Holmen skog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46105-2022</t>
        </is>
      </c>
      <c r="B2502" s="1" t="n">
        <v>44845</v>
      </c>
      <c r="C2502" s="1" t="n">
        <v>46145</v>
      </c>
      <c r="D2502" t="inlineStr">
        <is>
          <t>VÄSTERBOTTENS LÄN</t>
        </is>
      </c>
      <c r="E2502" t="inlineStr">
        <is>
          <t>VINDELN</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60175-2022</t>
        </is>
      </c>
      <c r="B2503" s="1" t="n">
        <v>44909</v>
      </c>
      <c r="C2503" s="1" t="n">
        <v>46145</v>
      </c>
      <c r="D2503" t="inlineStr">
        <is>
          <t>VÄSTERBOTTENS LÄN</t>
        </is>
      </c>
      <c r="E2503" t="inlineStr">
        <is>
          <t>NORDMALING</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41353-2022</t>
        </is>
      </c>
      <c r="B2504" s="1" t="n">
        <v>44824</v>
      </c>
      <c r="C2504" s="1" t="n">
        <v>46145</v>
      </c>
      <c r="D2504" t="inlineStr">
        <is>
          <t>VÄSTERBOTTENS LÄN</t>
        </is>
      </c>
      <c r="E2504" t="inlineStr">
        <is>
          <t>DOROTEA</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25632-2023</t>
        </is>
      </c>
      <c r="B2505" s="1" t="n">
        <v>45084</v>
      </c>
      <c r="C2505" s="1" t="n">
        <v>46145</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42946-2022</t>
        </is>
      </c>
      <c r="B2506" s="1" t="n">
        <v>44833.38583333333</v>
      </c>
      <c r="C2506" s="1" t="n">
        <v>46145</v>
      </c>
      <c r="D2506" t="inlineStr">
        <is>
          <t>VÄSTERBOTTENS LÄN</t>
        </is>
      </c>
      <c r="E2506" t="inlineStr">
        <is>
          <t>SKELLEFTEÅ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47984-2022</t>
        </is>
      </c>
      <c r="B2507" s="1" t="n">
        <v>44853</v>
      </c>
      <c r="C2507" s="1" t="n">
        <v>46145</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47988-2022</t>
        </is>
      </c>
      <c r="B2508" s="1" t="n">
        <v>44853</v>
      </c>
      <c r="C2508" s="1" t="n">
        <v>46145</v>
      </c>
      <c r="D2508" t="inlineStr">
        <is>
          <t>VÄSTERBOTTENS LÄN</t>
        </is>
      </c>
      <c r="E2508" t="inlineStr">
        <is>
          <t>SKELLEFTEÅ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46145</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25968-2024</t>
        </is>
      </c>
      <c r="B2510" s="1" t="n">
        <v>45467.68030092592</v>
      </c>
      <c r="C2510" s="1" t="n">
        <v>46145</v>
      </c>
      <c r="D2510" t="inlineStr">
        <is>
          <t>VÄSTERBOTTENS LÄN</t>
        </is>
      </c>
      <c r="E2510" t="inlineStr">
        <is>
          <t>STORUMAN</t>
        </is>
      </c>
      <c r="F2510" t="inlineStr">
        <is>
          <t>Sveaskog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33636-2024</t>
        </is>
      </c>
      <c r="B2511" s="1" t="n">
        <v>45520.43614583334</v>
      </c>
      <c r="C2511" s="1" t="n">
        <v>46145</v>
      </c>
      <c r="D2511" t="inlineStr">
        <is>
          <t>VÄSTERBOTTENS LÄN</t>
        </is>
      </c>
      <c r="E2511" t="inlineStr">
        <is>
          <t>SORSELE</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29095-2024</t>
        </is>
      </c>
      <c r="B2512" s="1" t="n">
        <v>45481</v>
      </c>
      <c r="C2512" s="1" t="n">
        <v>46145</v>
      </c>
      <c r="D2512" t="inlineStr">
        <is>
          <t>VÄSTERBOTTENS LÄN</t>
        </is>
      </c>
      <c r="E2512" t="inlineStr">
        <is>
          <t>BJURHOLM</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49433-2022</t>
        </is>
      </c>
      <c r="B2513" s="1" t="n">
        <v>44859</v>
      </c>
      <c r="C2513" s="1" t="n">
        <v>46145</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58920-2022</t>
        </is>
      </c>
      <c r="B2514" s="1" t="n">
        <v>44896</v>
      </c>
      <c r="C2514" s="1" t="n">
        <v>46145</v>
      </c>
      <c r="D2514" t="inlineStr">
        <is>
          <t>VÄSTERBOTTENS LÄN</t>
        </is>
      </c>
      <c r="E2514" t="inlineStr">
        <is>
          <t>LYCKSELE</t>
        </is>
      </c>
      <c r="G2514" t="n">
        <v>20.5</v>
      </c>
      <c r="H2514" t="n">
        <v>0</v>
      </c>
      <c r="I2514" t="n">
        <v>0</v>
      </c>
      <c r="J2514" t="n">
        <v>0</v>
      </c>
      <c r="K2514" t="n">
        <v>0</v>
      </c>
      <c r="L2514" t="n">
        <v>0</v>
      </c>
      <c r="M2514" t="n">
        <v>0</v>
      </c>
      <c r="N2514" t="n">
        <v>0</v>
      </c>
      <c r="O2514" t="n">
        <v>0</v>
      </c>
      <c r="P2514" t="n">
        <v>0</v>
      </c>
      <c r="Q2514" t="n">
        <v>0</v>
      </c>
      <c r="R2514" s="2" t="inlineStr"/>
    </row>
    <row r="2515" ht="15" customHeight="1">
      <c r="A2515" t="inlineStr">
        <is>
          <t>A 58114-2022</t>
        </is>
      </c>
      <c r="B2515" s="1" t="n">
        <v>44893</v>
      </c>
      <c r="C2515" s="1" t="n">
        <v>46145</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4342-2023</t>
        </is>
      </c>
      <c r="B2516" s="1" t="n">
        <v>44953.97421296296</v>
      </c>
      <c r="C2516" s="1" t="n">
        <v>46145</v>
      </c>
      <c r="D2516" t="inlineStr">
        <is>
          <t>VÄSTERBOTTENS LÄN</t>
        </is>
      </c>
      <c r="E2516" t="inlineStr">
        <is>
          <t>ÅSELE</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25794-2024</t>
        </is>
      </c>
      <c r="B2517" s="1" t="n">
        <v>45467</v>
      </c>
      <c r="C2517" s="1" t="n">
        <v>46145</v>
      </c>
      <c r="D2517" t="inlineStr">
        <is>
          <t>VÄSTERBOTTENS LÄN</t>
        </is>
      </c>
      <c r="E2517" t="inlineStr">
        <is>
          <t>BJURHOLM</t>
        </is>
      </c>
      <c r="F2517" t="inlineStr">
        <is>
          <t>Holmen skog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58975-2022</t>
        </is>
      </c>
      <c r="B2518" s="1" t="n">
        <v>44903</v>
      </c>
      <c r="C2518" s="1" t="n">
        <v>46145</v>
      </c>
      <c r="D2518" t="inlineStr">
        <is>
          <t>VÄSTERBOTTENS LÄN</t>
        </is>
      </c>
      <c r="E2518" t="inlineStr">
        <is>
          <t>LYCKSELE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1869-2023</t>
        </is>
      </c>
      <c r="B2519" s="1" t="n">
        <v>44938.93825231482</v>
      </c>
      <c r="C2519" s="1" t="n">
        <v>46145</v>
      </c>
      <c r="D2519" t="inlineStr">
        <is>
          <t>VÄSTERBOTTENS LÄN</t>
        </is>
      </c>
      <c r="E2519" t="inlineStr">
        <is>
          <t>VINDELN</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23561-2024</t>
        </is>
      </c>
      <c r="B2520" s="1" t="n">
        <v>45453.95478009259</v>
      </c>
      <c r="C2520" s="1" t="n">
        <v>46145</v>
      </c>
      <c r="D2520" t="inlineStr">
        <is>
          <t>VÄSTERBOTTENS LÄN</t>
        </is>
      </c>
      <c r="E2520" t="inlineStr">
        <is>
          <t>VINDELN</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23566-2024</t>
        </is>
      </c>
      <c r="B2521" s="1" t="n">
        <v>45453.95530092593</v>
      </c>
      <c r="C2521" s="1" t="n">
        <v>46145</v>
      </c>
      <c r="D2521" t="inlineStr">
        <is>
          <t>VÄSTERBOTTENS LÄN</t>
        </is>
      </c>
      <c r="E2521" t="inlineStr">
        <is>
          <t>NORDMALING</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14697-2024</t>
        </is>
      </c>
      <c r="B2522" s="1" t="n">
        <v>45397.48680555556</v>
      </c>
      <c r="C2522" s="1" t="n">
        <v>46145</v>
      </c>
      <c r="D2522" t="inlineStr">
        <is>
          <t>VÄSTERBOTTENS LÄN</t>
        </is>
      </c>
      <c r="E2522" t="inlineStr">
        <is>
          <t>VINDELN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29687-2021</t>
        </is>
      </c>
      <c r="B2523" s="1" t="n">
        <v>44362.37407407408</v>
      </c>
      <c r="C2523" s="1" t="n">
        <v>46145</v>
      </c>
      <c r="D2523" t="inlineStr">
        <is>
          <t>VÄSTERBOTTENS LÄN</t>
        </is>
      </c>
      <c r="E2523" t="inlineStr">
        <is>
          <t>SKELLEFTEÅ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44368-2024</t>
        </is>
      </c>
      <c r="B2524" s="1" t="n">
        <v>45573</v>
      </c>
      <c r="C2524" s="1" t="n">
        <v>46145</v>
      </c>
      <c r="D2524" t="inlineStr">
        <is>
          <t>VÄSTERBOTTENS LÄN</t>
        </is>
      </c>
      <c r="E2524" t="inlineStr">
        <is>
          <t>VILHELMINA</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33289-2023</t>
        </is>
      </c>
      <c r="B2525" s="1" t="n">
        <v>45116</v>
      </c>
      <c r="C2525" s="1" t="n">
        <v>46145</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24963-2023</t>
        </is>
      </c>
      <c r="B2526" s="1" t="n">
        <v>45085</v>
      </c>
      <c r="C2526" s="1" t="n">
        <v>46145</v>
      </c>
      <c r="D2526" t="inlineStr">
        <is>
          <t>VÄSTERBOTTENS LÄN</t>
        </is>
      </c>
      <c r="E2526" t="inlineStr">
        <is>
          <t>SKELLEFTEÅ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23647-2024</t>
        </is>
      </c>
      <c r="B2527" s="1" t="n">
        <v>45454.51224537037</v>
      </c>
      <c r="C2527" s="1" t="n">
        <v>46145</v>
      </c>
      <c r="D2527" t="inlineStr">
        <is>
          <t>VÄSTERBOTTENS LÄN</t>
        </is>
      </c>
      <c r="E2527" t="inlineStr">
        <is>
          <t>ROBERTSFORS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32854-2024</t>
        </is>
      </c>
      <c r="B2528" s="1" t="n">
        <v>45516.63974537037</v>
      </c>
      <c r="C2528" s="1" t="n">
        <v>46145</v>
      </c>
      <c r="D2528" t="inlineStr">
        <is>
          <t>VÄSTERBOTTENS LÄN</t>
        </is>
      </c>
      <c r="E2528" t="inlineStr">
        <is>
          <t>LYCKSELE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32921-2024</t>
        </is>
      </c>
      <c r="B2529" s="1" t="n">
        <v>45516.9525462963</v>
      </c>
      <c r="C2529" s="1" t="n">
        <v>46145</v>
      </c>
      <c r="D2529" t="inlineStr">
        <is>
          <t>VÄSTERBOTTENS LÄN</t>
        </is>
      </c>
      <c r="E2529" t="inlineStr">
        <is>
          <t>VILHELMINA</t>
        </is>
      </c>
      <c r="F2529" t="inlineStr">
        <is>
          <t>SCA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45846-2024</t>
        </is>
      </c>
      <c r="B2530" s="1" t="n">
        <v>45580.31106481481</v>
      </c>
      <c r="C2530" s="1" t="n">
        <v>46145</v>
      </c>
      <c r="D2530" t="inlineStr">
        <is>
          <t>VÄSTERBOTTENS LÄN</t>
        </is>
      </c>
      <c r="E2530" t="inlineStr">
        <is>
          <t>ROBERTSFORS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27436-2023</t>
        </is>
      </c>
      <c r="B2531" s="1" t="n">
        <v>45092</v>
      </c>
      <c r="C2531" s="1" t="n">
        <v>46145</v>
      </c>
      <c r="D2531" t="inlineStr">
        <is>
          <t>VÄSTERBOTTENS LÄN</t>
        </is>
      </c>
      <c r="E2531" t="inlineStr">
        <is>
          <t>ÅSELE</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47182-2024</t>
        </is>
      </c>
      <c r="B2532" s="1" t="n">
        <v>45586</v>
      </c>
      <c r="C2532" s="1" t="n">
        <v>46145</v>
      </c>
      <c r="D2532" t="inlineStr">
        <is>
          <t>VÄSTERBOTTENS LÄN</t>
        </is>
      </c>
      <c r="E2532" t="inlineStr">
        <is>
          <t>LYCKSELE</t>
        </is>
      </c>
      <c r="F2532" t="inlineStr">
        <is>
          <t>Sveaskog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47220-2024</t>
        </is>
      </c>
      <c r="B2533" s="1" t="n">
        <v>45586.66560185186</v>
      </c>
      <c r="C2533" s="1" t="n">
        <v>46145</v>
      </c>
      <c r="D2533" t="inlineStr">
        <is>
          <t>VÄSTERBOTTENS LÄN</t>
        </is>
      </c>
      <c r="E2533" t="inlineStr">
        <is>
          <t>NORSJÖ</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26531-2024</t>
        </is>
      </c>
      <c r="B2534" s="1" t="n">
        <v>45469</v>
      </c>
      <c r="C2534" s="1" t="n">
        <v>46145</v>
      </c>
      <c r="D2534" t="inlineStr">
        <is>
          <t>VÄSTERBOTTENS LÄN</t>
        </is>
      </c>
      <c r="E2534" t="inlineStr">
        <is>
          <t>LYCKSELE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18443-2025</t>
        </is>
      </c>
      <c r="B2535" s="1" t="n">
        <v>45762.65668981482</v>
      </c>
      <c r="C2535" s="1" t="n">
        <v>46145</v>
      </c>
      <c r="D2535" t="inlineStr">
        <is>
          <t>VÄSTERBOTTENS LÄN</t>
        </is>
      </c>
      <c r="E2535" t="inlineStr">
        <is>
          <t>SKELLEFTEÅ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47225-2024</t>
        </is>
      </c>
      <c r="B2536" s="1" t="n">
        <v>45586</v>
      </c>
      <c r="C2536" s="1" t="n">
        <v>46145</v>
      </c>
      <c r="D2536" t="inlineStr">
        <is>
          <t>VÄSTERBOTTENS LÄN</t>
        </is>
      </c>
      <c r="E2536" t="inlineStr">
        <is>
          <t>NORSJÖ</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64006-2023</t>
        </is>
      </c>
      <c r="B2537" s="1" t="n">
        <v>45278</v>
      </c>
      <c r="C2537" s="1" t="n">
        <v>46145</v>
      </c>
      <c r="D2537" t="inlineStr">
        <is>
          <t>VÄSTERBOTTENS LÄN</t>
        </is>
      </c>
      <c r="E2537" t="inlineStr">
        <is>
          <t>SKELLEFTEÅ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64028-2023</t>
        </is>
      </c>
      <c r="B2538" s="1" t="n">
        <v>45278.94263888889</v>
      </c>
      <c r="C2538" s="1" t="n">
        <v>46145</v>
      </c>
      <c r="D2538" t="inlineStr">
        <is>
          <t>VÄSTERBOTTENS LÄN</t>
        </is>
      </c>
      <c r="E2538" t="inlineStr">
        <is>
          <t>VILHELMINA</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45981-2024</t>
        </is>
      </c>
      <c r="B2539" s="1" t="n">
        <v>45580.60790509259</v>
      </c>
      <c r="C2539" s="1" t="n">
        <v>46145</v>
      </c>
      <c r="D2539" t="inlineStr">
        <is>
          <t>VÄSTERBOTTENS LÄN</t>
        </is>
      </c>
      <c r="E2539" t="inlineStr">
        <is>
          <t>SKELLEFTEÅ</t>
        </is>
      </c>
      <c r="F2539" t="inlineStr">
        <is>
          <t>Holmen skog AB</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18497-2025</t>
        </is>
      </c>
      <c r="B2540" s="1" t="n">
        <v>45763.35385416666</v>
      </c>
      <c r="C2540" s="1" t="n">
        <v>46145</v>
      </c>
      <c r="D2540" t="inlineStr">
        <is>
          <t>VÄSTERBOTTENS LÄN</t>
        </is>
      </c>
      <c r="E2540" t="inlineStr">
        <is>
          <t>SKELLEFTEÅ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21803-2024</t>
        </is>
      </c>
      <c r="B2541" s="1" t="n">
        <v>45442</v>
      </c>
      <c r="C2541" s="1" t="n">
        <v>46145</v>
      </c>
      <c r="D2541" t="inlineStr">
        <is>
          <t>VÄSTERBOTTENS LÄN</t>
        </is>
      </c>
      <c r="E2541" t="inlineStr">
        <is>
          <t>LYCKSELE</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25652-2024</t>
        </is>
      </c>
      <c r="B2542" s="1" t="n">
        <v>45463</v>
      </c>
      <c r="C2542" s="1" t="n">
        <v>46145</v>
      </c>
      <c r="D2542" t="inlineStr">
        <is>
          <t>VÄSTERBOTTENS LÄN</t>
        </is>
      </c>
      <c r="E2542" t="inlineStr">
        <is>
          <t>VINDELN</t>
        </is>
      </c>
      <c r="F2542" t="inlineStr">
        <is>
          <t>Naturvårdsverket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25687-2024</t>
        </is>
      </c>
      <c r="B2543" s="1" t="n">
        <v>45463</v>
      </c>
      <c r="C2543" s="1" t="n">
        <v>46145</v>
      </c>
      <c r="D2543" t="inlineStr">
        <is>
          <t>VÄSTERBOTTENS LÄN</t>
        </is>
      </c>
      <c r="E2543" t="inlineStr">
        <is>
          <t>UMEÅ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21836-2024</t>
        </is>
      </c>
      <c r="B2544" s="1" t="n">
        <v>45442.93028935185</v>
      </c>
      <c r="C2544" s="1" t="n">
        <v>46145</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16563-2024</t>
        </is>
      </c>
      <c r="B2545" s="1" t="n">
        <v>45408</v>
      </c>
      <c r="C2545" s="1" t="n">
        <v>46145</v>
      </c>
      <c r="D2545" t="inlineStr">
        <is>
          <t>VÄSTERBOTTENS LÄN</t>
        </is>
      </c>
      <c r="E2545" t="inlineStr">
        <is>
          <t>LYCKSELE</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3947-2024</t>
        </is>
      </c>
      <c r="B2546" s="1" t="n">
        <v>45322</v>
      </c>
      <c r="C2546" s="1" t="n">
        <v>46145</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25701-2024</t>
        </is>
      </c>
      <c r="B2547" s="1" t="n">
        <v>45463.94247685185</v>
      </c>
      <c r="C2547" s="1" t="n">
        <v>46145</v>
      </c>
      <c r="D2547" t="inlineStr">
        <is>
          <t>VÄSTERBOTTENS LÄN</t>
        </is>
      </c>
      <c r="E2547" t="inlineStr">
        <is>
          <t>VILHELMINA</t>
        </is>
      </c>
      <c r="F2547" t="inlineStr">
        <is>
          <t>SCA</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25713-2024</t>
        </is>
      </c>
      <c r="B2548" s="1" t="n">
        <v>45463</v>
      </c>
      <c r="C2548" s="1" t="n">
        <v>46145</v>
      </c>
      <c r="D2548" t="inlineStr">
        <is>
          <t>VÄSTERBOTTENS LÄN</t>
        </is>
      </c>
      <c r="E2548" t="inlineStr">
        <is>
          <t>ÅSELE</t>
        </is>
      </c>
      <c r="F2548" t="inlineStr">
        <is>
          <t>SCA</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20600-2024</t>
        </is>
      </c>
      <c r="B2549" s="1" t="n">
        <v>45436</v>
      </c>
      <c r="C2549" s="1" t="n">
        <v>46145</v>
      </c>
      <c r="D2549" t="inlineStr">
        <is>
          <t>VÄSTERBOTTENS LÄN</t>
        </is>
      </c>
      <c r="E2549" t="inlineStr">
        <is>
          <t>VINDELN</t>
        </is>
      </c>
      <c r="F2549" t="inlineStr">
        <is>
          <t>Sveaskog</t>
        </is>
      </c>
      <c r="G2549" t="n">
        <v>14.6</v>
      </c>
      <c r="H2549" t="n">
        <v>0</v>
      </c>
      <c r="I2549" t="n">
        <v>0</v>
      </c>
      <c r="J2549" t="n">
        <v>0</v>
      </c>
      <c r="K2549" t="n">
        <v>0</v>
      </c>
      <c r="L2549" t="n">
        <v>0</v>
      </c>
      <c r="M2549" t="n">
        <v>0</v>
      </c>
      <c r="N2549" t="n">
        <v>0</v>
      </c>
      <c r="O2549" t="n">
        <v>0</v>
      </c>
      <c r="P2549" t="n">
        <v>0</v>
      </c>
      <c r="Q2549" t="n">
        <v>0</v>
      </c>
      <c r="R2549" s="2" t="inlineStr"/>
    </row>
    <row r="2550" ht="15" customHeight="1">
      <c r="A2550" t="inlineStr">
        <is>
          <t>A 61700-2022</t>
        </is>
      </c>
      <c r="B2550" s="1" t="n">
        <v>44911</v>
      </c>
      <c r="C2550" s="1" t="n">
        <v>46145</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9800-2023</t>
        </is>
      </c>
      <c r="B2551" s="1" t="n">
        <v>44978</v>
      </c>
      <c r="C2551" s="1" t="n">
        <v>46145</v>
      </c>
      <c r="D2551" t="inlineStr">
        <is>
          <t>VÄSTERBOTTENS LÄN</t>
        </is>
      </c>
      <c r="E2551" t="inlineStr">
        <is>
          <t>SORSELE</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39437-2024</t>
        </is>
      </c>
      <c r="B2552" s="1" t="n">
        <v>45551</v>
      </c>
      <c r="C2552" s="1" t="n">
        <v>46145</v>
      </c>
      <c r="D2552" t="inlineStr">
        <is>
          <t>VÄSTERBOTTENS LÄN</t>
        </is>
      </c>
      <c r="E2552" t="inlineStr">
        <is>
          <t>ROBERTSFORS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39442-2024</t>
        </is>
      </c>
      <c r="B2553" s="1" t="n">
        <v>45551.61047453704</v>
      </c>
      <c r="C2553" s="1" t="n">
        <v>46145</v>
      </c>
      <c r="D2553" t="inlineStr">
        <is>
          <t>VÄSTERBOTTENS LÄN</t>
        </is>
      </c>
      <c r="E2553" t="inlineStr">
        <is>
          <t>MALÅ</t>
        </is>
      </c>
      <c r="F2553" t="inlineStr">
        <is>
          <t>Sveaskog</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39450-2024</t>
        </is>
      </c>
      <c r="B2554" s="1" t="n">
        <v>45551.61681712963</v>
      </c>
      <c r="C2554" s="1" t="n">
        <v>46145</v>
      </c>
      <c r="D2554" t="inlineStr">
        <is>
          <t>VÄSTERBOTTENS LÄN</t>
        </is>
      </c>
      <c r="E2554" t="inlineStr">
        <is>
          <t>ÅSELE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39471-2024</t>
        </is>
      </c>
      <c r="B2555" s="1" t="n">
        <v>45551.63643518519</v>
      </c>
      <c r="C2555" s="1" t="n">
        <v>46145</v>
      </c>
      <c r="D2555" t="inlineStr">
        <is>
          <t>VÄSTERBOTTENS LÄN</t>
        </is>
      </c>
      <c r="E2555" t="inlineStr">
        <is>
          <t>DOROTEA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47141-2021</t>
        </is>
      </c>
      <c r="B2556" s="1" t="n">
        <v>44446.91958333334</v>
      </c>
      <c r="C2556" s="1" t="n">
        <v>46145</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30153-2023</t>
        </is>
      </c>
      <c r="B2557" s="1" t="n">
        <v>45110</v>
      </c>
      <c r="C2557" s="1" t="n">
        <v>46145</v>
      </c>
      <c r="D2557" t="inlineStr">
        <is>
          <t>VÄSTERBOTTENS LÄN</t>
        </is>
      </c>
      <c r="E2557" t="inlineStr">
        <is>
          <t>SORSELE</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32677-2024</t>
        </is>
      </c>
      <c r="B2558" s="1" t="n">
        <v>45514.96219907407</v>
      </c>
      <c r="C2558" s="1" t="n">
        <v>46145</v>
      </c>
      <c r="D2558" t="inlineStr">
        <is>
          <t>VÄSTERBOTTENS LÄN</t>
        </is>
      </c>
      <c r="E2558" t="inlineStr">
        <is>
          <t>VINDELN</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32679-2024</t>
        </is>
      </c>
      <c r="B2559" s="1" t="n">
        <v>45514.96258101852</v>
      </c>
      <c r="C2559" s="1" t="n">
        <v>46145</v>
      </c>
      <c r="D2559" t="inlineStr">
        <is>
          <t>VÄSTERBOTTENS LÄN</t>
        </is>
      </c>
      <c r="E2559" t="inlineStr">
        <is>
          <t>VINDELN</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32680-2024</t>
        </is>
      </c>
      <c r="B2560" s="1" t="n">
        <v>45514.96278935186</v>
      </c>
      <c r="C2560" s="1" t="n">
        <v>46145</v>
      </c>
      <c r="D2560" t="inlineStr">
        <is>
          <t>VÄSTERBOTTENS LÄN</t>
        </is>
      </c>
      <c r="E2560" t="inlineStr">
        <is>
          <t>VINDELN</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17928-2023</t>
        </is>
      </c>
      <c r="B2561" s="1" t="n">
        <v>45037</v>
      </c>
      <c r="C2561" s="1" t="n">
        <v>46145</v>
      </c>
      <c r="D2561" t="inlineStr">
        <is>
          <t>VÄSTERBOTTENS LÄN</t>
        </is>
      </c>
      <c r="E2561" t="inlineStr">
        <is>
          <t>UMEÅ</t>
        </is>
      </c>
      <c r="F2561" t="inlineStr">
        <is>
          <t>Kommuner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60853-2022</t>
        </is>
      </c>
      <c r="B2562" s="1" t="n">
        <v>44914.51908564815</v>
      </c>
      <c r="C2562" s="1" t="n">
        <v>46145</v>
      </c>
      <c r="D2562" t="inlineStr">
        <is>
          <t>VÄSTERBOTTENS LÄN</t>
        </is>
      </c>
      <c r="E2562" t="inlineStr">
        <is>
          <t>SKELLEFTEÅ</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64723-2023</t>
        </is>
      </c>
      <c r="B2563" s="1" t="n">
        <v>45281</v>
      </c>
      <c r="C2563" s="1" t="n">
        <v>46145</v>
      </c>
      <c r="D2563" t="inlineStr">
        <is>
          <t>VÄSTERBOTTENS LÄN</t>
        </is>
      </c>
      <c r="E2563" t="inlineStr">
        <is>
          <t>SKELLEFTEÅ</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60868-2022</t>
        </is>
      </c>
      <c r="B2564" s="1" t="n">
        <v>44908</v>
      </c>
      <c r="C2564" s="1" t="n">
        <v>46145</v>
      </c>
      <c r="D2564" t="inlineStr">
        <is>
          <t>VÄSTERBOTTENS LÄN</t>
        </is>
      </c>
      <c r="E2564" t="inlineStr">
        <is>
          <t>ÅSELE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42180-2021</t>
        </is>
      </c>
      <c r="B2565" s="1" t="n">
        <v>44426.68600694444</v>
      </c>
      <c r="C2565" s="1" t="n">
        <v>46145</v>
      </c>
      <c r="D2565" t="inlineStr">
        <is>
          <t>VÄSTERBOTTENS LÄN</t>
        </is>
      </c>
      <c r="E2565" t="inlineStr">
        <is>
          <t>ÅSELE</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32690-2024</t>
        </is>
      </c>
      <c r="B2566" s="1" t="n">
        <v>45515.85923611111</v>
      </c>
      <c r="C2566" s="1" t="n">
        <v>46145</v>
      </c>
      <c r="D2566" t="inlineStr">
        <is>
          <t>VÄSTERBOTTENS LÄN</t>
        </is>
      </c>
      <c r="E2566" t="inlineStr">
        <is>
          <t>LYCKSELE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32709-2024</t>
        </is>
      </c>
      <c r="B2567" s="1" t="n">
        <v>45516.3629050926</v>
      </c>
      <c r="C2567" s="1" t="n">
        <v>46145</v>
      </c>
      <c r="D2567" t="inlineStr">
        <is>
          <t>VÄSTERBOTTENS LÄN</t>
        </is>
      </c>
      <c r="E2567" t="inlineStr">
        <is>
          <t>SKELLEFTEÅ</t>
        </is>
      </c>
      <c r="F2567" t="inlineStr">
        <is>
          <t>Holmen skog AB</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22408-2024</t>
        </is>
      </c>
      <c r="B2568" s="1" t="n">
        <v>45446.6784837963</v>
      </c>
      <c r="C2568" s="1" t="n">
        <v>46145</v>
      </c>
      <c r="D2568" t="inlineStr">
        <is>
          <t>VÄSTERBOTTENS LÄN</t>
        </is>
      </c>
      <c r="E2568" t="inlineStr">
        <is>
          <t>BJURHOLM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41323-2024</t>
        </is>
      </c>
      <c r="B2569" s="1" t="n">
        <v>45559.65309027778</v>
      </c>
      <c r="C2569" s="1" t="n">
        <v>46145</v>
      </c>
      <c r="D2569" t="inlineStr">
        <is>
          <t>VÄSTERBOTTENS LÄN</t>
        </is>
      </c>
      <c r="E2569" t="inlineStr">
        <is>
          <t>NORSJÖ</t>
        </is>
      </c>
      <c r="F2569" t="inlineStr">
        <is>
          <t>Sveaskog</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25714-2024</t>
        </is>
      </c>
      <c r="B2570" s="1" t="n">
        <v>45463.94417824074</v>
      </c>
      <c r="C2570" s="1" t="n">
        <v>46145</v>
      </c>
      <c r="D2570" t="inlineStr">
        <is>
          <t>VÄSTERBOTTENS LÄN</t>
        </is>
      </c>
      <c r="E2570" t="inlineStr">
        <is>
          <t>DOROTEA</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8916-2023</t>
        </is>
      </c>
      <c r="B2571" s="1" t="n">
        <v>44972</v>
      </c>
      <c r="C2571" s="1" t="n">
        <v>46145</v>
      </c>
      <c r="D2571" t="inlineStr">
        <is>
          <t>VÄSTERBOTTENS LÄN</t>
        </is>
      </c>
      <c r="E2571" t="inlineStr">
        <is>
          <t>VILHELMINA</t>
        </is>
      </c>
      <c r="F2571" t="inlineStr">
        <is>
          <t>Allmännings- och besparingsskogar</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5741-2023</t>
        </is>
      </c>
      <c r="B2572" s="1" t="n">
        <v>44962</v>
      </c>
      <c r="C2572" s="1" t="n">
        <v>46145</v>
      </c>
      <c r="D2572" t="inlineStr">
        <is>
          <t>VÄSTERBOTTENS LÄN</t>
        </is>
      </c>
      <c r="E2572" t="inlineStr">
        <is>
          <t>VINDELN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58669-2022</t>
        </is>
      </c>
      <c r="B2573" s="1" t="n">
        <v>44895</v>
      </c>
      <c r="C2573" s="1" t="n">
        <v>46145</v>
      </c>
      <c r="D2573" t="inlineStr">
        <is>
          <t>VÄSTERBOTTENS LÄN</t>
        </is>
      </c>
      <c r="E2573" t="inlineStr">
        <is>
          <t>SORSELE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58715-2022</t>
        </is>
      </c>
      <c r="B2574" s="1" t="n">
        <v>44902.92510416666</v>
      </c>
      <c r="C2574" s="1" t="n">
        <v>46145</v>
      </c>
      <c r="D2574" t="inlineStr">
        <is>
          <t>VÄSTERBOTTENS LÄN</t>
        </is>
      </c>
      <c r="E2574" t="inlineStr">
        <is>
          <t>ROBERTSFORS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3546-2024</t>
        </is>
      </c>
      <c r="B2575" s="1" t="n">
        <v>45320</v>
      </c>
      <c r="C2575" s="1" t="n">
        <v>46145</v>
      </c>
      <c r="D2575" t="inlineStr">
        <is>
          <t>VÄSTERBOTTENS LÄN</t>
        </is>
      </c>
      <c r="E2575" t="inlineStr">
        <is>
          <t>LYCKSELE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31058-2024</t>
        </is>
      </c>
      <c r="B2576" s="1" t="n">
        <v>45502</v>
      </c>
      <c r="C2576" s="1" t="n">
        <v>46145</v>
      </c>
      <c r="D2576" t="inlineStr">
        <is>
          <t>VÄSTERBOTTENS LÄN</t>
        </is>
      </c>
      <c r="E2576" t="inlineStr">
        <is>
          <t>ROBERTSFORS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31059-2024</t>
        </is>
      </c>
      <c r="B2577" s="1" t="n">
        <v>45502</v>
      </c>
      <c r="C2577" s="1" t="n">
        <v>46145</v>
      </c>
      <c r="D2577" t="inlineStr">
        <is>
          <t>VÄSTERBOTTENS LÄN</t>
        </is>
      </c>
      <c r="E2577" t="inlineStr">
        <is>
          <t>ROBERTSFORS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22112-2024</t>
        </is>
      </c>
      <c r="B2578" s="1" t="n">
        <v>45443</v>
      </c>
      <c r="C2578" s="1" t="n">
        <v>46145</v>
      </c>
      <c r="D2578" t="inlineStr">
        <is>
          <t>VÄSTERBOTTENS LÄN</t>
        </is>
      </c>
      <c r="E2578" t="inlineStr">
        <is>
          <t>ÅSELE</t>
        </is>
      </c>
      <c r="F2578" t="inlineStr">
        <is>
          <t>SCA</t>
        </is>
      </c>
      <c r="G2578" t="n">
        <v>25.9</v>
      </c>
      <c r="H2578" t="n">
        <v>0</v>
      </c>
      <c r="I2578" t="n">
        <v>0</v>
      </c>
      <c r="J2578" t="n">
        <v>0</v>
      </c>
      <c r="K2578" t="n">
        <v>0</v>
      </c>
      <c r="L2578" t="n">
        <v>0</v>
      </c>
      <c r="M2578" t="n">
        <v>0</v>
      </c>
      <c r="N2578" t="n">
        <v>0</v>
      </c>
      <c r="O2578" t="n">
        <v>0</v>
      </c>
      <c r="P2578" t="n">
        <v>0</v>
      </c>
      <c r="Q2578" t="n">
        <v>0</v>
      </c>
      <c r="R2578" s="2" t="inlineStr"/>
    </row>
    <row r="2579" ht="15" customHeight="1">
      <c r="A2579" t="inlineStr">
        <is>
          <t>A 36037-2024</t>
        </is>
      </c>
      <c r="B2579" s="1" t="n">
        <v>45533.5966087963</v>
      </c>
      <c r="C2579" s="1" t="n">
        <v>46145</v>
      </c>
      <c r="D2579" t="inlineStr">
        <is>
          <t>VÄSTERBOTTENS LÄN</t>
        </is>
      </c>
      <c r="E2579" t="inlineStr">
        <is>
          <t>ÅSELE</t>
        </is>
      </c>
      <c r="F2579" t="inlineStr">
        <is>
          <t>Holmen skog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34670-2023</t>
        </is>
      </c>
      <c r="B2580" s="1" t="n">
        <v>45140.83440972222</v>
      </c>
      <c r="C2580" s="1" t="n">
        <v>46145</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34672-2023</t>
        </is>
      </c>
      <c r="B2581" s="1" t="n">
        <v>45140.84226851852</v>
      </c>
      <c r="C2581" s="1" t="n">
        <v>46145</v>
      </c>
      <c r="D2581" t="inlineStr">
        <is>
          <t>VÄSTERBOTTENS LÄN</t>
        </is>
      </c>
      <c r="E2581" t="inlineStr">
        <is>
          <t>SKELLEFTEÅ</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28656-2024</t>
        </is>
      </c>
      <c r="B2582" s="1" t="n">
        <v>45478</v>
      </c>
      <c r="C2582" s="1" t="n">
        <v>46145</v>
      </c>
      <c r="D2582" t="inlineStr">
        <is>
          <t>VÄSTERBOTTENS LÄN</t>
        </is>
      </c>
      <c r="E2582" t="inlineStr">
        <is>
          <t>VILHELMINA</t>
        </is>
      </c>
      <c r="F2582" t="inlineStr">
        <is>
          <t>Allmännings- och besparingsskogar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30183-2024</t>
        </is>
      </c>
      <c r="B2583" s="1" t="n">
        <v>45489.94449074074</v>
      </c>
      <c r="C2583" s="1" t="n">
        <v>46145</v>
      </c>
      <c r="D2583" t="inlineStr">
        <is>
          <t>VÄSTERBOTTENS LÄN</t>
        </is>
      </c>
      <c r="E2583" t="inlineStr">
        <is>
          <t>NORDMALING</t>
        </is>
      </c>
      <c r="F2583" t="inlineStr">
        <is>
          <t>SCA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1680-2024</t>
        </is>
      </c>
      <c r="B2584" s="1" t="n">
        <v>45306.97434027777</v>
      </c>
      <c r="C2584" s="1" t="n">
        <v>46145</v>
      </c>
      <c r="D2584" t="inlineStr">
        <is>
          <t>VÄSTERBOTTENS LÄN</t>
        </is>
      </c>
      <c r="E2584" t="inlineStr">
        <is>
          <t>VINDELN</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49146-2022</t>
        </is>
      </c>
      <c r="B2585" s="1" t="n">
        <v>44860</v>
      </c>
      <c r="C2585" s="1" t="n">
        <v>46145</v>
      </c>
      <c r="D2585" t="inlineStr">
        <is>
          <t>VÄSTERBOTTENS LÄN</t>
        </is>
      </c>
      <c r="E2585" t="inlineStr">
        <is>
          <t>ROBERTSFORS</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31497-2024</t>
        </is>
      </c>
      <c r="B2586" s="1" t="n">
        <v>45505.95497685186</v>
      </c>
      <c r="C2586" s="1" t="n">
        <v>46145</v>
      </c>
      <c r="D2586" t="inlineStr">
        <is>
          <t>VÄSTERBOTTENS LÄN</t>
        </is>
      </c>
      <c r="E2586" t="inlineStr">
        <is>
          <t>DOROTEA</t>
        </is>
      </c>
      <c r="F2586" t="inlineStr">
        <is>
          <t>SCA</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35736-2023</t>
        </is>
      </c>
      <c r="B2587" s="1" t="n">
        <v>45147</v>
      </c>
      <c r="C2587" s="1" t="n">
        <v>46145</v>
      </c>
      <c r="D2587" t="inlineStr">
        <is>
          <t>VÄSTERBOTTENS LÄN</t>
        </is>
      </c>
      <c r="E2587" t="inlineStr">
        <is>
          <t>SKELLEFTEÅ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8088-2023</t>
        </is>
      </c>
      <c r="B2588" s="1" t="n">
        <v>44974</v>
      </c>
      <c r="C2588" s="1" t="n">
        <v>46145</v>
      </c>
      <c r="D2588" t="inlineStr">
        <is>
          <t>VÄSTERBOTTENS LÄN</t>
        </is>
      </c>
      <c r="E2588" t="inlineStr">
        <is>
          <t>DOROTEA</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8094-2023</t>
        </is>
      </c>
      <c r="B2589" s="1" t="n">
        <v>44970</v>
      </c>
      <c r="C2589" s="1" t="n">
        <v>46145</v>
      </c>
      <c r="D2589" t="inlineStr">
        <is>
          <t>VÄSTERBOTTENS LÄN</t>
        </is>
      </c>
      <c r="E2589" t="inlineStr">
        <is>
          <t>ÅSELE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31501-2024</t>
        </is>
      </c>
      <c r="B2590" s="1" t="n">
        <v>45505.95542824074</v>
      </c>
      <c r="C2590" s="1" t="n">
        <v>46145</v>
      </c>
      <c r="D2590" t="inlineStr">
        <is>
          <t>VÄSTERBOTTENS LÄN</t>
        </is>
      </c>
      <c r="E2590" t="inlineStr">
        <is>
          <t>DOROTEA</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56435-2022</t>
        </is>
      </c>
      <c r="B2591" s="1" t="n">
        <v>44892.39662037037</v>
      </c>
      <c r="C2591" s="1" t="n">
        <v>46145</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48635-2024</t>
        </is>
      </c>
      <c r="B2592" s="1" t="n">
        <v>45593.46998842592</v>
      </c>
      <c r="C2592" s="1" t="n">
        <v>46145</v>
      </c>
      <c r="D2592" t="inlineStr">
        <is>
          <t>VÄSTERBOTTENS LÄN</t>
        </is>
      </c>
      <c r="E2592" t="inlineStr">
        <is>
          <t>UMEÅ</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28019-2023</t>
        </is>
      </c>
      <c r="B2593" s="1" t="n">
        <v>45098</v>
      </c>
      <c r="C2593" s="1" t="n">
        <v>46145</v>
      </c>
      <c r="D2593" t="inlineStr">
        <is>
          <t>VÄSTERBOTTENS LÄN</t>
        </is>
      </c>
      <c r="E2593" t="inlineStr">
        <is>
          <t>STORUMAN</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27552-2024</t>
        </is>
      </c>
      <c r="B2594" s="1" t="n">
        <v>45474.61884259259</v>
      </c>
      <c r="C2594" s="1" t="n">
        <v>46145</v>
      </c>
      <c r="D2594" t="inlineStr">
        <is>
          <t>VÄSTERBOTTENS LÄN</t>
        </is>
      </c>
      <c r="E2594" t="inlineStr">
        <is>
          <t>STORUMAN</t>
        </is>
      </c>
      <c r="F2594" t="inlineStr">
        <is>
          <t>Sveaskog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54729-2022</t>
        </is>
      </c>
      <c r="B2595" s="1" t="n">
        <v>44881</v>
      </c>
      <c r="C2595" s="1" t="n">
        <v>46145</v>
      </c>
      <c r="D2595" t="inlineStr">
        <is>
          <t>VÄSTERBOTTENS LÄN</t>
        </is>
      </c>
      <c r="E2595" t="inlineStr">
        <is>
          <t>VILHELMINA</t>
        </is>
      </c>
      <c r="G2595" t="n">
        <v>19.2</v>
      </c>
      <c r="H2595" t="n">
        <v>0</v>
      </c>
      <c r="I2595" t="n">
        <v>0</v>
      </c>
      <c r="J2595" t="n">
        <v>0</v>
      </c>
      <c r="K2595" t="n">
        <v>0</v>
      </c>
      <c r="L2595" t="n">
        <v>0</v>
      </c>
      <c r="M2595" t="n">
        <v>0</v>
      </c>
      <c r="N2595" t="n">
        <v>0</v>
      </c>
      <c r="O2595" t="n">
        <v>0</v>
      </c>
      <c r="P2595" t="n">
        <v>0</v>
      </c>
      <c r="Q2595" t="n">
        <v>0</v>
      </c>
      <c r="R2595" s="2" t="inlineStr"/>
    </row>
    <row r="2596" ht="15" customHeight="1">
      <c r="A2596" t="inlineStr">
        <is>
          <t>A 27553-2024</t>
        </is>
      </c>
      <c r="B2596" s="1" t="n">
        <v>45474.61927083333</v>
      </c>
      <c r="C2596" s="1" t="n">
        <v>46145</v>
      </c>
      <c r="D2596" t="inlineStr">
        <is>
          <t>VÄSTERBOTTENS LÄN</t>
        </is>
      </c>
      <c r="E2596" t="inlineStr">
        <is>
          <t>LYCKSELE</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35434-2024</t>
        </is>
      </c>
      <c r="B2597" s="1" t="n">
        <v>45531.41466435185</v>
      </c>
      <c r="C2597" s="1" t="n">
        <v>46145</v>
      </c>
      <c r="D2597" t="inlineStr">
        <is>
          <t>VÄSTERBOTTENS LÄN</t>
        </is>
      </c>
      <c r="E2597" t="inlineStr">
        <is>
          <t>UMEÅ</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35435-2024</t>
        </is>
      </c>
      <c r="B2598" s="1" t="n">
        <v>45531.41481481482</v>
      </c>
      <c r="C2598" s="1" t="n">
        <v>46145</v>
      </c>
      <c r="D2598" t="inlineStr">
        <is>
          <t>VÄSTERBOTTENS LÄN</t>
        </is>
      </c>
      <c r="E2598" t="inlineStr">
        <is>
          <t>SKELLEFTEÅ</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34807-2023</t>
        </is>
      </c>
      <c r="B2599" s="1" t="n">
        <v>45140</v>
      </c>
      <c r="C2599" s="1" t="n">
        <v>46145</v>
      </c>
      <c r="D2599" t="inlineStr">
        <is>
          <t>VÄSTERBOTTENS LÄN</t>
        </is>
      </c>
      <c r="E2599" t="inlineStr">
        <is>
          <t>VILHELMINA</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34821-2023</t>
        </is>
      </c>
      <c r="B2600" s="1" t="n">
        <v>45140</v>
      </c>
      <c r="C2600" s="1" t="n">
        <v>46145</v>
      </c>
      <c r="D2600" t="inlineStr">
        <is>
          <t>VÄSTERBOTTENS LÄN</t>
        </is>
      </c>
      <c r="E2600" t="inlineStr">
        <is>
          <t>ROBERTSFORS</t>
        </is>
      </c>
      <c r="G2600" t="n">
        <v>15.3</v>
      </c>
      <c r="H2600" t="n">
        <v>0</v>
      </c>
      <c r="I2600" t="n">
        <v>0</v>
      </c>
      <c r="J2600" t="n">
        <v>0</v>
      </c>
      <c r="K2600" t="n">
        <v>0</v>
      </c>
      <c r="L2600" t="n">
        <v>0</v>
      </c>
      <c r="M2600" t="n">
        <v>0</v>
      </c>
      <c r="N2600" t="n">
        <v>0</v>
      </c>
      <c r="O2600" t="n">
        <v>0</v>
      </c>
      <c r="P2600" t="n">
        <v>0</v>
      </c>
      <c r="Q2600" t="n">
        <v>0</v>
      </c>
      <c r="R2600" s="2" t="inlineStr"/>
    </row>
    <row r="2601" ht="15" customHeight="1">
      <c r="A2601" t="inlineStr">
        <is>
          <t>A 60267-2022</t>
        </is>
      </c>
      <c r="B2601" s="1" t="n">
        <v>44910</v>
      </c>
      <c r="C2601" s="1" t="n">
        <v>46145</v>
      </c>
      <c r="D2601" t="inlineStr">
        <is>
          <t>VÄSTERBOTTENS LÄN</t>
        </is>
      </c>
      <c r="E2601" t="inlineStr">
        <is>
          <t>LYCKSELE</t>
        </is>
      </c>
      <c r="F2601" t="inlineStr">
        <is>
          <t>Sveaskog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56104-2022</t>
        </is>
      </c>
      <c r="B2602" s="1" t="n">
        <v>44889</v>
      </c>
      <c r="C2602" s="1" t="n">
        <v>46145</v>
      </c>
      <c r="D2602" t="inlineStr">
        <is>
          <t>VÄSTERBOTTENS LÄN</t>
        </is>
      </c>
      <c r="E2602" t="inlineStr">
        <is>
          <t>VINDELN</t>
        </is>
      </c>
      <c r="F2602" t="inlineStr">
        <is>
          <t>Holmen skog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31200-2024</t>
        </is>
      </c>
      <c r="B2603" s="1" t="n">
        <v>45503</v>
      </c>
      <c r="C2603" s="1" t="n">
        <v>46145</v>
      </c>
      <c r="D2603" t="inlineStr">
        <is>
          <t>VÄSTERBOTTENS LÄN</t>
        </is>
      </c>
      <c r="E2603" t="inlineStr">
        <is>
          <t>UMEÅ</t>
        </is>
      </c>
      <c r="F2603" t="inlineStr">
        <is>
          <t>Holmen skog AB</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31251-2024</t>
        </is>
      </c>
      <c r="B2604" s="1" t="n">
        <v>45503.65972222222</v>
      </c>
      <c r="C2604" s="1" t="n">
        <v>46145</v>
      </c>
      <c r="D2604" t="inlineStr">
        <is>
          <t>VÄSTERBOTTENS LÄN</t>
        </is>
      </c>
      <c r="E2604" t="inlineStr">
        <is>
          <t>LYCKSELE</t>
        </is>
      </c>
      <c r="F2604" t="inlineStr">
        <is>
          <t>Sveaskog</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54539-2023</t>
        </is>
      </c>
      <c r="B2605" s="1" t="n">
        <v>45226</v>
      </c>
      <c r="C2605" s="1" t="n">
        <v>46145</v>
      </c>
      <c r="D2605" t="inlineStr">
        <is>
          <t>VÄSTERBOTTENS LÄN</t>
        </is>
      </c>
      <c r="E2605" t="inlineStr">
        <is>
          <t>LYCKSELE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24399-2024</t>
        </is>
      </c>
      <c r="B2606" s="1" t="n">
        <v>45457.65552083333</v>
      </c>
      <c r="C2606" s="1" t="n">
        <v>46145</v>
      </c>
      <c r="D2606" t="inlineStr">
        <is>
          <t>VÄSTERBOTTENS LÄN</t>
        </is>
      </c>
      <c r="E2606" t="inlineStr">
        <is>
          <t>NORSJÖ</t>
        </is>
      </c>
      <c r="F2606" t="inlineStr">
        <is>
          <t>Holmen skog AB</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24444-2024</t>
        </is>
      </c>
      <c r="B2607" s="1" t="n">
        <v>45457.96425925926</v>
      </c>
      <c r="C2607" s="1" t="n">
        <v>46145</v>
      </c>
      <c r="D2607" t="inlineStr">
        <is>
          <t>VÄSTERBOTTENS LÄN</t>
        </is>
      </c>
      <c r="E2607" t="inlineStr">
        <is>
          <t>ÅSELE</t>
        </is>
      </c>
      <c r="F2607" t="inlineStr">
        <is>
          <t>SCA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22946-2024</t>
        </is>
      </c>
      <c r="B2608" s="1" t="n">
        <v>45448.94579861111</v>
      </c>
      <c r="C2608" s="1" t="n">
        <v>46145</v>
      </c>
      <c r="D2608" t="inlineStr">
        <is>
          <t>VÄSTERBOTTENS LÄN</t>
        </is>
      </c>
      <c r="E2608" t="inlineStr">
        <is>
          <t>DOROTEA</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60117-2022</t>
        </is>
      </c>
      <c r="B2609" s="1" t="n">
        <v>44909</v>
      </c>
      <c r="C2609" s="1" t="n">
        <v>46145</v>
      </c>
      <c r="D2609" t="inlineStr">
        <is>
          <t>VÄSTERBOTTENS LÄN</t>
        </is>
      </c>
      <c r="E2609" t="inlineStr">
        <is>
          <t>LYCKSELE</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60122-2022</t>
        </is>
      </c>
      <c r="B2610" s="1" t="n">
        <v>44909</v>
      </c>
      <c r="C2610" s="1" t="n">
        <v>46145</v>
      </c>
      <c r="D2610" t="inlineStr">
        <is>
          <t>VÄSTERBOTTENS LÄN</t>
        </is>
      </c>
      <c r="E2610" t="inlineStr">
        <is>
          <t>LYCKSELE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31762-2024</t>
        </is>
      </c>
      <c r="B2611" s="1" t="n">
        <v>45509.45523148148</v>
      </c>
      <c r="C2611" s="1" t="n">
        <v>46145</v>
      </c>
      <c r="D2611" t="inlineStr">
        <is>
          <t>VÄSTERBOTTENS LÄN</t>
        </is>
      </c>
      <c r="E2611" t="inlineStr">
        <is>
          <t>VINDELN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24466-2024</t>
        </is>
      </c>
      <c r="B2612" s="1" t="n">
        <v>45458</v>
      </c>
      <c r="C2612" s="1" t="n">
        <v>46145</v>
      </c>
      <c r="D2612" t="inlineStr">
        <is>
          <t>VÄSTERBOTTENS LÄN</t>
        </is>
      </c>
      <c r="E2612" t="inlineStr">
        <is>
          <t>ROBERTSFORS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24469-2024</t>
        </is>
      </c>
      <c r="B2613" s="1" t="n">
        <v>45458</v>
      </c>
      <c r="C2613" s="1" t="n">
        <v>46145</v>
      </c>
      <c r="D2613" t="inlineStr">
        <is>
          <t>VÄSTERBOTTENS LÄN</t>
        </is>
      </c>
      <c r="E2613" t="inlineStr">
        <is>
          <t>ROBERTSFORS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34762-2024</t>
        </is>
      </c>
      <c r="B2614" s="1" t="n">
        <v>45526.61637731481</v>
      </c>
      <c r="C2614" s="1" t="n">
        <v>46145</v>
      </c>
      <c r="D2614" t="inlineStr">
        <is>
          <t>VÄSTERBOTTENS LÄN</t>
        </is>
      </c>
      <c r="E2614" t="inlineStr">
        <is>
          <t>VILHELMINA</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46145</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4958-2023</t>
        </is>
      </c>
      <c r="B2616" s="1" t="n">
        <v>44956</v>
      </c>
      <c r="C2616" s="1" t="n">
        <v>46145</v>
      </c>
      <c r="D2616" t="inlineStr">
        <is>
          <t>VÄSTERBOTTENS LÄN</t>
        </is>
      </c>
      <c r="E2616" t="inlineStr">
        <is>
          <t>DOROTEA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23563-2024</t>
        </is>
      </c>
      <c r="B2617" s="1" t="n">
        <v>45453</v>
      </c>
      <c r="C2617" s="1" t="n">
        <v>46145</v>
      </c>
      <c r="D2617" t="inlineStr">
        <is>
          <t>VÄSTERBOTTENS LÄN</t>
        </is>
      </c>
      <c r="E2617" t="inlineStr">
        <is>
          <t>VINDELN</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23565-2024</t>
        </is>
      </c>
      <c r="B2618" s="1" t="n">
        <v>45453.95523148148</v>
      </c>
      <c r="C2618" s="1" t="n">
        <v>46145</v>
      </c>
      <c r="D2618" t="inlineStr">
        <is>
          <t>VÄSTERBOTTENS LÄN</t>
        </is>
      </c>
      <c r="E2618" t="inlineStr">
        <is>
          <t>NORDMALING</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20559-2024</t>
        </is>
      </c>
      <c r="B2619" s="1" t="n">
        <v>45436</v>
      </c>
      <c r="C2619" s="1" t="n">
        <v>46145</v>
      </c>
      <c r="D2619" t="inlineStr">
        <is>
          <t>VÄSTERBOTTENS LÄN</t>
        </is>
      </c>
      <c r="E2619" t="inlineStr">
        <is>
          <t>SKELLEFTEÅ</t>
        </is>
      </c>
      <c r="F2619" t="inlineStr">
        <is>
          <t>Sveaskog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20454-2024</t>
        </is>
      </c>
      <c r="B2620" s="1" t="n">
        <v>45435</v>
      </c>
      <c r="C2620" s="1" t="n">
        <v>46145</v>
      </c>
      <c r="D2620" t="inlineStr">
        <is>
          <t>VÄSTERBOTTENS LÄN</t>
        </is>
      </c>
      <c r="E2620" t="inlineStr">
        <is>
          <t>SKELLEFTEÅ</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30786-2023</t>
        </is>
      </c>
      <c r="B2621" s="1" t="n">
        <v>45112</v>
      </c>
      <c r="C2621" s="1" t="n">
        <v>46145</v>
      </c>
      <c r="D2621" t="inlineStr">
        <is>
          <t>VÄSTERBOTTENS LÄN</t>
        </is>
      </c>
      <c r="E2621" t="inlineStr">
        <is>
          <t>SKELLEFTEÅ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56995-2022</t>
        </is>
      </c>
      <c r="B2622" s="1" t="n">
        <v>44894</v>
      </c>
      <c r="C2622" s="1" t="n">
        <v>46145</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63062-2023</t>
        </is>
      </c>
      <c r="B2623" s="1" t="n">
        <v>45272</v>
      </c>
      <c r="C2623" s="1" t="n">
        <v>46145</v>
      </c>
      <c r="D2623" t="inlineStr">
        <is>
          <t>VÄSTERBOTTENS LÄN</t>
        </is>
      </c>
      <c r="E2623" t="inlineStr">
        <is>
          <t>ÅSELE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23751-2024</t>
        </is>
      </c>
      <c r="B2624" s="1" t="n">
        <v>45455</v>
      </c>
      <c r="C2624" s="1" t="n">
        <v>46145</v>
      </c>
      <c r="D2624" t="inlineStr">
        <is>
          <t>VÄSTERBOTTENS LÄN</t>
        </is>
      </c>
      <c r="E2624" t="inlineStr">
        <is>
          <t>UMEÅ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62605-2023</t>
        </is>
      </c>
      <c r="B2625" s="1" t="n">
        <v>45267</v>
      </c>
      <c r="C2625" s="1" t="n">
        <v>46145</v>
      </c>
      <c r="D2625" t="inlineStr">
        <is>
          <t>VÄSTERBOTTENS LÄN</t>
        </is>
      </c>
      <c r="E2625" t="inlineStr">
        <is>
          <t>VINDELN</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57578-2022</t>
        </is>
      </c>
      <c r="B2626" s="1" t="n">
        <v>44896.93035879629</v>
      </c>
      <c r="C2626" s="1" t="n">
        <v>46145</v>
      </c>
      <c r="D2626" t="inlineStr">
        <is>
          <t>VÄSTERBOTTENS LÄN</t>
        </is>
      </c>
      <c r="E2626" t="inlineStr">
        <is>
          <t>SKELLEFTEÅ</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57583-2022</t>
        </is>
      </c>
      <c r="B2627" s="1" t="n">
        <v>44896.9309375</v>
      </c>
      <c r="C2627" s="1" t="n">
        <v>46145</v>
      </c>
      <c r="D2627" t="inlineStr">
        <is>
          <t>VÄSTERBOTTENS LÄN</t>
        </is>
      </c>
      <c r="E2627" t="inlineStr">
        <is>
          <t>SKELLEFTEÅ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7873-2023</t>
        </is>
      </c>
      <c r="B2628" s="1" t="n">
        <v>44973</v>
      </c>
      <c r="C2628" s="1" t="n">
        <v>46145</v>
      </c>
      <c r="D2628" t="inlineStr">
        <is>
          <t>VÄSTERBOTTENS LÄN</t>
        </is>
      </c>
      <c r="E2628" t="inlineStr">
        <is>
          <t>ROBERTSFORS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55096-2022</t>
        </is>
      </c>
      <c r="B2629" s="1" t="n">
        <v>44882</v>
      </c>
      <c r="C2629" s="1" t="n">
        <v>46145</v>
      </c>
      <c r="D2629" t="inlineStr">
        <is>
          <t>VÄSTERBOTTENS LÄN</t>
        </is>
      </c>
      <c r="E2629" t="inlineStr">
        <is>
          <t>VINDELN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25670-2024</t>
        </is>
      </c>
      <c r="B2630" s="1" t="n">
        <v>45463</v>
      </c>
      <c r="C2630" s="1" t="n">
        <v>46145</v>
      </c>
      <c r="D2630" t="inlineStr">
        <is>
          <t>VÄSTERBOTTENS LÄN</t>
        </is>
      </c>
      <c r="E2630" t="inlineStr">
        <is>
          <t>VINDELN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64205-2023</t>
        </is>
      </c>
      <c r="B2631" s="1" t="n">
        <v>45279</v>
      </c>
      <c r="C2631" s="1" t="n">
        <v>46145</v>
      </c>
      <c r="D2631" t="inlineStr">
        <is>
          <t>VÄSTERBOTTENS LÄN</t>
        </is>
      </c>
      <c r="E2631" t="inlineStr">
        <is>
          <t>VINDELN</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32222-2024</t>
        </is>
      </c>
      <c r="B2632" s="1" t="n">
        <v>45511.92803240741</v>
      </c>
      <c r="C2632" s="1" t="n">
        <v>46145</v>
      </c>
      <c r="D2632" t="inlineStr">
        <is>
          <t>VÄSTERBOTTENS LÄN</t>
        </is>
      </c>
      <c r="E2632" t="inlineStr">
        <is>
          <t>VINDELN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32230-2024</t>
        </is>
      </c>
      <c r="B2633" s="1" t="n">
        <v>45511.92854166667</v>
      </c>
      <c r="C2633" s="1" t="n">
        <v>46145</v>
      </c>
      <c r="D2633" t="inlineStr">
        <is>
          <t>VÄSTERBOTTENS LÄN</t>
        </is>
      </c>
      <c r="E2633" t="inlineStr">
        <is>
          <t>NORSJÖ</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32232-2024</t>
        </is>
      </c>
      <c r="B2634" s="1" t="n">
        <v>45511</v>
      </c>
      <c r="C2634" s="1" t="n">
        <v>46145</v>
      </c>
      <c r="D2634" t="inlineStr">
        <is>
          <t>VÄSTERBOTTENS LÄN</t>
        </is>
      </c>
      <c r="E2634" t="inlineStr">
        <is>
          <t>VINDELN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32436-2024</t>
        </is>
      </c>
      <c r="B2635" s="1" t="n">
        <v>45512</v>
      </c>
      <c r="C2635" s="1" t="n">
        <v>46145</v>
      </c>
      <c r="D2635" t="inlineStr">
        <is>
          <t>VÄSTERBOTTENS LÄN</t>
        </is>
      </c>
      <c r="E2635" t="inlineStr">
        <is>
          <t>BJURHOLM</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56754-2023</t>
        </is>
      </c>
      <c r="B2636" s="1" t="n">
        <v>45238</v>
      </c>
      <c r="C2636" s="1" t="n">
        <v>46145</v>
      </c>
      <c r="D2636" t="inlineStr">
        <is>
          <t>VÄSTERBOTTENS LÄN</t>
        </is>
      </c>
      <c r="E2636" t="inlineStr">
        <is>
          <t>VILHELMINA</t>
        </is>
      </c>
      <c r="F2636" t="inlineStr">
        <is>
          <t>Allmännings- och besparingsskogar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22365-2024</t>
        </is>
      </c>
      <c r="B2637" s="1" t="n">
        <v>45446</v>
      </c>
      <c r="C2637" s="1" t="n">
        <v>46145</v>
      </c>
      <c r="D2637" t="inlineStr">
        <is>
          <t>VÄSTERBOTTENS LÄN</t>
        </is>
      </c>
      <c r="E2637" t="inlineStr">
        <is>
          <t>UMEÅ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6224-2023</t>
        </is>
      </c>
      <c r="B2638" s="1" t="n">
        <v>44964.87626157407</v>
      </c>
      <c r="C2638" s="1" t="n">
        <v>46145</v>
      </c>
      <c r="D2638" t="inlineStr">
        <is>
          <t>VÄSTERBOTTENS LÄN</t>
        </is>
      </c>
      <c r="E2638" t="inlineStr">
        <is>
          <t>NORDMALING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49077-2022</t>
        </is>
      </c>
      <c r="B2639" s="1" t="n">
        <v>44860</v>
      </c>
      <c r="C2639" s="1" t="n">
        <v>46145</v>
      </c>
      <c r="D2639" t="inlineStr">
        <is>
          <t>VÄSTERBOTTENS LÄN</t>
        </is>
      </c>
      <c r="E2639" t="inlineStr">
        <is>
          <t>DOROTEA</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57070-2023</t>
        </is>
      </c>
      <c r="B2640" s="1" t="n">
        <v>45244.96695601852</v>
      </c>
      <c r="C2640" s="1" t="n">
        <v>46145</v>
      </c>
      <c r="D2640" t="inlineStr">
        <is>
          <t>VÄSTERBOTTENS LÄN</t>
        </is>
      </c>
      <c r="E2640" t="inlineStr">
        <is>
          <t>DOROTEA</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3040-2022</t>
        </is>
      </c>
      <c r="B2641" s="1" t="n">
        <v>44581</v>
      </c>
      <c r="C2641" s="1" t="n">
        <v>46145</v>
      </c>
      <c r="D2641" t="inlineStr">
        <is>
          <t>VÄSTERBOTTENS LÄN</t>
        </is>
      </c>
      <c r="E2641" t="inlineStr">
        <is>
          <t>STORUMAN</t>
        </is>
      </c>
      <c r="G2641" t="n">
        <v>14.2</v>
      </c>
      <c r="H2641" t="n">
        <v>0</v>
      </c>
      <c r="I2641" t="n">
        <v>0</v>
      </c>
      <c r="J2641" t="n">
        <v>0</v>
      </c>
      <c r="K2641" t="n">
        <v>0</v>
      </c>
      <c r="L2641" t="n">
        <v>0</v>
      </c>
      <c r="M2641" t="n">
        <v>0</v>
      </c>
      <c r="N2641" t="n">
        <v>0</v>
      </c>
      <c r="O2641" t="n">
        <v>0</v>
      </c>
      <c r="P2641" t="n">
        <v>0</v>
      </c>
      <c r="Q2641" t="n">
        <v>0</v>
      </c>
      <c r="R2641" s="2" t="inlineStr"/>
    </row>
    <row r="2642" ht="15" customHeight="1">
      <c r="A2642" t="inlineStr">
        <is>
          <t>A 38776-2023</t>
        </is>
      </c>
      <c r="B2642" s="1" t="n">
        <v>45163</v>
      </c>
      <c r="C2642" s="1" t="n">
        <v>46145</v>
      </c>
      <c r="D2642" t="inlineStr">
        <is>
          <t>VÄSTERBOTTENS LÄN</t>
        </is>
      </c>
      <c r="E2642" t="inlineStr">
        <is>
          <t>NORSJÖ</t>
        </is>
      </c>
      <c r="F2642" t="inlineStr">
        <is>
          <t>Sveaskog</t>
        </is>
      </c>
      <c r="G2642" t="n">
        <v>19.6</v>
      </c>
      <c r="H2642" t="n">
        <v>0</v>
      </c>
      <c r="I2642" t="n">
        <v>0</v>
      </c>
      <c r="J2642" t="n">
        <v>0</v>
      </c>
      <c r="K2642" t="n">
        <v>0</v>
      </c>
      <c r="L2642" t="n">
        <v>0</v>
      </c>
      <c r="M2642" t="n">
        <v>0</v>
      </c>
      <c r="N2642" t="n">
        <v>0</v>
      </c>
      <c r="O2642" t="n">
        <v>0</v>
      </c>
      <c r="P2642" t="n">
        <v>0</v>
      </c>
      <c r="Q2642" t="n">
        <v>0</v>
      </c>
      <c r="R2642" s="2" t="inlineStr"/>
    </row>
    <row r="2643" ht="15" customHeight="1">
      <c r="A2643" t="inlineStr">
        <is>
          <t>A 57629-2023</t>
        </is>
      </c>
      <c r="B2643" s="1" t="n">
        <v>45246.58361111111</v>
      </c>
      <c r="C2643" s="1" t="n">
        <v>46145</v>
      </c>
      <c r="D2643" t="inlineStr">
        <is>
          <t>VÄSTERBOTTENS LÄN</t>
        </is>
      </c>
      <c r="E2643" t="inlineStr">
        <is>
          <t>ROBERTSFORS</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34550-2023</t>
        </is>
      </c>
      <c r="B2644" s="1" t="n">
        <v>45140.49451388889</v>
      </c>
      <c r="C2644" s="1" t="n">
        <v>46145</v>
      </c>
      <c r="D2644" t="inlineStr">
        <is>
          <t>VÄSTERBOTTENS LÄN</t>
        </is>
      </c>
      <c r="E2644" t="inlineStr">
        <is>
          <t>UMEÅ</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34567-2023</t>
        </is>
      </c>
      <c r="B2645" s="1" t="n">
        <v>45140</v>
      </c>
      <c r="C2645" s="1" t="n">
        <v>46145</v>
      </c>
      <c r="D2645" t="inlineStr">
        <is>
          <t>VÄSTERBOTTENS LÄN</t>
        </is>
      </c>
      <c r="E2645" t="inlineStr">
        <is>
          <t>LYCKSELE</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44244-2024</t>
        </is>
      </c>
      <c r="B2646" s="1" t="n">
        <v>45573.42783564814</v>
      </c>
      <c r="C2646" s="1" t="n">
        <v>46145</v>
      </c>
      <c r="D2646" t="inlineStr">
        <is>
          <t>VÄSTERBOTTENS LÄN</t>
        </is>
      </c>
      <c r="E2646" t="inlineStr">
        <is>
          <t>UMEÅ</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3240-2022</t>
        </is>
      </c>
      <c r="B2647" s="1" t="n">
        <v>44582.93300925926</v>
      </c>
      <c r="C2647" s="1" t="n">
        <v>46145</v>
      </c>
      <c r="D2647" t="inlineStr">
        <is>
          <t>VÄSTERBOTTENS LÄN</t>
        </is>
      </c>
      <c r="E2647" t="inlineStr">
        <is>
          <t>DOROTEA</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54691-2022</t>
        </is>
      </c>
      <c r="B2648" s="1" t="n">
        <v>44881</v>
      </c>
      <c r="C2648" s="1" t="n">
        <v>46145</v>
      </c>
      <c r="D2648" t="inlineStr">
        <is>
          <t>VÄSTERBOTTENS LÄN</t>
        </is>
      </c>
      <c r="E2648" t="inlineStr">
        <is>
          <t>VINDELN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54725-2022</t>
        </is>
      </c>
      <c r="B2649" s="1" t="n">
        <v>44883.55074074074</v>
      </c>
      <c r="C2649" s="1" t="n">
        <v>46145</v>
      </c>
      <c r="D2649" t="inlineStr">
        <is>
          <t>VÄSTERBOTTENS LÄN</t>
        </is>
      </c>
      <c r="E2649" t="inlineStr">
        <is>
          <t>VINDELN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72289-2021</t>
        </is>
      </c>
      <c r="B2650" s="1" t="n">
        <v>44543</v>
      </c>
      <c r="C2650" s="1" t="n">
        <v>46145</v>
      </c>
      <c r="D2650" t="inlineStr">
        <is>
          <t>VÄSTERBOTTENS LÄN</t>
        </is>
      </c>
      <c r="E2650" t="inlineStr">
        <is>
          <t>STORUMAN</t>
        </is>
      </c>
      <c r="G2650" t="n">
        <v>19.7</v>
      </c>
      <c r="H2650" t="n">
        <v>0</v>
      </c>
      <c r="I2650" t="n">
        <v>0</v>
      </c>
      <c r="J2650" t="n">
        <v>0</v>
      </c>
      <c r="K2650" t="n">
        <v>0</v>
      </c>
      <c r="L2650" t="n">
        <v>0</v>
      </c>
      <c r="M2650" t="n">
        <v>0</v>
      </c>
      <c r="N2650" t="n">
        <v>0</v>
      </c>
      <c r="O2650" t="n">
        <v>0</v>
      </c>
      <c r="P2650" t="n">
        <v>0</v>
      </c>
      <c r="Q2650" t="n">
        <v>0</v>
      </c>
      <c r="R2650" s="2" t="inlineStr"/>
    </row>
    <row r="2651" ht="15" customHeight="1">
      <c r="A2651" t="inlineStr">
        <is>
          <t>A 36900-2023</t>
        </is>
      </c>
      <c r="B2651" s="1" t="n">
        <v>45154.64055555555</v>
      </c>
      <c r="C2651" s="1" t="n">
        <v>46145</v>
      </c>
      <c r="D2651" t="inlineStr">
        <is>
          <t>VÄSTERBOTTENS LÄN</t>
        </is>
      </c>
      <c r="E2651" t="inlineStr">
        <is>
          <t>LYCKSELE</t>
        </is>
      </c>
      <c r="F2651" t="inlineStr">
        <is>
          <t>Holmen skog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36910-2023</t>
        </is>
      </c>
      <c r="B2652" s="1" t="n">
        <v>45154</v>
      </c>
      <c r="C2652" s="1" t="n">
        <v>46145</v>
      </c>
      <c r="D2652" t="inlineStr">
        <is>
          <t>VÄSTERBOTTENS LÄN</t>
        </is>
      </c>
      <c r="E2652" t="inlineStr">
        <is>
          <t>VINDELN</t>
        </is>
      </c>
      <c r="F2652" t="inlineStr">
        <is>
          <t>Naturvårdsverket</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29597-2024</t>
        </is>
      </c>
      <c r="B2653" s="1" t="n">
        <v>45484.58983796297</v>
      </c>
      <c r="C2653" s="1" t="n">
        <v>46145</v>
      </c>
      <c r="D2653" t="inlineStr">
        <is>
          <t>VÄSTERBOTTENS LÄN</t>
        </is>
      </c>
      <c r="E2653" t="inlineStr">
        <is>
          <t>ÅSELE</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706-2024</t>
        </is>
      </c>
      <c r="B2654" s="1" t="n">
        <v>45300</v>
      </c>
      <c r="C2654" s="1" t="n">
        <v>46145</v>
      </c>
      <c r="D2654" t="inlineStr">
        <is>
          <t>VÄSTERBOTTENS LÄN</t>
        </is>
      </c>
      <c r="E2654" t="inlineStr">
        <is>
          <t>VILHELMINA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29321-2024</t>
        </is>
      </c>
      <c r="B2655" s="1" t="n">
        <v>45483.4243287037</v>
      </c>
      <c r="C2655" s="1" t="n">
        <v>46145</v>
      </c>
      <c r="D2655" t="inlineStr">
        <is>
          <t>VÄSTERBOTTENS LÄN</t>
        </is>
      </c>
      <c r="E2655" t="inlineStr">
        <is>
          <t>SKELLEFTEÅ</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22113-2024</t>
        </is>
      </c>
      <c r="B2656" s="1" t="n">
        <v>45443</v>
      </c>
      <c r="C2656" s="1" t="n">
        <v>46145</v>
      </c>
      <c r="D2656" t="inlineStr">
        <is>
          <t>VÄSTERBOTTENS LÄN</t>
        </is>
      </c>
      <c r="E2656" t="inlineStr">
        <is>
          <t>ÅSELE</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17393-2023</t>
        </is>
      </c>
      <c r="B2657" s="1" t="n">
        <v>45035</v>
      </c>
      <c r="C2657" s="1" t="n">
        <v>46145</v>
      </c>
      <c r="D2657" t="inlineStr">
        <is>
          <t>VÄSTERBOTTENS LÄN</t>
        </is>
      </c>
      <c r="E2657" t="inlineStr">
        <is>
          <t>LYCKSELE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34700-2023</t>
        </is>
      </c>
      <c r="B2658" s="1" t="n">
        <v>45140.96399305556</v>
      </c>
      <c r="C2658" s="1" t="n">
        <v>46145</v>
      </c>
      <c r="D2658" t="inlineStr">
        <is>
          <t>VÄSTERBOTTENS LÄN</t>
        </is>
      </c>
      <c r="E2658" t="inlineStr">
        <is>
          <t>DOROTEA</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34702-2023</t>
        </is>
      </c>
      <c r="B2659" s="1" t="n">
        <v>45140</v>
      </c>
      <c r="C2659" s="1" t="n">
        <v>46145</v>
      </c>
      <c r="D2659" t="inlineStr">
        <is>
          <t>VÄSTERBOTTENS LÄN</t>
        </is>
      </c>
      <c r="E2659" t="inlineStr">
        <is>
          <t>DOROTEA</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34709-2023</t>
        </is>
      </c>
      <c r="B2660" s="1" t="n">
        <v>45141</v>
      </c>
      <c r="C2660" s="1" t="n">
        <v>46145</v>
      </c>
      <c r="D2660" t="inlineStr">
        <is>
          <t>VÄSTERBOTTENS LÄN</t>
        </is>
      </c>
      <c r="E2660" t="inlineStr">
        <is>
          <t>UMEÅ</t>
        </is>
      </c>
      <c r="F2660" t="inlineStr">
        <is>
          <t>Holmen skog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36852-2023</t>
        </is>
      </c>
      <c r="B2661" s="1" t="n">
        <v>45154.54208333333</v>
      </c>
      <c r="C2661" s="1" t="n">
        <v>46145</v>
      </c>
      <c r="D2661" t="inlineStr">
        <is>
          <t>VÄSTERBOTTENS LÄN</t>
        </is>
      </c>
      <c r="E2661" t="inlineStr">
        <is>
          <t>ÅSELE</t>
        </is>
      </c>
      <c r="F2661" t="inlineStr">
        <is>
          <t>Holmen skog AB</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17478-2023</t>
        </is>
      </c>
      <c r="B2662" s="1" t="n">
        <v>45034</v>
      </c>
      <c r="C2662" s="1" t="n">
        <v>46145</v>
      </c>
      <c r="D2662" t="inlineStr">
        <is>
          <t>VÄSTERBOTTENS LÄN</t>
        </is>
      </c>
      <c r="E2662" t="inlineStr">
        <is>
          <t>SKELLEFTEÅ</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34784-2023</t>
        </is>
      </c>
      <c r="B2663" s="1" t="n">
        <v>45141</v>
      </c>
      <c r="C2663" s="1" t="n">
        <v>46145</v>
      </c>
      <c r="D2663" t="inlineStr">
        <is>
          <t>VÄSTERBOTTENS LÄN</t>
        </is>
      </c>
      <c r="E2663" t="inlineStr">
        <is>
          <t>BJURHOLM</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35313-2023</t>
        </is>
      </c>
      <c r="B2664" s="1" t="n">
        <v>45146.38486111111</v>
      </c>
      <c r="C2664" s="1" t="n">
        <v>46145</v>
      </c>
      <c r="D2664" t="inlineStr">
        <is>
          <t>VÄSTERBOTTENS LÄN</t>
        </is>
      </c>
      <c r="E2664" t="inlineStr">
        <is>
          <t>ROBERTSFORS</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38616-2024</t>
        </is>
      </c>
      <c r="B2665" s="1" t="n">
        <v>45546.70543981482</v>
      </c>
      <c r="C2665" s="1" t="n">
        <v>46145</v>
      </c>
      <c r="D2665" t="inlineStr">
        <is>
          <t>VÄSTERBOTTENS LÄN</t>
        </is>
      </c>
      <c r="E2665" t="inlineStr">
        <is>
          <t>SKELLEFTEÅ</t>
        </is>
      </c>
      <c r="F2665" t="inlineStr">
        <is>
          <t>Holmen skog AB</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58192-2023</t>
        </is>
      </c>
      <c r="B2666" s="1" t="n">
        <v>45245</v>
      </c>
      <c r="C2666" s="1" t="n">
        <v>46145</v>
      </c>
      <c r="D2666" t="inlineStr">
        <is>
          <t>VÄSTERBOTTENS LÄN</t>
        </is>
      </c>
      <c r="E2666" t="inlineStr">
        <is>
          <t>LYCKSELE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34189-2021</t>
        </is>
      </c>
      <c r="B2667" s="1" t="n">
        <v>44379.50560185185</v>
      </c>
      <c r="C2667" s="1" t="n">
        <v>46145</v>
      </c>
      <c r="D2667" t="inlineStr">
        <is>
          <t>VÄSTERBOTTENS LÄN</t>
        </is>
      </c>
      <c r="E2667" t="inlineStr">
        <is>
          <t>ÅSELE</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52312-2022</t>
        </is>
      </c>
      <c r="B2668" s="1" t="n">
        <v>44873</v>
      </c>
      <c r="C2668" s="1" t="n">
        <v>46145</v>
      </c>
      <c r="D2668" t="inlineStr">
        <is>
          <t>VÄSTERBOTTENS LÄN</t>
        </is>
      </c>
      <c r="E2668" t="inlineStr">
        <is>
          <t>UMEÅ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57868-2023</t>
        </is>
      </c>
      <c r="B2669" s="1" t="n">
        <v>45247.45697916667</v>
      </c>
      <c r="C2669" s="1" t="n">
        <v>46145</v>
      </c>
      <c r="D2669" t="inlineStr">
        <is>
          <t>VÄSTERBOTTENS LÄN</t>
        </is>
      </c>
      <c r="E2669" t="inlineStr">
        <is>
          <t>VINDELN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27154-2024</t>
        </is>
      </c>
      <c r="B2670" s="1" t="n">
        <v>45471.56107638889</v>
      </c>
      <c r="C2670" s="1" t="n">
        <v>46145</v>
      </c>
      <c r="D2670" t="inlineStr">
        <is>
          <t>VÄSTERBOTTENS LÄN</t>
        </is>
      </c>
      <c r="E2670" t="inlineStr">
        <is>
          <t>UMEÅ</t>
        </is>
      </c>
      <c r="F2670" t="inlineStr">
        <is>
          <t>Holmen skog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6758-2023</t>
        </is>
      </c>
      <c r="B2671" s="1" t="n">
        <v>44966</v>
      </c>
      <c r="C2671" s="1" t="n">
        <v>46145</v>
      </c>
      <c r="D2671" t="inlineStr">
        <is>
          <t>VÄSTERBOTTENS LÄN</t>
        </is>
      </c>
      <c r="E2671" t="inlineStr">
        <is>
          <t>STORUMAN</t>
        </is>
      </c>
      <c r="F2671" t="inlineStr">
        <is>
          <t>Sveaskog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34054-2023</t>
        </is>
      </c>
      <c r="B2672" s="1" t="n">
        <v>45135.45417824074</v>
      </c>
      <c r="C2672" s="1" t="n">
        <v>46145</v>
      </c>
      <c r="D2672" t="inlineStr">
        <is>
          <t>VÄSTERBOTTENS LÄN</t>
        </is>
      </c>
      <c r="E2672" t="inlineStr">
        <is>
          <t>ÅSELE</t>
        </is>
      </c>
      <c r="F2672" t="inlineStr">
        <is>
          <t>Holmen skog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36297-2024</t>
        </is>
      </c>
      <c r="B2673" s="1" t="n">
        <v>45534.6054050926</v>
      </c>
      <c r="C2673" s="1" t="n">
        <v>46145</v>
      </c>
      <c r="D2673" t="inlineStr">
        <is>
          <t>VÄSTERBOTTENS LÄN</t>
        </is>
      </c>
      <c r="E2673" t="inlineStr">
        <is>
          <t>SKELLEFTEÅ</t>
        </is>
      </c>
      <c r="F2673" t="inlineStr">
        <is>
          <t>Sveaskog</t>
        </is>
      </c>
      <c r="G2673" t="n">
        <v>20.9</v>
      </c>
      <c r="H2673" t="n">
        <v>0</v>
      </c>
      <c r="I2673" t="n">
        <v>0</v>
      </c>
      <c r="J2673" t="n">
        <v>0</v>
      </c>
      <c r="K2673" t="n">
        <v>0</v>
      </c>
      <c r="L2673" t="n">
        <v>0</v>
      </c>
      <c r="M2673" t="n">
        <v>0</v>
      </c>
      <c r="N2673" t="n">
        <v>0</v>
      </c>
      <c r="O2673" t="n">
        <v>0</v>
      </c>
      <c r="P2673" t="n">
        <v>0</v>
      </c>
      <c r="Q2673" t="n">
        <v>0</v>
      </c>
      <c r="R2673" s="2" t="inlineStr"/>
    </row>
    <row r="2674" ht="15" customHeight="1">
      <c r="A2674" t="inlineStr">
        <is>
          <t>A 34063-2023</t>
        </is>
      </c>
      <c r="B2674" s="1" t="n">
        <v>45135.4729050926</v>
      </c>
      <c r="C2674" s="1" t="n">
        <v>46145</v>
      </c>
      <c r="D2674" t="inlineStr">
        <is>
          <t>VÄSTERBOTTENS LÄN</t>
        </is>
      </c>
      <c r="E2674" t="inlineStr">
        <is>
          <t>SKELLEFTEÅ</t>
        </is>
      </c>
      <c r="F2674" t="inlineStr">
        <is>
          <t>Holmen skog AB</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59343-2023</t>
        </is>
      </c>
      <c r="B2675" s="1" t="n">
        <v>45253</v>
      </c>
      <c r="C2675" s="1" t="n">
        <v>46145</v>
      </c>
      <c r="D2675" t="inlineStr">
        <is>
          <t>VÄSTERBOTTENS LÄN</t>
        </is>
      </c>
      <c r="E2675" t="inlineStr">
        <is>
          <t>UMEÅ</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59418-2023</t>
        </is>
      </c>
      <c r="B2676" s="1" t="n">
        <v>45253</v>
      </c>
      <c r="C2676" s="1" t="n">
        <v>46145</v>
      </c>
      <c r="D2676" t="inlineStr">
        <is>
          <t>VÄSTERBOTTENS LÄN</t>
        </is>
      </c>
      <c r="E2676" t="inlineStr">
        <is>
          <t>DOROTEA</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32647-2024</t>
        </is>
      </c>
      <c r="B2677" s="1" t="n">
        <v>45513.9633912037</v>
      </c>
      <c r="C2677" s="1" t="n">
        <v>46145</v>
      </c>
      <c r="D2677" t="inlineStr">
        <is>
          <t>VÄSTERBOTTENS LÄN</t>
        </is>
      </c>
      <c r="E2677" t="inlineStr">
        <is>
          <t>VINDELN</t>
        </is>
      </c>
      <c r="F2677" t="inlineStr">
        <is>
          <t>SCA</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36978-2024</t>
        </is>
      </c>
      <c r="B2678" s="1" t="n">
        <v>45539</v>
      </c>
      <c r="C2678" s="1" t="n">
        <v>46145</v>
      </c>
      <c r="D2678" t="inlineStr">
        <is>
          <t>VÄSTERBOTTENS LÄN</t>
        </is>
      </c>
      <c r="E2678" t="inlineStr">
        <is>
          <t>BJURHOLM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19839-2024</t>
        </is>
      </c>
      <c r="B2679" s="1" t="n">
        <v>45433</v>
      </c>
      <c r="C2679" s="1" t="n">
        <v>46145</v>
      </c>
      <c r="D2679" t="inlineStr">
        <is>
          <t>VÄSTERBOTTENS LÄN</t>
        </is>
      </c>
      <c r="E2679" t="inlineStr">
        <is>
          <t>SKELLEFTEÅ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12798-2024</t>
        </is>
      </c>
      <c r="B2680" s="1" t="n">
        <v>45384</v>
      </c>
      <c r="C2680" s="1" t="n">
        <v>46145</v>
      </c>
      <c r="D2680" t="inlineStr">
        <is>
          <t>VÄSTERBOTTENS LÄN</t>
        </is>
      </c>
      <c r="E2680" t="inlineStr">
        <is>
          <t>SKELLEFTEÅ</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38363-2023</t>
        </is>
      </c>
      <c r="B2681" s="1" t="n">
        <v>45161</v>
      </c>
      <c r="C2681" s="1" t="n">
        <v>46145</v>
      </c>
      <c r="D2681" t="inlineStr">
        <is>
          <t>VÄSTERBOTTENS LÄN</t>
        </is>
      </c>
      <c r="E2681" t="inlineStr">
        <is>
          <t>VILHELMINA</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38144-2024</t>
        </is>
      </c>
      <c r="B2682" s="1" t="n">
        <v>45545.42693287037</v>
      </c>
      <c r="C2682" s="1" t="n">
        <v>46145</v>
      </c>
      <c r="D2682" t="inlineStr">
        <is>
          <t>VÄSTERBOTTENS LÄN</t>
        </is>
      </c>
      <c r="E2682" t="inlineStr">
        <is>
          <t>UMEÅ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38165-2024</t>
        </is>
      </c>
      <c r="B2683" s="1" t="n">
        <v>45545</v>
      </c>
      <c r="C2683" s="1" t="n">
        <v>46145</v>
      </c>
      <c r="D2683" t="inlineStr">
        <is>
          <t>VÄSTERBOTTENS LÄN</t>
        </is>
      </c>
      <c r="E2683" t="inlineStr">
        <is>
          <t>VINDELN</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38187-2024</t>
        </is>
      </c>
      <c r="B2684" s="1" t="n">
        <v>45545.49028935185</v>
      </c>
      <c r="C2684" s="1" t="n">
        <v>46145</v>
      </c>
      <c r="D2684" t="inlineStr">
        <is>
          <t>VÄSTERBOTTENS LÄN</t>
        </is>
      </c>
      <c r="E2684" t="inlineStr">
        <is>
          <t>VILHELMINA</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51810-2024</t>
        </is>
      </c>
      <c r="B2685" s="1" t="n">
        <v>45607.48707175926</v>
      </c>
      <c r="C2685" s="1" t="n">
        <v>46145</v>
      </c>
      <c r="D2685" t="inlineStr">
        <is>
          <t>VÄSTERBOTTENS LÄN</t>
        </is>
      </c>
      <c r="E2685" t="inlineStr">
        <is>
          <t>SKELLEFTEÅ</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15745-2023</t>
        </is>
      </c>
      <c r="B2686" s="1" t="n">
        <v>45021.60850694445</v>
      </c>
      <c r="C2686" s="1" t="n">
        <v>46145</v>
      </c>
      <c r="D2686" t="inlineStr">
        <is>
          <t>VÄSTERBOTTENS LÄN</t>
        </is>
      </c>
      <c r="E2686" t="inlineStr">
        <is>
          <t>NORDMALING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1407-2023</t>
        </is>
      </c>
      <c r="B2687" s="1" t="n">
        <v>44936</v>
      </c>
      <c r="C2687" s="1" t="n">
        <v>46145</v>
      </c>
      <c r="D2687" t="inlineStr">
        <is>
          <t>VÄSTERBOTTENS LÄN</t>
        </is>
      </c>
      <c r="E2687" t="inlineStr">
        <is>
          <t>ÅSELE</t>
        </is>
      </c>
      <c r="G2687" t="n">
        <v>11.5</v>
      </c>
      <c r="H2687" t="n">
        <v>0</v>
      </c>
      <c r="I2687" t="n">
        <v>0</v>
      </c>
      <c r="J2687" t="n">
        <v>0</v>
      </c>
      <c r="K2687" t="n">
        <v>0</v>
      </c>
      <c r="L2687" t="n">
        <v>0</v>
      </c>
      <c r="M2687" t="n">
        <v>0</v>
      </c>
      <c r="N2687" t="n">
        <v>0</v>
      </c>
      <c r="O2687" t="n">
        <v>0</v>
      </c>
      <c r="P2687" t="n">
        <v>0</v>
      </c>
      <c r="Q2687" t="n">
        <v>0</v>
      </c>
      <c r="R2687" s="2" t="inlineStr"/>
    </row>
    <row r="2688" ht="15" customHeight="1">
      <c r="A2688" t="inlineStr">
        <is>
          <t>A 65688-2021</t>
        </is>
      </c>
      <c r="B2688" s="1" t="n">
        <v>44515</v>
      </c>
      <c r="C2688" s="1" t="n">
        <v>46145</v>
      </c>
      <c r="D2688" t="inlineStr">
        <is>
          <t>VÄSTERBOTTENS LÄN</t>
        </is>
      </c>
      <c r="E2688" t="inlineStr">
        <is>
          <t>NORDMALING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29656-2024</t>
        </is>
      </c>
      <c r="B2689" s="1" t="n">
        <v>45484.92354166666</v>
      </c>
      <c r="C2689" s="1" t="n">
        <v>46145</v>
      </c>
      <c r="D2689" t="inlineStr">
        <is>
          <t>VÄSTERBOTTENS LÄN</t>
        </is>
      </c>
      <c r="E2689" t="inlineStr">
        <is>
          <t>UMEÅ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24317-2024</t>
        </is>
      </c>
      <c r="B2690" s="1" t="n">
        <v>45457</v>
      </c>
      <c r="C2690" s="1" t="n">
        <v>46145</v>
      </c>
      <c r="D2690" t="inlineStr">
        <is>
          <t>VÄSTERBOTTENS LÄN</t>
        </is>
      </c>
      <c r="E2690" t="inlineStr">
        <is>
          <t>VINDELN</t>
        </is>
      </c>
      <c r="F2690" t="inlineStr">
        <is>
          <t>Holmen skog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43424-2024</t>
        </is>
      </c>
      <c r="B2691" s="1" t="n">
        <v>45568</v>
      </c>
      <c r="C2691" s="1" t="n">
        <v>46145</v>
      </c>
      <c r="D2691" t="inlineStr">
        <is>
          <t>VÄSTERBOTTENS LÄN</t>
        </is>
      </c>
      <c r="E2691" t="inlineStr">
        <is>
          <t>ROBERTSFORS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49481-2024</t>
        </is>
      </c>
      <c r="B2692" s="1" t="n">
        <v>45596.3479050926</v>
      </c>
      <c r="C2692" s="1" t="n">
        <v>46145</v>
      </c>
      <c r="D2692" t="inlineStr">
        <is>
          <t>VÄSTERBOTTENS LÄN</t>
        </is>
      </c>
      <c r="E2692" t="inlineStr">
        <is>
          <t>NORSJÖ</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5500-2022</t>
        </is>
      </c>
      <c r="B2693" s="1" t="n">
        <v>44595</v>
      </c>
      <c r="C2693" s="1" t="n">
        <v>46145</v>
      </c>
      <c r="D2693" t="inlineStr">
        <is>
          <t>VÄSTERBOTTENS LÄN</t>
        </is>
      </c>
      <c r="E2693" t="inlineStr">
        <is>
          <t>STORUMAN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22502-2024</t>
        </is>
      </c>
      <c r="B2694" s="1" t="n">
        <v>45447</v>
      </c>
      <c r="C2694" s="1" t="n">
        <v>46145</v>
      </c>
      <c r="D2694" t="inlineStr">
        <is>
          <t>VÄSTERBOTTENS LÄN</t>
        </is>
      </c>
      <c r="E2694" t="inlineStr">
        <is>
          <t>BJURHOLM</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31264-2024</t>
        </is>
      </c>
      <c r="B2695" s="1" t="n">
        <v>45503.96868055555</v>
      </c>
      <c r="C2695" s="1" t="n">
        <v>46145</v>
      </c>
      <c r="D2695" t="inlineStr">
        <is>
          <t>VÄSTERBOTTENS LÄN</t>
        </is>
      </c>
      <c r="E2695" t="inlineStr">
        <is>
          <t>VÄNNÄS</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33689-2024</t>
        </is>
      </c>
      <c r="B2696" s="1" t="n">
        <v>45520.51114583333</v>
      </c>
      <c r="C2696" s="1" t="n">
        <v>46145</v>
      </c>
      <c r="D2696" t="inlineStr">
        <is>
          <t>VÄSTERBOTTENS LÄN</t>
        </is>
      </c>
      <c r="E2696" t="inlineStr">
        <is>
          <t>LYCKSELE</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33690-2024</t>
        </is>
      </c>
      <c r="B2697" s="1" t="n">
        <v>45520.51274305556</v>
      </c>
      <c r="C2697" s="1" t="n">
        <v>46145</v>
      </c>
      <c r="D2697" t="inlineStr">
        <is>
          <t>VÄSTERBOTTENS LÄN</t>
        </is>
      </c>
      <c r="E2697" t="inlineStr">
        <is>
          <t>MALÅ</t>
        </is>
      </c>
      <c r="F2697" t="inlineStr">
        <is>
          <t>Sveaskog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33701-2024</t>
        </is>
      </c>
      <c r="B2698" s="1" t="n">
        <v>45520.52251157408</v>
      </c>
      <c r="C2698" s="1" t="n">
        <v>46145</v>
      </c>
      <c r="D2698" t="inlineStr">
        <is>
          <t>VÄSTERBOTTENS LÄN</t>
        </is>
      </c>
      <c r="E2698" t="inlineStr">
        <is>
          <t>LYCKSELE</t>
        </is>
      </c>
      <c r="F2698" t="inlineStr">
        <is>
          <t>Sveaskog</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31277-2024</t>
        </is>
      </c>
      <c r="B2699" s="1" t="n">
        <v>45504.39555555556</v>
      </c>
      <c r="C2699" s="1" t="n">
        <v>46145</v>
      </c>
      <c r="D2699" t="inlineStr">
        <is>
          <t>VÄSTERBOTTENS LÄN</t>
        </is>
      </c>
      <c r="E2699" t="inlineStr">
        <is>
          <t>VÄNNÄS</t>
        </is>
      </c>
      <c r="F2699" t="inlineStr">
        <is>
          <t>Holmen skog AB</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54992-2024</t>
        </is>
      </c>
      <c r="B2700" s="1" t="n">
        <v>45620.91673611111</v>
      </c>
      <c r="C2700" s="1" t="n">
        <v>46145</v>
      </c>
      <c r="D2700" t="inlineStr">
        <is>
          <t>VÄSTERBOTTENS LÄN</t>
        </is>
      </c>
      <c r="E2700" t="inlineStr">
        <is>
          <t>ÅSELE</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41360-2023</t>
        </is>
      </c>
      <c r="B2701" s="1" t="n">
        <v>45174</v>
      </c>
      <c r="C2701" s="1" t="n">
        <v>46145</v>
      </c>
      <c r="D2701" t="inlineStr">
        <is>
          <t>VÄSTERBOTTENS LÄN</t>
        </is>
      </c>
      <c r="E2701" t="inlineStr">
        <is>
          <t>MALÅ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41399-2023</t>
        </is>
      </c>
      <c r="B2702" s="1" t="n">
        <v>45174.93857638889</v>
      </c>
      <c r="C2702" s="1" t="n">
        <v>46145</v>
      </c>
      <c r="D2702" t="inlineStr">
        <is>
          <t>VÄSTERBOTTENS LÄN</t>
        </is>
      </c>
      <c r="E2702" t="inlineStr">
        <is>
          <t>ÅSELE</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1058-2023</t>
        </is>
      </c>
      <c r="B2703" s="1" t="n">
        <v>44929</v>
      </c>
      <c r="C2703" s="1" t="n">
        <v>46145</v>
      </c>
      <c r="D2703" t="inlineStr">
        <is>
          <t>VÄSTERBOTTENS LÄN</t>
        </is>
      </c>
      <c r="E2703" t="inlineStr">
        <is>
          <t>VÄNNÄS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1076-2023</t>
        </is>
      </c>
      <c r="B2704" s="1" t="n">
        <v>44929</v>
      </c>
      <c r="C2704" s="1" t="n">
        <v>46145</v>
      </c>
      <c r="D2704" t="inlineStr">
        <is>
          <t>VÄSTERBOTTENS LÄN</t>
        </is>
      </c>
      <c r="E2704" t="inlineStr">
        <is>
          <t>SKELLEFTEÅ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11321-2023</t>
        </is>
      </c>
      <c r="B2705" s="1" t="n">
        <v>44993.01305555556</v>
      </c>
      <c r="C2705" s="1" t="n">
        <v>46145</v>
      </c>
      <c r="D2705" t="inlineStr">
        <is>
          <t>VÄSTERBOTTENS LÄN</t>
        </is>
      </c>
      <c r="E2705" t="inlineStr">
        <is>
          <t>ÅSELE</t>
        </is>
      </c>
      <c r="F2705" t="inlineStr">
        <is>
          <t>SCA</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55672-2023</t>
        </is>
      </c>
      <c r="B2706" s="1" t="n">
        <v>45238</v>
      </c>
      <c r="C2706" s="1" t="n">
        <v>46145</v>
      </c>
      <c r="D2706" t="inlineStr">
        <is>
          <t>VÄSTERBOTTENS LÄN</t>
        </is>
      </c>
      <c r="E2706" t="inlineStr">
        <is>
          <t>MALÅ</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35114-2024</t>
        </is>
      </c>
      <c r="B2707" s="1" t="n">
        <v>45529.92038194444</v>
      </c>
      <c r="C2707" s="1" t="n">
        <v>46145</v>
      </c>
      <c r="D2707" t="inlineStr">
        <is>
          <t>VÄSTERBOTTENS LÄN</t>
        </is>
      </c>
      <c r="E2707" t="inlineStr">
        <is>
          <t>SKELLEFTEÅ</t>
        </is>
      </c>
      <c r="F2707" t="inlineStr">
        <is>
          <t>Sveaskog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35124-2024</t>
        </is>
      </c>
      <c r="B2708" s="1" t="n">
        <v>45530</v>
      </c>
      <c r="C2708" s="1" t="n">
        <v>46145</v>
      </c>
      <c r="D2708" t="inlineStr">
        <is>
          <t>VÄSTERBOTTENS LÄN</t>
        </is>
      </c>
      <c r="E2708" t="inlineStr">
        <is>
          <t>VINDELN</t>
        </is>
      </c>
      <c r="G2708" t="n">
        <v>16.7</v>
      </c>
      <c r="H2708" t="n">
        <v>0</v>
      </c>
      <c r="I2708" t="n">
        <v>0</v>
      </c>
      <c r="J2708" t="n">
        <v>0</v>
      </c>
      <c r="K2708" t="n">
        <v>0</v>
      </c>
      <c r="L2708" t="n">
        <v>0</v>
      </c>
      <c r="M2708" t="n">
        <v>0</v>
      </c>
      <c r="N2708" t="n">
        <v>0</v>
      </c>
      <c r="O2708" t="n">
        <v>0</v>
      </c>
      <c r="P2708" t="n">
        <v>0</v>
      </c>
      <c r="Q2708" t="n">
        <v>0</v>
      </c>
      <c r="R2708" s="2" t="inlineStr"/>
    </row>
    <row r="2709" ht="15" customHeight="1">
      <c r="A2709" t="inlineStr">
        <is>
          <t>A 7430-2022</t>
        </is>
      </c>
      <c r="B2709" s="1" t="n">
        <v>44606.933125</v>
      </c>
      <c r="C2709" s="1" t="n">
        <v>46145</v>
      </c>
      <c r="D2709" t="inlineStr">
        <is>
          <t>VÄSTERBOTTENS LÄN</t>
        </is>
      </c>
      <c r="E2709" t="inlineStr">
        <is>
          <t>UMEÅ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55720-2023</t>
        </is>
      </c>
      <c r="B2710" s="1" t="n">
        <v>45232</v>
      </c>
      <c r="C2710" s="1" t="n">
        <v>46145</v>
      </c>
      <c r="D2710" t="inlineStr">
        <is>
          <t>VÄSTERBOTTENS LÄN</t>
        </is>
      </c>
      <c r="E2710" t="inlineStr">
        <is>
          <t>VILHELMINA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29449-2024</t>
        </is>
      </c>
      <c r="B2711" s="1" t="n">
        <v>45483.93377314815</v>
      </c>
      <c r="C2711" s="1" t="n">
        <v>46145</v>
      </c>
      <c r="D2711" t="inlineStr">
        <is>
          <t>VÄSTERBOTTENS LÄN</t>
        </is>
      </c>
      <c r="E2711" t="inlineStr">
        <is>
          <t>LYCKSELE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31575-2024</t>
        </is>
      </c>
      <c r="B2712" s="1" t="n">
        <v>45506</v>
      </c>
      <c r="C2712" s="1" t="n">
        <v>46145</v>
      </c>
      <c r="D2712" t="inlineStr">
        <is>
          <t>VÄSTERBOTTENS LÄN</t>
        </is>
      </c>
      <c r="E2712" t="inlineStr">
        <is>
          <t>BJURHOLM</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31625-2024</t>
        </is>
      </c>
      <c r="B2713" s="1" t="n">
        <v>45506.50579861111</v>
      </c>
      <c r="C2713" s="1" t="n">
        <v>46145</v>
      </c>
      <c r="D2713" t="inlineStr">
        <is>
          <t>VÄSTERBOTTENS LÄN</t>
        </is>
      </c>
      <c r="E2713" t="inlineStr">
        <is>
          <t>VINDELN</t>
        </is>
      </c>
      <c r="G2713" t="n">
        <v>14.1</v>
      </c>
      <c r="H2713" t="n">
        <v>0</v>
      </c>
      <c r="I2713" t="n">
        <v>0</v>
      </c>
      <c r="J2713" t="n">
        <v>0</v>
      </c>
      <c r="K2713" t="n">
        <v>0</v>
      </c>
      <c r="L2713" t="n">
        <v>0</v>
      </c>
      <c r="M2713" t="n">
        <v>0</v>
      </c>
      <c r="N2713" t="n">
        <v>0</v>
      </c>
      <c r="O2713" t="n">
        <v>0</v>
      </c>
      <c r="P2713" t="n">
        <v>0</v>
      </c>
      <c r="Q2713" t="n">
        <v>0</v>
      </c>
      <c r="R2713" s="2" t="inlineStr"/>
    </row>
    <row r="2714" ht="15" customHeight="1">
      <c r="A2714" t="inlineStr">
        <is>
          <t>A 28855-2024</t>
        </is>
      </c>
      <c r="B2714" s="1" t="n">
        <v>45478</v>
      </c>
      <c r="C2714" s="1" t="n">
        <v>46145</v>
      </c>
      <c r="D2714" t="inlineStr">
        <is>
          <t>VÄSTERBOTTENS LÄN</t>
        </is>
      </c>
      <c r="E2714" t="inlineStr">
        <is>
          <t>UMEÅ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37856-2024</t>
        </is>
      </c>
      <c r="B2715" s="1" t="n">
        <v>45544</v>
      </c>
      <c r="C2715" s="1" t="n">
        <v>46145</v>
      </c>
      <c r="D2715" t="inlineStr">
        <is>
          <t>VÄSTERBOTTENS LÄN</t>
        </is>
      </c>
      <c r="E2715" t="inlineStr">
        <is>
          <t>UMEÅ</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33524-2021</t>
        </is>
      </c>
      <c r="B2716" s="1" t="n">
        <v>44377</v>
      </c>
      <c r="C2716" s="1" t="n">
        <v>46145</v>
      </c>
      <c r="D2716" t="inlineStr">
        <is>
          <t>VÄSTERBOTTENS LÄN</t>
        </is>
      </c>
      <c r="E2716" t="inlineStr">
        <is>
          <t>ÅSELE</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28975-2024</t>
        </is>
      </c>
      <c r="B2717" s="1" t="n">
        <v>45481.45671296296</v>
      </c>
      <c r="C2717" s="1" t="n">
        <v>46145</v>
      </c>
      <c r="D2717" t="inlineStr">
        <is>
          <t>VÄSTERBOTTENS LÄN</t>
        </is>
      </c>
      <c r="E2717" t="inlineStr">
        <is>
          <t>VINDELN</t>
        </is>
      </c>
      <c r="F2717" t="inlineStr">
        <is>
          <t>Holmen skog AB</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28881-2024</t>
        </is>
      </c>
      <c r="B2718" s="1" t="n">
        <v>45479</v>
      </c>
      <c r="C2718" s="1" t="n">
        <v>46145</v>
      </c>
      <c r="D2718" t="inlineStr">
        <is>
          <t>VÄSTERBOTTENS LÄN</t>
        </is>
      </c>
      <c r="E2718" t="inlineStr">
        <is>
          <t>ÅSELE</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28997-2024</t>
        </is>
      </c>
      <c r="B2719" s="1" t="n">
        <v>45481</v>
      </c>
      <c r="C2719" s="1" t="n">
        <v>46145</v>
      </c>
      <c r="D2719" t="inlineStr">
        <is>
          <t>VÄSTERBOTTENS LÄN</t>
        </is>
      </c>
      <c r="E2719" t="inlineStr">
        <is>
          <t>UMEÅ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65334-2021</t>
        </is>
      </c>
      <c r="B2720" s="1" t="n">
        <v>44515</v>
      </c>
      <c r="C2720" s="1" t="n">
        <v>46145</v>
      </c>
      <c r="D2720" t="inlineStr">
        <is>
          <t>VÄSTERBOTTENS LÄN</t>
        </is>
      </c>
      <c r="E2720" t="inlineStr">
        <is>
          <t>NORDMALING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30385-2024</t>
        </is>
      </c>
      <c r="B2721" s="1" t="n">
        <v>45491.4734375</v>
      </c>
      <c r="C2721" s="1" t="n">
        <v>46145</v>
      </c>
      <c r="D2721" t="inlineStr">
        <is>
          <t>VÄSTERBOTTENS LÄN</t>
        </is>
      </c>
      <c r="E2721" t="inlineStr">
        <is>
          <t>ÅSELE</t>
        </is>
      </c>
      <c r="F2721" t="inlineStr">
        <is>
          <t>Holmen skog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62284-2022</t>
        </is>
      </c>
      <c r="B2722" s="1" t="n">
        <v>44923.40487268518</v>
      </c>
      <c r="C2722" s="1" t="n">
        <v>46145</v>
      </c>
      <c r="D2722" t="inlineStr">
        <is>
          <t>VÄSTERBOTTENS LÄN</t>
        </is>
      </c>
      <c r="E2722" t="inlineStr">
        <is>
          <t>SKELLEFTEÅ</t>
        </is>
      </c>
      <c r="F2722" t="inlineStr">
        <is>
          <t>Sveaskog</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14332-2023</t>
        </is>
      </c>
      <c r="B2723" s="1" t="n">
        <v>45009</v>
      </c>
      <c r="C2723" s="1" t="n">
        <v>46145</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40577-2024</t>
        </is>
      </c>
      <c r="B2724" s="1" t="n">
        <v>45555</v>
      </c>
      <c r="C2724" s="1" t="n">
        <v>46145</v>
      </c>
      <c r="D2724" t="inlineStr">
        <is>
          <t>VÄSTERBOTTENS LÄN</t>
        </is>
      </c>
      <c r="E2724" t="inlineStr">
        <is>
          <t>BJURHOLM</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30415-2024</t>
        </is>
      </c>
      <c r="B2725" s="1" t="n">
        <v>45491.64607638889</v>
      </c>
      <c r="C2725" s="1" t="n">
        <v>46145</v>
      </c>
      <c r="D2725" t="inlineStr">
        <is>
          <t>VÄSTERBOTTENS LÄN</t>
        </is>
      </c>
      <c r="E2725" t="inlineStr">
        <is>
          <t>SORSELE</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36665-2024</t>
        </is>
      </c>
      <c r="B2726" s="1" t="n">
        <v>45537</v>
      </c>
      <c r="C2726" s="1" t="n">
        <v>46145</v>
      </c>
      <c r="D2726" t="inlineStr">
        <is>
          <t>VÄSTERBOTTENS LÄN</t>
        </is>
      </c>
      <c r="E2726" t="inlineStr">
        <is>
          <t>VINDELN</t>
        </is>
      </c>
      <c r="F2726" t="inlineStr">
        <is>
          <t>Sveaskog</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59675-2021</t>
        </is>
      </c>
      <c r="B2727" s="1" t="n">
        <v>44494</v>
      </c>
      <c r="C2727" s="1" t="n">
        <v>46145</v>
      </c>
      <c r="D2727" t="inlineStr">
        <is>
          <t>VÄSTERBOTTENS LÄN</t>
        </is>
      </c>
      <c r="E2727" t="inlineStr">
        <is>
          <t>BJURHOLM</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28977-2024</t>
        </is>
      </c>
      <c r="B2728" s="1" t="n">
        <v>45481.46547453704</v>
      </c>
      <c r="C2728" s="1" t="n">
        <v>46145</v>
      </c>
      <c r="D2728" t="inlineStr">
        <is>
          <t>VÄSTERBOTTENS LÄN</t>
        </is>
      </c>
      <c r="E2728" t="inlineStr">
        <is>
          <t>ÅSELE</t>
        </is>
      </c>
      <c r="F2728" t="inlineStr">
        <is>
          <t>Sveaskog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19270-2024</t>
        </is>
      </c>
      <c r="B2729" s="1" t="n">
        <v>45428</v>
      </c>
      <c r="C2729" s="1" t="n">
        <v>46145</v>
      </c>
      <c r="D2729" t="inlineStr">
        <is>
          <t>VÄSTERBOTTENS LÄN</t>
        </is>
      </c>
      <c r="E2729" t="inlineStr">
        <is>
          <t>LYCKSELE</t>
        </is>
      </c>
      <c r="F2729" t="inlineStr">
        <is>
          <t>Holmen skog AB</t>
        </is>
      </c>
      <c r="G2729" t="n">
        <v>11.1</v>
      </c>
      <c r="H2729" t="n">
        <v>0</v>
      </c>
      <c r="I2729" t="n">
        <v>0</v>
      </c>
      <c r="J2729" t="n">
        <v>0</v>
      </c>
      <c r="K2729" t="n">
        <v>0</v>
      </c>
      <c r="L2729" t="n">
        <v>0</v>
      </c>
      <c r="M2729" t="n">
        <v>0</v>
      </c>
      <c r="N2729" t="n">
        <v>0</v>
      </c>
      <c r="O2729" t="n">
        <v>0</v>
      </c>
      <c r="P2729" t="n">
        <v>0</v>
      </c>
      <c r="Q2729" t="n">
        <v>0</v>
      </c>
      <c r="R2729" s="2" t="inlineStr"/>
    </row>
    <row r="2730" ht="15" customHeight="1">
      <c r="A2730" t="inlineStr">
        <is>
          <t>A 41711-2023</t>
        </is>
      </c>
      <c r="B2730" s="1" t="n">
        <v>45176.39111111111</v>
      </c>
      <c r="C2730" s="1" t="n">
        <v>46145</v>
      </c>
      <c r="D2730" t="inlineStr">
        <is>
          <t>VÄSTERBOTTENS LÄN</t>
        </is>
      </c>
      <c r="E2730" t="inlineStr">
        <is>
          <t>LYCKSELE</t>
        </is>
      </c>
      <c r="F2730" t="inlineStr">
        <is>
          <t>Holmen skog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36713-2024</t>
        </is>
      </c>
      <c r="B2731" s="1" t="n">
        <v>45537</v>
      </c>
      <c r="C2731" s="1" t="n">
        <v>46145</v>
      </c>
      <c r="D2731" t="inlineStr">
        <is>
          <t>VÄSTERBOTTENS LÄN</t>
        </is>
      </c>
      <c r="E2731" t="inlineStr">
        <is>
          <t>STORUMAN</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42023-2024</t>
        </is>
      </c>
      <c r="B2732" s="1" t="n">
        <v>45561</v>
      </c>
      <c r="C2732" s="1" t="n">
        <v>46145</v>
      </c>
      <c r="D2732" t="inlineStr">
        <is>
          <t>VÄSTERBOTTENS LÄN</t>
        </is>
      </c>
      <c r="E2732" t="inlineStr">
        <is>
          <t>LYCKSELE</t>
        </is>
      </c>
      <c r="F2732" t="inlineStr">
        <is>
          <t>Sveaskog</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33724-2024</t>
        </is>
      </c>
      <c r="B2733" s="1" t="n">
        <v>45520.54362268518</v>
      </c>
      <c r="C2733" s="1" t="n">
        <v>46145</v>
      </c>
      <c r="D2733" t="inlineStr">
        <is>
          <t>VÄSTERBOTTENS LÄN</t>
        </is>
      </c>
      <c r="E2733" t="inlineStr">
        <is>
          <t>VINDELN</t>
        </is>
      </c>
      <c r="F2733" t="inlineStr">
        <is>
          <t>Sveaskog</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5660-2024</t>
        </is>
      </c>
      <c r="B2734" s="1" t="n">
        <v>45334.64248842592</v>
      </c>
      <c r="C2734" s="1" t="n">
        <v>46145</v>
      </c>
      <c r="D2734" t="inlineStr">
        <is>
          <t>VÄSTERBOTTENS LÄN</t>
        </is>
      </c>
      <c r="E2734" t="inlineStr">
        <is>
          <t>SKELLEFTEÅ</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30059-2024</t>
        </is>
      </c>
      <c r="B2735" s="1" t="n">
        <v>45488.94804398148</v>
      </c>
      <c r="C2735" s="1" t="n">
        <v>46145</v>
      </c>
      <c r="D2735" t="inlineStr">
        <is>
          <t>VÄSTERBOTTENS LÄN</t>
        </is>
      </c>
      <c r="E2735" t="inlineStr">
        <is>
          <t>DOROTEA</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52679-2022</t>
        </is>
      </c>
      <c r="B2736" s="1" t="n">
        <v>44874</v>
      </c>
      <c r="C2736" s="1" t="n">
        <v>46145</v>
      </c>
      <c r="D2736" t="inlineStr">
        <is>
          <t>VÄSTERBOTTENS LÄN</t>
        </is>
      </c>
      <c r="E2736" t="inlineStr">
        <is>
          <t>UMEÅ</t>
        </is>
      </c>
      <c r="F2736" t="inlineStr">
        <is>
          <t>Sveaskog</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31273-2024</t>
        </is>
      </c>
      <c r="B2737" s="1" t="n">
        <v>45504</v>
      </c>
      <c r="C2737" s="1" t="n">
        <v>46145</v>
      </c>
      <c r="D2737" t="inlineStr">
        <is>
          <t>VÄSTERBOTTENS LÄN</t>
        </is>
      </c>
      <c r="E2737" t="inlineStr">
        <is>
          <t>MALÅ</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8726-2023</t>
        </is>
      </c>
      <c r="B2738" s="1" t="n">
        <v>44972</v>
      </c>
      <c r="C2738" s="1" t="n">
        <v>46145</v>
      </c>
      <c r="D2738" t="inlineStr">
        <is>
          <t>VÄSTERBOTTENS LÄN</t>
        </is>
      </c>
      <c r="E2738" t="inlineStr">
        <is>
          <t>VILHELMINA</t>
        </is>
      </c>
      <c r="F2738" t="inlineStr">
        <is>
          <t>Allmännings- och besparingsskogar</t>
        </is>
      </c>
      <c r="G2738" t="n">
        <v>50</v>
      </c>
      <c r="H2738" t="n">
        <v>0</v>
      </c>
      <c r="I2738" t="n">
        <v>0</v>
      </c>
      <c r="J2738" t="n">
        <v>0</v>
      </c>
      <c r="K2738" t="n">
        <v>0</v>
      </c>
      <c r="L2738" t="n">
        <v>0</v>
      </c>
      <c r="M2738" t="n">
        <v>0</v>
      </c>
      <c r="N2738" t="n">
        <v>0</v>
      </c>
      <c r="O2738" t="n">
        <v>0</v>
      </c>
      <c r="P2738" t="n">
        <v>0</v>
      </c>
      <c r="Q2738" t="n">
        <v>0</v>
      </c>
      <c r="R2738" s="2" t="inlineStr"/>
    </row>
    <row r="2739" ht="15" customHeight="1">
      <c r="A2739" t="inlineStr">
        <is>
          <t>A 41271-2024</t>
        </is>
      </c>
      <c r="B2739" s="1" t="n">
        <v>45559</v>
      </c>
      <c r="C2739" s="1" t="n">
        <v>46145</v>
      </c>
      <c r="D2739" t="inlineStr">
        <is>
          <t>VÄSTERBOTTENS LÄN</t>
        </is>
      </c>
      <c r="E2739" t="inlineStr">
        <is>
          <t>ROBERTSFORS</t>
        </is>
      </c>
      <c r="F2739" t="inlineStr">
        <is>
          <t>Sveaskog</t>
        </is>
      </c>
      <c r="G2739" t="n">
        <v>11.1</v>
      </c>
      <c r="H2739" t="n">
        <v>0</v>
      </c>
      <c r="I2739" t="n">
        <v>0</v>
      </c>
      <c r="J2739" t="n">
        <v>0</v>
      </c>
      <c r="K2739" t="n">
        <v>0</v>
      </c>
      <c r="L2739" t="n">
        <v>0</v>
      </c>
      <c r="M2739" t="n">
        <v>0</v>
      </c>
      <c r="N2739" t="n">
        <v>0</v>
      </c>
      <c r="O2739" t="n">
        <v>0</v>
      </c>
      <c r="P2739" t="n">
        <v>0</v>
      </c>
      <c r="Q2739" t="n">
        <v>0</v>
      </c>
      <c r="R2739" s="2" t="inlineStr"/>
    </row>
    <row r="2740" ht="15" customHeight="1">
      <c r="A2740" t="inlineStr">
        <is>
          <t>A 22111-2024</t>
        </is>
      </c>
      <c r="B2740" s="1" t="n">
        <v>45443</v>
      </c>
      <c r="C2740" s="1" t="n">
        <v>46145</v>
      </c>
      <c r="D2740" t="inlineStr">
        <is>
          <t>VÄSTERBOTTENS LÄN</t>
        </is>
      </c>
      <c r="E2740" t="inlineStr">
        <is>
          <t>ÅSELE</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39513-2023</t>
        </is>
      </c>
      <c r="B2741" s="1" t="n">
        <v>45167</v>
      </c>
      <c r="C2741" s="1" t="n">
        <v>46145</v>
      </c>
      <c r="D2741" t="inlineStr">
        <is>
          <t>VÄSTERBOTTENS LÄN</t>
        </is>
      </c>
      <c r="E2741" t="inlineStr">
        <is>
          <t>SKELLEFTEÅ</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39101-2024</t>
        </is>
      </c>
      <c r="B2742" s="1" t="n">
        <v>45548.56578703703</v>
      </c>
      <c r="C2742" s="1" t="n">
        <v>46145</v>
      </c>
      <c r="D2742" t="inlineStr">
        <is>
          <t>VÄSTERBOTTENS LÄN</t>
        </is>
      </c>
      <c r="E2742" t="inlineStr">
        <is>
          <t>BJURHOLM</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39146-2024</t>
        </is>
      </c>
      <c r="B2743" s="1" t="n">
        <v>45548.61752314815</v>
      </c>
      <c r="C2743" s="1" t="n">
        <v>46145</v>
      </c>
      <c r="D2743" t="inlineStr">
        <is>
          <t>VÄSTERBOTTENS LÄN</t>
        </is>
      </c>
      <c r="E2743" t="inlineStr">
        <is>
          <t>SKELLEFTEÅ</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61136-2024</t>
        </is>
      </c>
      <c r="B2744" s="1" t="n">
        <v>45645.58386574074</v>
      </c>
      <c r="C2744" s="1" t="n">
        <v>46145</v>
      </c>
      <c r="D2744" t="inlineStr">
        <is>
          <t>VÄSTERBOTTENS LÄN</t>
        </is>
      </c>
      <c r="E2744" t="inlineStr">
        <is>
          <t>NORDMALING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14343-2024</t>
        </is>
      </c>
      <c r="B2745" s="1" t="n">
        <v>45393</v>
      </c>
      <c r="C2745" s="1" t="n">
        <v>46145</v>
      </c>
      <c r="D2745" t="inlineStr">
        <is>
          <t>VÄSTERBOTTENS LÄN</t>
        </is>
      </c>
      <c r="E2745" t="inlineStr">
        <is>
          <t>LYCKSELE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62119-2022</t>
        </is>
      </c>
      <c r="B2746" s="1" t="n">
        <v>44921.69261574074</v>
      </c>
      <c r="C2746" s="1" t="n">
        <v>46145</v>
      </c>
      <c r="D2746" t="inlineStr">
        <is>
          <t>VÄSTERBOTTENS LÄN</t>
        </is>
      </c>
      <c r="E2746" t="inlineStr">
        <is>
          <t>NORDMALING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2119-2025</t>
        </is>
      </c>
      <c r="B2747" s="1" t="n">
        <v>45672.64280092593</v>
      </c>
      <c r="C2747" s="1" t="n">
        <v>46145</v>
      </c>
      <c r="D2747" t="inlineStr">
        <is>
          <t>VÄSTERBOTTENS LÄN</t>
        </is>
      </c>
      <c r="E2747" t="inlineStr">
        <is>
          <t>NORSJÖ</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40435-2023</t>
        </is>
      </c>
      <c r="B2748" s="1" t="n">
        <v>45169</v>
      </c>
      <c r="C2748" s="1" t="n">
        <v>46145</v>
      </c>
      <c r="D2748" t="inlineStr">
        <is>
          <t>VÄSTERBOTTENS LÄN</t>
        </is>
      </c>
      <c r="E2748" t="inlineStr">
        <is>
          <t>DOROTEA</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26483-2024</t>
        </is>
      </c>
      <c r="B2749" s="1" t="n">
        <v>45469.55527777778</v>
      </c>
      <c r="C2749" s="1" t="n">
        <v>46145</v>
      </c>
      <c r="D2749" t="inlineStr">
        <is>
          <t>VÄSTERBOTTENS LÄN</t>
        </is>
      </c>
      <c r="E2749" t="inlineStr">
        <is>
          <t>LYCKSELE</t>
        </is>
      </c>
      <c r="F2749" t="inlineStr">
        <is>
          <t>Sveaskog</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66460-2021</t>
        </is>
      </c>
      <c r="B2750" s="1" t="n">
        <v>44518.92194444445</v>
      </c>
      <c r="C2750" s="1" t="n">
        <v>46145</v>
      </c>
      <c r="D2750" t="inlineStr">
        <is>
          <t>VÄSTERBOTTENS LÄN</t>
        </is>
      </c>
      <c r="E2750" t="inlineStr">
        <is>
          <t>LYCKSELE</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40436-2023</t>
        </is>
      </c>
      <c r="B2751" s="1" t="n">
        <v>45169.9409837963</v>
      </c>
      <c r="C2751" s="1" t="n">
        <v>46145</v>
      </c>
      <c r="D2751" t="inlineStr">
        <is>
          <t>VÄSTERBOTTENS LÄN</t>
        </is>
      </c>
      <c r="E2751" t="inlineStr">
        <is>
          <t>DOROTEA</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40437-2023</t>
        </is>
      </c>
      <c r="B2752" s="1" t="n">
        <v>45169.94105324074</v>
      </c>
      <c r="C2752" s="1" t="n">
        <v>46145</v>
      </c>
      <c r="D2752" t="inlineStr">
        <is>
          <t>VÄSTERBOTTENS LÄN</t>
        </is>
      </c>
      <c r="E2752" t="inlineStr">
        <is>
          <t>DOROTEA</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58700-2022</t>
        </is>
      </c>
      <c r="B2753" s="1" t="n">
        <v>44902.74778935185</v>
      </c>
      <c r="C2753" s="1" t="n">
        <v>46145</v>
      </c>
      <c r="D2753" t="inlineStr">
        <is>
          <t>VÄSTERBOTTENS LÄN</t>
        </is>
      </c>
      <c r="E2753" t="inlineStr">
        <is>
          <t>VINDELN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70195-2021</t>
        </is>
      </c>
      <c r="B2754" s="1" t="n">
        <v>44534.49537037037</v>
      </c>
      <c r="C2754" s="1" t="n">
        <v>46145</v>
      </c>
      <c r="D2754" t="inlineStr">
        <is>
          <t>VÄSTERBOTTENS LÄN</t>
        </is>
      </c>
      <c r="E2754" t="inlineStr">
        <is>
          <t>LYCKSELE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70718-2021</t>
        </is>
      </c>
      <c r="B2755" s="1" t="n">
        <v>44536</v>
      </c>
      <c r="C2755" s="1" t="n">
        <v>46145</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29454-2024</t>
        </is>
      </c>
      <c r="B2756" s="1" t="n">
        <v>45483.96839120371</v>
      </c>
      <c r="C2756" s="1" t="n">
        <v>46145</v>
      </c>
      <c r="D2756" t="inlineStr">
        <is>
          <t>VÄSTERBOTTENS LÄN</t>
        </is>
      </c>
      <c r="E2756" t="inlineStr">
        <is>
          <t>DOROTEA</t>
        </is>
      </c>
      <c r="F2756" t="inlineStr">
        <is>
          <t>SCA</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63980-2021</t>
        </is>
      </c>
      <c r="B2757" s="1" t="n">
        <v>44509</v>
      </c>
      <c r="C2757" s="1" t="n">
        <v>46145</v>
      </c>
      <c r="D2757" t="inlineStr">
        <is>
          <t>VÄSTERBOTTENS LÄN</t>
        </is>
      </c>
      <c r="E2757" t="inlineStr">
        <is>
          <t>VÄNNÄS</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27951-2024</t>
        </is>
      </c>
      <c r="B2758" s="1" t="n">
        <v>45476.32990740741</v>
      </c>
      <c r="C2758" s="1" t="n">
        <v>46145</v>
      </c>
      <c r="D2758" t="inlineStr">
        <is>
          <t>VÄSTERBOTTENS LÄN</t>
        </is>
      </c>
      <c r="E2758" t="inlineStr">
        <is>
          <t>ÅSELE</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27953-2024</t>
        </is>
      </c>
      <c r="B2759" s="1" t="n">
        <v>45476</v>
      </c>
      <c r="C2759" s="1" t="n">
        <v>46145</v>
      </c>
      <c r="D2759" t="inlineStr">
        <is>
          <t>VÄSTERBOTTENS LÄN</t>
        </is>
      </c>
      <c r="E2759" t="inlineStr">
        <is>
          <t>BJURHOLM</t>
        </is>
      </c>
      <c r="F2759" t="inlineStr">
        <is>
          <t>Holmen skog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29463-2024</t>
        </is>
      </c>
      <c r="B2760" s="1" t="n">
        <v>45483.96994212963</v>
      </c>
      <c r="C2760" s="1" t="n">
        <v>46145</v>
      </c>
      <c r="D2760" t="inlineStr">
        <is>
          <t>VÄSTERBOTTENS LÄN</t>
        </is>
      </c>
      <c r="E2760" t="inlineStr">
        <is>
          <t>VILHELMINA</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50488-2023</t>
        </is>
      </c>
      <c r="B2761" s="1" t="n">
        <v>45216</v>
      </c>
      <c r="C2761" s="1" t="n">
        <v>46145</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29150-2024</t>
        </is>
      </c>
      <c r="B2762" s="1" t="n">
        <v>45482.44936342593</v>
      </c>
      <c r="C2762" s="1" t="n">
        <v>46145</v>
      </c>
      <c r="D2762" t="inlineStr">
        <is>
          <t>VÄSTERBOTTENS LÄN</t>
        </is>
      </c>
      <c r="E2762" t="inlineStr">
        <is>
          <t>NORDMALING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51669-2024</t>
        </is>
      </c>
      <c r="B2763" s="1" t="n">
        <v>45606.8803587963</v>
      </c>
      <c r="C2763" s="1" t="n">
        <v>46145</v>
      </c>
      <c r="D2763" t="inlineStr">
        <is>
          <t>VÄSTERBOTTENS LÄN</t>
        </is>
      </c>
      <c r="E2763" t="inlineStr">
        <is>
          <t>LYCKSELE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62203-2022</t>
        </is>
      </c>
      <c r="B2764" s="1" t="n">
        <v>44922.60114583333</v>
      </c>
      <c r="C2764" s="1" t="n">
        <v>46145</v>
      </c>
      <c r="D2764" t="inlineStr">
        <is>
          <t>VÄSTERBOTTENS LÄN</t>
        </is>
      </c>
      <c r="E2764" t="inlineStr">
        <is>
          <t>NORDMALING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30722-2024</t>
        </is>
      </c>
      <c r="B2765" s="1" t="n">
        <v>45496</v>
      </c>
      <c r="C2765" s="1" t="n">
        <v>46145</v>
      </c>
      <c r="D2765" t="inlineStr">
        <is>
          <t>VÄSTERBOTTENS LÄN</t>
        </is>
      </c>
      <c r="E2765" t="inlineStr">
        <is>
          <t>ROBERTSFORS</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35631-2024</t>
        </is>
      </c>
      <c r="B2766" s="1" t="n">
        <v>45531.74990740741</v>
      </c>
      <c r="C2766" s="1" t="n">
        <v>46145</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60757-2022</t>
        </is>
      </c>
      <c r="B2767" s="1" t="n">
        <v>44914.33509259259</v>
      </c>
      <c r="C2767" s="1" t="n">
        <v>46145</v>
      </c>
      <c r="D2767" t="inlineStr">
        <is>
          <t>VÄSTERBOTTENS LÄN</t>
        </is>
      </c>
      <c r="E2767" t="inlineStr">
        <is>
          <t>VINDELN</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22663-2021</t>
        </is>
      </c>
      <c r="B2768" s="1" t="n">
        <v>44327</v>
      </c>
      <c r="C2768" s="1" t="n">
        <v>46145</v>
      </c>
      <c r="D2768" t="inlineStr">
        <is>
          <t>VÄSTERBOTTENS LÄN</t>
        </is>
      </c>
      <c r="E2768" t="inlineStr">
        <is>
          <t>SKELLEFTEÅ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9355-2023</t>
        </is>
      </c>
      <c r="B2769" s="1" t="n">
        <v>44980.93821759259</v>
      </c>
      <c r="C2769" s="1" t="n">
        <v>46145</v>
      </c>
      <c r="D2769" t="inlineStr">
        <is>
          <t>VÄSTERBOTTENS LÄN</t>
        </is>
      </c>
      <c r="E2769" t="inlineStr">
        <is>
          <t>ÅSELE</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9490-2023</t>
        </is>
      </c>
      <c r="B2770" s="1" t="n">
        <v>44977</v>
      </c>
      <c r="C2770" s="1" t="n">
        <v>46145</v>
      </c>
      <c r="D2770" t="inlineStr">
        <is>
          <t>VÄSTERBOTTENS LÄN</t>
        </is>
      </c>
      <c r="E2770" t="inlineStr">
        <is>
          <t>NORDMALING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36348-2024</t>
        </is>
      </c>
      <c r="B2771" s="1" t="n">
        <v>45534.64422453703</v>
      </c>
      <c r="C2771" s="1" t="n">
        <v>46145</v>
      </c>
      <c r="D2771" t="inlineStr">
        <is>
          <t>VÄSTERBOTTENS LÄN</t>
        </is>
      </c>
      <c r="E2771" t="inlineStr">
        <is>
          <t>VILHELMINA</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36355-2024</t>
        </is>
      </c>
      <c r="B2772" s="1" t="n">
        <v>45534.64508101852</v>
      </c>
      <c r="C2772" s="1" t="n">
        <v>46145</v>
      </c>
      <c r="D2772" t="inlineStr">
        <is>
          <t>VÄSTERBOTTENS LÄN</t>
        </is>
      </c>
      <c r="E2772" t="inlineStr">
        <is>
          <t>VILHELMINA</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1225-2023</t>
        </is>
      </c>
      <c r="B2773" s="1" t="n">
        <v>44935.97194444444</v>
      </c>
      <c r="C2773" s="1" t="n">
        <v>46145</v>
      </c>
      <c r="D2773" t="inlineStr">
        <is>
          <t>VÄSTERBOTTENS LÄN</t>
        </is>
      </c>
      <c r="E2773" t="inlineStr">
        <is>
          <t>ÅSELE</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6244-2024</t>
        </is>
      </c>
      <c r="B2774" s="1" t="n">
        <v>45337</v>
      </c>
      <c r="C2774" s="1" t="n">
        <v>46145</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32058-2024</t>
        </is>
      </c>
      <c r="B2775" s="1" t="n">
        <v>45510</v>
      </c>
      <c r="C2775" s="1" t="n">
        <v>46145</v>
      </c>
      <c r="D2775" t="inlineStr">
        <is>
          <t>VÄSTERBOTTENS LÄN</t>
        </is>
      </c>
      <c r="E2775" t="inlineStr">
        <is>
          <t>ÅSELE</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32253-2024</t>
        </is>
      </c>
      <c r="B2776" s="1" t="n">
        <v>45511.95214120371</v>
      </c>
      <c r="C2776" s="1" t="n">
        <v>46145</v>
      </c>
      <c r="D2776" t="inlineStr">
        <is>
          <t>VÄSTERBOTTENS LÄN</t>
        </is>
      </c>
      <c r="E2776" t="inlineStr">
        <is>
          <t>VILHELMINA</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56993-2022</t>
        </is>
      </c>
      <c r="B2777" s="1" t="n">
        <v>44894</v>
      </c>
      <c r="C2777" s="1" t="n">
        <v>46145</v>
      </c>
      <c r="D2777" t="inlineStr">
        <is>
          <t>VÄSTERBOTTENS LÄN</t>
        </is>
      </c>
      <c r="E2777" t="inlineStr">
        <is>
          <t>SKELLEFTEÅ</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32104-2024</t>
        </is>
      </c>
      <c r="B2778" s="1" t="n">
        <v>45511.4325925926</v>
      </c>
      <c r="C2778" s="1" t="n">
        <v>46145</v>
      </c>
      <c r="D2778" t="inlineStr">
        <is>
          <t>VÄSTERBOTTENS LÄN</t>
        </is>
      </c>
      <c r="E2778" t="inlineStr">
        <is>
          <t>ROBERTSFORS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54837-2024</t>
        </is>
      </c>
      <c r="B2779" s="1" t="n">
        <v>45618.56424768519</v>
      </c>
      <c r="C2779" s="1" t="n">
        <v>46145</v>
      </c>
      <c r="D2779" t="inlineStr">
        <is>
          <t>VÄSTERBOTTENS LÄN</t>
        </is>
      </c>
      <c r="E2779" t="inlineStr">
        <is>
          <t>NORDMALING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2758-2023</t>
        </is>
      </c>
      <c r="B2780" s="1" t="n">
        <v>44943</v>
      </c>
      <c r="C2780" s="1" t="n">
        <v>46145</v>
      </c>
      <c r="D2780" t="inlineStr">
        <is>
          <t>VÄSTERBOTTENS LÄN</t>
        </is>
      </c>
      <c r="E2780" t="inlineStr">
        <is>
          <t>LYCKSELE</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19189-2024</t>
        </is>
      </c>
      <c r="B2781" s="1" t="n">
        <v>45428</v>
      </c>
      <c r="C2781" s="1" t="n">
        <v>46145</v>
      </c>
      <c r="D2781" t="inlineStr">
        <is>
          <t>VÄSTERBOTTENS LÄN</t>
        </is>
      </c>
      <c r="E2781" t="inlineStr">
        <is>
          <t>UMEÅ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27052-2024</t>
        </is>
      </c>
      <c r="B2782" s="1" t="n">
        <v>45471</v>
      </c>
      <c r="C2782" s="1" t="n">
        <v>46145</v>
      </c>
      <c r="D2782" t="inlineStr">
        <is>
          <t>VÄSTERBOTTENS LÄN</t>
        </is>
      </c>
      <c r="E2782" t="inlineStr">
        <is>
          <t>UMEÅ</t>
        </is>
      </c>
      <c r="F2782" t="inlineStr">
        <is>
          <t>Holmen skog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37210-2024</t>
        </is>
      </c>
      <c r="B2783" s="1" t="n">
        <v>45539</v>
      </c>
      <c r="C2783" s="1" t="n">
        <v>46145</v>
      </c>
      <c r="D2783" t="inlineStr">
        <is>
          <t>VÄSTERBOTTENS LÄN</t>
        </is>
      </c>
      <c r="E2783" t="inlineStr">
        <is>
          <t>VINDELN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28893-2024</t>
        </is>
      </c>
      <c r="B2784" s="1" t="n">
        <v>45479.949375</v>
      </c>
      <c r="C2784" s="1" t="n">
        <v>46145</v>
      </c>
      <c r="D2784" t="inlineStr">
        <is>
          <t>VÄSTERBOTTENS LÄN</t>
        </is>
      </c>
      <c r="E2784" t="inlineStr">
        <is>
          <t>LYCKSELE</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58592-2024</t>
        </is>
      </c>
      <c r="B2785" s="1" t="n">
        <v>45635</v>
      </c>
      <c r="C2785" s="1" t="n">
        <v>46145</v>
      </c>
      <c r="D2785" t="inlineStr">
        <is>
          <t>VÄSTERBOTTENS LÄN</t>
        </is>
      </c>
      <c r="E2785" t="inlineStr">
        <is>
          <t>NORSJÖ</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19678-2024</t>
        </is>
      </c>
      <c r="B2786" s="1" t="n">
        <v>45432.48533564815</v>
      </c>
      <c r="C2786" s="1" t="n">
        <v>46145</v>
      </c>
      <c r="D2786" t="inlineStr">
        <is>
          <t>VÄSTERBOTTENS LÄN</t>
        </is>
      </c>
      <c r="E2786" t="inlineStr">
        <is>
          <t>UMEÅ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28939-2024</t>
        </is>
      </c>
      <c r="B2787" s="1" t="n">
        <v>45481.37263888889</v>
      </c>
      <c r="C2787" s="1" t="n">
        <v>46145</v>
      </c>
      <c r="D2787" t="inlineStr">
        <is>
          <t>VÄSTERBOTTENS LÄN</t>
        </is>
      </c>
      <c r="E2787" t="inlineStr">
        <is>
          <t>ÅSELE</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64384-2023</t>
        </is>
      </c>
      <c r="B2788" s="1" t="n">
        <v>45280</v>
      </c>
      <c r="C2788" s="1" t="n">
        <v>46145</v>
      </c>
      <c r="D2788" t="inlineStr">
        <is>
          <t>VÄSTERBOTTENS LÄN</t>
        </is>
      </c>
      <c r="E2788" t="inlineStr">
        <is>
          <t>SORSELE</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44548-2023</t>
        </is>
      </c>
      <c r="B2789" s="1" t="n">
        <v>45183</v>
      </c>
      <c r="C2789" s="1" t="n">
        <v>46145</v>
      </c>
      <c r="D2789" t="inlineStr">
        <is>
          <t>VÄSTERBOTTENS LÄN</t>
        </is>
      </c>
      <c r="E2789" t="inlineStr">
        <is>
          <t>NORDMALING</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26924-2024</t>
        </is>
      </c>
      <c r="B2790" s="1" t="n">
        <v>45470.93101851852</v>
      </c>
      <c r="C2790" s="1" t="n">
        <v>46145</v>
      </c>
      <c r="D2790" t="inlineStr">
        <is>
          <t>VÄSTERBOTTENS LÄN</t>
        </is>
      </c>
      <c r="E2790" t="inlineStr">
        <is>
          <t>UMEÅ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26930-2024</t>
        </is>
      </c>
      <c r="B2791" s="1" t="n">
        <v>45470.93159722222</v>
      </c>
      <c r="C2791" s="1" t="n">
        <v>46145</v>
      </c>
      <c r="D2791" t="inlineStr">
        <is>
          <t>VÄSTERBOTTENS LÄN</t>
        </is>
      </c>
      <c r="E2791" t="inlineStr">
        <is>
          <t>NORDMALING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30019-2024</t>
        </is>
      </c>
      <c r="B2792" s="1" t="n">
        <v>45485</v>
      </c>
      <c r="C2792" s="1" t="n">
        <v>46145</v>
      </c>
      <c r="D2792" t="inlineStr">
        <is>
          <t>VÄSTERBOTTENS LÄN</t>
        </is>
      </c>
      <c r="E2792" t="inlineStr">
        <is>
          <t>NORSJÖ</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58669-2024</t>
        </is>
      </c>
      <c r="B2793" s="1" t="n">
        <v>45634</v>
      </c>
      <c r="C2793" s="1" t="n">
        <v>46145</v>
      </c>
      <c r="D2793" t="inlineStr">
        <is>
          <t>VÄSTERBOTTENS LÄN</t>
        </is>
      </c>
      <c r="E2793" t="inlineStr">
        <is>
          <t>SORSELE</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58671-2024</t>
        </is>
      </c>
      <c r="B2794" s="1" t="n">
        <v>45635</v>
      </c>
      <c r="C2794" s="1" t="n">
        <v>46145</v>
      </c>
      <c r="D2794" t="inlineStr">
        <is>
          <t>VÄSTERBOTTENS LÄN</t>
        </is>
      </c>
      <c r="E2794" t="inlineStr">
        <is>
          <t>SORSELE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16999-2023</t>
        </is>
      </c>
      <c r="B2795" s="1" t="n">
        <v>45033.92614583333</v>
      </c>
      <c r="C2795" s="1" t="n">
        <v>46145</v>
      </c>
      <c r="D2795" t="inlineStr">
        <is>
          <t>VÄSTERBOTTENS LÄN</t>
        </is>
      </c>
      <c r="E2795" t="inlineStr">
        <is>
          <t>UMEÅ</t>
        </is>
      </c>
      <c r="G2795" t="n">
        <v>20.1</v>
      </c>
      <c r="H2795" t="n">
        <v>0</v>
      </c>
      <c r="I2795" t="n">
        <v>0</v>
      </c>
      <c r="J2795" t="n">
        <v>0</v>
      </c>
      <c r="K2795" t="n">
        <v>0</v>
      </c>
      <c r="L2795" t="n">
        <v>0</v>
      </c>
      <c r="M2795" t="n">
        <v>0</v>
      </c>
      <c r="N2795" t="n">
        <v>0</v>
      </c>
      <c r="O2795" t="n">
        <v>0</v>
      </c>
      <c r="P2795" t="n">
        <v>0</v>
      </c>
      <c r="Q2795" t="n">
        <v>0</v>
      </c>
      <c r="R2795" s="2" t="inlineStr"/>
    </row>
    <row r="2796" ht="15" customHeight="1">
      <c r="A2796" t="inlineStr">
        <is>
          <t>A 55405-2024</t>
        </is>
      </c>
      <c r="B2796" s="1" t="n">
        <v>45621</v>
      </c>
      <c r="C2796" s="1" t="n">
        <v>46145</v>
      </c>
      <c r="D2796" t="inlineStr">
        <is>
          <t>VÄSTERBOTTENS LÄN</t>
        </is>
      </c>
      <c r="E2796" t="inlineStr">
        <is>
          <t>NORSJÖ</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58776-2024</t>
        </is>
      </c>
      <c r="B2797" s="1" t="n">
        <v>45635.80726851852</v>
      </c>
      <c r="C2797" s="1" t="n">
        <v>46145</v>
      </c>
      <c r="D2797" t="inlineStr">
        <is>
          <t>VÄSTERBOTTENS LÄN</t>
        </is>
      </c>
      <c r="E2797" t="inlineStr">
        <is>
          <t>SKELLEFTEÅ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47254-2022</t>
        </is>
      </c>
      <c r="B2798" s="1" t="n">
        <v>44852.94685185186</v>
      </c>
      <c r="C2798" s="1" t="n">
        <v>46145</v>
      </c>
      <c r="D2798" t="inlineStr">
        <is>
          <t>VÄSTERBOTTENS LÄN</t>
        </is>
      </c>
      <c r="E2798" t="inlineStr">
        <is>
          <t>VILHELMINA</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58030-2024</t>
        </is>
      </c>
      <c r="B2799" s="1" t="n">
        <v>45631</v>
      </c>
      <c r="C2799" s="1" t="n">
        <v>46145</v>
      </c>
      <c r="D2799" t="inlineStr">
        <is>
          <t>VÄSTERBOTTENS LÄN</t>
        </is>
      </c>
      <c r="E2799" t="inlineStr">
        <is>
          <t>ROBERTSFORS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57770-2022</t>
        </is>
      </c>
      <c r="B2800" s="1" t="n">
        <v>44897</v>
      </c>
      <c r="C2800" s="1" t="n">
        <v>46145</v>
      </c>
      <c r="D2800" t="inlineStr">
        <is>
          <t>VÄSTERBOTTENS LÄN</t>
        </is>
      </c>
      <c r="E2800" t="inlineStr">
        <is>
          <t>SKELLEFTEÅ</t>
        </is>
      </c>
      <c r="F2800" t="inlineStr">
        <is>
          <t>Sveaskog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57795-2023</t>
        </is>
      </c>
      <c r="B2801" s="1" t="n">
        <v>45246.96861111111</v>
      </c>
      <c r="C2801" s="1" t="n">
        <v>46145</v>
      </c>
      <c r="D2801" t="inlineStr">
        <is>
          <t>VÄSTERBOTTENS LÄN</t>
        </is>
      </c>
      <c r="E2801" t="inlineStr">
        <is>
          <t>VILHELMINA</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34121-2021</t>
        </is>
      </c>
      <c r="B2802" s="1" t="n">
        <v>44379</v>
      </c>
      <c r="C2802" s="1" t="n">
        <v>46145</v>
      </c>
      <c r="D2802" t="inlineStr">
        <is>
          <t>VÄSTERBOTTENS LÄN</t>
        </is>
      </c>
      <c r="E2802" t="inlineStr">
        <is>
          <t>UMEÅ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47016-2022</t>
        </is>
      </c>
      <c r="B2803" s="1" t="n">
        <v>44851</v>
      </c>
      <c r="C2803" s="1" t="n">
        <v>46145</v>
      </c>
      <c r="D2803" t="inlineStr">
        <is>
          <t>VÄSTERBOTTENS LÄN</t>
        </is>
      </c>
      <c r="E2803" t="inlineStr">
        <is>
          <t>LYCKSELE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43651-2024</t>
        </is>
      </c>
      <c r="B2804" s="1" t="n">
        <v>45569.53740740741</v>
      </c>
      <c r="C2804" s="1" t="n">
        <v>46145</v>
      </c>
      <c r="D2804" t="inlineStr">
        <is>
          <t>VÄSTERBOTTENS LÄN</t>
        </is>
      </c>
      <c r="E2804" t="inlineStr">
        <is>
          <t>NORSJÖ</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44078-2023</t>
        </is>
      </c>
      <c r="B2805" s="1" t="n">
        <v>45188.41950231481</v>
      </c>
      <c r="C2805" s="1" t="n">
        <v>46145</v>
      </c>
      <c r="D2805" t="inlineStr">
        <is>
          <t>VÄSTERBOTTENS LÄN</t>
        </is>
      </c>
      <c r="E2805" t="inlineStr">
        <is>
          <t>SKELLEFTEÅ</t>
        </is>
      </c>
      <c r="F2805" t="inlineStr">
        <is>
          <t>Holmen skog AB</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53261-2024</t>
        </is>
      </c>
      <c r="B2806" s="1" t="n">
        <v>45614.34428240741</v>
      </c>
      <c r="C2806" s="1" t="n">
        <v>46145</v>
      </c>
      <c r="D2806" t="inlineStr">
        <is>
          <t>VÄSTERBOTTENS LÄN</t>
        </is>
      </c>
      <c r="E2806" t="inlineStr">
        <is>
          <t>BJURHOLM</t>
        </is>
      </c>
      <c r="F2806" t="inlineStr">
        <is>
          <t>SCA</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57955-2021</t>
        </is>
      </c>
      <c r="B2807" s="1" t="n">
        <v>44484</v>
      </c>
      <c r="C2807" s="1" t="n">
        <v>46145</v>
      </c>
      <c r="D2807" t="inlineStr">
        <is>
          <t>VÄSTERBOTTENS LÄN</t>
        </is>
      </c>
      <c r="E2807" t="inlineStr">
        <is>
          <t>DOROTEA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57979-2021</t>
        </is>
      </c>
      <c r="B2808" s="1" t="n">
        <v>44487</v>
      </c>
      <c r="C2808" s="1" t="n">
        <v>46145</v>
      </c>
      <c r="D2808" t="inlineStr">
        <is>
          <t>VÄSTERBOTTENS LÄN</t>
        </is>
      </c>
      <c r="E2808" t="inlineStr">
        <is>
          <t>ROBERTSFORS</t>
        </is>
      </c>
      <c r="F2808" t="inlineStr">
        <is>
          <t>Holmen skog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21012-2024</t>
        </is>
      </c>
      <c r="B2809" s="1" t="n">
        <v>45439</v>
      </c>
      <c r="C2809" s="1" t="n">
        <v>46145</v>
      </c>
      <c r="D2809" t="inlineStr">
        <is>
          <t>VÄSTERBOTTENS LÄN</t>
        </is>
      </c>
      <c r="E2809" t="inlineStr">
        <is>
          <t>NORSJÖ</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54825-2022</t>
        </is>
      </c>
      <c r="B2810" s="1" t="n">
        <v>44883</v>
      </c>
      <c r="C2810" s="1" t="n">
        <v>46145</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57406-2022</t>
        </is>
      </c>
      <c r="B2811" s="1" t="n">
        <v>44893</v>
      </c>
      <c r="C2811" s="1" t="n">
        <v>46145</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36901-2024</t>
        </is>
      </c>
      <c r="B2812" s="1" t="n">
        <v>45538.62810185185</v>
      </c>
      <c r="C2812" s="1" t="n">
        <v>46145</v>
      </c>
      <c r="D2812" t="inlineStr">
        <is>
          <t>VÄSTERBOTTENS LÄN</t>
        </is>
      </c>
      <c r="E2812" t="inlineStr">
        <is>
          <t>UMEÅ</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36932-2024</t>
        </is>
      </c>
      <c r="B2813" s="1" t="n">
        <v>45538</v>
      </c>
      <c r="C2813" s="1" t="n">
        <v>46145</v>
      </c>
      <c r="D2813" t="inlineStr">
        <is>
          <t>VÄSTERBOTTENS LÄN</t>
        </is>
      </c>
      <c r="E2813" t="inlineStr">
        <is>
          <t>UMEÅ</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36933-2024</t>
        </is>
      </c>
      <c r="B2814" s="1" t="n">
        <v>45538</v>
      </c>
      <c r="C2814" s="1" t="n">
        <v>46145</v>
      </c>
      <c r="D2814" t="inlineStr">
        <is>
          <t>VÄSTERBOTTENS LÄN</t>
        </is>
      </c>
      <c r="E2814" t="inlineStr">
        <is>
          <t>ROBERTSFORS</t>
        </is>
      </c>
      <c r="F2814" t="inlineStr">
        <is>
          <t>Holmen skog AB</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60488-2022</t>
        </is>
      </c>
      <c r="B2815" s="1" t="n">
        <v>44911.43144675926</v>
      </c>
      <c r="C2815" s="1" t="n">
        <v>46145</v>
      </c>
      <c r="D2815" t="inlineStr">
        <is>
          <t>VÄSTERBOTTENS LÄN</t>
        </is>
      </c>
      <c r="E2815" t="inlineStr">
        <is>
          <t>SKELLEFTEÅ</t>
        </is>
      </c>
      <c r="F2815" t="inlineStr">
        <is>
          <t>Sveaskog</t>
        </is>
      </c>
      <c r="G2815" t="n">
        <v>11.6</v>
      </c>
      <c r="H2815" t="n">
        <v>0</v>
      </c>
      <c r="I2815" t="n">
        <v>0</v>
      </c>
      <c r="J2815" t="n">
        <v>0</v>
      </c>
      <c r="K2815" t="n">
        <v>0</v>
      </c>
      <c r="L2815" t="n">
        <v>0</v>
      </c>
      <c r="M2815" t="n">
        <v>0</v>
      </c>
      <c r="N2815" t="n">
        <v>0</v>
      </c>
      <c r="O2815" t="n">
        <v>0</v>
      </c>
      <c r="P2815" t="n">
        <v>0</v>
      </c>
      <c r="Q2815" t="n">
        <v>0</v>
      </c>
      <c r="R2815" s="2" t="inlineStr"/>
      <c r="U2815">
        <f>HYPERLINK("https://klasma.github.io/Logging_2482/knärot/A 60488-2022 karta knärot.png", "A 60488-2022")</f>
        <v/>
      </c>
      <c r="V2815">
        <f>HYPERLINK("https://klasma.github.io/Logging_2482/klagomål/A 60488-2022 FSC-klagomål.docx", "A 60488-2022")</f>
        <v/>
      </c>
      <c r="W2815">
        <f>HYPERLINK("https://klasma.github.io/Logging_2482/klagomålsmail/A 60488-2022 FSC-klagomål mail.docx", "A 60488-2022")</f>
        <v/>
      </c>
      <c r="X2815">
        <f>HYPERLINK("https://klasma.github.io/Logging_2482/tillsyn/A 60488-2022 tillsynsbegäran.docx", "A 60488-2022")</f>
        <v/>
      </c>
      <c r="Y2815">
        <f>HYPERLINK("https://klasma.github.io/Logging_2482/tillsynsmail/A 60488-2022 tillsynsbegäran mail.docx", "A 60488-2022")</f>
        <v/>
      </c>
    </row>
    <row r="2816" ht="15" customHeight="1">
      <c r="A2816" t="inlineStr">
        <is>
          <t>A 72873-2021</t>
        </is>
      </c>
      <c r="B2816" s="1" t="n">
        <v>44547</v>
      </c>
      <c r="C2816" s="1" t="n">
        <v>46145</v>
      </c>
      <c r="D2816" t="inlineStr">
        <is>
          <t>VÄSTERBOTTENS LÄN</t>
        </is>
      </c>
      <c r="E2816" t="inlineStr">
        <is>
          <t>NORDMALING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45311-2024</t>
        </is>
      </c>
      <c r="B2817" s="1" t="n">
        <v>45576.43226851852</v>
      </c>
      <c r="C2817" s="1" t="n">
        <v>46145</v>
      </c>
      <c r="D2817" t="inlineStr">
        <is>
          <t>VÄSTERBOTTENS LÄN</t>
        </is>
      </c>
      <c r="E2817" t="inlineStr">
        <is>
          <t>ÅSELE</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4879-2024</t>
        </is>
      </c>
      <c r="B2818" s="1" t="n">
        <v>45329</v>
      </c>
      <c r="C2818" s="1" t="n">
        <v>46145</v>
      </c>
      <c r="D2818" t="inlineStr">
        <is>
          <t>VÄSTERBOTTENS LÄN</t>
        </is>
      </c>
      <c r="E2818" t="inlineStr">
        <is>
          <t>VINDELN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20777-2024</t>
        </is>
      </c>
      <c r="B2819" s="1" t="n">
        <v>45436</v>
      </c>
      <c r="C2819" s="1" t="n">
        <v>46145</v>
      </c>
      <c r="D2819" t="inlineStr">
        <is>
          <t>VÄSTERBOTTENS LÄN</t>
        </is>
      </c>
      <c r="E2819" t="inlineStr">
        <is>
          <t>BJURHOLM</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20779-2024</t>
        </is>
      </c>
      <c r="B2820" s="1" t="n">
        <v>45436.94708333333</v>
      </c>
      <c r="C2820" s="1" t="n">
        <v>46145</v>
      </c>
      <c r="D2820" t="inlineStr">
        <is>
          <t>VÄSTERBOTTENS LÄN</t>
        </is>
      </c>
      <c r="E2820" t="inlineStr">
        <is>
          <t>BJURHOLM</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8555-2023</t>
        </is>
      </c>
      <c r="B2821" s="1" t="n">
        <v>44972</v>
      </c>
      <c r="C2821" s="1" t="n">
        <v>46145</v>
      </c>
      <c r="D2821" t="inlineStr">
        <is>
          <t>VÄSTERBOTTENS LÄN</t>
        </is>
      </c>
      <c r="E2821" t="inlineStr">
        <is>
          <t>VILHELMINA</t>
        </is>
      </c>
      <c r="F2821" t="inlineStr">
        <is>
          <t>Allmännings- och besparingsskogar</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38135-2024</t>
        </is>
      </c>
      <c r="B2822" s="1" t="n">
        <v>45545.41424768518</v>
      </c>
      <c r="C2822" s="1" t="n">
        <v>46145</v>
      </c>
      <c r="D2822" t="inlineStr">
        <is>
          <t>VÄSTERBOTTENS LÄN</t>
        </is>
      </c>
      <c r="E2822" t="inlineStr">
        <is>
          <t>UMEÅ</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38197-2024</t>
        </is>
      </c>
      <c r="B2823" s="1" t="n">
        <v>45545</v>
      </c>
      <c r="C2823" s="1" t="n">
        <v>46145</v>
      </c>
      <c r="D2823" t="inlineStr">
        <is>
          <t>VÄSTERBOTTENS LÄN</t>
        </is>
      </c>
      <c r="E2823" t="inlineStr">
        <is>
          <t>ÅSELE</t>
        </is>
      </c>
      <c r="F2823" t="inlineStr">
        <is>
          <t>Sveaskog</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42249-2024</t>
        </is>
      </c>
      <c r="B2824" s="1" t="n">
        <v>45562.5778587963</v>
      </c>
      <c r="C2824" s="1" t="n">
        <v>46145</v>
      </c>
      <c r="D2824" t="inlineStr">
        <is>
          <t>VÄSTERBOTTENS LÄN</t>
        </is>
      </c>
      <c r="E2824" t="inlineStr">
        <is>
          <t>SKELLEFTEÅ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30900-2024</t>
        </is>
      </c>
      <c r="B2825" s="1" t="n">
        <v>45498</v>
      </c>
      <c r="C2825" s="1" t="n">
        <v>46145</v>
      </c>
      <c r="D2825" t="inlineStr">
        <is>
          <t>VÄSTERBOTTENS LÄN</t>
        </is>
      </c>
      <c r="E2825" t="inlineStr">
        <is>
          <t>SKELLEFTEÅ</t>
        </is>
      </c>
      <c r="G2825" t="n">
        <v>17.5</v>
      </c>
      <c r="H2825" t="n">
        <v>0</v>
      </c>
      <c r="I2825" t="n">
        <v>0</v>
      </c>
      <c r="J2825" t="n">
        <v>0</v>
      </c>
      <c r="K2825" t="n">
        <v>0</v>
      </c>
      <c r="L2825" t="n">
        <v>0</v>
      </c>
      <c r="M2825" t="n">
        <v>0</v>
      </c>
      <c r="N2825" t="n">
        <v>0</v>
      </c>
      <c r="O2825" t="n">
        <v>0</v>
      </c>
      <c r="P2825" t="n">
        <v>0</v>
      </c>
      <c r="Q2825" t="n">
        <v>0</v>
      </c>
      <c r="R2825" s="2" t="inlineStr"/>
    </row>
    <row r="2826" ht="15" customHeight="1">
      <c r="A2826" t="inlineStr">
        <is>
          <t>A 30967-2024</t>
        </is>
      </c>
      <c r="B2826" s="1" t="n">
        <v>45499.45645833333</v>
      </c>
      <c r="C2826" s="1" t="n">
        <v>46145</v>
      </c>
      <c r="D2826" t="inlineStr">
        <is>
          <t>VÄSTERBOTTENS LÄN</t>
        </is>
      </c>
      <c r="E2826" t="inlineStr">
        <is>
          <t>NORSJÖ</t>
        </is>
      </c>
      <c r="F2826" t="inlineStr">
        <is>
          <t>Holmen skog AB</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28380-2023</t>
        </is>
      </c>
      <c r="B2827" s="1" t="n">
        <v>45099</v>
      </c>
      <c r="C2827" s="1" t="n">
        <v>46145</v>
      </c>
      <c r="D2827" t="inlineStr">
        <is>
          <t>VÄSTERBOTTENS LÄN</t>
        </is>
      </c>
      <c r="E2827" t="inlineStr">
        <is>
          <t>VILHELMINA</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58240-2022</t>
        </is>
      </c>
      <c r="B2828" s="1" t="n">
        <v>44893</v>
      </c>
      <c r="C2828" s="1" t="n">
        <v>46145</v>
      </c>
      <c r="D2828" t="inlineStr">
        <is>
          <t>VÄSTERBOTTENS LÄN</t>
        </is>
      </c>
      <c r="E2828" t="inlineStr">
        <is>
          <t>MALÅ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54778-2024</t>
        </is>
      </c>
      <c r="B2829" s="1" t="n">
        <v>45618</v>
      </c>
      <c r="C2829" s="1" t="n">
        <v>46145</v>
      </c>
      <c r="D2829" t="inlineStr">
        <is>
          <t>VÄSTERBOTTENS LÄN</t>
        </is>
      </c>
      <c r="E2829" t="inlineStr">
        <is>
          <t>LYCKSELE</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14773-2025</t>
        </is>
      </c>
      <c r="B2830" s="1" t="n">
        <v>45742.69009259259</v>
      </c>
      <c r="C2830" s="1" t="n">
        <v>46145</v>
      </c>
      <c r="D2830" t="inlineStr">
        <is>
          <t>VÄSTERBOTTENS LÄN</t>
        </is>
      </c>
      <c r="E2830" t="inlineStr">
        <is>
          <t>LYCKSELE</t>
        </is>
      </c>
      <c r="F2830" t="inlineStr">
        <is>
          <t>Holmen skog AB</t>
        </is>
      </c>
      <c r="G2830" t="n">
        <v>50.1</v>
      </c>
      <c r="H2830" t="n">
        <v>0</v>
      </c>
      <c r="I2830" t="n">
        <v>0</v>
      </c>
      <c r="J2830" t="n">
        <v>0</v>
      </c>
      <c r="K2830" t="n">
        <v>0</v>
      </c>
      <c r="L2830" t="n">
        <v>0</v>
      </c>
      <c r="M2830" t="n">
        <v>0</v>
      </c>
      <c r="N2830" t="n">
        <v>0</v>
      </c>
      <c r="O2830" t="n">
        <v>0</v>
      </c>
      <c r="P2830" t="n">
        <v>0</v>
      </c>
      <c r="Q2830" t="n">
        <v>0</v>
      </c>
      <c r="R2830" s="2" t="inlineStr"/>
    </row>
    <row r="2831" ht="15" customHeight="1">
      <c r="A2831" t="inlineStr">
        <is>
          <t>A 14794-2025</t>
        </is>
      </c>
      <c r="B2831" s="1" t="n">
        <v>45742.87457175926</v>
      </c>
      <c r="C2831" s="1" t="n">
        <v>46145</v>
      </c>
      <c r="D2831" t="inlineStr">
        <is>
          <t>VÄSTERBOTTENS LÄN</t>
        </is>
      </c>
      <c r="E2831" t="inlineStr">
        <is>
          <t>LYCKSELE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61554-2022</t>
        </is>
      </c>
      <c r="B2832" s="1" t="n">
        <v>44916</v>
      </c>
      <c r="C2832" s="1" t="n">
        <v>46145</v>
      </c>
      <c r="D2832" t="inlineStr">
        <is>
          <t>VÄSTERBOTTENS LÄN</t>
        </is>
      </c>
      <c r="E2832" t="inlineStr">
        <is>
          <t>SORSELE</t>
        </is>
      </c>
      <c r="F2832" t="inlineStr">
        <is>
          <t>Sveaskog</t>
        </is>
      </c>
      <c r="G2832" t="n">
        <v>32.6</v>
      </c>
      <c r="H2832" t="n">
        <v>0</v>
      </c>
      <c r="I2832" t="n">
        <v>0</v>
      </c>
      <c r="J2832" t="n">
        <v>0</v>
      </c>
      <c r="K2832" t="n">
        <v>0</v>
      </c>
      <c r="L2832" t="n">
        <v>0</v>
      </c>
      <c r="M2832" t="n">
        <v>0</v>
      </c>
      <c r="N2832" t="n">
        <v>0</v>
      </c>
      <c r="O2832" t="n">
        <v>0</v>
      </c>
      <c r="P2832" t="n">
        <v>0</v>
      </c>
      <c r="Q2832" t="n">
        <v>0</v>
      </c>
      <c r="R2832" s="2" t="inlineStr"/>
    </row>
    <row r="2833" ht="15" customHeight="1">
      <c r="A2833" t="inlineStr">
        <is>
          <t>A 3063-2024</t>
        </is>
      </c>
      <c r="B2833" s="1" t="n">
        <v>45316</v>
      </c>
      <c r="C2833" s="1" t="n">
        <v>46145</v>
      </c>
      <c r="D2833" t="inlineStr">
        <is>
          <t>VÄSTERBOTTENS LÄN</t>
        </is>
      </c>
      <c r="E2833" t="inlineStr">
        <is>
          <t>ÅSELE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37014-2024</t>
        </is>
      </c>
      <c r="B2834" s="1" t="n">
        <v>45539</v>
      </c>
      <c r="C2834" s="1" t="n">
        <v>46145</v>
      </c>
      <c r="D2834" t="inlineStr">
        <is>
          <t>VÄSTERBOTTENS LÄN</t>
        </is>
      </c>
      <c r="E2834" t="inlineStr">
        <is>
          <t>UMEÅ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64893-2021</t>
        </is>
      </c>
      <c r="B2835" s="1" t="n">
        <v>44512.6299537037</v>
      </c>
      <c r="C2835" s="1" t="n">
        <v>46145</v>
      </c>
      <c r="D2835" t="inlineStr">
        <is>
          <t>VÄSTERBOTTENS LÄN</t>
        </is>
      </c>
      <c r="E2835" t="inlineStr">
        <is>
          <t>LYCKSELE</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61101-2022</t>
        </is>
      </c>
      <c r="B2836" s="1" t="n">
        <v>44915</v>
      </c>
      <c r="C2836" s="1" t="n">
        <v>46145</v>
      </c>
      <c r="D2836" t="inlineStr">
        <is>
          <t>VÄSTERBOTTENS LÄN</t>
        </is>
      </c>
      <c r="E2836" t="inlineStr">
        <is>
          <t>SKELLEFTEÅ</t>
        </is>
      </c>
      <c r="F2836" t="inlineStr">
        <is>
          <t>Sveaskog</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25027-2023</t>
        </is>
      </c>
      <c r="B2837" s="1" t="n">
        <v>45085.92733796296</v>
      </c>
      <c r="C2837" s="1" t="n">
        <v>46145</v>
      </c>
      <c r="D2837" t="inlineStr">
        <is>
          <t>VÄSTERBOTTENS LÄN</t>
        </is>
      </c>
      <c r="E2837" t="inlineStr">
        <is>
          <t>NORSJÖ</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25028-2023</t>
        </is>
      </c>
      <c r="B2838" s="1" t="n">
        <v>45085.92752314815</v>
      </c>
      <c r="C2838" s="1" t="n">
        <v>46145</v>
      </c>
      <c r="D2838" t="inlineStr">
        <is>
          <t>VÄSTERBOTTENS LÄN</t>
        </is>
      </c>
      <c r="E2838" t="inlineStr">
        <is>
          <t>NORSJÖ</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4496-2024</t>
        </is>
      </c>
      <c r="B2839" s="1" t="n">
        <v>45327.60730324074</v>
      </c>
      <c r="C2839" s="1" t="n">
        <v>46145</v>
      </c>
      <c r="D2839" t="inlineStr">
        <is>
          <t>VÄSTERBOTTENS LÄN</t>
        </is>
      </c>
      <c r="E2839" t="inlineStr">
        <is>
          <t>NORDMALING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61149-2022</t>
        </is>
      </c>
      <c r="B2840" s="1" t="n">
        <v>44908</v>
      </c>
      <c r="C2840" s="1" t="n">
        <v>46145</v>
      </c>
      <c r="D2840" t="inlineStr">
        <is>
          <t>VÄSTERBOTTENS LÄN</t>
        </is>
      </c>
      <c r="E2840" t="inlineStr">
        <is>
          <t>NORDMALING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14342-2024</t>
        </is>
      </c>
      <c r="B2841" s="1" t="n">
        <v>45393.73072916667</v>
      </c>
      <c r="C2841" s="1" t="n">
        <v>46145</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61846-2022</t>
        </is>
      </c>
      <c r="B2842" s="1" t="n">
        <v>44917.60903935185</v>
      </c>
      <c r="C2842" s="1" t="n">
        <v>46145</v>
      </c>
      <c r="D2842" t="inlineStr">
        <is>
          <t>VÄSTERBOTTENS LÄN</t>
        </is>
      </c>
      <c r="E2842" t="inlineStr">
        <is>
          <t>STORUMAN</t>
        </is>
      </c>
      <c r="F2842" t="inlineStr">
        <is>
          <t>Sveaskog</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73113-2021</t>
        </is>
      </c>
      <c r="B2843" s="1" t="n">
        <v>44550</v>
      </c>
      <c r="C2843" s="1" t="n">
        <v>46145</v>
      </c>
      <c r="D2843" t="inlineStr">
        <is>
          <t>VÄSTERBOTTENS LÄN</t>
        </is>
      </c>
      <c r="E2843" t="inlineStr">
        <is>
          <t>LYCKSELE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33883-2024</t>
        </is>
      </c>
      <c r="B2844" s="1" t="n">
        <v>45522.81311342592</v>
      </c>
      <c r="C2844" s="1" t="n">
        <v>46145</v>
      </c>
      <c r="D2844" t="inlineStr">
        <is>
          <t>VÄSTERBOTTENS LÄN</t>
        </is>
      </c>
      <c r="E2844" t="inlineStr">
        <is>
          <t>UMEÅ</t>
        </is>
      </c>
      <c r="F2844" t="inlineStr">
        <is>
          <t>Holmen skog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26071-2024</t>
        </is>
      </c>
      <c r="B2845" s="1" t="n">
        <v>45468.36027777778</v>
      </c>
      <c r="C2845" s="1" t="n">
        <v>46145</v>
      </c>
      <c r="D2845" t="inlineStr">
        <is>
          <t>VÄSTERBOTTENS LÄN</t>
        </is>
      </c>
      <c r="E2845" t="inlineStr">
        <is>
          <t>LYCKSELE</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61275-2022</t>
        </is>
      </c>
      <c r="B2846" s="1" t="n">
        <v>44909</v>
      </c>
      <c r="C2846" s="1" t="n">
        <v>46145</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64391-2021</t>
        </is>
      </c>
      <c r="B2847" s="1" t="n">
        <v>44511</v>
      </c>
      <c r="C2847" s="1" t="n">
        <v>46145</v>
      </c>
      <c r="D2847" t="inlineStr">
        <is>
          <t>VÄSTERBOTTENS LÄN</t>
        </is>
      </c>
      <c r="E2847" t="inlineStr">
        <is>
          <t>SKELLEFTEÅ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60210-2024</t>
        </is>
      </c>
      <c r="B2848" s="1" t="n">
        <v>45642</v>
      </c>
      <c r="C2848" s="1" t="n">
        <v>46145</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65151-2021</t>
        </is>
      </c>
      <c r="B2849" s="1" t="n">
        <v>44515</v>
      </c>
      <c r="C2849" s="1" t="n">
        <v>46145</v>
      </c>
      <c r="D2849" t="inlineStr">
        <is>
          <t>VÄSTERBOTTENS LÄN</t>
        </is>
      </c>
      <c r="E2849" t="inlineStr">
        <is>
          <t>VILHELMINA</t>
        </is>
      </c>
      <c r="G2849" t="n">
        <v>11.8</v>
      </c>
      <c r="H2849" t="n">
        <v>0</v>
      </c>
      <c r="I2849" t="n">
        <v>0</v>
      </c>
      <c r="J2849" t="n">
        <v>0</v>
      </c>
      <c r="K2849" t="n">
        <v>0</v>
      </c>
      <c r="L2849" t="n">
        <v>0</v>
      </c>
      <c r="M2849" t="n">
        <v>0</v>
      </c>
      <c r="N2849" t="n">
        <v>0</v>
      </c>
      <c r="O2849" t="n">
        <v>0</v>
      </c>
      <c r="P2849" t="n">
        <v>0</v>
      </c>
      <c r="Q2849" t="n">
        <v>0</v>
      </c>
      <c r="R2849" s="2" t="inlineStr"/>
    </row>
    <row r="2850" ht="15" customHeight="1">
      <c r="A2850" t="inlineStr">
        <is>
          <t>A 65159-2021</t>
        </is>
      </c>
      <c r="B2850" s="1" t="n">
        <v>44515</v>
      </c>
      <c r="C2850" s="1" t="n">
        <v>46145</v>
      </c>
      <c r="D2850" t="inlineStr">
        <is>
          <t>VÄSTERBOTTENS LÄN</t>
        </is>
      </c>
      <c r="E2850" t="inlineStr">
        <is>
          <t>VILHELMINA</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36245-2024</t>
        </is>
      </c>
      <c r="B2851" s="1" t="n">
        <v>45534.52609953703</v>
      </c>
      <c r="C2851" s="1" t="n">
        <v>46145</v>
      </c>
      <c r="D2851" t="inlineStr">
        <is>
          <t>VÄSTERBOTTENS LÄN</t>
        </is>
      </c>
      <c r="E2851" t="inlineStr">
        <is>
          <t>NORSJÖ</t>
        </is>
      </c>
      <c r="F2851" t="inlineStr">
        <is>
          <t>Holmen skog AB</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39335-2024</t>
        </is>
      </c>
      <c r="B2852" s="1" t="n">
        <v>45551.43978009259</v>
      </c>
      <c r="C2852" s="1" t="n">
        <v>46145</v>
      </c>
      <c r="D2852" t="inlineStr">
        <is>
          <t>VÄSTERBOTTENS LÄN</t>
        </is>
      </c>
      <c r="E2852" t="inlineStr">
        <is>
          <t>NORSJÖ</t>
        </is>
      </c>
      <c r="F2852" t="inlineStr">
        <is>
          <t>Holmen skog AB</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8436-2022</t>
        </is>
      </c>
      <c r="B2853" s="1" t="n">
        <v>44612.63918981481</v>
      </c>
      <c r="C2853" s="1" t="n">
        <v>46145</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29652-2024</t>
        </is>
      </c>
      <c r="B2854" s="1" t="n">
        <v>45484.92328703704</v>
      </c>
      <c r="C2854" s="1" t="n">
        <v>46145</v>
      </c>
      <c r="D2854" t="inlineStr">
        <is>
          <t>VÄSTERBOTTENS LÄN</t>
        </is>
      </c>
      <c r="E2854" t="inlineStr">
        <is>
          <t>UMEÅ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39343-2024</t>
        </is>
      </c>
      <c r="B2855" s="1" t="n">
        <v>45551.44489583333</v>
      </c>
      <c r="C2855" s="1" t="n">
        <v>46145</v>
      </c>
      <c r="D2855" t="inlineStr">
        <is>
          <t>VÄSTERBOTTENS LÄN</t>
        </is>
      </c>
      <c r="E2855" t="inlineStr">
        <is>
          <t>NORSJÖ</t>
        </is>
      </c>
      <c r="F2855" t="inlineStr">
        <is>
          <t>Holmen skog AB</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39353-2024</t>
        </is>
      </c>
      <c r="B2856" s="1" t="n">
        <v>45551.45835648148</v>
      </c>
      <c r="C2856" s="1" t="n">
        <v>46145</v>
      </c>
      <c r="D2856" t="inlineStr">
        <is>
          <t>VÄSTERBOTTENS LÄN</t>
        </is>
      </c>
      <c r="E2856" t="inlineStr">
        <is>
          <t>NORSJÖ</t>
        </is>
      </c>
      <c r="F2856" t="inlineStr">
        <is>
          <t>Holmen skog AB</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36589-2024</t>
        </is>
      </c>
      <c r="B2857" s="1" t="n">
        <v>45537.54291666667</v>
      </c>
      <c r="C2857" s="1" t="n">
        <v>46145</v>
      </c>
      <c r="D2857" t="inlineStr">
        <is>
          <t>VÄSTERBOTTENS LÄN</t>
        </is>
      </c>
      <c r="E2857" t="inlineStr">
        <is>
          <t>VINDELN</t>
        </is>
      </c>
      <c r="F2857" t="inlineStr">
        <is>
          <t>Sveaskog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1812-2024</t>
        </is>
      </c>
      <c r="B2858" s="1" t="n">
        <v>45307</v>
      </c>
      <c r="C2858" s="1" t="n">
        <v>46145</v>
      </c>
      <c r="D2858" t="inlineStr">
        <is>
          <t>VÄSTERBOTTENS LÄN</t>
        </is>
      </c>
      <c r="E2858" t="inlineStr">
        <is>
          <t>LYCKSELE</t>
        </is>
      </c>
      <c r="F2858" t="inlineStr">
        <is>
          <t>Sveaskog</t>
        </is>
      </c>
      <c r="G2858" t="n">
        <v>14.9</v>
      </c>
      <c r="H2858" t="n">
        <v>0</v>
      </c>
      <c r="I2858" t="n">
        <v>0</v>
      </c>
      <c r="J2858" t="n">
        <v>0</v>
      </c>
      <c r="K2858" t="n">
        <v>0</v>
      </c>
      <c r="L2858" t="n">
        <v>0</v>
      </c>
      <c r="M2858" t="n">
        <v>0</v>
      </c>
      <c r="N2858" t="n">
        <v>0</v>
      </c>
      <c r="O2858" t="n">
        <v>0</v>
      </c>
      <c r="P2858" t="n">
        <v>0</v>
      </c>
      <c r="Q2858" t="n">
        <v>0</v>
      </c>
      <c r="R2858" s="2" t="inlineStr"/>
    </row>
    <row r="2859" ht="15" customHeight="1">
      <c r="A2859" t="inlineStr">
        <is>
          <t>A 58298-2022</t>
        </is>
      </c>
      <c r="B2859" s="1" t="n">
        <v>44901</v>
      </c>
      <c r="C2859" s="1" t="n">
        <v>46145</v>
      </c>
      <c r="D2859" t="inlineStr">
        <is>
          <t>VÄSTERBOTTENS LÄN</t>
        </is>
      </c>
      <c r="E2859" t="inlineStr">
        <is>
          <t>SKELLEFTEÅ</t>
        </is>
      </c>
      <c r="F2859" t="inlineStr">
        <is>
          <t>Sveaskog</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36839-2024</t>
        </is>
      </c>
      <c r="B2860" s="1" t="n">
        <v>45538.53047453704</v>
      </c>
      <c r="C2860" s="1" t="n">
        <v>46145</v>
      </c>
      <c r="D2860" t="inlineStr">
        <is>
          <t>VÄSTERBOTTENS LÄN</t>
        </is>
      </c>
      <c r="E2860" t="inlineStr">
        <is>
          <t>VINDELN</t>
        </is>
      </c>
      <c r="F2860" t="inlineStr">
        <is>
          <t>Holmen skog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45258-2024</t>
        </is>
      </c>
      <c r="B2861" s="1" t="n">
        <v>45576.34444444445</v>
      </c>
      <c r="C2861" s="1" t="n">
        <v>46145</v>
      </c>
      <c r="D2861" t="inlineStr">
        <is>
          <t>VÄSTERBOTTENS LÄN</t>
        </is>
      </c>
      <c r="E2861" t="inlineStr">
        <is>
          <t>VILHELMINA</t>
        </is>
      </c>
      <c r="F2861" t="inlineStr">
        <is>
          <t>SCA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30058-2024</t>
        </is>
      </c>
      <c r="B2862" s="1" t="n">
        <v>45488.94793981482</v>
      </c>
      <c r="C2862" s="1" t="n">
        <v>46145</v>
      </c>
      <c r="D2862" t="inlineStr">
        <is>
          <t>VÄSTERBOTTENS LÄN</t>
        </is>
      </c>
      <c r="E2862" t="inlineStr">
        <is>
          <t>ÅSELE</t>
        </is>
      </c>
      <c r="F2862" t="inlineStr">
        <is>
          <t>SCA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37188-2024</t>
        </is>
      </c>
      <c r="B2863" s="1" t="n">
        <v>45539</v>
      </c>
      <c r="C2863" s="1" t="n">
        <v>46145</v>
      </c>
      <c r="D2863" t="inlineStr">
        <is>
          <t>VÄSTERBOTTENS LÄN</t>
        </is>
      </c>
      <c r="E2863" t="inlineStr">
        <is>
          <t>VINDELN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34184-2023</t>
        </is>
      </c>
      <c r="B2864" s="1" t="n">
        <v>45126</v>
      </c>
      <c r="C2864" s="1" t="n">
        <v>46145</v>
      </c>
      <c r="D2864" t="inlineStr">
        <is>
          <t>VÄSTERBOTTENS LÄN</t>
        </is>
      </c>
      <c r="E2864" t="inlineStr">
        <is>
          <t>NORDMALING</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57108-2024</t>
        </is>
      </c>
      <c r="B2865" s="1" t="n">
        <v>45629.36464120371</v>
      </c>
      <c r="C2865" s="1" t="n">
        <v>46145</v>
      </c>
      <c r="D2865" t="inlineStr">
        <is>
          <t>VÄSTERBOTTENS LÄN</t>
        </is>
      </c>
      <c r="E2865" t="inlineStr">
        <is>
          <t>LYCKSELE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36484-2024</t>
        </is>
      </c>
      <c r="B2866" s="1" t="n">
        <v>45537</v>
      </c>
      <c r="C2866" s="1" t="n">
        <v>46145</v>
      </c>
      <c r="D2866" t="inlineStr">
        <is>
          <t>VÄSTERBOTTENS LÄN</t>
        </is>
      </c>
      <c r="E2866" t="inlineStr">
        <is>
          <t>BJURHOLM</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37716-2024</t>
        </is>
      </c>
      <c r="B2867" s="1" t="n">
        <v>45541.63592592593</v>
      </c>
      <c r="C2867" s="1" t="n">
        <v>46145</v>
      </c>
      <c r="D2867" t="inlineStr">
        <is>
          <t>VÄSTERBOTTENS LÄN</t>
        </is>
      </c>
      <c r="E2867" t="inlineStr">
        <is>
          <t>VILHELMINA</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37717-2024</t>
        </is>
      </c>
      <c r="B2868" s="1" t="n">
        <v>45541</v>
      </c>
      <c r="C2868" s="1" t="n">
        <v>46145</v>
      </c>
      <c r="D2868" t="inlineStr">
        <is>
          <t>VÄSTERBOTTENS LÄN</t>
        </is>
      </c>
      <c r="E2868" t="inlineStr">
        <is>
          <t>VILHELMINA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3493-2023</t>
        </is>
      </c>
      <c r="B2869" s="1" t="n">
        <v>44949</v>
      </c>
      <c r="C2869" s="1" t="n">
        <v>46145</v>
      </c>
      <c r="D2869" t="inlineStr">
        <is>
          <t>VÄSTERBOTTENS LÄN</t>
        </is>
      </c>
      <c r="E2869" t="inlineStr">
        <is>
          <t>BJURHOLM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48405-2024</t>
        </is>
      </c>
      <c r="B2870" s="1" t="n">
        <v>45590.62112268519</v>
      </c>
      <c r="C2870" s="1" t="n">
        <v>46145</v>
      </c>
      <c r="D2870" t="inlineStr">
        <is>
          <t>VÄSTERBOTTENS LÄN</t>
        </is>
      </c>
      <c r="E2870" t="inlineStr">
        <is>
          <t>LYCKSELE</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53984-2022</t>
        </is>
      </c>
      <c r="B2871" s="1" t="n">
        <v>44876</v>
      </c>
      <c r="C2871" s="1" t="n">
        <v>46145</v>
      </c>
      <c r="D2871" t="inlineStr">
        <is>
          <t>VÄSTERBOTTENS LÄN</t>
        </is>
      </c>
      <c r="E2871" t="inlineStr">
        <is>
          <t>ROBERTSFORS</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18664-2024</t>
        </is>
      </c>
      <c r="B2872" s="1" t="n">
        <v>45425</v>
      </c>
      <c r="C2872" s="1" t="n">
        <v>46145</v>
      </c>
      <c r="D2872" t="inlineStr">
        <is>
          <t>VÄSTERBOTTENS LÄN</t>
        </is>
      </c>
      <c r="E2872" t="inlineStr">
        <is>
          <t>VINDELN</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60682-2022</t>
        </is>
      </c>
      <c r="B2873" s="1" t="n">
        <v>44911.94</v>
      </c>
      <c r="C2873" s="1" t="n">
        <v>46145</v>
      </c>
      <c r="D2873" t="inlineStr">
        <is>
          <t>VÄSTERBOTTENS LÄN</t>
        </is>
      </c>
      <c r="E2873" t="inlineStr">
        <is>
          <t>VILHELMINA</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56572-2022</t>
        </is>
      </c>
      <c r="B2874" s="1" t="n">
        <v>44888</v>
      </c>
      <c r="C2874" s="1" t="n">
        <v>46145</v>
      </c>
      <c r="D2874" t="inlineStr">
        <is>
          <t>VÄSTERBOTTENS LÄN</t>
        </is>
      </c>
      <c r="E2874" t="inlineStr">
        <is>
          <t>ÅSELE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36814-2024</t>
        </is>
      </c>
      <c r="B2875" s="1" t="n">
        <v>45538</v>
      </c>
      <c r="C2875" s="1" t="n">
        <v>46145</v>
      </c>
      <c r="D2875" t="inlineStr">
        <is>
          <t>VÄSTERBOTTENS LÄN</t>
        </is>
      </c>
      <c r="E2875" t="inlineStr">
        <is>
          <t>NORDMALING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36823-2024</t>
        </is>
      </c>
      <c r="B2876" s="1" t="n">
        <v>45538.50298611111</v>
      </c>
      <c r="C2876" s="1" t="n">
        <v>46145</v>
      </c>
      <c r="D2876" t="inlineStr">
        <is>
          <t>VÄSTERBOTTENS LÄN</t>
        </is>
      </c>
      <c r="E2876" t="inlineStr">
        <is>
          <t>SKELLEFTEÅ</t>
        </is>
      </c>
      <c r="F2876" t="inlineStr">
        <is>
          <t>Holmen skog AB</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60692-2022</t>
        </is>
      </c>
      <c r="B2877" s="1" t="n">
        <v>44911.94085648148</v>
      </c>
      <c r="C2877" s="1" t="n">
        <v>46145</v>
      </c>
      <c r="D2877" t="inlineStr">
        <is>
          <t>VÄSTERBOTTENS LÄN</t>
        </is>
      </c>
      <c r="E2877" t="inlineStr">
        <is>
          <t>BJURHOLM</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60738-2022</t>
        </is>
      </c>
      <c r="B2878" s="1" t="n">
        <v>44913.89579861111</v>
      </c>
      <c r="C2878" s="1" t="n">
        <v>46145</v>
      </c>
      <c r="D2878" t="inlineStr">
        <is>
          <t>VÄSTERBOTTENS LÄN</t>
        </is>
      </c>
      <c r="E2878" t="inlineStr">
        <is>
          <t>ROBERTSFORS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48234-2024</t>
        </is>
      </c>
      <c r="B2879" s="1" t="n">
        <v>45590.38300925926</v>
      </c>
      <c r="C2879" s="1" t="n">
        <v>46145</v>
      </c>
      <c r="D2879" t="inlineStr">
        <is>
          <t>VÄSTERBOTTENS LÄN</t>
        </is>
      </c>
      <c r="E2879" t="inlineStr">
        <is>
          <t>NORDMALING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61390-2022</t>
        </is>
      </c>
      <c r="B2880" s="1" t="n">
        <v>44915</v>
      </c>
      <c r="C2880" s="1" t="n">
        <v>46145</v>
      </c>
      <c r="D2880" t="inlineStr">
        <is>
          <t>VÄSTERBOTTENS LÄN</t>
        </is>
      </c>
      <c r="E2880" t="inlineStr">
        <is>
          <t>LYCKSELE</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61397-2022</t>
        </is>
      </c>
      <c r="B2881" s="1" t="n">
        <v>44915.94381944444</v>
      </c>
      <c r="C2881" s="1" t="n">
        <v>46145</v>
      </c>
      <c r="D2881" t="inlineStr">
        <is>
          <t>VÄSTERBOTTENS LÄN</t>
        </is>
      </c>
      <c r="E2881" t="inlineStr">
        <is>
          <t>ÅSELE</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12261-2022</t>
        </is>
      </c>
      <c r="B2882" s="1" t="n">
        <v>44637</v>
      </c>
      <c r="C2882" s="1" t="n">
        <v>46145</v>
      </c>
      <c r="D2882" t="inlineStr">
        <is>
          <t>VÄSTERBOTTENS LÄN</t>
        </is>
      </c>
      <c r="E2882" t="inlineStr">
        <is>
          <t>LYCKSELE</t>
        </is>
      </c>
      <c r="G2882" t="n">
        <v>30.8</v>
      </c>
      <c r="H2882" t="n">
        <v>0</v>
      </c>
      <c r="I2882" t="n">
        <v>0</v>
      </c>
      <c r="J2882" t="n">
        <v>0</v>
      </c>
      <c r="K2882" t="n">
        <v>0</v>
      </c>
      <c r="L2882" t="n">
        <v>0</v>
      </c>
      <c r="M2882" t="n">
        <v>0</v>
      </c>
      <c r="N2882" t="n">
        <v>0</v>
      </c>
      <c r="O2882" t="n">
        <v>0</v>
      </c>
      <c r="P2882" t="n">
        <v>0</v>
      </c>
      <c r="Q2882" t="n">
        <v>0</v>
      </c>
      <c r="R2882" s="2" t="inlineStr"/>
    </row>
    <row r="2883" ht="15" customHeight="1">
      <c r="A2883" t="inlineStr">
        <is>
          <t>A 19573-2024</t>
        </is>
      </c>
      <c r="B2883" s="1" t="n">
        <v>45429</v>
      </c>
      <c r="C2883" s="1" t="n">
        <v>46145</v>
      </c>
      <c r="D2883" t="inlineStr">
        <is>
          <t>VÄSTERBOTTENS LÄN</t>
        </is>
      </c>
      <c r="E2883" t="inlineStr">
        <is>
          <t>BJURHOLM</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33194-2024</t>
        </is>
      </c>
      <c r="B2884" s="1" t="n">
        <v>45518</v>
      </c>
      <c r="C2884" s="1" t="n">
        <v>46145</v>
      </c>
      <c r="D2884" t="inlineStr">
        <is>
          <t>VÄSTERBOTTENS LÄN</t>
        </is>
      </c>
      <c r="E2884" t="inlineStr">
        <is>
          <t>ÅSELE</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33680-2021</t>
        </is>
      </c>
      <c r="B2885" s="1" t="n">
        <v>44378.41619212963</v>
      </c>
      <c r="C2885" s="1" t="n">
        <v>46145</v>
      </c>
      <c r="D2885" t="inlineStr">
        <is>
          <t>VÄSTERBOTTENS LÄN</t>
        </is>
      </c>
      <c r="E2885" t="inlineStr">
        <is>
          <t>SKELLEFTEÅ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10941-2023</t>
        </is>
      </c>
      <c r="B2886" s="1" t="n">
        <v>44985</v>
      </c>
      <c r="C2886" s="1" t="n">
        <v>46145</v>
      </c>
      <c r="D2886" t="inlineStr">
        <is>
          <t>VÄSTERBOTTENS LÄN</t>
        </is>
      </c>
      <c r="E2886" t="inlineStr">
        <is>
          <t>VILHELMINA</t>
        </is>
      </c>
      <c r="G2886" t="n">
        <v>16.7</v>
      </c>
      <c r="H2886" t="n">
        <v>0</v>
      </c>
      <c r="I2886" t="n">
        <v>0</v>
      </c>
      <c r="J2886" t="n">
        <v>0</v>
      </c>
      <c r="K2886" t="n">
        <v>0</v>
      </c>
      <c r="L2886" t="n">
        <v>0</v>
      </c>
      <c r="M2886" t="n">
        <v>0</v>
      </c>
      <c r="N2886" t="n">
        <v>0</v>
      </c>
      <c r="O2886" t="n">
        <v>0</v>
      </c>
      <c r="P2886" t="n">
        <v>0</v>
      </c>
      <c r="Q2886" t="n">
        <v>0</v>
      </c>
      <c r="R2886" s="2" t="inlineStr"/>
    </row>
    <row r="2887" ht="15" customHeight="1">
      <c r="A2887" t="inlineStr">
        <is>
          <t>A 48328-2024</t>
        </is>
      </c>
      <c r="B2887" s="1" t="n">
        <v>45590</v>
      </c>
      <c r="C2887" s="1" t="n">
        <v>46145</v>
      </c>
      <c r="D2887" t="inlineStr">
        <is>
          <t>VÄSTERBOTTENS LÄN</t>
        </is>
      </c>
      <c r="E2887" t="inlineStr">
        <is>
          <t>ÅSELE</t>
        </is>
      </c>
      <c r="F2887" t="inlineStr">
        <is>
          <t>Sveaskog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33696-2024</t>
        </is>
      </c>
      <c r="B2888" s="1" t="n">
        <v>45520.51991898148</v>
      </c>
      <c r="C2888" s="1" t="n">
        <v>46145</v>
      </c>
      <c r="D2888" t="inlineStr">
        <is>
          <t>VÄSTERBOTTENS LÄN</t>
        </is>
      </c>
      <c r="E2888" t="inlineStr">
        <is>
          <t>VINDELN</t>
        </is>
      </c>
      <c r="F2888" t="inlineStr">
        <is>
          <t>Holmen skog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37142-2024</t>
        </is>
      </c>
      <c r="B2889" s="1" t="n">
        <v>45539.59653935185</v>
      </c>
      <c r="C2889" s="1" t="n">
        <v>46145</v>
      </c>
      <c r="D2889" t="inlineStr">
        <is>
          <t>VÄSTERBOTTENS LÄN</t>
        </is>
      </c>
      <c r="E2889" t="inlineStr">
        <is>
          <t>STORUMAN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48377-2024</t>
        </is>
      </c>
      <c r="B2890" s="1" t="n">
        <v>45590.58260416667</v>
      </c>
      <c r="C2890" s="1" t="n">
        <v>46145</v>
      </c>
      <c r="D2890" t="inlineStr">
        <is>
          <t>VÄSTERBOTTENS LÄN</t>
        </is>
      </c>
      <c r="E2890" t="inlineStr">
        <is>
          <t>LYCKSELE</t>
        </is>
      </c>
      <c r="F2890" t="inlineStr">
        <is>
          <t>Holmen skog AB</t>
        </is>
      </c>
      <c r="G2890" t="n">
        <v>16.6</v>
      </c>
      <c r="H2890" t="n">
        <v>0</v>
      </c>
      <c r="I2890" t="n">
        <v>0</v>
      </c>
      <c r="J2890" t="n">
        <v>0</v>
      </c>
      <c r="K2890" t="n">
        <v>0</v>
      </c>
      <c r="L2890" t="n">
        <v>0</v>
      </c>
      <c r="M2890" t="n">
        <v>0</v>
      </c>
      <c r="N2890" t="n">
        <v>0</v>
      </c>
      <c r="O2890" t="n">
        <v>0</v>
      </c>
      <c r="P2890" t="n">
        <v>0</v>
      </c>
      <c r="Q2890" t="n">
        <v>0</v>
      </c>
      <c r="R2890" s="2" t="inlineStr"/>
    </row>
    <row r="2891" ht="15" customHeight="1">
      <c r="A2891" t="inlineStr">
        <is>
          <t>A 22896-2024</t>
        </is>
      </c>
      <c r="B2891" s="1" t="n">
        <v>45448</v>
      </c>
      <c r="C2891" s="1" t="n">
        <v>46145</v>
      </c>
      <c r="D2891" t="inlineStr">
        <is>
          <t>VÄSTERBOTTENS LÄN</t>
        </is>
      </c>
      <c r="E2891" t="inlineStr">
        <is>
          <t>VINDELN</t>
        </is>
      </c>
      <c r="F2891" t="inlineStr">
        <is>
          <t>Holmen skog AB</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544-2025</t>
        </is>
      </c>
      <c r="B2892" s="1" t="n">
        <v>45660</v>
      </c>
      <c r="C2892" s="1" t="n">
        <v>46145</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38494-2023</t>
        </is>
      </c>
      <c r="B2893" s="1" t="n">
        <v>45162</v>
      </c>
      <c r="C2893" s="1" t="n">
        <v>46145</v>
      </c>
      <c r="D2893" t="inlineStr">
        <is>
          <t>VÄSTERBOTTENS LÄN</t>
        </is>
      </c>
      <c r="E2893" t="inlineStr">
        <is>
          <t>ROBERTSFORS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61597-2024</t>
        </is>
      </c>
      <c r="B2894" s="1" t="n">
        <v>45646</v>
      </c>
      <c r="C2894" s="1" t="n">
        <v>46145</v>
      </c>
      <c r="D2894" t="inlineStr">
        <is>
          <t>VÄSTERBOTTENS LÄN</t>
        </is>
      </c>
      <c r="E2894" t="inlineStr">
        <is>
          <t>BJURHOLM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38212-2024</t>
        </is>
      </c>
      <c r="B2895" s="1" t="n">
        <v>45545.52331018518</v>
      </c>
      <c r="C2895" s="1" t="n">
        <v>46145</v>
      </c>
      <c r="D2895" t="inlineStr">
        <is>
          <t>VÄSTERBOTTENS LÄN</t>
        </is>
      </c>
      <c r="E2895" t="inlineStr">
        <is>
          <t>LYCKSELE</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38222-2024</t>
        </is>
      </c>
      <c r="B2896" s="1" t="n">
        <v>45545.53619212963</v>
      </c>
      <c r="C2896" s="1" t="n">
        <v>46145</v>
      </c>
      <c r="D2896" t="inlineStr">
        <is>
          <t>VÄSTERBOTTENS LÄN</t>
        </is>
      </c>
      <c r="E2896" t="inlineStr">
        <is>
          <t>VILHELMINA</t>
        </is>
      </c>
      <c r="F2896" t="inlineStr">
        <is>
          <t>Sveaskog</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59486-2024</t>
        </is>
      </c>
      <c r="B2897" s="1" t="n">
        <v>45638.53171296296</v>
      </c>
      <c r="C2897" s="1" t="n">
        <v>46145</v>
      </c>
      <c r="D2897" t="inlineStr">
        <is>
          <t>VÄSTERBOTTENS LÄN</t>
        </is>
      </c>
      <c r="E2897" t="inlineStr">
        <is>
          <t>NORDMALING</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10082-2023</t>
        </is>
      </c>
      <c r="B2898" s="1" t="n">
        <v>44985</v>
      </c>
      <c r="C2898" s="1" t="n">
        <v>46145</v>
      </c>
      <c r="D2898" t="inlineStr">
        <is>
          <t>VÄSTERBOTTENS LÄN</t>
        </is>
      </c>
      <c r="E2898" t="inlineStr">
        <is>
          <t>ÅSELE</t>
        </is>
      </c>
      <c r="F2898" t="inlineStr">
        <is>
          <t>SCA</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60685-2022</t>
        </is>
      </c>
      <c r="B2899" s="1" t="n">
        <v>44911</v>
      </c>
      <c r="C2899" s="1" t="n">
        <v>46145</v>
      </c>
      <c r="D2899" t="inlineStr">
        <is>
          <t>VÄSTERBOTTENS LÄN</t>
        </is>
      </c>
      <c r="E2899" t="inlineStr">
        <is>
          <t>LYCKSELE</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39288-2024</t>
        </is>
      </c>
      <c r="B2900" s="1" t="n">
        <v>45551.36658564815</v>
      </c>
      <c r="C2900" s="1" t="n">
        <v>46145</v>
      </c>
      <c r="D2900" t="inlineStr">
        <is>
          <t>VÄSTERBOTTENS LÄN</t>
        </is>
      </c>
      <c r="E2900" t="inlineStr">
        <is>
          <t>NORSJÖ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39750-2023</t>
        </is>
      </c>
      <c r="B2901" s="1" t="n">
        <v>45166</v>
      </c>
      <c r="C2901" s="1" t="n">
        <v>46145</v>
      </c>
      <c r="D2901" t="inlineStr">
        <is>
          <t>VÄSTERBOTTENS LÄN</t>
        </is>
      </c>
      <c r="E2901" t="inlineStr">
        <is>
          <t>ROBERTSFORS</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55549-2024</t>
        </is>
      </c>
      <c r="B2902" s="1" t="n">
        <v>45622</v>
      </c>
      <c r="C2902" s="1" t="n">
        <v>46145</v>
      </c>
      <c r="D2902" t="inlineStr">
        <is>
          <t>VÄSTERBOTTENS LÄN</t>
        </is>
      </c>
      <c r="E2902" t="inlineStr">
        <is>
          <t>DOROTEA</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11291-2023</t>
        </is>
      </c>
      <c r="B2903" s="1" t="n">
        <v>44992</v>
      </c>
      <c r="C2903" s="1" t="n">
        <v>46145</v>
      </c>
      <c r="D2903" t="inlineStr">
        <is>
          <t>VÄSTERBOTTENS LÄN</t>
        </is>
      </c>
      <c r="E2903" t="inlineStr">
        <is>
          <t>ÅSELE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281-2023</t>
        </is>
      </c>
      <c r="B2904" s="1" t="n">
        <v>44928</v>
      </c>
      <c r="C2904" s="1" t="n">
        <v>46145</v>
      </c>
      <c r="D2904" t="inlineStr">
        <is>
          <t>VÄSTERBOTTENS LÄN</t>
        </is>
      </c>
      <c r="E2904" t="inlineStr">
        <is>
          <t>MALÅ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56157-2024</t>
        </is>
      </c>
      <c r="B2905" s="1" t="n">
        <v>45623</v>
      </c>
      <c r="C2905" s="1" t="n">
        <v>46145</v>
      </c>
      <c r="D2905" t="inlineStr">
        <is>
          <t>VÄSTERBOTTENS LÄN</t>
        </is>
      </c>
      <c r="E2905" t="inlineStr">
        <is>
          <t>SKELLEFTEÅ</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8964-2024</t>
        </is>
      </c>
      <c r="B2906" s="1" t="n">
        <v>45357.47782407407</v>
      </c>
      <c r="C2906" s="1" t="n">
        <v>46145</v>
      </c>
      <c r="D2906" t="inlineStr">
        <is>
          <t>VÄSTERBOTTENS LÄN</t>
        </is>
      </c>
      <c r="E2906" t="inlineStr">
        <is>
          <t>LYCKSELE</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3237-2024</t>
        </is>
      </c>
      <c r="B2907" s="1" t="n">
        <v>45316.9474537037</v>
      </c>
      <c r="C2907" s="1" t="n">
        <v>46145</v>
      </c>
      <c r="D2907" t="inlineStr">
        <is>
          <t>VÄSTERBOTTENS LÄN</t>
        </is>
      </c>
      <c r="E2907" t="inlineStr">
        <is>
          <t>VILHELMINA</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37994-2024</t>
        </is>
      </c>
      <c r="B2908" s="1" t="n">
        <v>45544</v>
      </c>
      <c r="C2908" s="1" t="n">
        <v>46145</v>
      </c>
      <c r="D2908" t="inlineStr">
        <is>
          <t>VÄSTERBOTTENS LÄN</t>
        </is>
      </c>
      <c r="E2908" t="inlineStr">
        <is>
          <t>VINDELN</t>
        </is>
      </c>
      <c r="F2908" t="inlineStr">
        <is>
          <t>Holmen skog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48422-2023</t>
        </is>
      </c>
      <c r="B2909" s="1" t="n">
        <v>45205</v>
      </c>
      <c r="C2909" s="1" t="n">
        <v>46145</v>
      </c>
      <c r="D2909" t="inlineStr">
        <is>
          <t>VÄSTERBOTTENS LÄN</t>
        </is>
      </c>
      <c r="E2909" t="inlineStr">
        <is>
          <t>VILHELMINA</t>
        </is>
      </c>
      <c r="F2909" t="inlineStr">
        <is>
          <t>SCA</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32956-2024</t>
        </is>
      </c>
      <c r="B2910" s="1" t="n">
        <v>45517</v>
      </c>
      <c r="C2910" s="1" t="n">
        <v>46145</v>
      </c>
      <c r="D2910" t="inlineStr">
        <is>
          <t>VÄSTERBOTTENS LÄN</t>
        </is>
      </c>
      <c r="E2910" t="inlineStr">
        <is>
          <t>VÄNNÄS</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37007-2024</t>
        </is>
      </c>
      <c r="B2911" s="1" t="n">
        <v>45539</v>
      </c>
      <c r="C2911" s="1" t="n">
        <v>46145</v>
      </c>
      <c r="D2911" t="inlineStr">
        <is>
          <t>VÄSTERBOTTENS LÄN</t>
        </is>
      </c>
      <c r="E2911" t="inlineStr">
        <is>
          <t>UMEÅ</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48483-2023</t>
        </is>
      </c>
      <c r="B2912" s="1" t="n">
        <v>45206.95854166667</v>
      </c>
      <c r="C2912" s="1" t="n">
        <v>46145</v>
      </c>
      <c r="D2912" t="inlineStr">
        <is>
          <t>VÄSTERBOTTENS LÄN</t>
        </is>
      </c>
      <c r="E2912" t="inlineStr">
        <is>
          <t>VILHELMINA</t>
        </is>
      </c>
      <c r="F2912" t="inlineStr">
        <is>
          <t>SCA</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57818-2021</t>
        </is>
      </c>
      <c r="B2913" s="1" t="n">
        <v>44484.64653935185</v>
      </c>
      <c r="C2913" s="1" t="n">
        <v>46145</v>
      </c>
      <c r="D2913" t="inlineStr">
        <is>
          <t>VÄSTERBOTTENS LÄN</t>
        </is>
      </c>
      <c r="E2913" t="inlineStr">
        <is>
          <t>LYCKSELE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48505-2023</t>
        </is>
      </c>
      <c r="B2914" s="1" t="n">
        <v>45207.93900462963</v>
      </c>
      <c r="C2914" s="1" t="n">
        <v>46145</v>
      </c>
      <c r="D2914" t="inlineStr">
        <is>
          <t>VÄSTERBOTTENS LÄN</t>
        </is>
      </c>
      <c r="E2914" t="inlineStr">
        <is>
          <t>VILHELMINA</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38114-2024</t>
        </is>
      </c>
      <c r="B2915" s="1" t="n">
        <v>45545</v>
      </c>
      <c r="C2915" s="1" t="n">
        <v>46145</v>
      </c>
      <c r="D2915" t="inlineStr">
        <is>
          <t>VÄSTERBOTTENS LÄN</t>
        </is>
      </c>
      <c r="E2915" t="inlineStr">
        <is>
          <t>LYCKSELE</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34236-2023</t>
        </is>
      </c>
      <c r="B2916" s="1" t="n">
        <v>45127</v>
      </c>
      <c r="C2916" s="1" t="n">
        <v>46145</v>
      </c>
      <c r="D2916" t="inlineStr">
        <is>
          <t>VÄSTERBOTTENS LÄN</t>
        </is>
      </c>
      <c r="E2916" t="inlineStr">
        <is>
          <t>ÅSELE</t>
        </is>
      </c>
      <c r="F2916" t="inlineStr">
        <is>
          <t>Kommuner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45011-2022</t>
        </is>
      </c>
      <c r="B2917" s="1" t="n">
        <v>44840</v>
      </c>
      <c r="C2917" s="1" t="n">
        <v>46145</v>
      </c>
      <c r="D2917" t="inlineStr">
        <is>
          <t>VÄSTERBOTTENS LÄN</t>
        </is>
      </c>
      <c r="E2917" t="inlineStr">
        <is>
          <t>SKELLEFTEÅ</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48178-2024</t>
        </is>
      </c>
      <c r="B2918" s="1" t="n">
        <v>45589</v>
      </c>
      <c r="C2918" s="1" t="n">
        <v>46145</v>
      </c>
      <c r="D2918" t="inlineStr">
        <is>
          <t>VÄSTERBOTTENS LÄN</t>
        </is>
      </c>
      <c r="E2918" t="inlineStr">
        <is>
          <t>NORDMALING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50917-2022</t>
        </is>
      </c>
      <c r="B2919" s="1" t="n">
        <v>44867</v>
      </c>
      <c r="C2919" s="1" t="n">
        <v>46145</v>
      </c>
      <c r="D2919" t="inlineStr">
        <is>
          <t>VÄSTERBOTTENS LÄN</t>
        </is>
      </c>
      <c r="E2919" t="inlineStr">
        <is>
          <t>STORUMAN</t>
        </is>
      </c>
      <c r="F2919" t="inlineStr">
        <is>
          <t>Sveaskog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47616-2023</t>
        </is>
      </c>
      <c r="B2920" s="1" t="n">
        <v>45198</v>
      </c>
      <c r="C2920" s="1" t="n">
        <v>46145</v>
      </c>
      <c r="D2920" t="inlineStr">
        <is>
          <t>VÄSTERBOTTENS LÄN</t>
        </is>
      </c>
      <c r="E2920" t="inlineStr">
        <is>
          <t>ÅSELE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12002-2022</t>
        </is>
      </c>
      <c r="B2921" s="1" t="n">
        <v>44635</v>
      </c>
      <c r="C2921" s="1" t="n">
        <v>46145</v>
      </c>
      <c r="D2921" t="inlineStr">
        <is>
          <t>VÄSTERBOTTENS LÄN</t>
        </is>
      </c>
      <c r="E2921" t="inlineStr">
        <is>
          <t>STORUMAN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12009-2022</t>
        </is>
      </c>
      <c r="B2922" s="1" t="n">
        <v>44635</v>
      </c>
      <c r="C2922" s="1" t="n">
        <v>46145</v>
      </c>
      <c r="D2922" t="inlineStr">
        <is>
          <t>VÄSTERBOTTENS LÄN</t>
        </is>
      </c>
      <c r="E2922" t="inlineStr">
        <is>
          <t>SKELLEFTEÅ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36771-2024</t>
        </is>
      </c>
      <c r="B2923" s="1" t="n">
        <v>45538.38226851852</v>
      </c>
      <c r="C2923" s="1" t="n">
        <v>46145</v>
      </c>
      <c r="D2923" t="inlineStr">
        <is>
          <t>VÄSTERBOTTENS LÄN</t>
        </is>
      </c>
      <c r="E2923" t="inlineStr">
        <is>
          <t>SKELLEFTEÅ</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50464-2023</t>
        </is>
      </c>
      <c r="B2924" s="1" t="n">
        <v>45216.84891203704</v>
      </c>
      <c r="C2924" s="1" t="n">
        <v>46145</v>
      </c>
      <c r="D2924" t="inlineStr">
        <is>
          <t>VÄSTERBOTTENS LÄN</t>
        </is>
      </c>
      <c r="E2924" t="inlineStr">
        <is>
          <t>SKELLEFTEÅ</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50462-2023</t>
        </is>
      </c>
      <c r="B2925" s="1" t="n">
        <v>45216.84662037037</v>
      </c>
      <c r="C2925" s="1" t="n">
        <v>46145</v>
      </c>
      <c r="D2925" t="inlineStr">
        <is>
          <t>VÄSTERBOTTENS LÄN</t>
        </is>
      </c>
      <c r="E2925" t="inlineStr">
        <is>
          <t>SKELLEFTEÅ</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36909-2024</t>
        </is>
      </c>
      <c r="B2926" s="1" t="n">
        <v>45538.63577546296</v>
      </c>
      <c r="C2926" s="1" t="n">
        <v>46145</v>
      </c>
      <c r="D2926" t="inlineStr">
        <is>
          <t>VÄSTERBOTTENS LÄN</t>
        </is>
      </c>
      <c r="E2926" t="inlineStr">
        <is>
          <t>VILHELMINA</t>
        </is>
      </c>
      <c r="F2926" t="inlineStr">
        <is>
          <t>SCA</t>
        </is>
      </c>
      <c r="G2926" t="n">
        <v>16.8</v>
      </c>
      <c r="H2926" t="n">
        <v>0</v>
      </c>
      <c r="I2926" t="n">
        <v>0</v>
      </c>
      <c r="J2926" t="n">
        <v>0</v>
      </c>
      <c r="K2926" t="n">
        <v>0</v>
      </c>
      <c r="L2926" t="n">
        <v>0</v>
      </c>
      <c r="M2926" t="n">
        <v>0</v>
      </c>
      <c r="N2926" t="n">
        <v>0</v>
      </c>
      <c r="O2926" t="n">
        <v>0</v>
      </c>
      <c r="P2926" t="n">
        <v>0</v>
      </c>
      <c r="Q2926" t="n">
        <v>0</v>
      </c>
      <c r="R2926" s="2" t="inlineStr"/>
    </row>
    <row r="2927" ht="15" customHeight="1">
      <c r="A2927" t="inlineStr">
        <is>
          <t>A 42910-2024</t>
        </is>
      </c>
      <c r="B2927" s="1" t="n">
        <v>45566.94626157408</v>
      </c>
      <c r="C2927" s="1" t="n">
        <v>46145</v>
      </c>
      <c r="D2927" t="inlineStr">
        <is>
          <t>VÄSTERBOTTENS LÄN</t>
        </is>
      </c>
      <c r="E2927" t="inlineStr">
        <is>
          <t>ÅSELE</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11638-2023</t>
        </is>
      </c>
      <c r="B2928" s="1" t="n">
        <v>44994.44827546296</v>
      </c>
      <c r="C2928" s="1" t="n">
        <v>46145</v>
      </c>
      <c r="D2928" t="inlineStr">
        <is>
          <t>VÄSTERBOTTENS LÄN</t>
        </is>
      </c>
      <c r="E2928" t="inlineStr">
        <is>
          <t>SKELLEFTEÅ</t>
        </is>
      </c>
      <c r="G2928" t="n">
        <v>19.8</v>
      </c>
      <c r="H2928" t="n">
        <v>0</v>
      </c>
      <c r="I2928" t="n">
        <v>0</v>
      </c>
      <c r="J2928" t="n">
        <v>0</v>
      </c>
      <c r="K2928" t="n">
        <v>0</v>
      </c>
      <c r="L2928" t="n">
        <v>0</v>
      </c>
      <c r="M2928" t="n">
        <v>0</v>
      </c>
      <c r="N2928" t="n">
        <v>0</v>
      </c>
      <c r="O2928" t="n">
        <v>0</v>
      </c>
      <c r="P2928" t="n">
        <v>0</v>
      </c>
      <c r="Q2928" t="n">
        <v>0</v>
      </c>
      <c r="R2928" s="2" t="inlineStr"/>
    </row>
    <row r="2929" ht="15" customHeight="1">
      <c r="A2929" t="inlineStr">
        <is>
          <t>A 50489-2023</t>
        </is>
      </c>
      <c r="B2929" s="1" t="n">
        <v>45216.95556712963</v>
      </c>
      <c r="C2929" s="1" t="n">
        <v>46145</v>
      </c>
      <c r="D2929" t="inlineStr">
        <is>
          <t>VÄSTERBOTTENS LÄN</t>
        </is>
      </c>
      <c r="E2929" t="inlineStr">
        <is>
          <t>VILHELMINA</t>
        </is>
      </c>
      <c r="F2929" t="inlineStr">
        <is>
          <t>SCA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50506-2023</t>
        </is>
      </c>
      <c r="B2930" s="1" t="n">
        <v>45216.9580787037</v>
      </c>
      <c r="C2930" s="1" t="n">
        <v>46145</v>
      </c>
      <c r="D2930" t="inlineStr">
        <is>
          <t>VÄSTERBOTTENS LÄN</t>
        </is>
      </c>
      <c r="E2930" t="inlineStr">
        <is>
          <t>VILHELMINA</t>
        </is>
      </c>
      <c r="F2930" t="inlineStr">
        <is>
          <t>SCA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2048-2023</t>
        </is>
      </c>
      <c r="B2931" s="1" t="n">
        <v>44939</v>
      </c>
      <c r="C2931" s="1" t="n">
        <v>46145</v>
      </c>
      <c r="D2931" t="inlineStr">
        <is>
          <t>VÄSTERBOTTENS LÄN</t>
        </is>
      </c>
      <c r="E2931" t="inlineStr">
        <is>
          <t>UMEÅ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2054-2023</t>
        </is>
      </c>
      <c r="B2932" s="1" t="n">
        <v>44939</v>
      </c>
      <c r="C2932" s="1" t="n">
        <v>46145</v>
      </c>
      <c r="D2932" t="inlineStr">
        <is>
          <t>VÄSTERBOTTENS LÄN</t>
        </is>
      </c>
      <c r="E2932" t="inlineStr">
        <is>
          <t>VILHELMINA</t>
        </is>
      </c>
      <c r="F2932" t="inlineStr">
        <is>
          <t>Sveaskog</t>
        </is>
      </c>
      <c r="G2932" t="n">
        <v>19.2</v>
      </c>
      <c r="H2932" t="n">
        <v>0</v>
      </c>
      <c r="I2932" t="n">
        <v>0</v>
      </c>
      <c r="J2932" t="n">
        <v>0</v>
      </c>
      <c r="K2932" t="n">
        <v>0</v>
      </c>
      <c r="L2932" t="n">
        <v>0</v>
      </c>
      <c r="M2932" t="n">
        <v>0</v>
      </c>
      <c r="N2932" t="n">
        <v>0</v>
      </c>
      <c r="O2932" t="n">
        <v>0</v>
      </c>
      <c r="P2932" t="n">
        <v>0</v>
      </c>
      <c r="Q2932" t="n">
        <v>0</v>
      </c>
      <c r="R2932" s="2" t="inlineStr"/>
    </row>
    <row r="2933" ht="15" customHeight="1">
      <c r="A2933" t="inlineStr">
        <is>
          <t>A 38270-2023</t>
        </is>
      </c>
      <c r="B2933" s="1" t="n">
        <v>45160</v>
      </c>
      <c r="C2933" s="1" t="n">
        <v>46145</v>
      </c>
      <c r="D2933" t="inlineStr">
        <is>
          <t>VÄSTERBOTTENS LÄN</t>
        </is>
      </c>
      <c r="E2933" t="inlineStr">
        <is>
          <t>ROBERTSFORS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38312-2023</t>
        </is>
      </c>
      <c r="B2934" s="1" t="n">
        <v>45161</v>
      </c>
      <c r="C2934" s="1" t="n">
        <v>46145</v>
      </c>
      <c r="D2934" t="inlineStr">
        <is>
          <t>VÄSTERBOTTENS LÄN</t>
        </is>
      </c>
      <c r="E2934" t="inlineStr">
        <is>
          <t>MALÅ</t>
        </is>
      </c>
      <c r="F2934" t="inlineStr">
        <is>
          <t>Sveaskog</t>
        </is>
      </c>
      <c r="G2934" t="n">
        <v>63.6</v>
      </c>
      <c r="H2934" t="n">
        <v>0</v>
      </c>
      <c r="I2934" t="n">
        <v>0</v>
      </c>
      <c r="J2934" t="n">
        <v>0</v>
      </c>
      <c r="K2934" t="n">
        <v>0</v>
      </c>
      <c r="L2934" t="n">
        <v>0</v>
      </c>
      <c r="M2934" t="n">
        <v>0</v>
      </c>
      <c r="N2934" t="n">
        <v>0</v>
      </c>
      <c r="O2934" t="n">
        <v>0</v>
      </c>
      <c r="P2934" t="n">
        <v>0</v>
      </c>
      <c r="Q2934" t="n">
        <v>0</v>
      </c>
      <c r="R2934" s="2" t="inlineStr"/>
    </row>
    <row r="2935" ht="15" customHeight="1">
      <c r="A2935" t="inlineStr">
        <is>
          <t>A 562-2025</t>
        </is>
      </c>
      <c r="B2935" s="1" t="n">
        <v>45660</v>
      </c>
      <c r="C2935" s="1" t="n">
        <v>46145</v>
      </c>
      <c r="D2935" t="inlineStr">
        <is>
          <t>VÄSTERBOTTENS LÄN</t>
        </is>
      </c>
      <c r="E2935" t="inlineStr">
        <is>
          <t>SORSELE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23532-2023</t>
        </is>
      </c>
      <c r="B2936" s="1" t="n">
        <v>45076.94684027778</v>
      </c>
      <c r="C2936" s="1" t="n">
        <v>46145</v>
      </c>
      <c r="D2936" t="inlineStr">
        <is>
          <t>VÄSTERBOTTENS LÄN</t>
        </is>
      </c>
      <c r="E2936" t="inlineStr">
        <is>
          <t>VINDELN</t>
        </is>
      </c>
      <c r="F2936" t="inlineStr">
        <is>
          <t>SCA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30901-2024</t>
        </is>
      </c>
      <c r="B2937" s="1" t="n">
        <v>45498</v>
      </c>
      <c r="C2937" s="1" t="n">
        <v>46145</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13836-2025</t>
        </is>
      </c>
      <c r="B2938" s="1" t="n">
        <v>45737.55303240741</v>
      </c>
      <c r="C2938" s="1" t="n">
        <v>46145</v>
      </c>
      <c r="D2938" t="inlineStr">
        <is>
          <t>VÄSTERBOTTENS LÄN</t>
        </is>
      </c>
      <c r="E2938" t="inlineStr">
        <is>
          <t>VINDELN</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16106-2025</t>
        </is>
      </c>
      <c r="B2939" s="1" t="n">
        <v>45750.33010416666</v>
      </c>
      <c r="C2939" s="1" t="n">
        <v>46145</v>
      </c>
      <c r="D2939" t="inlineStr">
        <is>
          <t>VÄSTERBOTTENS LÄN</t>
        </is>
      </c>
      <c r="E2939" t="inlineStr">
        <is>
          <t>ROBERTSFORS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18199-2024</t>
        </is>
      </c>
      <c r="B2940" s="1" t="n">
        <v>45420</v>
      </c>
      <c r="C2940" s="1" t="n">
        <v>46145</v>
      </c>
      <c r="D2940" t="inlineStr">
        <is>
          <t>VÄSTERBOTTENS LÄN</t>
        </is>
      </c>
      <c r="E2940" t="inlineStr">
        <is>
          <t>ROBERTSFORS</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57092-2024</t>
        </is>
      </c>
      <c r="B2941" s="1" t="n">
        <v>45629.35725694444</v>
      </c>
      <c r="C2941" s="1" t="n">
        <v>46145</v>
      </c>
      <c r="D2941" t="inlineStr">
        <is>
          <t>VÄSTERBOTTENS LÄN</t>
        </is>
      </c>
      <c r="E2941" t="inlineStr">
        <is>
          <t>DOROTEA</t>
        </is>
      </c>
      <c r="F2941" t="inlineStr">
        <is>
          <t>SCA</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58897-2022</t>
        </is>
      </c>
      <c r="B2942" s="1" t="n">
        <v>44895</v>
      </c>
      <c r="C2942" s="1" t="n">
        <v>46145</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33460-2024</t>
        </is>
      </c>
      <c r="B2943" s="1" t="n">
        <v>45519.58368055556</v>
      </c>
      <c r="C2943" s="1" t="n">
        <v>46145</v>
      </c>
      <c r="D2943" t="inlineStr">
        <is>
          <t>VÄSTERBOTTENS LÄN</t>
        </is>
      </c>
      <c r="E2943" t="inlineStr">
        <is>
          <t>NORSJÖ</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40348-2021</t>
        </is>
      </c>
      <c r="B2944" s="1" t="n">
        <v>44419.57832175926</v>
      </c>
      <c r="C2944" s="1" t="n">
        <v>46145</v>
      </c>
      <c r="D2944" t="inlineStr">
        <is>
          <t>VÄSTERBOTTENS LÄN</t>
        </is>
      </c>
      <c r="E2944" t="inlineStr">
        <is>
          <t>UMEÅ</t>
        </is>
      </c>
      <c r="F2944" t="inlineStr">
        <is>
          <t>Kommuner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33530-2024</t>
        </is>
      </c>
      <c r="B2945" s="1" t="n">
        <v>45519.67211805555</v>
      </c>
      <c r="C2945" s="1" t="n">
        <v>46145</v>
      </c>
      <c r="D2945" t="inlineStr">
        <is>
          <t>VÄSTERBOTTENS LÄN</t>
        </is>
      </c>
      <c r="E2945" t="inlineStr">
        <is>
          <t>SKELLEFTEÅ</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41644-2024</t>
        </is>
      </c>
      <c r="B2946" s="1" t="n">
        <v>45560</v>
      </c>
      <c r="C2946" s="1" t="n">
        <v>46145</v>
      </c>
      <c r="D2946" t="inlineStr">
        <is>
          <t>VÄSTERBOTTENS LÄN</t>
        </is>
      </c>
      <c r="E2946" t="inlineStr">
        <is>
          <t>VILHELMINA</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28936-2024</t>
        </is>
      </c>
      <c r="B2947" s="1" t="n">
        <v>45481</v>
      </c>
      <c r="C2947" s="1" t="n">
        <v>46145</v>
      </c>
      <c r="D2947" t="inlineStr">
        <is>
          <t>VÄSTERBOTTENS LÄN</t>
        </is>
      </c>
      <c r="E2947" t="inlineStr">
        <is>
          <t>ÅSELE</t>
        </is>
      </c>
      <c r="F2947" t="inlineStr">
        <is>
          <t>Sveaskog</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42887-2024</t>
        </is>
      </c>
      <c r="B2948" s="1" t="n">
        <v>45566.73494212963</v>
      </c>
      <c r="C2948" s="1" t="n">
        <v>46145</v>
      </c>
      <c r="D2948" t="inlineStr">
        <is>
          <t>VÄSTERBOTTENS LÄN</t>
        </is>
      </c>
      <c r="E2948" t="inlineStr">
        <is>
          <t>LYCKSELE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38558-2024</t>
        </is>
      </c>
      <c r="B2949" s="1" t="n">
        <v>45546.62606481482</v>
      </c>
      <c r="C2949" s="1" t="n">
        <v>46145</v>
      </c>
      <c r="D2949" t="inlineStr">
        <is>
          <t>VÄSTERBOTTENS LÄN</t>
        </is>
      </c>
      <c r="E2949" t="inlineStr">
        <is>
          <t>SKELLEFTEÅ</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15825-2023</t>
        </is>
      </c>
      <c r="B2950" s="1" t="n">
        <v>45021.94521990741</v>
      </c>
      <c r="C2950" s="1" t="n">
        <v>46145</v>
      </c>
      <c r="D2950" t="inlineStr">
        <is>
          <t>VÄSTERBOTTENS LÄN</t>
        </is>
      </c>
      <c r="E2950" t="inlineStr">
        <is>
          <t>SKELLEFTEÅ</t>
        </is>
      </c>
      <c r="F2950" t="inlineStr">
        <is>
          <t>SCA</t>
        </is>
      </c>
      <c r="G2950" t="n">
        <v>16.8</v>
      </c>
      <c r="H2950" t="n">
        <v>0</v>
      </c>
      <c r="I2950" t="n">
        <v>0</v>
      </c>
      <c r="J2950" t="n">
        <v>0</v>
      </c>
      <c r="K2950" t="n">
        <v>0</v>
      </c>
      <c r="L2950" t="n">
        <v>0</v>
      </c>
      <c r="M2950" t="n">
        <v>0</v>
      </c>
      <c r="N2950" t="n">
        <v>0</v>
      </c>
      <c r="O2950" t="n">
        <v>0</v>
      </c>
      <c r="P2950" t="n">
        <v>0</v>
      </c>
      <c r="Q2950" t="n">
        <v>0</v>
      </c>
      <c r="R2950" s="2" t="inlineStr"/>
    </row>
    <row r="2951" ht="15" customHeight="1">
      <c r="A2951" t="inlineStr">
        <is>
          <t>A 38568-2024</t>
        </is>
      </c>
      <c r="B2951" s="1" t="n">
        <v>45546.63684027778</v>
      </c>
      <c r="C2951" s="1" t="n">
        <v>46145</v>
      </c>
      <c r="D2951" t="inlineStr">
        <is>
          <t>VÄSTERBOTTENS LÄN</t>
        </is>
      </c>
      <c r="E2951" t="inlineStr">
        <is>
          <t>SKELLEFTEÅ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38569-2024</t>
        </is>
      </c>
      <c r="B2952" s="1" t="n">
        <v>45546.63689814815</v>
      </c>
      <c r="C2952" s="1" t="n">
        <v>46145</v>
      </c>
      <c r="D2952" t="inlineStr">
        <is>
          <t>VÄSTERBOTTENS LÄN</t>
        </is>
      </c>
      <c r="E2952" t="inlineStr">
        <is>
          <t>VILHELMINA</t>
        </is>
      </c>
      <c r="G2952" t="n">
        <v>31.5</v>
      </c>
      <c r="H2952" t="n">
        <v>0</v>
      </c>
      <c r="I2952" t="n">
        <v>0</v>
      </c>
      <c r="J2952" t="n">
        <v>0</v>
      </c>
      <c r="K2952" t="n">
        <v>0</v>
      </c>
      <c r="L2952" t="n">
        <v>0</v>
      </c>
      <c r="M2952" t="n">
        <v>0</v>
      </c>
      <c r="N2952" t="n">
        <v>0</v>
      </c>
      <c r="O2952" t="n">
        <v>0</v>
      </c>
      <c r="P2952" t="n">
        <v>0</v>
      </c>
      <c r="Q2952" t="n">
        <v>0</v>
      </c>
      <c r="R2952" s="2" t="inlineStr"/>
    </row>
    <row r="2953" ht="15" customHeight="1">
      <c r="A2953" t="inlineStr">
        <is>
          <t>A 9135-2024</t>
        </is>
      </c>
      <c r="B2953" s="1" t="n">
        <v>45357</v>
      </c>
      <c r="C2953" s="1" t="n">
        <v>46145</v>
      </c>
      <c r="D2953" t="inlineStr">
        <is>
          <t>VÄSTERBOTTENS LÄN</t>
        </is>
      </c>
      <c r="E2953" t="inlineStr">
        <is>
          <t>ROBERTSFORS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10582-2023</t>
        </is>
      </c>
      <c r="B2954" s="1" t="n">
        <v>44984</v>
      </c>
      <c r="C2954" s="1" t="n">
        <v>46145</v>
      </c>
      <c r="D2954" t="inlineStr">
        <is>
          <t>VÄSTERBOTTENS LÄN</t>
        </is>
      </c>
      <c r="E2954" t="inlineStr">
        <is>
          <t>ÅSELE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40103-2024</t>
        </is>
      </c>
      <c r="B2955" s="1" t="n">
        <v>45554.42751157407</v>
      </c>
      <c r="C2955" s="1" t="n">
        <v>46145</v>
      </c>
      <c r="D2955" t="inlineStr">
        <is>
          <t>VÄSTERBOTTENS LÄN</t>
        </is>
      </c>
      <c r="E2955" t="inlineStr">
        <is>
          <t>NORSJÖ</t>
        </is>
      </c>
      <c r="G2955" t="n">
        <v>15.5</v>
      </c>
      <c r="H2955" t="n">
        <v>0</v>
      </c>
      <c r="I2955" t="n">
        <v>0</v>
      </c>
      <c r="J2955" t="n">
        <v>0</v>
      </c>
      <c r="K2955" t="n">
        <v>0</v>
      </c>
      <c r="L2955" t="n">
        <v>0</v>
      </c>
      <c r="M2955" t="n">
        <v>0</v>
      </c>
      <c r="N2955" t="n">
        <v>0</v>
      </c>
      <c r="O2955" t="n">
        <v>0</v>
      </c>
      <c r="P2955" t="n">
        <v>0</v>
      </c>
      <c r="Q2955" t="n">
        <v>0</v>
      </c>
      <c r="R2955" s="2" t="inlineStr"/>
    </row>
    <row r="2956" ht="15" customHeight="1">
      <c r="A2956" t="inlineStr">
        <is>
          <t>A 56646-2022</t>
        </is>
      </c>
      <c r="B2956" s="1" t="n">
        <v>44888</v>
      </c>
      <c r="C2956" s="1" t="n">
        <v>46145</v>
      </c>
      <c r="D2956" t="inlineStr">
        <is>
          <t>VÄSTERBOTTENS LÄN</t>
        </is>
      </c>
      <c r="E2956" t="inlineStr">
        <is>
          <t>ÅSELE</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30421-2024</t>
        </is>
      </c>
      <c r="B2957" s="1" t="n">
        <v>45491.66295138889</v>
      </c>
      <c r="C2957" s="1" t="n">
        <v>46145</v>
      </c>
      <c r="D2957" t="inlineStr">
        <is>
          <t>VÄSTERBOTTENS LÄN</t>
        </is>
      </c>
      <c r="E2957" t="inlineStr">
        <is>
          <t>LYCKSELE</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30438-2024</t>
        </is>
      </c>
      <c r="B2958" s="1" t="n">
        <v>45491</v>
      </c>
      <c r="C2958" s="1" t="n">
        <v>46145</v>
      </c>
      <c r="D2958" t="inlineStr">
        <is>
          <t>VÄSTERBOTTENS LÄN</t>
        </is>
      </c>
      <c r="E2958" t="inlineStr">
        <is>
          <t>NORDMALING</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52998-2024</t>
        </is>
      </c>
      <c r="B2959" s="1" t="n">
        <v>45611.38663194444</v>
      </c>
      <c r="C2959" s="1" t="n">
        <v>46145</v>
      </c>
      <c r="D2959" t="inlineStr">
        <is>
          <t>VÄSTERBOTTENS LÄN</t>
        </is>
      </c>
      <c r="E2959" t="inlineStr">
        <is>
          <t>NORSJÖ</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15846-2024</t>
        </is>
      </c>
      <c r="B2960" s="1" t="n">
        <v>45404.84630787037</v>
      </c>
      <c r="C2960" s="1" t="n">
        <v>46145</v>
      </c>
      <c r="D2960" t="inlineStr">
        <is>
          <t>VÄSTERBOTTENS LÄN</t>
        </is>
      </c>
      <c r="E2960" t="inlineStr">
        <is>
          <t>SKELLEFTEÅ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15848-2024</t>
        </is>
      </c>
      <c r="B2961" s="1" t="n">
        <v>45404</v>
      </c>
      <c r="C2961" s="1" t="n">
        <v>46145</v>
      </c>
      <c r="D2961" t="inlineStr">
        <is>
          <t>VÄSTERBOTTENS LÄN</t>
        </is>
      </c>
      <c r="E2961" t="inlineStr">
        <is>
          <t>SKELLEFTEÅ</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7723-2024</t>
        </is>
      </c>
      <c r="B2962" s="1" t="n">
        <v>45348</v>
      </c>
      <c r="C2962" s="1" t="n">
        <v>46145</v>
      </c>
      <c r="D2962" t="inlineStr">
        <is>
          <t>VÄSTERBOTTENS LÄN</t>
        </is>
      </c>
      <c r="E2962" t="inlineStr">
        <is>
          <t>BJURHOLM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11511-2022</t>
        </is>
      </c>
      <c r="B2963" s="1" t="n">
        <v>44631.33300925926</v>
      </c>
      <c r="C2963" s="1" t="n">
        <v>46145</v>
      </c>
      <c r="D2963" t="inlineStr">
        <is>
          <t>VÄSTERBOTTENS LÄN</t>
        </is>
      </c>
      <c r="E2963" t="inlineStr">
        <is>
          <t>UMEÅ</t>
        </is>
      </c>
      <c r="F2963" t="inlineStr">
        <is>
          <t>Kommuner</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33038-2024</t>
        </is>
      </c>
      <c r="B2964" s="1" t="n">
        <v>45517.60179398148</v>
      </c>
      <c r="C2964" s="1" t="n">
        <v>46145</v>
      </c>
      <c r="D2964" t="inlineStr">
        <is>
          <t>VÄSTERBOTTENS LÄN</t>
        </is>
      </c>
      <c r="E2964" t="inlineStr">
        <is>
          <t>VINDELN</t>
        </is>
      </c>
      <c r="F2964" t="inlineStr">
        <is>
          <t>Sveaskog</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33109-2024</t>
        </is>
      </c>
      <c r="B2965" s="1" t="n">
        <v>45517</v>
      </c>
      <c r="C2965" s="1" t="n">
        <v>46145</v>
      </c>
      <c r="D2965" t="inlineStr">
        <is>
          <t>VÄSTERBOTTENS LÄN</t>
        </is>
      </c>
      <c r="E2965" t="inlineStr">
        <is>
          <t>SKELLEFTEÅ</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62483-2022</t>
        </is>
      </c>
      <c r="B2966" s="1" t="n">
        <v>44924.56034722222</v>
      </c>
      <c r="C2966" s="1" t="n">
        <v>46145</v>
      </c>
      <c r="D2966" t="inlineStr">
        <is>
          <t>VÄSTERBOTTENS LÄN</t>
        </is>
      </c>
      <c r="E2966" t="inlineStr">
        <is>
          <t>SKELLEFTEÅ</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58604-2022</t>
        </is>
      </c>
      <c r="B2967" s="1" t="n">
        <v>44894</v>
      </c>
      <c r="C2967" s="1" t="n">
        <v>46145</v>
      </c>
      <c r="D2967" t="inlineStr">
        <is>
          <t>VÄSTERBOTTENS LÄN</t>
        </is>
      </c>
      <c r="E2967" t="inlineStr">
        <is>
          <t>ROBERTSFORS</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62933-2023</t>
        </is>
      </c>
      <c r="B2968" s="1" t="n">
        <v>45271</v>
      </c>
      <c r="C2968" s="1" t="n">
        <v>46145</v>
      </c>
      <c r="D2968" t="inlineStr">
        <is>
          <t>VÄSTERBOTTENS LÄN</t>
        </is>
      </c>
      <c r="E2968" t="inlineStr">
        <is>
          <t>ROBERTSFORS</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58605-2022</t>
        </is>
      </c>
      <c r="B2969" s="1" t="n">
        <v>44902.57146990741</v>
      </c>
      <c r="C2969" s="1" t="n">
        <v>46145</v>
      </c>
      <c r="D2969" t="inlineStr">
        <is>
          <t>VÄSTERBOTTENS LÄN</t>
        </is>
      </c>
      <c r="E2969" t="inlineStr">
        <is>
          <t>UMEÅ</t>
        </is>
      </c>
      <c r="F2969" t="inlineStr">
        <is>
          <t>Holmen skog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60873-2022</t>
        </is>
      </c>
      <c r="B2970" s="1" t="n">
        <v>44908</v>
      </c>
      <c r="C2970" s="1" t="n">
        <v>46145</v>
      </c>
      <c r="D2970" t="inlineStr">
        <is>
          <t>VÄSTERBOTTENS LÄN</t>
        </is>
      </c>
      <c r="E2970" t="inlineStr">
        <is>
          <t>ÅSELE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34897-2024</t>
        </is>
      </c>
      <c r="B2971" s="1" t="n">
        <v>45527.36991898148</v>
      </c>
      <c r="C2971" s="1" t="n">
        <v>46145</v>
      </c>
      <c r="D2971" t="inlineStr">
        <is>
          <t>VÄSTERBOTTENS LÄN</t>
        </is>
      </c>
      <c r="E2971" t="inlineStr">
        <is>
          <t>LYCKSELE</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33188-2024</t>
        </is>
      </c>
      <c r="B2972" s="1" t="n">
        <v>45518</v>
      </c>
      <c r="C2972" s="1" t="n">
        <v>46145</v>
      </c>
      <c r="D2972" t="inlineStr">
        <is>
          <t>VÄSTERBOTTENS LÄN</t>
        </is>
      </c>
      <c r="E2972" t="inlineStr">
        <is>
          <t>MALÅ</t>
        </is>
      </c>
      <c r="F2972" t="inlineStr">
        <is>
          <t>Kommuner</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15979-2024</t>
        </is>
      </c>
      <c r="B2973" s="1" t="n">
        <v>45405</v>
      </c>
      <c r="C2973" s="1" t="n">
        <v>46145</v>
      </c>
      <c r="D2973" t="inlineStr">
        <is>
          <t>VÄSTERBOTTENS LÄN</t>
        </is>
      </c>
      <c r="E2973" t="inlineStr">
        <is>
          <t>UMEÅ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11973-2023</t>
        </is>
      </c>
      <c r="B2974" s="1" t="n">
        <v>44994</v>
      </c>
      <c r="C2974" s="1" t="n">
        <v>46145</v>
      </c>
      <c r="D2974" t="inlineStr">
        <is>
          <t>VÄSTERBOTTENS LÄN</t>
        </is>
      </c>
      <c r="E2974" t="inlineStr">
        <is>
          <t>SKELLEFTEÅ</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60892-2022</t>
        </is>
      </c>
      <c r="B2975" s="1" t="n">
        <v>44908</v>
      </c>
      <c r="C2975" s="1" t="n">
        <v>46145</v>
      </c>
      <c r="D2975" t="inlineStr">
        <is>
          <t>VÄSTERBOTTENS LÄN</t>
        </is>
      </c>
      <c r="E2975" t="inlineStr">
        <is>
          <t>SORSELE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45703-2021</t>
        </is>
      </c>
      <c r="B2976" s="1" t="n">
        <v>44441</v>
      </c>
      <c r="C2976" s="1" t="n">
        <v>46145</v>
      </c>
      <c r="D2976" t="inlineStr">
        <is>
          <t>VÄSTERBOTTENS LÄN</t>
        </is>
      </c>
      <c r="E2976" t="inlineStr">
        <is>
          <t>VINDELN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6974-2024</t>
        </is>
      </c>
      <c r="B2977" s="1" t="n">
        <v>45343</v>
      </c>
      <c r="C2977" s="1" t="n">
        <v>46145</v>
      </c>
      <c r="D2977" t="inlineStr">
        <is>
          <t>VÄSTERBOTTENS LÄN</t>
        </is>
      </c>
      <c r="E2977" t="inlineStr">
        <is>
          <t>NORDMALING</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7700-2024</t>
        </is>
      </c>
      <c r="B2978" s="1" t="n">
        <v>45349</v>
      </c>
      <c r="C2978" s="1" t="n">
        <v>46145</v>
      </c>
      <c r="D2978" t="inlineStr">
        <is>
          <t>VÄSTERBOTTENS LÄN</t>
        </is>
      </c>
      <c r="E2978" t="inlineStr">
        <is>
          <t>NORDMALING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2891-2025</t>
        </is>
      </c>
      <c r="B2979" s="1" t="n">
        <v>45677</v>
      </c>
      <c r="C2979" s="1" t="n">
        <v>46145</v>
      </c>
      <c r="D2979" t="inlineStr">
        <is>
          <t>VÄSTERBOTTENS LÄN</t>
        </is>
      </c>
      <c r="E2979" t="inlineStr">
        <is>
          <t>ÅSELE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33318-2024</t>
        </is>
      </c>
      <c r="B2980" s="1" t="n">
        <v>45518.97211805556</v>
      </c>
      <c r="C2980" s="1" t="n">
        <v>46145</v>
      </c>
      <c r="D2980" t="inlineStr">
        <is>
          <t>VÄSTERBOTTENS LÄN</t>
        </is>
      </c>
      <c r="E2980" t="inlineStr">
        <is>
          <t>VILHELMINA</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33321-2024</t>
        </is>
      </c>
      <c r="B2981" s="1" t="n">
        <v>45518.97256944444</v>
      </c>
      <c r="C2981" s="1" t="n">
        <v>46145</v>
      </c>
      <c r="D2981" t="inlineStr">
        <is>
          <t>VÄSTERBOTTENS LÄN</t>
        </is>
      </c>
      <c r="E2981" t="inlineStr">
        <is>
          <t>VILHELMINA</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50368-2023</t>
        </is>
      </c>
      <c r="B2982" s="1" t="n">
        <v>45209</v>
      </c>
      <c r="C2982" s="1" t="n">
        <v>46145</v>
      </c>
      <c r="D2982" t="inlineStr">
        <is>
          <t>VÄSTERBOTTENS LÄN</t>
        </is>
      </c>
      <c r="E2982" t="inlineStr">
        <is>
          <t>NORSJÖ</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15884-2025</t>
        </is>
      </c>
      <c r="B2983" s="1" t="n">
        <v>45749</v>
      </c>
      <c r="C2983" s="1" t="n">
        <v>46145</v>
      </c>
      <c r="D2983" t="inlineStr">
        <is>
          <t>VÄSTERBOTTENS LÄN</t>
        </is>
      </c>
      <c r="E2983" t="inlineStr">
        <is>
          <t>VILHELMINA</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2642-2023</t>
        </is>
      </c>
      <c r="B2984" s="1" t="n">
        <v>44944.41868055556</v>
      </c>
      <c r="C2984" s="1" t="n">
        <v>46145</v>
      </c>
      <c r="D2984" t="inlineStr">
        <is>
          <t>VÄSTERBOTTENS LÄN</t>
        </is>
      </c>
      <c r="E2984" t="inlineStr">
        <is>
          <t>NORSJÖ</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2659-2023</t>
        </is>
      </c>
      <c r="B2985" s="1" t="n">
        <v>44944</v>
      </c>
      <c r="C2985" s="1" t="n">
        <v>46145</v>
      </c>
      <c r="D2985" t="inlineStr">
        <is>
          <t>VÄSTERBOTTENS LÄN</t>
        </is>
      </c>
      <c r="E2985" t="inlineStr">
        <is>
          <t>UMEÅ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37760-2024</t>
        </is>
      </c>
      <c r="B2986" s="1" t="n">
        <v>45541.784375</v>
      </c>
      <c r="C2986" s="1" t="n">
        <v>46145</v>
      </c>
      <c r="D2986" t="inlineStr">
        <is>
          <t>VÄSTERBOTTENS LÄN</t>
        </is>
      </c>
      <c r="E2986" t="inlineStr">
        <is>
          <t>SKELLEFTEÅ</t>
        </is>
      </c>
      <c r="F2986" t="inlineStr">
        <is>
          <t>Sveaskog</t>
        </is>
      </c>
      <c r="G2986" t="n">
        <v>27.6</v>
      </c>
      <c r="H2986" t="n">
        <v>0</v>
      </c>
      <c r="I2986" t="n">
        <v>0</v>
      </c>
      <c r="J2986" t="n">
        <v>0</v>
      </c>
      <c r="K2986" t="n">
        <v>0</v>
      </c>
      <c r="L2986" t="n">
        <v>0</v>
      </c>
      <c r="M2986" t="n">
        <v>0</v>
      </c>
      <c r="N2986" t="n">
        <v>0</v>
      </c>
      <c r="O2986" t="n">
        <v>0</v>
      </c>
      <c r="P2986" t="n">
        <v>0</v>
      </c>
      <c r="Q2986" t="n">
        <v>0</v>
      </c>
      <c r="R2986" s="2" t="inlineStr"/>
    </row>
    <row r="2987" ht="15" customHeight="1">
      <c r="A2987" t="inlineStr">
        <is>
          <t>A 59287-2022</t>
        </is>
      </c>
      <c r="B2987" s="1" t="n">
        <v>44904.60694444444</v>
      </c>
      <c r="C2987" s="1" t="n">
        <v>46145</v>
      </c>
      <c r="D2987" t="inlineStr">
        <is>
          <t>VÄSTERBOTTENS LÄN</t>
        </is>
      </c>
      <c r="E2987" t="inlineStr">
        <is>
          <t>LYCKSELE</t>
        </is>
      </c>
      <c r="F2987" t="inlineStr">
        <is>
          <t>Sveaskog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57431-2022</t>
        </is>
      </c>
      <c r="B2988" s="1" t="n">
        <v>44889</v>
      </c>
      <c r="C2988" s="1" t="n">
        <v>46145</v>
      </c>
      <c r="D2988" t="inlineStr">
        <is>
          <t>VÄSTERBOTTENS LÄN</t>
        </is>
      </c>
      <c r="E2988" t="inlineStr">
        <is>
          <t>DOROTEA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38434-2021</t>
        </is>
      </c>
      <c r="B2989" s="1" t="n">
        <v>44406</v>
      </c>
      <c r="C2989" s="1" t="n">
        <v>46145</v>
      </c>
      <c r="D2989" t="inlineStr">
        <is>
          <t>VÄSTERBOTTENS LÄN</t>
        </is>
      </c>
      <c r="E2989" t="inlineStr">
        <is>
          <t>UMEÅ</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22004-2024</t>
        </is>
      </c>
      <c r="B2990" s="1" t="n">
        <v>45443</v>
      </c>
      <c r="C2990" s="1" t="n">
        <v>46145</v>
      </c>
      <c r="D2990" t="inlineStr">
        <is>
          <t>VÄSTERBOTTENS LÄN</t>
        </is>
      </c>
      <c r="E2990" t="inlineStr">
        <is>
          <t>NORDMALING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22044-2024</t>
        </is>
      </c>
      <c r="B2991" s="1" t="n">
        <v>45443</v>
      </c>
      <c r="C2991" s="1" t="n">
        <v>46145</v>
      </c>
      <c r="D2991" t="inlineStr">
        <is>
          <t>VÄSTERBOTTENS LÄN</t>
        </is>
      </c>
      <c r="E2991" t="inlineStr">
        <is>
          <t>SKELLEFTEÅ</t>
        </is>
      </c>
      <c r="F2991" t="inlineStr">
        <is>
          <t>Holmen skog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22109-2024</t>
        </is>
      </c>
      <c r="B2992" s="1" t="n">
        <v>45443</v>
      </c>
      <c r="C2992" s="1" t="n">
        <v>46145</v>
      </c>
      <c r="D2992" t="inlineStr">
        <is>
          <t>VÄSTERBOTTENS LÄN</t>
        </is>
      </c>
      <c r="E2992" t="inlineStr">
        <is>
          <t>VILHELMINA</t>
        </is>
      </c>
      <c r="F2992" t="inlineStr">
        <is>
          <t>SCA</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16021-2025</t>
        </is>
      </c>
      <c r="B2993" s="1" t="n">
        <v>45749</v>
      </c>
      <c r="C2993" s="1" t="n">
        <v>46145</v>
      </c>
      <c r="D2993" t="inlineStr">
        <is>
          <t>VÄSTERBOTTENS LÄN</t>
        </is>
      </c>
      <c r="E2993" t="inlineStr">
        <is>
          <t>UMEÅ</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58376-2022</t>
        </is>
      </c>
      <c r="B2994" s="1" t="n">
        <v>44901</v>
      </c>
      <c r="C2994" s="1" t="n">
        <v>46145</v>
      </c>
      <c r="D2994" t="inlineStr">
        <is>
          <t>VÄSTERBOTTENS LÄN</t>
        </is>
      </c>
      <c r="E2994" t="inlineStr">
        <is>
          <t>SKELLEFTEÅ</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21668-2024</t>
        </is>
      </c>
      <c r="B2995" s="1" t="n">
        <v>45441.85773148148</v>
      </c>
      <c r="C2995" s="1" t="n">
        <v>46145</v>
      </c>
      <c r="D2995" t="inlineStr">
        <is>
          <t>VÄSTERBOTTENS LÄN</t>
        </is>
      </c>
      <c r="E2995" t="inlineStr">
        <is>
          <t>LYCKSELE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58426-2022</t>
        </is>
      </c>
      <c r="B2996" s="1" t="n">
        <v>44901</v>
      </c>
      <c r="C2996" s="1" t="n">
        <v>46145</v>
      </c>
      <c r="D2996" t="inlineStr">
        <is>
          <t>VÄSTERBOTTENS LÄN</t>
        </is>
      </c>
      <c r="E2996" t="inlineStr">
        <is>
          <t>ROBERTSFORS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59030-2022</t>
        </is>
      </c>
      <c r="B2997" s="1" t="n">
        <v>44903</v>
      </c>
      <c r="C2997" s="1" t="n">
        <v>46145</v>
      </c>
      <c r="D2997" t="inlineStr">
        <is>
          <t>VÄSTERBOTTENS LÄN</t>
        </is>
      </c>
      <c r="E2997" t="inlineStr">
        <is>
          <t>VILHELMINA</t>
        </is>
      </c>
      <c r="G2997" t="n">
        <v>17.8</v>
      </c>
      <c r="H2997" t="n">
        <v>0</v>
      </c>
      <c r="I2997" t="n">
        <v>0</v>
      </c>
      <c r="J2997" t="n">
        <v>0</v>
      </c>
      <c r="K2997" t="n">
        <v>0</v>
      </c>
      <c r="L2997" t="n">
        <v>0</v>
      </c>
      <c r="M2997" t="n">
        <v>0</v>
      </c>
      <c r="N2997" t="n">
        <v>0</v>
      </c>
      <c r="O2997" t="n">
        <v>0</v>
      </c>
      <c r="P2997" t="n">
        <v>0</v>
      </c>
      <c r="Q2997" t="n">
        <v>0</v>
      </c>
      <c r="R2997" s="2" t="inlineStr"/>
    </row>
    <row r="2998" ht="15" customHeight="1">
      <c r="A2998" t="inlineStr">
        <is>
          <t>A 59031-2022</t>
        </is>
      </c>
      <c r="B2998" s="1" t="n">
        <v>44903.92716435185</v>
      </c>
      <c r="C2998" s="1" t="n">
        <v>46145</v>
      </c>
      <c r="D2998" t="inlineStr">
        <is>
          <t>VÄSTERBOTTENS LÄN</t>
        </is>
      </c>
      <c r="E2998" t="inlineStr">
        <is>
          <t>LYCKSELE</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25074-2024</t>
        </is>
      </c>
      <c r="B2999" s="1" t="n">
        <v>45462.37814814815</v>
      </c>
      <c r="C2999" s="1" t="n">
        <v>46145</v>
      </c>
      <c r="D2999" t="inlineStr">
        <is>
          <t>VÄSTERBOTTENS LÄN</t>
        </is>
      </c>
      <c r="E2999" t="inlineStr">
        <is>
          <t>NORSJÖ</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53646-2022</t>
        </is>
      </c>
      <c r="B3000" s="1" t="n">
        <v>44879</v>
      </c>
      <c r="C3000" s="1" t="n">
        <v>46145</v>
      </c>
      <c r="D3000" t="inlineStr">
        <is>
          <t>VÄSTERBOTTENS LÄN</t>
        </is>
      </c>
      <c r="E3000" t="inlineStr">
        <is>
          <t>SKELLEFTEÅ</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37134-2023</t>
        </is>
      </c>
      <c r="B3001" s="1" t="n">
        <v>45155.57627314814</v>
      </c>
      <c r="C3001" s="1" t="n">
        <v>46145</v>
      </c>
      <c r="D3001" t="inlineStr">
        <is>
          <t>VÄSTERBOTTENS LÄN</t>
        </is>
      </c>
      <c r="E3001" t="inlineStr">
        <is>
          <t>SKELLEFTEÅ</t>
        </is>
      </c>
      <c r="F3001" t="inlineStr">
        <is>
          <t>Holmen skog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52475-2022</t>
        </is>
      </c>
      <c r="B3002" s="1" t="n">
        <v>44869</v>
      </c>
      <c r="C3002" s="1" t="n">
        <v>46145</v>
      </c>
      <c r="D3002" t="inlineStr">
        <is>
          <t>VÄSTERBOTTENS LÄN</t>
        </is>
      </c>
      <c r="E3002" t="inlineStr">
        <is>
          <t>SKELLEFTEÅ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15656-2023</t>
        </is>
      </c>
      <c r="B3003" s="1" t="n">
        <v>45019</v>
      </c>
      <c r="C3003" s="1" t="n">
        <v>46145</v>
      </c>
      <c r="D3003" t="inlineStr">
        <is>
          <t>VÄSTERBOTTENS LÄN</t>
        </is>
      </c>
      <c r="E3003" t="inlineStr">
        <is>
          <t>UMEÅ</t>
        </is>
      </c>
      <c r="F3003" t="inlineStr">
        <is>
          <t>Kommuner</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35881-2024</t>
        </is>
      </c>
      <c r="B3004" s="1" t="n">
        <v>45533.35347222222</v>
      </c>
      <c r="C3004" s="1" t="n">
        <v>46145</v>
      </c>
      <c r="D3004" t="inlineStr">
        <is>
          <t>VÄSTERBOTTENS LÄN</t>
        </is>
      </c>
      <c r="E3004" t="inlineStr">
        <is>
          <t>SKELLEFTEÅ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30216-2023</t>
        </is>
      </c>
      <c r="B3005" s="1" t="n">
        <v>45110.63961805555</v>
      </c>
      <c r="C3005" s="1" t="n">
        <v>46145</v>
      </c>
      <c r="D3005" t="inlineStr">
        <is>
          <t>VÄSTERBOTTENS LÄN</t>
        </is>
      </c>
      <c r="E3005" t="inlineStr">
        <is>
          <t>UMEÅ</t>
        </is>
      </c>
      <c r="F3005" t="inlineStr">
        <is>
          <t>Holmen skog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35882-2024</t>
        </is>
      </c>
      <c r="B3006" s="1" t="n">
        <v>45533.35350694445</v>
      </c>
      <c r="C3006" s="1" t="n">
        <v>46145</v>
      </c>
      <c r="D3006" t="inlineStr">
        <is>
          <t>VÄSTERBOTTENS LÄN</t>
        </is>
      </c>
      <c r="E3006" t="inlineStr">
        <is>
          <t>NORDMALING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47910-2023</t>
        </is>
      </c>
      <c r="B3007" s="1" t="n">
        <v>45204.5140625</v>
      </c>
      <c r="C3007" s="1" t="n">
        <v>46145</v>
      </c>
      <c r="D3007" t="inlineStr">
        <is>
          <t>VÄSTERBOTTENS LÄN</t>
        </is>
      </c>
      <c r="E3007" t="inlineStr">
        <is>
          <t>SKELLEFTEÅ</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32492-2024</t>
        </is>
      </c>
      <c r="B3008" s="1" t="n">
        <v>45513.40537037037</v>
      </c>
      <c r="C3008" s="1" t="n">
        <v>46145</v>
      </c>
      <c r="D3008" t="inlineStr">
        <is>
          <t>VÄSTERBOTTENS LÄN</t>
        </is>
      </c>
      <c r="E3008" t="inlineStr">
        <is>
          <t>VINDELN</t>
        </is>
      </c>
      <c r="G3008" t="n">
        <v>10.2</v>
      </c>
      <c r="H3008" t="n">
        <v>0</v>
      </c>
      <c r="I3008" t="n">
        <v>0</v>
      </c>
      <c r="J3008" t="n">
        <v>0</v>
      </c>
      <c r="K3008" t="n">
        <v>0</v>
      </c>
      <c r="L3008" t="n">
        <v>0</v>
      </c>
      <c r="M3008" t="n">
        <v>0</v>
      </c>
      <c r="N3008" t="n">
        <v>0</v>
      </c>
      <c r="O3008" t="n">
        <v>0</v>
      </c>
      <c r="P3008" t="n">
        <v>0</v>
      </c>
      <c r="Q3008" t="n">
        <v>0</v>
      </c>
      <c r="R3008" s="2" t="inlineStr"/>
    </row>
    <row r="3009" ht="15" customHeight="1">
      <c r="A3009" t="inlineStr">
        <is>
          <t>A 47933-2023</t>
        </is>
      </c>
      <c r="B3009" s="1" t="n">
        <v>45198</v>
      </c>
      <c r="C3009" s="1" t="n">
        <v>46145</v>
      </c>
      <c r="D3009" t="inlineStr">
        <is>
          <t>VÄSTERBOTTENS LÄN</t>
        </is>
      </c>
      <c r="E3009" t="inlineStr">
        <is>
          <t>SORSELE</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74013-2021</t>
        </is>
      </c>
      <c r="B3010" s="1" t="n">
        <v>44557.42135416667</v>
      </c>
      <c r="C3010" s="1" t="n">
        <v>46145</v>
      </c>
      <c r="D3010" t="inlineStr">
        <is>
          <t>VÄSTERBOTTENS LÄN</t>
        </is>
      </c>
      <c r="E3010" t="inlineStr">
        <is>
          <t>DOROTEA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52218-2024</t>
        </is>
      </c>
      <c r="B3011" s="1" t="n">
        <v>45608.60149305555</v>
      </c>
      <c r="C3011" s="1" t="n">
        <v>46145</v>
      </c>
      <c r="D3011" t="inlineStr">
        <is>
          <t>VÄSTERBOTTENS LÄN</t>
        </is>
      </c>
      <c r="E3011" t="inlineStr">
        <is>
          <t>SKELLEFTEÅ</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62547-2022</t>
        </is>
      </c>
      <c r="B3012" s="1" t="n">
        <v>44924.71886574074</v>
      </c>
      <c r="C3012" s="1" t="n">
        <v>46145</v>
      </c>
      <c r="D3012" t="inlineStr">
        <is>
          <t>VÄSTERBOTTENS LÄN</t>
        </is>
      </c>
      <c r="E3012" t="inlineStr">
        <is>
          <t>LYCKSELE</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34320-2024</t>
        </is>
      </c>
      <c r="B3013" s="1" t="n">
        <v>45524</v>
      </c>
      <c r="C3013" s="1" t="n">
        <v>46145</v>
      </c>
      <c r="D3013" t="inlineStr">
        <is>
          <t>VÄSTERBOTTENS LÄN</t>
        </is>
      </c>
      <c r="E3013" t="inlineStr">
        <is>
          <t>UMEÅ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62581-2022</t>
        </is>
      </c>
      <c r="B3014" s="1" t="n">
        <v>44924</v>
      </c>
      <c r="C3014" s="1" t="n">
        <v>46145</v>
      </c>
      <c r="D3014" t="inlineStr">
        <is>
          <t>VÄSTERBOTTENS LÄN</t>
        </is>
      </c>
      <c r="E3014" t="inlineStr">
        <is>
          <t>BJURHOLM</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62585-2022</t>
        </is>
      </c>
      <c r="B3015" s="1" t="n">
        <v>44924.94068287037</v>
      </c>
      <c r="C3015" s="1" t="n">
        <v>46145</v>
      </c>
      <c r="D3015" t="inlineStr">
        <is>
          <t>VÄSTERBOTTENS LÄN</t>
        </is>
      </c>
      <c r="E3015" t="inlineStr">
        <is>
          <t>VINDELN</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54366-2024</t>
        </is>
      </c>
      <c r="B3016" s="1" t="n">
        <v>45617</v>
      </c>
      <c r="C3016" s="1" t="n">
        <v>46145</v>
      </c>
      <c r="D3016" t="inlineStr">
        <is>
          <t>VÄSTERBOTTENS LÄN</t>
        </is>
      </c>
      <c r="E3016" t="inlineStr">
        <is>
          <t>ROBERTSFORS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73893-2021</t>
        </is>
      </c>
      <c r="B3017" s="1" t="n">
        <v>44552</v>
      </c>
      <c r="C3017" s="1" t="n">
        <v>46145</v>
      </c>
      <c r="D3017" t="inlineStr">
        <is>
          <t>VÄSTERBOTTENS LÄN</t>
        </is>
      </c>
      <c r="E3017" t="inlineStr">
        <is>
          <t>VINDELN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39605-2024</t>
        </is>
      </c>
      <c r="B3018" s="1" t="n">
        <v>45552.38758101852</v>
      </c>
      <c r="C3018" s="1" t="n">
        <v>46145</v>
      </c>
      <c r="D3018" t="inlineStr">
        <is>
          <t>VÄSTERBOTTENS LÄN</t>
        </is>
      </c>
      <c r="E3018" t="inlineStr">
        <is>
          <t>LYCKSELE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62630-2022</t>
        </is>
      </c>
      <c r="B3019" s="1" t="n">
        <v>44917</v>
      </c>
      <c r="C3019" s="1" t="n">
        <v>46145</v>
      </c>
      <c r="D3019" t="inlineStr">
        <is>
          <t>VÄSTERBOTTENS LÄN</t>
        </is>
      </c>
      <c r="E3019" t="inlineStr">
        <is>
          <t>VILHELMINA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41037-2024</t>
        </is>
      </c>
      <c r="B3020" s="1" t="n">
        <v>45559.35982638889</v>
      </c>
      <c r="C3020" s="1" t="n">
        <v>46145</v>
      </c>
      <c r="D3020" t="inlineStr">
        <is>
          <t>VÄSTERBOTTENS LÄN</t>
        </is>
      </c>
      <c r="E3020" t="inlineStr">
        <is>
          <t>SKELLEFTEÅ</t>
        </is>
      </c>
      <c r="F3020" t="inlineStr">
        <is>
          <t>Sveaskog</t>
        </is>
      </c>
      <c r="G3020" t="n">
        <v>22.5</v>
      </c>
      <c r="H3020" t="n">
        <v>0</v>
      </c>
      <c r="I3020" t="n">
        <v>0</v>
      </c>
      <c r="J3020" t="n">
        <v>0</v>
      </c>
      <c r="K3020" t="n">
        <v>0</v>
      </c>
      <c r="L3020" t="n">
        <v>0</v>
      </c>
      <c r="M3020" t="n">
        <v>0</v>
      </c>
      <c r="N3020" t="n">
        <v>0</v>
      </c>
      <c r="O3020" t="n">
        <v>0</v>
      </c>
      <c r="P3020" t="n">
        <v>0</v>
      </c>
      <c r="Q3020" t="n">
        <v>0</v>
      </c>
      <c r="R3020" s="2" t="inlineStr"/>
    </row>
    <row r="3021" ht="15" customHeight="1">
      <c r="A3021" t="inlineStr">
        <is>
          <t>A 2043-2023</t>
        </is>
      </c>
      <c r="B3021" s="1" t="n">
        <v>44939</v>
      </c>
      <c r="C3021" s="1" t="n">
        <v>46145</v>
      </c>
      <c r="D3021" t="inlineStr">
        <is>
          <t>VÄSTERBOTTENS LÄN</t>
        </is>
      </c>
      <c r="E3021" t="inlineStr">
        <is>
          <t>VILHELMINA</t>
        </is>
      </c>
      <c r="F3021" t="inlineStr">
        <is>
          <t>Sveaskog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54880-2024</t>
        </is>
      </c>
      <c r="B3022" s="1" t="n">
        <v>45618.61046296296</v>
      </c>
      <c r="C3022" s="1" t="n">
        <v>46145</v>
      </c>
      <c r="D3022" t="inlineStr">
        <is>
          <t>VÄSTERBOTTENS LÄN</t>
        </is>
      </c>
      <c r="E3022" t="inlineStr">
        <is>
          <t>SKELLEFTEÅ</t>
        </is>
      </c>
      <c r="F3022" t="inlineStr">
        <is>
          <t>Sveaskog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54019-2024</t>
        </is>
      </c>
      <c r="B3023" s="1" t="n">
        <v>45616.38535879629</v>
      </c>
      <c r="C3023" s="1" t="n">
        <v>46145</v>
      </c>
      <c r="D3023" t="inlineStr">
        <is>
          <t>VÄSTERBOTTENS LÄN</t>
        </is>
      </c>
      <c r="E3023" t="inlineStr">
        <is>
          <t>VINDELN</t>
        </is>
      </c>
      <c r="F3023" t="inlineStr">
        <is>
          <t>Sveaskog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54024-2024</t>
        </is>
      </c>
      <c r="B3024" s="1" t="n">
        <v>45616.38949074074</v>
      </c>
      <c r="C3024" s="1" t="n">
        <v>46145</v>
      </c>
      <c r="D3024" t="inlineStr">
        <is>
          <t>VÄSTERBOTTENS LÄN</t>
        </is>
      </c>
      <c r="E3024" t="inlineStr">
        <is>
          <t>VINDELN</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54030-2024</t>
        </is>
      </c>
      <c r="B3025" s="1" t="n">
        <v>45616.4003125</v>
      </c>
      <c r="C3025" s="1" t="n">
        <v>46145</v>
      </c>
      <c r="D3025" t="inlineStr">
        <is>
          <t>VÄSTERBOTTENS LÄN</t>
        </is>
      </c>
      <c r="E3025" t="inlineStr">
        <is>
          <t>VINDELN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54033-2024</t>
        </is>
      </c>
      <c r="B3026" s="1" t="n">
        <v>45616.41386574074</v>
      </c>
      <c r="C3026" s="1" t="n">
        <v>46145</v>
      </c>
      <c r="D3026" t="inlineStr">
        <is>
          <t>VÄSTERBOTTENS LÄN</t>
        </is>
      </c>
      <c r="E3026" t="inlineStr">
        <is>
          <t>VINDELN</t>
        </is>
      </c>
      <c r="F3026" t="inlineStr">
        <is>
          <t>Sveaskog</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31306-2024</t>
        </is>
      </c>
      <c r="B3027" s="1" t="n">
        <v>45504</v>
      </c>
      <c r="C3027" s="1" t="n">
        <v>46145</v>
      </c>
      <c r="D3027" t="inlineStr">
        <is>
          <t>VÄSTERBOTTENS LÄN</t>
        </is>
      </c>
      <c r="E3027" t="inlineStr">
        <is>
          <t>STORUMAN</t>
        </is>
      </c>
      <c r="F3027" t="inlineStr">
        <is>
          <t>Allmännings- och besparingsskogar</t>
        </is>
      </c>
      <c r="G3027" t="n">
        <v>35.8</v>
      </c>
      <c r="H3027" t="n">
        <v>0</v>
      </c>
      <c r="I3027" t="n">
        <v>0</v>
      </c>
      <c r="J3027" t="n">
        <v>0</v>
      </c>
      <c r="K3027" t="n">
        <v>0</v>
      </c>
      <c r="L3027" t="n">
        <v>0</v>
      </c>
      <c r="M3027" t="n">
        <v>0</v>
      </c>
      <c r="N3027" t="n">
        <v>0</v>
      </c>
      <c r="O3027" t="n">
        <v>0</v>
      </c>
      <c r="P3027" t="n">
        <v>0</v>
      </c>
      <c r="Q3027" t="n">
        <v>0</v>
      </c>
      <c r="R3027" s="2" t="inlineStr"/>
    </row>
    <row r="3028" ht="15" customHeight="1">
      <c r="A3028" t="inlineStr">
        <is>
          <t>A 4093-2023</t>
        </is>
      </c>
      <c r="B3028" s="1" t="n">
        <v>44952</v>
      </c>
      <c r="C3028" s="1" t="n">
        <v>46145</v>
      </c>
      <c r="D3028" t="inlineStr">
        <is>
          <t>VÄSTERBOTTENS LÄN</t>
        </is>
      </c>
      <c r="E3028" t="inlineStr">
        <is>
          <t>ÅSELE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60237-2022</t>
        </is>
      </c>
      <c r="B3029" s="1" t="n">
        <v>44903</v>
      </c>
      <c r="C3029" s="1" t="n">
        <v>46145</v>
      </c>
      <c r="D3029" t="inlineStr">
        <is>
          <t>VÄSTERBOTTENS LÄN</t>
        </is>
      </c>
      <c r="E3029" t="inlineStr">
        <is>
          <t>SKELLEFTEÅ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40370-2023</t>
        </is>
      </c>
      <c r="B3030" s="1" t="n">
        <v>45168</v>
      </c>
      <c r="C3030" s="1" t="n">
        <v>46145</v>
      </c>
      <c r="D3030" t="inlineStr">
        <is>
          <t>VÄSTERBOTTENS LÄN</t>
        </is>
      </c>
      <c r="E3030" t="inlineStr">
        <is>
          <t>MALÅ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42181-2023</t>
        </is>
      </c>
      <c r="B3031" s="1" t="n">
        <v>45178.92329861111</v>
      </c>
      <c r="C3031" s="1" t="n">
        <v>46145</v>
      </c>
      <c r="D3031" t="inlineStr">
        <is>
          <t>VÄSTERBOTTENS LÄN</t>
        </is>
      </c>
      <c r="E3031" t="inlineStr">
        <is>
          <t>NORSJÖ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32772-2024</t>
        </is>
      </c>
      <c r="B3032" s="1" t="n">
        <v>45516</v>
      </c>
      <c r="C3032" s="1" t="n">
        <v>46145</v>
      </c>
      <c r="D3032" t="inlineStr">
        <is>
          <t>VÄSTERBOTTENS LÄN</t>
        </is>
      </c>
      <c r="E3032" t="inlineStr">
        <is>
          <t>MALÅ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32788-2024</t>
        </is>
      </c>
      <c r="B3033" s="1" t="n">
        <v>45516.5365625</v>
      </c>
      <c r="C3033" s="1" t="n">
        <v>46145</v>
      </c>
      <c r="D3033" t="inlineStr">
        <is>
          <t>VÄSTERBOTTENS LÄN</t>
        </is>
      </c>
      <c r="E3033" t="inlineStr">
        <is>
          <t>UMEÅ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32800-2024</t>
        </is>
      </c>
      <c r="B3034" s="1" t="n">
        <v>45516.56430555556</v>
      </c>
      <c r="C3034" s="1" t="n">
        <v>46145</v>
      </c>
      <c r="D3034" t="inlineStr">
        <is>
          <t>VÄSTERBOTTENS LÄN</t>
        </is>
      </c>
      <c r="E3034" t="inlineStr">
        <is>
          <t>LYCKSELE</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55940-2024</t>
        </is>
      </c>
      <c r="B3035" s="1" t="n">
        <v>45623.61108796296</v>
      </c>
      <c r="C3035" s="1" t="n">
        <v>46145</v>
      </c>
      <c r="D3035" t="inlineStr">
        <is>
          <t>VÄSTERBOTTENS LÄN</t>
        </is>
      </c>
      <c r="E3035" t="inlineStr">
        <is>
          <t>SKELLEFTEÅ</t>
        </is>
      </c>
      <c r="F3035" t="inlineStr">
        <is>
          <t>Holmen skog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41226-2024</t>
        </is>
      </c>
      <c r="B3036" s="1" t="n">
        <v>45559.55829861111</v>
      </c>
      <c r="C3036" s="1" t="n">
        <v>46145</v>
      </c>
      <c r="D3036" t="inlineStr">
        <is>
          <t>VÄSTERBOTTENS LÄN</t>
        </is>
      </c>
      <c r="E3036" t="inlineStr">
        <is>
          <t>SKELLEFTEÅ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41231-2024</t>
        </is>
      </c>
      <c r="B3037" s="1" t="n">
        <v>45559.56412037037</v>
      </c>
      <c r="C3037" s="1" t="n">
        <v>46145</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39266-2024</t>
        </is>
      </c>
      <c r="B3038" s="1" t="n">
        <v>45551.34447916667</v>
      </c>
      <c r="C3038" s="1" t="n">
        <v>46145</v>
      </c>
      <c r="D3038" t="inlineStr">
        <is>
          <t>VÄSTERBOTTENS LÄN</t>
        </is>
      </c>
      <c r="E3038" t="inlineStr">
        <is>
          <t>ÅSELE</t>
        </is>
      </c>
      <c r="F3038" t="inlineStr">
        <is>
          <t>SCA</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13887-2023</t>
        </is>
      </c>
      <c r="B3039" s="1" t="n">
        <v>45007.95096064815</v>
      </c>
      <c r="C3039" s="1" t="n">
        <v>46145</v>
      </c>
      <c r="D3039" t="inlineStr">
        <is>
          <t>VÄSTERBOTTENS LÄN</t>
        </is>
      </c>
      <c r="E3039" t="inlineStr">
        <is>
          <t>VINDELN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37950-2024</t>
        </is>
      </c>
      <c r="B3040" s="1" t="n">
        <v>45544.51636574074</v>
      </c>
      <c r="C3040" s="1" t="n">
        <v>46145</v>
      </c>
      <c r="D3040" t="inlineStr">
        <is>
          <t>VÄSTERBOTTENS LÄN</t>
        </is>
      </c>
      <c r="E3040" t="inlineStr">
        <is>
          <t>LYCKSELE</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1639-2023</t>
        </is>
      </c>
      <c r="B3041" s="1" t="n">
        <v>44937</v>
      </c>
      <c r="C3041" s="1" t="n">
        <v>46145</v>
      </c>
      <c r="D3041" t="inlineStr">
        <is>
          <t>VÄSTERBOTTENS LÄN</t>
        </is>
      </c>
      <c r="E3041" t="inlineStr">
        <is>
          <t>SKELLEFTEÅ</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62657-2022</t>
        </is>
      </c>
      <c r="B3042" s="1" t="n">
        <v>44925</v>
      </c>
      <c r="C3042" s="1" t="n">
        <v>46145</v>
      </c>
      <c r="D3042" t="inlineStr">
        <is>
          <t>VÄSTERBOTTENS LÄN</t>
        </is>
      </c>
      <c r="E3042" t="inlineStr">
        <is>
          <t>DOROTEA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7884-2024</t>
        </is>
      </c>
      <c r="B3043" s="1" t="n">
        <v>45349</v>
      </c>
      <c r="C3043" s="1" t="n">
        <v>46145</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42160-2024</t>
        </is>
      </c>
      <c r="B3044" s="1" t="n">
        <v>45562.45623842593</v>
      </c>
      <c r="C3044" s="1" t="n">
        <v>46145</v>
      </c>
      <c r="D3044" t="inlineStr">
        <is>
          <t>VÄSTERBOTTENS LÄN</t>
        </is>
      </c>
      <c r="E3044" t="inlineStr">
        <is>
          <t>UMEÅ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55870-2022</t>
        </is>
      </c>
      <c r="B3045" s="1" t="n">
        <v>44888</v>
      </c>
      <c r="C3045" s="1" t="n">
        <v>46145</v>
      </c>
      <c r="D3045" t="inlineStr">
        <is>
          <t>VÄSTERBOTTENS LÄN</t>
        </is>
      </c>
      <c r="E3045" t="inlineStr">
        <is>
          <t>VILHELMINA</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34578-2024</t>
        </is>
      </c>
      <c r="B3046" s="1" t="n">
        <v>45526.36461805556</v>
      </c>
      <c r="C3046" s="1" t="n">
        <v>46145</v>
      </c>
      <c r="D3046" t="inlineStr">
        <is>
          <t>VÄSTERBOTTENS LÄN</t>
        </is>
      </c>
      <c r="E3046" t="inlineStr">
        <is>
          <t>ÅSELE</t>
        </is>
      </c>
      <c r="F3046" t="inlineStr">
        <is>
          <t>SCA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34580-2024</t>
        </is>
      </c>
      <c r="B3047" s="1" t="n">
        <v>45526</v>
      </c>
      <c r="C3047" s="1" t="n">
        <v>46145</v>
      </c>
      <c r="D3047" t="inlineStr">
        <is>
          <t>VÄSTERBOTTENS LÄN</t>
        </is>
      </c>
      <c r="E3047" t="inlineStr">
        <is>
          <t>SKELLEFTEÅ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42223-2024</t>
        </is>
      </c>
      <c r="B3048" s="1" t="n">
        <v>45562.55023148148</v>
      </c>
      <c r="C3048" s="1" t="n">
        <v>46145</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6656-2023</t>
        </is>
      </c>
      <c r="B3049" s="1" t="n">
        <v>44963</v>
      </c>
      <c r="C3049" s="1" t="n">
        <v>46145</v>
      </c>
      <c r="D3049" t="inlineStr">
        <is>
          <t>VÄSTERBOTTENS LÄN</t>
        </is>
      </c>
      <c r="E3049" t="inlineStr">
        <is>
          <t>SKELLEFTEÅ</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42014-2024</t>
        </is>
      </c>
      <c r="B3050" s="1" t="n">
        <v>45561.69625</v>
      </c>
      <c r="C3050" s="1" t="n">
        <v>46145</v>
      </c>
      <c r="D3050" t="inlineStr">
        <is>
          <t>VÄSTERBOTTENS LÄN</t>
        </is>
      </c>
      <c r="E3050" t="inlineStr">
        <is>
          <t>UMEÅ</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40548-2024</t>
        </is>
      </c>
      <c r="B3051" s="1" t="n">
        <v>45555.64177083333</v>
      </c>
      <c r="C3051" s="1" t="n">
        <v>46145</v>
      </c>
      <c r="D3051" t="inlineStr">
        <is>
          <t>VÄSTERBOTTENS LÄN</t>
        </is>
      </c>
      <c r="E3051" t="inlineStr">
        <is>
          <t>LYCKSELE</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34413-2023</t>
        </is>
      </c>
      <c r="B3052" s="1" t="n">
        <v>45139</v>
      </c>
      <c r="C3052" s="1" t="n">
        <v>46145</v>
      </c>
      <c r="D3052" t="inlineStr">
        <is>
          <t>VÄSTERBOTTENS LÄN</t>
        </is>
      </c>
      <c r="E3052" t="inlineStr">
        <is>
          <t>MALÅ</t>
        </is>
      </c>
      <c r="F3052" t="inlineStr">
        <is>
          <t>Sveaskog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1883-2025</t>
        </is>
      </c>
      <c r="B3053" s="1" t="n">
        <v>45671</v>
      </c>
      <c r="C3053" s="1" t="n">
        <v>46145</v>
      </c>
      <c r="D3053" t="inlineStr">
        <is>
          <t>VÄSTERBOTTENS LÄN</t>
        </is>
      </c>
      <c r="E3053" t="inlineStr">
        <is>
          <t>ROBERTSFORS</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56182-2023</t>
        </is>
      </c>
      <c r="B3054" s="1" t="n">
        <v>45240.63961805555</v>
      </c>
      <c r="C3054" s="1" t="n">
        <v>46145</v>
      </c>
      <c r="D3054" t="inlineStr">
        <is>
          <t>VÄSTERBOTTENS LÄN</t>
        </is>
      </c>
      <c r="E3054" t="inlineStr">
        <is>
          <t>VINDELN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17008-2025</t>
        </is>
      </c>
      <c r="B3055" s="1" t="n">
        <v>45755.54644675926</v>
      </c>
      <c r="C3055" s="1" t="n">
        <v>46145</v>
      </c>
      <c r="D3055" t="inlineStr">
        <is>
          <t>VÄSTERBOTTENS LÄN</t>
        </is>
      </c>
      <c r="E3055" t="inlineStr">
        <is>
          <t>SKELLEFTEÅ</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15461-2025</t>
        </is>
      </c>
      <c r="B3056" s="1" t="n">
        <v>45747.51061342593</v>
      </c>
      <c r="C3056" s="1" t="n">
        <v>46145</v>
      </c>
      <c r="D3056" t="inlineStr">
        <is>
          <t>VÄSTERBOTTENS LÄN</t>
        </is>
      </c>
      <c r="E3056" t="inlineStr">
        <is>
          <t>SKELLEFTEÅ</t>
        </is>
      </c>
      <c r="F3056" t="inlineStr">
        <is>
          <t>Holmen skog AB</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2410-2023</t>
        </is>
      </c>
      <c r="B3057" s="1" t="n">
        <v>44942</v>
      </c>
      <c r="C3057" s="1" t="n">
        <v>46145</v>
      </c>
      <c r="D3057" t="inlineStr">
        <is>
          <t>VÄSTERBOTTENS LÄN</t>
        </is>
      </c>
      <c r="E3057" t="inlineStr">
        <is>
          <t>VINDELN</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1821-2022</t>
        </is>
      </c>
      <c r="B3058" s="1" t="n">
        <v>44574.65519675926</v>
      </c>
      <c r="C3058" s="1" t="n">
        <v>46145</v>
      </c>
      <c r="D3058" t="inlineStr">
        <is>
          <t>VÄSTERBOTTENS LÄN</t>
        </is>
      </c>
      <c r="E3058" t="inlineStr">
        <is>
          <t>UMEÅ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46232-2024</t>
        </is>
      </c>
      <c r="B3059" s="1" t="n">
        <v>45581.57825231482</v>
      </c>
      <c r="C3059" s="1" t="n">
        <v>46145</v>
      </c>
      <c r="D3059" t="inlineStr">
        <is>
          <t>VÄSTERBOTTENS LÄN</t>
        </is>
      </c>
      <c r="E3059" t="inlineStr">
        <is>
          <t>UMEÅ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34402-2024</t>
        </is>
      </c>
      <c r="B3060" s="1" t="n">
        <v>45525.45399305555</v>
      </c>
      <c r="C3060" s="1" t="n">
        <v>46145</v>
      </c>
      <c r="D3060" t="inlineStr">
        <is>
          <t>VÄSTERBOTTENS LÄN</t>
        </is>
      </c>
      <c r="E3060" t="inlineStr">
        <is>
          <t>VINDELN</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43317-2024</t>
        </is>
      </c>
      <c r="B3061" s="1" t="n">
        <v>45568</v>
      </c>
      <c r="C3061" s="1" t="n">
        <v>46145</v>
      </c>
      <c r="D3061" t="inlineStr">
        <is>
          <t>VÄSTERBOTTENS LÄN</t>
        </is>
      </c>
      <c r="E3061" t="inlineStr">
        <is>
          <t>BJURHOLM</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43354-2024</t>
        </is>
      </c>
      <c r="B3062" s="1" t="n">
        <v>45568.56800925926</v>
      </c>
      <c r="C3062" s="1" t="n">
        <v>46145</v>
      </c>
      <c r="D3062" t="inlineStr">
        <is>
          <t>VÄSTERBOTTENS LÄN</t>
        </is>
      </c>
      <c r="E3062" t="inlineStr">
        <is>
          <t>ROBERTSFORS</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33241-2023</t>
        </is>
      </c>
      <c r="B3063" s="1" t="n">
        <v>45114</v>
      </c>
      <c r="C3063" s="1" t="n">
        <v>46145</v>
      </c>
      <c r="D3063" t="inlineStr">
        <is>
          <t>VÄSTERBOTTENS LÄN</t>
        </is>
      </c>
      <c r="E3063" t="inlineStr">
        <is>
          <t>ÅSELE</t>
        </is>
      </c>
      <c r="G3063" t="n">
        <v>22.8</v>
      </c>
      <c r="H3063" t="n">
        <v>0</v>
      </c>
      <c r="I3063" t="n">
        <v>0</v>
      </c>
      <c r="J3063" t="n">
        <v>0</v>
      </c>
      <c r="K3063" t="n">
        <v>0</v>
      </c>
      <c r="L3063" t="n">
        <v>0</v>
      </c>
      <c r="M3063" t="n">
        <v>0</v>
      </c>
      <c r="N3063" t="n">
        <v>0</v>
      </c>
      <c r="O3063" t="n">
        <v>0</v>
      </c>
      <c r="P3063" t="n">
        <v>0</v>
      </c>
      <c r="Q3063" t="n">
        <v>0</v>
      </c>
      <c r="R3063" s="2" t="inlineStr"/>
    </row>
    <row r="3064" ht="15" customHeight="1">
      <c r="A3064" t="inlineStr">
        <is>
          <t>A 33274-2023</t>
        </is>
      </c>
      <c r="B3064" s="1" t="n">
        <v>45127.59840277778</v>
      </c>
      <c r="C3064" s="1" t="n">
        <v>46145</v>
      </c>
      <c r="D3064" t="inlineStr">
        <is>
          <t>VÄSTERBOTTENS LÄN</t>
        </is>
      </c>
      <c r="E3064" t="inlineStr">
        <is>
          <t>SKELLEFTEÅ</t>
        </is>
      </c>
      <c r="F3064" t="inlineStr">
        <is>
          <t>Holmen skog AB</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51239-2022</t>
        </is>
      </c>
      <c r="B3065" s="1" t="n">
        <v>44866</v>
      </c>
      <c r="C3065" s="1" t="n">
        <v>46145</v>
      </c>
      <c r="D3065" t="inlineStr">
        <is>
          <t>VÄSTERBOTTENS LÄN</t>
        </is>
      </c>
      <c r="E3065" t="inlineStr">
        <is>
          <t>BJURHOLM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14661-2023</t>
        </is>
      </c>
      <c r="B3066" s="1" t="n">
        <v>45013</v>
      </c>
      <c r="C3066" s="1" t="n">
        <v>46145</v>
      </c>
      <c r="D3066" t="inlineStr">
        <is>
          <t>VÄSTERBOTTENS LÄN</t>
        </is>
      </c>
      <c r="E3066" t="inlineStr">
        <is>
          <t>STORUMAN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52434-2023</t>
        </is>
      </c>
      <c r="B3067" s="1" t="n">
        <v>45225.33805555556</v>
      </c>
      <c r="C3067" s="1" t="n">
        <v>46145</v>
      </c>
      <c r="D3067" t="inlineStr">
        <is>
          <t>VÄSTERBOTTENS LÄN</t>
        </is>
      </c>
      <c r="E3067" t="inlineStr">
        <is>
          <t>ROBERTSFORS</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14631-2025</t>
        </is>
      </c>
      <c r="B3068" s="1" t="n">
        <v>45742.42782407408</v>
      </c>
      <c r="C3068" s="1" t="n">
        <v>46145</v>
      </c>
      <c r="D3068" t="inlineStr">
        <is>
          <t>VÄSTERBOTTENS LÄN</t>
        </is>
      </c>
      <c r="E3068" t="inlineStr">
        <is>
          <t>DOROTEA</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8092-2023</t>
        </is>
      </c>
      <c r="B3069" s="1" t="n">
        <v>44974.38387731482</v>
      </c>
      <c r="C3069" s="1" t="n">
        <v>46145</v>
      </c>
      <c r="D3069" t="inlineStr">
        <is>
          <t>VÄSTERBOTTENS LÄN</t>
        </is>
      </c>
      <c r="E3069" t="inlineStr">
        <is>
          <t>DOROTEA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16292-2025</t>
        </is>
      </c>
      <c r="B3070" s="1" t="n">
        <v>45751.33399305555</v>
      </c>
      <c r="C3070" s="1" t="n">
        <v>46145</v>
      </c>
      <c r="D3070" t="inlineStr">
        <is>
          <t>VÄSTERBOTTENS LÄN</t>
        </is>
      </c>
      <c r="E3070" t="inlineStr">
        <is>
          <t>LYCKSELE</t>
        </is>
      </c>
      <c r="F3070" t="inlineStr">
        <is>
          <t>Holmen skog AB</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14226-2023</t>
        </is>
      </c>
      <c r="B3071" s="1" t="n">
        <v>45009</v>
      </c>
      <c r="C3071" s="1" t="n">
        <v>46145</v>
      </c>
      <c r="D3071" t="inlineStr">
        <is>
          <t>VÄSTERBOTTENS LÄN</t>
        </is>
      </c>
      <c r="E3071" t="inlineStr">
        <is>
          <t>NORSJÖ</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14242-2023</t>
        </is>
      </c>
      <c r="B3072" s="1" t="n">
        <v>45009</v>
      </c>
      <c r="C3072" s="1" t="n">
        <v>46145</v>
      </c>
      <c r="D3072" t="inlineStr">
        <is>
          <t>VÄSTERBOTTENS LÄN</t>
        </is>
      </c>
      <c r="E3072" t="inlineStr">
        <is>
          <t>UMEÅ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41854-2024</t>
        </is>
      </c>
      <c r="B3073" s="1" t="n">
        <v>45561.44042824074</v>
      </c>
      <c r="C3073" s="1" t="n">
        <v>46145</v>
      </c>
      <c r="D3073" t="inlineStr">
        <is>
          <t>VÄSTERBOTTENS LÄN</t>
        </is>
      </c>
      <c r="E3073" t="inlineStr">
        <is>
          <t>STORUMAN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41914-2024</t>
        </is>
      </c>
      <c r="B3074" s="1" t="n">
        <v>45561.55239583334</v>
      </c>
      <c r="C3074" s="1" t="n">
        <v>46145</v>
      </c>
      <c r="D3074" t="inlineStr">
        <is>
          <t>VÄSTERBOTTENS LÄN</t>
        </is>
      </c>
      <c r="E3074" t="inlineStr">
        <is>
          <t>ROBERTSFORS</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34480-2024</t>
        </is>
      </c>
      <c r="B3075" s="1" t="n">
        <v>45525.60537037037</v>
      </c>
      <c r="C3075" s="1" t="n">
        <v>46145</v>
      </c>
      <c r="D3075" t="inlineStr">
        <is>
          <t>VÄSTERBOTTENS LÄN</t>
        </is>
      </c>
      <c r="E3075" t="inlineStr">
        <is>
          <t>NORDMALING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20234-2023</t>
        </is>
      </c>
      <c r="B3076" s="1" t="n">
        <v>45054</v>
      </c>
      <c r="C3076" s="1" t="n">
        <v>46145</v>
      </c>
      <c r="D3076" t="inlineStr">
        <is>
          <t>VÄSTERBOTTENS LÄN</t>
        </is>
      </c>
      <c r="E3076" t="inlineStr">
        <is>
          <t>MALÅ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43134-2023</t>
        </is>
      </c>
      <c r="B3077" s="1" t="n">
        <v>45182</v>
      </c>
      <c r="C3077" s="1" t="n">
        <v>46145</v>
      </c>
      <c r="D3077" t="inlineStr">
        <is>
          <t>VÄSTERBOTTENS LÄN</t>
        </is>
      </c>
      <c r="E3077" t="inlineStr">
        <is>
          <t>LYCKSELE</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38026-2024</t>
        </is>
      </c>
      <c r="B3078" s="1" t="n">
        <v>45544</v>
      </c>
      <c r="C3078" s="1" t="n">
        <v>46145</v>
      </c>
      <c r="D3078" t="inlineStr">
        <is>
          <t>VÄSTERBOTTENS LÄN</t>
        </is>
      </c>
      <c r="E3078" t="inlineStr">
        <is>
          <t>ROBERTSFORS</t>
        </is>
      </c>
      <c r="F3078" t="inlineStr">
        <is>
          <t>SCA</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11053-2023</t>
        </is>
      </c>
      <c r="B3079" s="1" t="n">
        <v>44991</v>
      </c>
      <c r="C3079" s="1" t="n">
        <v>46145</v>
      </c>
      <c r="D3079" t="inlineStr">
        <is>
          <t>VÄSTERBOTTENS LÄN</t>
        </is>
      </c>
      <c r="E3079" t="inlineStr">
        <is>
          <t>NORDMALING</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44742-2024</t>
        </is>
      </c>
      <c r="B3080" s="1" t="n">
        <v>45574.59653935185</v>
      </c>
      <c r="C3080" s="1" t="n">
        <v>46145</v>
      </c>
      <c r="D3080" t="inlineStr">
        <is>
          <t>VÄSTERBOTTENS LÄN</t>
        </is>
      </c>
      <c r="E3080" t="inlineStr">
        <is>
          <t>ÅSELE</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5475-2025</t>
        </is>
      </c>
      <c r="B3081" s="1" t="n">
        <v>45693.33069444444</v>
      </c>
      <c r="C3081" s="1" t="n">
        <v>46145</v>
      </c>
      <c r="D3081" t="inlineStr">
        <is>
          <t>VÄSTERBOTTENS LÄN</t>
        </is>
      </c>
      <c r="E3081" t="inlineStr">
        <is>
          <t>SKELLEFTEÅ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38623-2024</t>
        </is>
      </c>
      <c r="B3082" s="1" t="n">
        <v>45546.73186342593</v>
      </c>
      <c r="C3082" s="1" t="n">
        <v>46145</v>
      </c>
      <c r="D3082" t="inlineStr">
        <is>
          <t>VÄSTERBOTTENS LÄN</t>
        </is>
      </c>
      <c r="E3082" t="inlineStr">
        <is>
          <t>LYCKSELE</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16626-2024</t>
        </is>
      </c>
      <c r="B3083" s="1" t="n">
        <v>45408</v>
      </c>
      <c r="C3083" s="1" t="n">
        <v>46145</v>
      </c>
      <c r="D3083" t="inlineStr">
        <is>
          <t>VÄSTERBOTTENS LÄN</t>
        </is>
      </c>
      <c r="E3083" t="inlineStr">
        <is>
          <t>VILHELMINA</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42791-2024</t>
        </is>
      </c>
      <c r="B3084" s="1" t="n">
        <v>45566</v>
      </c>
      <c r="C3084" s="1" t="n">
        <v>46145</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38706-2024</t>
        </is>
      </c>
      <c r="B3085" s="1" t="n">
        <v>45547.37357638889</v>
      </c>
      <c r="C3085" s="1" t="n">
        <v>46145</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60758-2022</t>
        </is>
      </c>
      <c r="B3086" s="1" t="n">
        <v>44907</v>
      </c>
      <c r="C3086" s="1" t="n">
        <v>46145</v>
      </c>
      <c r="D3086" t="inlineStr">
        <is>
          <t>VÄSTERBOTTENS LÄN</t>
        </is>
      </c>
      <c r="E3086" t="inlineStr">
        <is>
          <t>SORSELE</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43783-2024</t>
        </is>
      </c>
      <c r="B3087" s="1" t="n">
        <v>45570</v>
      </c>
      <c r="C3087" s="1" t="n">
        <v>46145</v>
      </c>
      <c r="D3087" t="inlineStr">
        <is>
          <t>VÄSTERBOTTENS LÄN</t>
        </is>
      </c>
      <c r="E3087" t="inlineStr">
        <is>
          <t>NORDMALING</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40846-2024</t>
        </is>
      </c>
      <c r="B3088" s="1" t="n">
        <v>45558.57508101852</v>
      </c>
      <c r="C3088" s="1" t="n">
        <v>46145</v>
      </c>
      <c r="D3088" t="inlineStr">
        <is>
          <t>VÄSTERBOTTENS LÄN</t>
        </is>
      </c>
      <c r="E3088" t="inlineStr">
        <is>
          <t>NORSJÖ</t>
        </is>
      </c>
      <c r="F3088" t="inlineStr">
        <is>
          <t>Holmen skog AB</t>
        </is>
      </c>
      <c r="G3088" t="n">
        <v>49.4</v>
      </c>
      <c r="H3088" t="n">
        <v>0</v>
      </c>
      <c r="I3088" t="n">
        <v>0</v>
      </c>
      <c r="J3088" t="n">
        <v>0</v>
      </c>
      <c r="K3088" t="n">
        <v>0</v>
      </c>
      <c r="L3088" t="n">
        <v>0</v>
      </c>
      <c r="M3088" t="n">
        <v>0</v>
      </c>
      <c r="N3088" t="n">
        <v>0</v>
      </c>
      <c r="O3088" t="n">
        <v>0</v>
      </c>
      <c r="P3088" t="n">
        <v>0</v>
      </c>
      <c r="Q3088" t="n">
        <v>0</v>
      </c>
      <c r="R3088" s="2" t="inlineStr"/>
    </row>
    <row r="3089" ht="15" customHeight="1">
      <c r="A3089" t="inlineStr">
        <is>
          <t>A 42399-2024</t>
        </is>
      </c>
      <c r="B3089" s="1" t="n">
        <v>45565.33832175926</v>
      </c>
      <c r="C3089" s="1" t="n">
        <v>46145</v>
      </c>
      <c r="D3089" t="inlineStr">
        <is>
          <t>VÄSTERBOTTENS LÄN</t>
        </is>
      </c>
      <c r="E3089" t="inlineStr">
        <is>
          <t>ÅSELE</t>
        </is>
      </c>
      <c r="F3089" t="inlineStr">
        <is>
          <t>Holmen skog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18587-2023</t>
        </is>
      </c>
      <c r="B3090" s="1" t="n">
        <v>45041</v>
      </c>
      <c r="C3090" s="1" t="n">
        <v>46145</v>
      </c>
      <c r="D3090" t="inlineStr">
        <is>
          <t>VÄSTERBOTTENS LÄN</t>
        </is>
      </c>
      <c r="E3090" t="inlineStr">
        <is>
          <t>LYCKSELE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42484-2024</t>
        </is>
      </c>
      <c r="B3091" s="1" t="n">
        <v>45565.49291666667</v>
      </c>
      <c r="C3091" s="1" t="n">
        <v>46145</v>
      </c>
      <c r="D3091" t="inlineStr">
        <is>
          <t>VÄSTERBOTTENS LÄN</t>
        </is>
      </c>
      <c r="E3091" t="inlineStr">
        <is>
          <t>DOROTEA</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58572-2022</t>
        </is>
      </c>
      <c r="B3092" s="1" t="n">
        <v>44902</v>
      </c>
      <c r="C3092" s="1" t="n">
        <v>46145</v>
      </c>
      <c r="D3092" t="inlineStr">
        <is>
          <t>VÄSTERBOTTENS LÄN</t>
        </is>
      </c>
      <c r="E3092" t="inlineStr">
        <is>
          <t>SKELLEFTEÅ</t>
        </is>
      </c>
      <c r="F3092" t="inlineStr">
        <is>
          <t>Sveaskog</t>
        </is>
      </c>
      <c r="G3092" t="n">
        <v>14.7</v>
      </c>
      <c r="H3092" t="n">
        <v>0</v>
      </c>
      <c r="I3092" t="n">
        <v>0</v>
      </c>
      <c r="J3092" t="n">
        <v>0</v>
      </c>
      <c r="K3092" t="n">
        <v>0</v>
      </c>
      <c r="L3092" t="n">
        <v>0</v>
      </c>
      <c r="M3092" t="n">
        <v>0</v>
      </c>
      <c r="N3092" t="n">
        <v>0</v>
      </c>
      <c r="O3092" t="n">
        <v>0</v>
      </c>
      <c r="P3092" t="n">
        <v>0</v>
      </c>
      <c r="Q3092" t="n">
        <v>0</v>
      </c>
      <c r="R3092" s="2" t="inlineStr"/>
    </row>
    <row r="3093" ht="15" customHeight="1">
      <c r="A3093" t="inlineStr">
        <is>
          <t>A 8328-2023</t>
        </is>
      </c>
      <c r="B3093" s="1" t="n">
        <v>44974.84518518519</v>
      </c>
      <c r="C3093" s="1" t="n">
        <v>46145</v>
      </c>
      <c r="D3093" t="inlineStr">
        <is>
          <t>VÄSTERBOTTENS LÄN</t>
        </is>
      </c>
      <c r="E3093" t="inlineStr">
        <is>
          <t>SKELLEFTEÅ</t>
        </is>
      </c>
      <c r="G3093" t="n">
        <v>18.5</v>
      </c>
      <c r="H3093" t="n">
        <v>0</v>
      </c>
      <c r="I3093" t="n">
        <v>0</v>
      </c>
      <c r="J3093" t="n">
        <v>0</v>
      </c>
      <c r="K3093" t="n">
        <v>0</v>
      </c>
      <c r="L3093" t="n">
        <v>0</v>
      </c>
      <c r="M3093" t="n">
        <v>0</v>
      </c>
      <c r="N3093" t="n">
        <v>0</v>
      </c>
      <c r="O3093" t="n">
        <v>0</v>
      </c>
      <c r="P3093" t="n">
        <v>0</v>
      </c>
      <c r="Q3093" t="n">
        <v>0</v>
      </c>
      <c r="R3093" s="2" t="inlineStr"/>
    </row>
    <row r="3094" ht="15" customHeight="1">
      <c r="A3094" t="inlineStr">
        <is>
          <t>A 54220-2023</t>
        </is>
      </c>
      <c r="B3094" s="1" t="n">
        <v>45232</v>
      </c>
      <c r="C3094" s="1" t="n">
        <v>46145</v>
      </c>
      <c r="D3094" t="inlineStr">
        <is>
          <t>VÄSTERBOTTENS LÄN</t>
        </is>
      </c>
      <c r="E3094" t="inlineStr">
        <is>
          <t>VINDELN</t>
        </is>
      </c>
      <c r="F3094" t="inlineStr">
        <is>
          <t>Holmen skog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3559-2024</t>
        </is>
      </c>
      <c r="B3095" s="1" t="n">
        <v>45320</v>
      </c>
      <c r="C3095" s="1" t="n">
        <v>46145</v>
      </c>
      <c r="D3095" t="inlineStr">
        <is>
          <t>VÄSTERBOTTENS LÄN</t>
        </is>
      </c>
      <c r="E3095" t="inlineStr">
        <is>
          <t>ÅSELE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45200-2024</t>
        </is>
      </c>
      <c r="B3096" s="1" t="n">
        <v>45575.69085648148</v>
      </c>
      <c r="C3096" s="1" t="n">
        <v>46145</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46743-2023</t>
        </is>
      </c>
      <c r="B3097" s="1" t="n">
        <v>45195</v>
      </c>
      <c r="C3097" s="1" t="n">
        <v>46145</v>
      </c>
      <c r="D3097" t="inlineStr">
        <is>
          <t>VÄSTERBOTTENS LÄN</t>
        </is>
      </c>
      <c r="E3097" t="inlineStr">
        <is>
          <t>BJURHOLM</t>
        </is>
      </c>
      <c r="G3097" t="n">
        <v>12.9</v>
      </c>
      <c r="H3097" t="n">
        <v>0</v>
      </c>
      <c r="I3097" t="n">
        <v>0</v>
      </c>
      <c r="J3097" t="n">
        <v>0</v>
      </c>
      <c r="K3097" t="n">
        <v>0</v>
      </c>
      <c r="L3097" t="n">
        <v>0</v>
      </c>
      <c r="M3097" t="n">
        <v>0</v>
      </c>
      <c r="N3097" t="n">
        <v>0</v>
      </c>
      <c r="O3097" t="n">
        <v>0</v>
      </c>
      <c r="P3097" t="n">
        <v>0</v>
      </c>
      <c r="Q3097" t="n">
        <v>0</v>
      </c>
      <c r="R3097" s="2" t="inlineStr"/>
    </row>
    <row r="3098" ht="15" customHeight="1">
      <c r="A3098" t="inlineStr">
        <is>
          <t>A 59051-2024</t>
        </is>
      </c>
      <c r="B3098" s="1" t="n">
        <v>45636.78251157407</v>
      </c>
      <c r="C3098" s="1" t="n">
        <v>46145</v>
      </c>
      <c r="D3098" t="inlineStr">
        <is>
          <t>VÄSTERBOTTENS LÄN</t>
        </is>
      </c>
      <c r="E3098" t="inlineStr">
        <is>
          <t>ROBERTSFORS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35409-2024</t>
        </is>
      </c>
      <c r="B3099" s="1" t="n">
        <v>45531</v>
      </c>
      <c r="C3099" s="1" t="n">
        <v>46145</v>
      </c>
      <c r="D3099" t="inlineStr">
        <is>
          <t>VÄSTERBOTTENS LÄN</t>
        </is>
      </c>
      <c r="E3099" t="inlineStr">
        <is>
          <t>VILHELMINA</t>
        </is>
      </c>
      <c r="F3099" t="inlineStr">
        <is>
          <t>SCA</t>
        </is>
      </c>
      <c r="G3099" t="n">
        <v>13.1</v>
      </c>
      <c r="H3099" t="n">
        <v>0</v>
      </c>
      <c r="I3099" t="n">
        <v>0</v>
      </c>
      <c r="J3099" t="n">
        <v>0</v>
      </c>
      <c r="K3099" t="n">
        <v>0</v>
      </c>
      <c r="L3099" t="n">
        <v>0</v>
      </c>
      <c r="M3099" t="n">
        <v>0</v>
      </c>
      <c r="N3099" t="n">
        <v>0</v>
      </c>
      <c r="O3099" t="n">
        <v>0</v>
      </c>
      <c r="P3099" t="n">
        <v>0</v>
      </c>
      <c r="Q3099" t="n">
        <v>0</v>
      </c>
      <c r="R3099" s="2" t="inlineStr"/>
    </row>
    <row r="3100" ht="15" customHeight="1">
      <c r="A3100" t="inlineStr">
        <is>
          <t>A 29006-2023</t>
        </is>
      </c>
      <c r="B3100" s="1" t="n">
        <v>45104.65298611111</v>
      </c>
      <c r="C3100" s="1" t="n">
        <v>46145</v>
      </c>
      <c r="D3100" t="inlineStr">
        <is>
          <t>VÄSTERBOTTENS LÄN</t>
        </is>
      </c>
      <c r="E3100" t="inlineStr">
        <is>
          <t>BJURHOLM</t>
        </is>
      </c>
      <c r="F3100" t="inlineStr">
        <is>
          <t>Holmen skog AB</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61895-2024</t>
        </is>
      </c>
      <c r="B3101" s="1" t="n">
        <v>45652.74261574074</v>
      </c>
      <c r="C3101" s="1" t="n">
        <v>46145</v>
      </c>
      <c r="D3101" t="inlineStr">
        <is>
          <t>VÄSTERBOTTENS LÄN</t>
        </is>
      </c>
      <c r="E3101" t="inlineStr">
        <is>
          <t>LYCKSELE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12537-2024</t>
        </is>
      </c>
      <c r="B3102" s="1" t="n">
        <v>45379</v>
      </c>
      <c r="C3102" s="1" t="n">
        <v>46145</v>
      </c>
      <c r="D3102" t="inlineStr">
        <is>
          <t>VÄSTERBOTTENS LÄN</t>
        </is>
      </c>
      <c r="E3102" t="inlineStr">
        <is>
          <t>SKELLEFTEÅ</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49629-2021</t>
        </is>
      </c>
      <c r="B3103" s="1" t="n">
        <v>44455.43973379629</v>
      </c>
      <c r="C3103" s="1" t="n">
        <v>46145</v>
      </c>
      <c r="D3103" t="inlineStr">
        <is>
          <t>VÄSTERBOTTENS LÄN</t>
        </is>
      </c>
      <c r="E3103" t="inlineStr">
        <is>
          <t>VINDELN</t>
        </is>
      </c>
      <c r="F3103" t="inlineStr">
        <is>
          <t>Sveaskog</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1409-2023</t>
        </is>
      </c>
      <c r="B3104" s="1" t="n">
        <v>44936.86325231481</v>
      </c>
      <c r="C3104" s="1" t="n">
        <v>46145</v>
      </c>
      <c r="D3104" t="inlineStr">
        <is>
          <t>VÄSTERBOTTENS LÄN</t>
        </is>
      </c>
      <c r="E3104" t="inlineStr">
        <is>
          <t>ÅSELE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43987-2024</t>
        </is>
      </c>
      <c r="B3105" s="1" t="n">
        <v>45572.51092592593</v>
      </c>
      <c r="C3105" s="1" t="n">
        <v>46145</v>
      </c>
      <c r="D3105" t="inlineStr">
        <is>
          <t>VÄSTERBOTTENS LÄN</t>
        </is>
      </c>
      <c r="E3105" t="inlineStr">
        <is>
          <t>VILHELMINA</t>
        </is>
      </c>
      <c r="F3105" t="inlineStr">
        <is>
          <t>SCA</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59660-2024</t>
        </is>
      </c>
      <c r="B3106" s="1" t="n">
        <v>45639.35697916667</v>
      </c>
      <c r="C3106" s="1" t="n">
        <v>46145</v>
      </c>
      <c r="D3106" t="inlineStr">
        <is>
          <t>VÄSTERBOTTENS LÄN</t>
        </is>
      </c>
      <c r="E3106" t="inlineStr">
        <is>
          <t>SKELLEFTEÅ</t>
        </is>
      </c>
      <c r="F3106" t="inlineStr">
        <is>
          <t>Sveaskog</t>
        </is>
      </c>
      <c r="G3106" t="n">
        <v>13.9</v>
      </c>
      <c r="H3106" t="n">
        <v>0</v>
      </c>
      <c r="I3106" t="n">
        <v>0</v>
      </c>
      <c r="J3106" t="n">
        <v>0</v>
      </c>
      <c r="K3106" t="n">
        <v>0</v>
      </c>
      <c r="L3106" t="n">
        <v>0</v>
      </c>
      <c r="M3106" t="n">
        <v>0</v>
      </c>
      <c r="N3106" t="n">
        <v>0</v>
      </c>
      <c r="O3106" t="n">
        <v>0</v>
      </c>
      <c r="P3106" t="n">
        <v>0</v>
      </c>
      <c r="Q3106" t="n">
        <v>0</v>
      </c>
      <c r="R3106" s="2" t="inlineStr"/>
    </row>
    <row r="3107" ht="15" customHeight="1">
      <c r="A3107" t="inlineStr">
        <is>
          <t>A 51361-2022</t>
        </is>
      </c>
      <c r="B3107" s="1" t="n">
        <v>44866</v>
      </c>
      <c r="C3107" s="1" t="n">
        <v>46145</v>
      </c>
      <c r="D3107" t="inlineStr">
        <is>
          <t>VÄSTERBOTTENS LÄN</t>
        </is>
      </c>
      <c r="E3107" t="inlineStr">
        <is>
          <t>SORSELE</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15054-2024</t>
        </is>
      </c>
      <c r="B3108" s="1" t="n">
        <v>45399</v>
      </c>
      <c r="C3108" s="1" t="n">
        <v>46145</v>
      </c>
      <c r="D3108" t="inlineStr">
        <is>
          <t>VÄSTERBOTTENS LÄN</t>
        </is>
      </c>
      <c r="E3108" t="inlineStr">
        <is>
          <t>BJURHOLM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31689-2023</t>
        </is>
      </c>
      <c r="B3109" s="1" t="n">
        <v>45117</v>
      </c>
      <c r="C3109" s="1" t="n">
        <v>46145</v>
      </c>
      <c r="D3109" t="inlineStr">
        <is>
          <t>VÄSTERBOTTENS LÄN</t>
        </is>
      </c>
      <c r="E3109" t="inlineStr">
        <is>
          <t>LYCKSELE</t>
        </is>
      </c>
      <c r="F3109" t="inlineStr">
        <is>
          <t>Holmen skog AB</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7706-2025</t>
        </is>
      </c>
      <c r="B3110" s="1" t="n">
        <v>45706</v>
      </c>
      <c r="C3110" s="1" t="n">
        <v>46145</v>
      </c>
      <c r="D3110" t="inlineStr">
        <is>
          <t>VÄSTERBOTTENS LÄN</t>
        </is>
      </c>
      <c r="E3110" t="inlineStr">
        <is>
          <t>ÅSELE</t>
        </is>
      </c>
      <c r="F3110" t="inlineStr">
        <is>
          <t>Sveaskog</t>
        </is>
      </c>
      <c r="G3110" t="n">
        <v>24.8</v>
      </c>
      <c r="H3110" t="n">
        <v>0</v>
      </c>
      <c r="I3110" t="n">
        <v>0</v>
      </c>
      <c r="J3110" t="n">
        <v>0</v>
      </c>
      <c r="K3110" t="n">
        <v>0</v>
      </c>
      <c r="L3110" t="n">
        <v>0</v>
      </c>
      <c r="M3110" t="n">
        <v>0</v>
      </c>
      <c r="N3110" t="n">
        <v>0</v>
      </c>
      <c r="O3110" t="n">
        <v>0</v>
      </c>
      <c r="P3110" t="n">
        <v>0</v>
      </c>
      <c r="Q3110" t="n">
        <v>0</v>
      </c>
      <c r="R3110" s="2" t="inlineStr"/>
    </row>
    <row r="3111" ht="15" customHeight="1">
      <c r="A3111" t="inlineStr">
        <is>
          <t>A 8974-2022</t>
        </is>
      </c>
      <c r="B3111" s="1" t="n">
        <v>44614</v>
      </c>
      <c r="C3111" s="1" t="n">
        <v>46145</v>
      </c>
      <c r="D3111" t="inlineStr">
        <is>
          <t>VÄSTERBOTTENS LÄN</t>
        </is>
      </c>
      <c r="E3111" t="inlineStr">
        <is>
          <t>VINDELN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34638-2023</t>
        </is>
      </c>
      <c r="B3112" s="1" t="n">
        <v>45140.65803240741</v>
      </c>
      <c r="C3112" s="1" t="n">
        <v>46145</v>
      </c>
      <c r="D3112" t="inlineStr">
        <is>
          <t>VÄSTERBOTTENS LÄN</t>
        </is>
      </c>
      <c r="E3112" t="inlineStr">
        <is>
          <t>SKELLEFTEÅ</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38125-2024</t>
        </is>
      </c>
      <c r="B3113" s="1" t="n">
        <v>45545.40717592592</v>
      </c>
      <c r="C3113" s="1" t="n">
        <v>46145</v>
      </c>
      <c r="D3113" t="inlineStr">
        <is>
          <t>VÄSTERBOTTENS LÄN</t>
        </is>
      </c>
      <c r="E3113" t="inlineStr">
        <is>
          <t>VILHELMINA</t>
        </is>
      </c>
      <c r="F3113" t="inlineStr">
        <is>
          <t>SCA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38126-2024</t>
        </is>
      </c>
      <c r="B3114" s="1" t="n">
        <v>45545</v>
      </c>
      <c r="C3114" s="1" t="n">
        <v>46145</v>
      </c>
      <c r="D3114" t="inlineStr">
        <is>
          <t>VÄSTERBOTTENS LÄN</t>
        </is>
      </c>
      <c r="E3114" t="inlineStr">
        <is>
          <t>VILHELMINA</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43124-2024</t>
        </is>
      </c>
      <c r="B3115" s="1" t="n">
        <v>45567</v>
      </c>
      <c r="C3115" s="1" t="n">
        <v>46145</v>
      </c>
      <c r="D3115" t="inlineStr">
        <is>
          <t>VÄSTERBOTTENS LÄN</t>
        </is>
      </c>
      <c r="E3115" t="inlineStr">
        <is>
          <t>UMEÅ</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19744-2024</t>
        </is>
      </c>
      <c r="B3116" s="1" t="n">
        <v>45432.65126157407</v>
      </c>
      <c r="C3116" s="1" t="n">
        <v>46145</v>
      </c>
      <c r="D3116" t="inlineStr">
        <is>
          <t>VÄSTERBOTTENS LÄN</t>
        </is>
      </c>
      <c r="E3116" t="inlineStr">
        <is>
          <t>NORSJÖ</t>
        </is>
      </c>
      <c r="F3116" t="inlineStr">
        <is>
          <t>Holmen skog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38130-2024</t>
        </is>
      </c>
      <c r="B3117" s="1" t="n">
        <v>45545</v>
      </c>
      <c r="C3117" s="1" t="n">
        <v>46145</v>
      </c>
      <c r="D3117" t="inlineStr">
        <is>
          <t>VÄSTERBOTTENS LÄN</t>
        </is>
      </c>
      <c r="E3117" t="inlineStr">
        <is>
          <t>VILHELMINA</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43860-2024</t>
        </is>
      </c>
      <c r="B3118" s="1" t="n">
        <v>45572.36284722222</v>
      </c>
      <c r="C3118" s="1" t="n">
        <v>46145</v>
      </c>
      <c r="D3118" t="inlineStr">
        <is>
          <t>VÄSTERBOTTENS LÄN</t>
        </is>
      </c>
      <c r="E3118" t="inlineStr">
        <is>
          <t>MALÅ</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4612-2022</t>
        </is>
      </c>
      <c r="B3119" s="1" t="n">
        <v>44592.37475694445</v>
      </c>
      <c r="C3119" s="1" t="n">
        <v>46145</v>
      </c>
      <c r="D3119" t="inlineStr">
        <is>
          <t>VÄSTERBOTTENS LÄN</t>
        </is>
      </c>
      <c r="E3119" t="inlineStr">
        <is>
          <t>ÅSELE</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55483-2023</t>
        </is>
      </c>
      <c r="B3120" s="1" t="n">
        <v>45231</v>
      </c>
      <c r="C3120" s="1" t="n">
        <v>46145</v>
      </c>
      <c r="D3120" t="inlineStr">
        <is>
          <t>VÄSTERBOTTENS LÄN</t>
        </is>
      </c>
      <c r="E3120" t="inlineStr">
        <is>
          <t>VINDELN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31384-2024</t>
        </is>
      </c>
      <c r="B3121" s="1" t="n">
        <v>45505</v>
      </c>
      <c r="C3121" s="1" t="n">
        <v>46145</v>
      </c>
      <c r="D3121" t="inlineStr">
        <is>
          <t>VÄSTERBOTTENS LÄN</t>
        </is>
      </c>
      <c r="E3121" t="inlineStr">
        <is>
          <t>SKELLEFTEÅ</t>
        </is>
      </c>
      <c r="G3121" t="n">
        <v>19.9</v>
      </c>
      <c r="H3121" t="n">
        <v>0</v>
      </c>
      <c r="I3121" t="n">
        <v>0</v>
      </c>
      <c r="J3121" t="n">
        <v>0</v>
      </c>
      <c r="K3121" t="n">
        <v>0</v>
      </c>
      <c r="L3121" t="n">
        <v>0</v>
      </c>
      <c r="M3121" t="n">
        <v>0</v>
      </c>
      <c r="N3121" t="n">
        <v>0</v>
      </c>
      <c r="O3121" t="n">
        <v>0</v>
      </c>
      <c r="P3121" t="n">
        <v>0</v>
      </c>
      <c r="Q3121" t="n">
        <v>0</v>
      </c>
      <c r="R3121" s="2" t="inlineStr"/>
    </row>
    <row r="3122" ht="15" customHeight="1">
      <c r="A3122" t="inlineStr">
        <is>
          <t>A 4673-2023</t>
        </is>
      </c>
      <c r="B3122" s="1" t="n">
        <v>44952</v>
      </c>
      <c r="C3122" s="1" t="n">
        <v>46145</v>
      </c>
      <c r="D3122" t="inlineStr">
        <is>
          <t>VÄSTERBOTTENS LÄN</t>
        </is>
      </c>
      <c r="E3122" t="inlineStr">
        <is>
          <t>LYCKSELE</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31441-2024</t>
        </is>
      </c>
      <c r="B3123" s="1" t="n">
        <v>45505</v>
      </c>
      <c r="C3123" s="1" t="n">
        <v>46145</v>
      </c>
      <c r="D3123" t="inlineStr">
        <is>
          <t>VÄSTERBOTTENS LÄN</t>
        </is>
      </c>
      <c r="E3123" t="inlineStr">
        <is>
          <t>UMEÅ</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54138-2023</t>
        </is>
      </c>
      <c r="B3124" s="1" t="n">
        <v>45232</v>
      </c>
      <c r="C3124" s="1" t="n">
        <v>46145</v>
      </c>
      <c r="D3124" t="inlineStr">
        <is>
          <t>VÄSTERBOTTENS LÄN</t>
        </is>
      </c>
      <c r="E3124" t="inlineStr">
        <is>
          <t>NORDMALING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11157-2022</t>
        </is>
      </c>
      <c r="B3125" s="1" t="n">
        <v>44629.39452546297</v>
      </c>
      <c r="C3125" s="1" t="n">
        <v>46145</v>
      </c>
      <c r="D3125" t="inlineStr">
        <is>
          <t>VÄSTERBOTTENS LÄN</t>
        </is>
      </c>
      <c r="E3125" t="inlineStr">
        <is>
          <t>UMEÅ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42286-2024</t>
        </is>
      </c>
      <c r="B3126" s="1" t="n">
        <v>45562</v>
      </c>
      <c r="C3126" s="1" t="n">
        <v>46145</v>
      </c>
      <c r="D3126" t="inlineStr">
        <is>
          <t>VÄSTERBOTTENS LÄN</t>
        </is>
      </c>
      <c r="E3126" t="inlineStr">
        <is>
          <t>ÅSELE</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1853-2023</t>
        </is>
      </c>
      <c r="B3127" s="1" t="n">
        <v>44938.90767361111</v>
      </c>
      <c r="C3127" s="1" t="n">
        <v>46145</v>
      </c>
      <c r="D3127" t="inlineStr">
        <is>
          <t>VÄSTERBOTTENS LÄN</t>
        </is>
      </c>
      <c r="E3127" t="inlineStr">
        <is>
          <t>SKELLEFTEÅ</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35338-2023</t>
        </is>
      </c>
      <c r="B3128" s="1" t="n">
        <v>45145</v>
      </c>
      <c r="C3128" s="1" t="n">
        <v>46145</v>
      </c>
      <c r="D3128" t="inlineStr">
        <is>
          <t>VÄSTERBOTTENS LÄN</t>
        </is>
      </c>
      <c r="E3128" t="inlineStr">
        <is>
          <t>SKELLEFTEÅ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57569-2022</t>
        </is>
      </c>
      <c r="B3129" s="1" t="n">
        <v>44896.92769675926</v>
      </c>
      <c r="C3129" s="1" t="n">
        <v>46145</v>
      </c>
      <c r="D3129" t="inlineStr">
        <is>
          <t>VÄSTERBOTTENS LÄN</t>
        </is>
      </c>
      <c r="E3129" t="inlineStr">
        <is>
          <t>SKELLEFTEÅ</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34777-2021</t>
        </is>
      </c>
      <c r="B3130" s="1" t="n">
        <v>44382</v>
      </c>
      <c r="C3130" s="1" t="n">
        <v>46145</v>
      </c>
      <c r="D3130" t="inlineStr">
        <is>
          <t>VÄSTERBOTTENS LÄN</t>
        </is>
      </c>
      <c r="E3130" t="inlineStr">
        <is>
          <t>UMEÅ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35497-2023</t>
        </is>
      </c>
      <c r="B3131" s="1" t="n">
        <v>45146</v>
      </c>
      <c r="C3131" s="1" t="n">
        <v>46145</v>
      </c>
      <c r="D3131" t="inlineStr">
        <is>
          <t>VÄSTERBOTTENS LÄN</t>
        </is>
      </c>
      <c r="E3131" t="inlineStr">
        <is>
          <t>ROBERTSFORS</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35520-2023</t>
        </is>
      </c>
      <c r="B3132" s="1" t="n">
        <v>45147.32908564815</v>
      </c>
      <c r="C3132" s="1" t="n">
        <v>46145</v>
      </c>
      <c r="D3132" t="inlineStr">
        <is>
          <t>VÄSTERBOTTENS LÄN</t>
        </is>
      </c>
      <c r="E3132" t="inlineStr">
        <is>
          <t>ÅSELE</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41606-2024</t>
        </is>
      </c>
      <c r="B3133" s="1" t="n">
        <v>45560.58483796296</v>
      </c>
      <c r="C3133" s="1" t="n">
        <v>46145</v>
      </c>
      <c r="D3133" t="inlineStr">
        <is>
          <t>VÄSTERBOTTENS LÄN</t>
        </is>
      </c>
      <c r="E3133" t="inlineStr">
        <is>
          <t>NORDMALING</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39670-2024</t>
        </is>
      </c>
      <c r="B3134" s="1" t="n">
        <v>45552.5315162037</v>
      </c>
      <c r="C3134" s="1" t="n">
        <v>46145</v>
      </c>
      <c r="D3134" t="inlineStr">
        <is>
          <t>VÄSTERBOTTENS LÄN</t>
        </is>
      </c>
      <c r="E3134" t="inlineStr">
        <is>
          <t>VILHELMINA</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21854-2024</t>
        </is>
      </c>
      <c r="B3135" s="1" t="n">
        <v>45442</v>
      </c>
      <c r="C3135" s="1" t="n">
        <v>46145</v>
      </c>
      <c r="D3135" t="inlineStr">
        <is>
          <t>VÄSTERBOTTENS LÄN</t>
        </is>
      </c>
      <c r="E3135" t="inlineStr">
        <is>
          <t>SKELLEFTEÅ</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39721-2024</t>
        </is>
      </c>
      <c r="B3136" s="1" t="n">
        <v>45552</v>
      </c>
      <c r="C3136" s="1" t="n">
        <v>46145</v>
      </c>
      <c r="D3136" t="inlineStr">
        <is>
          <t>VÄSTERBOTTENS LÄN</t>
        </is>
      </c>
      <c r="E3136" t="inlineStr">
        <is>
          <t>DOROTEA</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33040-2024</t>
        </is>
      </c>
      <c r="B3137" s="1" t="n">
        <v>45517.61046296296</v>
      </c>
      <c r="C3137" s="1" t="n">
        <v>46145</v>
      </c>
      <c r="D3137" t="inlineStr">
        <is>
          <t>VÄSTERBOTTENS LÄN</t>
        </is>
      </c>
      <c r="E3137" t="inlineStr">
        <is>
          <t>VINDELN</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7382-2022</t>
        </is>
      </c>
      <c r="B3138" s="1" t="n">
        <v>44606.61752314815</v>
      </c>
      <c r="C3138" s="1" t="n">
        <v>46145</v>
      </c>
      <c r="D3138" t="inlineStr">
        <is>
          <t>VÄSTERBOTTENS LÄN</t>
        </is>
      </c>
      <c r="E3138" t="inlineStr">
        <is>
          <t>UMEÅ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43434-2024</t>
        </is>
      </c>
      <c r="B3139" s="1" t="n">
        <v>45568.64591435185</v>
      </c>
      <c r="C3139" s="1" t="n">
        <v>46145</v>
      </c>
      <c r="D3139" t="inlineStr">
        <is>
          <t>VÄSTERBOTTENS LÄN</t>
        </is>
      </c>
      <c r="E3139" t="inlineStr">
        <is>
          <t>SKELLEFTEÅ</t>
        </is>
      </c>
      <c r="F3139" t="inlineStr">
        <is>
          <t>Holmen skog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17700-2023</t>
        </is>
      </c>
      <c r="B3140" s="1" t="n">
        <v>45037.35241898148</v>
      </c>
      <c r="C3140" s="1" t="n">
        <v>46145</v>
      </c>
      <c r="D3140" t="inlineStr">
        <is>
          <t>VÄSTERBOTTENS LÄN</t>
        </is>
      </c>
      <c r="E3140" t="inlineStr">
        <is>
          <t>NORSJÖ</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664-2022</t>
        </is>
      </c>
      <c r="B3141" s="1" t="n">
        <v>44568</v>
      </c>
      <c r="C3141" s="1" t="n">
        <v>46145</v>
      </c>
      <c r="D3141" t="inlineStr">
        <is>
          <t>VÄSTERBOTTENS LÄN</t>
        </is>
      </c>
      <c r="E3141" t="inlineStr">
        <is>
          <t>VILHELMINA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21370-2024</t>
        </is>
      </c>
      <c r="B3142" s="1" t="n">
        <v>45440.95310185185</v>
      </c>
      <c r="C3142" s="1" t="n">
        <v>46145</v>
      </c>
      <c r="D3142" t="inlineStr">
        <is>
          <t>VÄSTERBOTTENS LÄN</t>
        </is>
      </c>
      <c r="E3142" t="inlineStr">
        <is>
          <t>VILHELMINA</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37508-2024</t>
        </is>
      </c>
      <c r="B3143" s="1" t="n">
        <v>45541.38083333334</v>
      </c>
      <c r="C3143" s="1" t="n">
        <v>46145</v>
      </c>
      <c r="D3143" t="inlineStr">
        <is>
          <t>VÄSTERBOTTENS LÄN</t>
        </is>
      </c>
      <c r="E3143" t="inlineStr">
        <is>
          <t>LYCKSELE</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19053-2023</t>
        </is>
      </c>
      <c r="B3144" s="1" t="n">
        <v>45047</v>
      </c>
      <c r="C3144" s="1" t="n">
        <v>46145</v>
      </c>
      <c r="D3144" t="inlineStr">
        <is>
          <t>VÄSTERBOTTENS LÄN</t>
        </is>
      </c>
      <c r="E3144" t="inlineStr">
        <is>
          <t>UMEÅ</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12547-2025</t>
        </is>
      </c>
      <c r="B3145" s="1" t="n">
        <v>45730.89319444444</v>
      </c>
      <c r="C3145" s="1" t="n">
        <v>46145</v>
      </c>
      <c r="D3145" t="inlineStr">
        <is>
          <t>VÄSTERBOTTENS LÄN</t>
        </is>
      </c>
      <c r="E3145" t="inlineStr">
        <is>
          <t>SKELLEFTEÅ</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37514-2024</t>
        </is>
      </c>
      <c r="B3146" s="1" t="n">
        <v>45541.38586805556</v>
      </c>
      <c r="C3146" s="1" t="n">
        <v>46145</v>
      </c>
      <c r="D3146" t="inlineStr">
        <is>
          <t>VÄSTERBOTTENS LÄN</t>
        </is>
      </c>
      <c r="E3146" t="inlineStr">
        <is>
          <t>VILHELMINA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37547-2024</t>
        </is>
      </c>
      <c r="B3147" s="1" t="n">
        <v>45541.42965277778</v>
      </c>
      <c r="C3147" s="1" t="n">
        <v>46145</v>
      </c>
      <c r="D3147" t="inlineStr">
        <is>
          <t>VÄSTERBOTTENS LÄN</t>
        </is>
      </c>
      <c r="E3147" t="inlineStr">
        <is>
          <t>SKELLEFTEÅ</t>
        </is>
      </c>
      <c r="F3147" t="inlineStr">
        <is>
          <t>Holmen skog AB</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35021-2021</t>
        </is>
      </c>
      <c r="B3148" s="1" t="n">
        <v>44383</v>
      </c>
      <c r="C3148" s="1" t="n">
        <v>46145</v>
      </c>
      <c r="D3148" t="inlineStr">
        <is>
          <t>VÄSTERBOTTENS LÄN</t>
        </is>
      </c>
      <c r="E3148" t="inlineStr">
        <is>
          <t>LYCKSELE</t>
        </is>
      </c>
      <c r="F3148" t="inlineStr">
        <is>
          <t>Holmen skog AB</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30733-2024</t>
        </is>
      </c>
      <c r="B3149" s="1" t="n">
        <v>45496.62179398148</v>
      </c>
      <c r="C3149" s="1" t="n">
        <v>46145</v>
      </c>
      <c r="D3149" t="inlineStr">
        <is>
          <t>VÄSTERBOTTENS LÄN</t>
        </is>
      </c>
      <c r="E3149" t="inlineStr">
        <is>
          <t>ROBERTSFORS</t>
        </is>
      </c>
      <c r="F3149" t="inlineStr">
        <is>
          <t>Holmen skog AB</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43204-2024</t>
        </is>
      </c>
      <c r="B3150" s="1" t="n">
        <v>45567</v>
      </c>
      <c r="C3150" s="1" t="n">
        <v>46145</v>
      </c>
      <c r="D3150" t="inlineStr">
        <is>
          <t>VÄSTERBOTTENS LÄN</t>
        </is>
      </c>
      <c r="E3150" t="inlineStr">
        <is>
          <t>SKELLEFTEÅ</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13181-2022</t>
        </is>
      </c>
      <c r="B3151" s="1" t="n">
        <v>44644.47650462963</v>
      </c>
      <c r="C3151" s="1" t="n">
        <v>46145</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30745-2024</t>
        </is>
      </c>
      <c r="B3152" s="1" t="n">
        <v>45496</v>
      </c>
      <c r="C3152" s="1" t="n">
        <v>46145</v>
      </c>
      <c r="D3152" t="inlineStr">
        <is>
          <t>VÄSTERBOTTENS LÄN</t>
        </is>
      </c>
      <c r="E3152" t="inlineStr">
        <is>
          <t>STORUMAN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40013-2024</t>
        </is>
      </c>
      <c r="B3153" s="1" t="n">
        <v>45553</v>
      </c>
      <c r="C3153" s="1" t="n">
        <v>46145</v>
      </c>
      <c r="D3153" t="inlineStr">
        <is>
          <t>VÄSTERBOTTENS LÄN</t>
        </is>
      </c>
      <c r="E3153" t="inlineStr">
        <is>
          <t>DOROTEA</t>
        </is>
      </c>
      <c r="F3153" t="inlineStr">
        <is>
          <t>Övriga statliga verk och myndigheter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40046-2024</t>
        </is>
      </c>
      <c r="B3154" s="1" t="n">
        <v>45553.76251157407</v>
      </c>
      <c r="C3154" s="1" t="n">
        <v>46145</v>
      </c>
      <c r="D3154" t="inlineStr">
        <is>
          <t>VÄSTERBOTTENS LÄN</t>
        </is>
      </c>
      <c r="E3154" t="inlineStr">
        <is>
          <t>ÅSELE</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19423-2022</t>
        </is>
      </c>
      <c r="B3155" s="1" t="n">
        <v>44693.32515046297</v>
      </c>
      <c r="C3155" s="1" t="n">
        <v>46145</v>
      </c>
      <c r="D3155" t="inlineStr">
        <is>
          <t>VÄSTERBOTTENS LÄN</t>
        </is>
      </c>
      <c r="E3155" t="inlineStr">
        <is>
          <t>VILHELMINA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7429-2023</t>
        </is>
      </c>
      <c r="B3156" s="1" t="n">
        <v>44971</v>
      </c>
      <c r="C3156" s="1" t="n">
        <v>46145</v>
      </c>
      <c r="D3156" t="inlineStr">
        <is>
          <t>VÄSTERBOTTENS LÄN</t>
        </is>
      </c>
      <c r="E3156" t="inlineStr">
        <is>
          <t>DOROTEA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3099-2025</t>
        </is>
      </c>
      <c r="B3157" s="1" t="n">
        <v>45678.66674768519</v>
      </c>
      <c r="C3157" s="1" t="n">
        <v>46145</v>
      </c>
      <c r="D3157" t="inlineStr">
        <is>
          <t>VÄSTERBOTTENS LÄN</t>
        </is>
      </c>
      <c r="E3157" t="inlineStr">
        <is>
          <t>DOROTEA</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36274-2024</t>
        </is>
      </c>
      <c r="B3158" s="1" t="n">
        <v>45534.57965277778</v>
      </c>
      <c r="C3158" s="1" t="n">
        <v>46145</v>
      </c>
      <c r="D3158" t="inlineStr">
        <is>
          <t>VÄSTERBOTTENS LÄN</t>
        </is>
      </c>
      <c r="E3158" t="inlineStr">
        <is>
          <t>LYCKSELE</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57697-2024</t>
        </is>
      </c>
      <c r="B3159" s="1" t="n">
        <v>45630.66277777778</v>
      </c>
      <c r="C3159" s="1" t="n">
        <v>46145</v>
      </c>
      <c r="D3159" t="inlineStr">
        <is>
          <t>VÄSTERBOTTENS LÄN</t>
        </is>
      </c>
      <c r="E3159" t="inlineStr">
        <is>
          <t>BJURHOLM</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34719-2024</t>
        </is>
      </c>
      <c r="B3160" s="1" t="n">
        <v>45526.56435185186</v>
      </c>
      <c r="C3160" s="1" t="n">
        <v>46145</v>
      </c>
      <c r="D3160" t="inlineStr">
        <is>
          <t>VÄSTERBOTTENS LÄN</t>
        </is>
      </c>
      <c r="E3160" t="inlineStr">
        <is>
          <t>VILHELMINA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37172-2023</t>
        </is>
      </c>
      <c r="B3161" s="1" t="n">
        <v>45154</v>
      </c>
      <c r="C3161" s="1" t="n">
        <v>46145</v>
      </c>
      <c r="D3161" t="inlineStr">
        <is>
          <t>VÄSTERBOTTENS LÄN</t>
        </is>
      </c>
      <c r="E3161" t="inlineStr">
        <is>
          <t>MALÅ</t>
        </is>
      </c>
      <c r="G3161" t="n">
        <v>73.7</v>
      </c>
      <c r="H3161" t="n">
        <v>0</v>
      </c>
      <c r="I3161" t="n">
        <v>0</v>
      </c>
      <c r="J3161" t="n">
        <v>0</v>
      </c>
      <c r="K3161" t="n">
        <v>0</v>
      </c>
      <c r="L3161" t="n">
        <v>0</v>
      </c>
      <c r="M3161" t="n">
        <v>0</v>
      </c>
      <c r="N3161" t="n">
        <v>0</v>
      </c>
      <c r="O3161" t="n">
        <v>0</v>
      </c>
      <c r="P3161" t="n">
        <v>0</v>
      </c>
      <c r="Q3161" t="n">
        <v>0</v>
      </c>
      <c r="R3161" s="2" t="inlineStr"/>
    </row>
    <row r="3162" ht="15" customHeight="1">
      <c r="A3162" t="inlineStr">
        <is>
          <t>A 45690-2024</t>
        </is>
      </c>
      <c r="B3162" s="1" t="n">
        <v>45579</v>
      </c>
      <c r="C3162" s="1" t="n">
        <v>46145</v>
      </c>
      <c r="D3162" t="inlineStr">
        <is>
          <t>VÄSTERBOTTENS LÄN</t>
        </is>
      </c>
      <c r="E3162" t="inlineStr">
        <is>
          <t>SKELLEFTEÅ</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45693-2024</t>
        </is>
      </c>
      <c r="B3163" s="1" t="n">
        <v>45579.555625</v>
      </c>
      <c r="C3163" s="1" t="n">
        <v>46145</v>
      </c>
      <c r="D3163" t="inlineStr">
        <is>
          <t>VÄSTERBOTTENS LÄN</t>
        </is>
      </c>
      <c r="E3163" t="inlineStr">
        <is>
          <t>NORSJÖ</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4292-2024</t>
        </is>
      </c>
      <c r="B3164" s="1" t="n">
        <v>45324.6081712963</v>
      </c>
      <c r="C3164" s="1" t="n">
        <v>46145</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11942-2023</t>
        </is>
      </c>
      <c r="B3165" s="1" t="n">
        <v>44995.52376157408</v>
      </c>
      <c r="C3165" s="1" t="n">
        <v>46145</v>
      </c>
      <c r="D3165" t="inlineStr">
        <is>
          <t>VÄSTERBOTTENS LÄN</t>
        </is>
      </c>
      <c r="E3165" t="inlineStr">
        <is>
          <t>SKELLEFTEÅ</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34622-2024</t>
        </is>
      </c>
      <c r="B3166" s="1" t="n">
        <v>45526.44155092593</v>
      </c>
      <c r="C3166" s="1" t="n">
        <v>46145</v>
      </c>
      <c r="D3166" t="inlineStr">
        <is>
          <t>VÄSTERBOTTENS LÄN</t>
        </is>
      </c>
      <c r="E3166" t="inlineStr">
        <is>
          <t>SKELLEFTEÅ</t>
        </is>
      </c>
      <c r="F3166" t="inlineStr">
        <is>
          <t>Holmen skog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10618-2025</t>
        </is>
      </c>
      <c r="B3167" s="1" t="n">
        <v>45721</v>
      </c>
      <c r="C3167" s="1" t="n">
        <v>46145</v>
      </c>
      <c r="D3167" t="inlineStr">
        <is>
          <t>VÄSTERBOTTENS LÄN</t>
        </is>
      </c>
      <c r="E3167" t="inlineStr">
        <is>
          <t>VINDELN</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54769-2021</t>
        </is>
      </c>
      <c r="B3168" s="1" t="n">
        <v>44473</v>
      </c>
      <c r="C3168" s="1" t="n">
        <v>46145</v>
      </c>
      <c r="D3168" t="inlineStr">
        <is>
          <t>VÄSTERBOTTENS LÄN</t>
        </is>
      </c>
      <c r="E3168" t="inlineStr">
        <is>
          <t>SORSELE</t>
        </is>
      </c>
      <c r="F3168" t="inlineStr">
        <is>
          <t>SCA</t>
        </is>
      </c>
      <c r="G3168" t="n">
        <v>15.8</v>
      </c>
      <c r="H3168" t="n">
        <v>0</v>
      </c>
      <c r="I3168" t="n">
        <v>0</v>
      </c>
      <c r="J3168" t="n">
        <v>0</v>
      </c>
      <c r="K3168" t="n">
        <v>0</v>
      </c>
      <c r="L3168" t="n">
        <v>0</v>
      </c>
      <c r="M3168" t="n">
        <v>0</v>
      </c>
      <c r="N3168" t="n">
        <v>0</v>
      </c>
      <c r="O3168" t="n">
        <v>0</v>
      </c>
      <c r="P3168" t="n">
        <v>0</v>
      </c>
      <c r="Q3168" t="n">
        <v>0</v>
      </c>
      <c r="R3168" s="2" t="inlineStr"/>
    </row>
    <row r="3169" ht="15" customHeight="1">
      <c r="A3169" t="inlineStr">
        <is>
          <t>A 1480-2023</t>
        </is>
      </c>
      <c r="B3169" s="1" t="n">
        <v>44937</v>
      </c>
      <c r="C3169" s="1" t="n">
        <v>46145</v>
      </c>
      <c r="D3169" t="inlineStr">
        <is>
          <t>VÄSTERBOTTENS LÄN</t>
        </is>
      </c>
      <c r="E3169" t="inlineStr">
        <is>
          <t>UMEÅ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54784-2021</t>
        </is>
      </c>
      <c r="B3170" s="1" t="n">
        <v>44473.94143518519</v>
      </c>
      <c r="C3170" s="1" t="n">
        <v>46145</v>
      </c>
      <c r="D3170" t="inlineStr">
        <is>
          <t>VÄSTERBOTTENS LÄN</t>
        </is>
      </c>
      <c r="E3170" t="inlineStr">
        <is>
          <t>NORDMALING</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34630-2024</t>
        </is>
      </c>
      <c r="B3171" s="1" t="n">
        <v>45526.46234953704</v>
      </c>
      <c r="C3171" s="1" t="n">
        <v>46145</v>
      </c>
      <c r="D3171" t="inlineStr">
        <is>
          <t>VÄSTERBOTTENS LÄN</t>
        </is>
      </c>
      <c r="E3171" t="inlineStr">
        <is>
          <t>VILHELMINA</t>
        </is>
      </c>
      <c r="F3171" t="inlineStr">
        <is>
          <t>SCA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34635-2024</t>
        </is>
      </c>
      <c r="B3172" s="1" t="n">
        <v>45526.47052083333</v>
      </c>
      <c r="C3172" s="1" t="n">
        <v>46145</v>
      </c>
      <c r="D3172" t="inlineStr">
        <is>
          <t>VÄSTERBOTTENS LÄN</t>
        </is>
      </c>
      <c r="E3172" t="inlineStr">
        <is>
          <t>LYCKSELE</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58340-2024</t>
        </is>
      </c>
      <c r="B3173" s="1" t="n">
        <v>45632.6391087963</v>
      </c>
      <c r="C3173" s="1" t="n">
        <v>46145</v>
      </c>
      <c r="D3173" t="inlineStr">
        <is>
          <t>VÄSTERBOTTENS LÄN</t>
        </is>
      </c>
      <c r="E3173" t="inlineStr">
        <is>
          <t>VÄNNÄS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4618-2023</t>
        </is>
      </c>
      <c r="B3174" s="1" t="n">
        <v>44956</v>
      </c>
      <c r="C3174" s="1" t="n">
        <v>46145</v>
      </c>
      <c r="D3174" t="inlineStr">
        <is>
          <t>VÄSTERBOTTENS LÄN</t>
        </is>
      </c>
      <c r="E3174" t="inlineStr">
        <is>
          <t>DOROTEA</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7871-2023</t>
        </is>
      </c>
      <c r="B3175" s="1" t="n">
        <v>44970</v>
      </c>
      <c r="C3175" s="1" t="n">
        <v>46145</v>
      </c>
      <c r="D3175" t="inlineStr">
        <is>
          <t>VÄSTERBOTTENS LÄN</t>
        </is>
      </c>
      <c r="E3175" t="inlineStr">
        <is>
          <t>VÄNNÄS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7875-2023</t>
        </is>
      </c>
      <c r="B3176" s="1" t="n">
        <v>44967</v>
      </c>
      <c r="C3176" s="1" t="n">
        <v>46145</v>
      </c>
      <c r="D3176" t="inlineStr">
        <is>
          <t>VÄSTERBOTTENS LÄN</t>
        </is>
      </c>
      <c r="E3176" t="inlineStr">
        <is>
          <t>SKELLEFTEÅ</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46377-2024</t>
        </is>
      </c>
      <c r="B3177" s="1" t="n">
        <v>45582</v>
      </c>
      <c r="C3177" s="1" t="n">
        <v>46145</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16198-2022</t>
        </is>
      </c>
      <c r="B3178" s="1" t="n">
        <v>44665</v>
      </c>
      <c r="C3178" s="1" t="n">
        <v>46145</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64942-2023</t>
        </is>
      </c>
      <c r="B3179" s="1" t="n">
        <v>45282</v>
      </c>
      <c r="C3179" s="1" t="n">
        <v>46145</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46557-2024</t>
        </is>
      </c>
      <c r="B3180" s="1" t="n">
        <v>45582.67056712963</v>
      </c>
      <c r="C3180" s="1" t="n">
        <v>46145</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16520-2022</t>
        </is>
      </c>
      <c r="B3181" s="1" t="n">
        <v>44671</v>
      </c>
      <c r="C3181" s="1" t="n">
        <v>46145</v>
      </c>
      <c r="D3181" t="inlineStr">
        <is>
          <t>VÄSTERBOTTENS LÄN</t>
        </is>
      </c>
      <c r="E3181" t="inlineStr">
        <is>
          <t>STORUMAN</t>
        </is>
      </c>
      <c r="G3181" t="n">
        <v>20.1</v>
      </c>
      <c r="H3181" t="n">
        <v>0</v>
      </c>
      <c r="I3181" t="n">
        <v>0</v>
      </c>
      <c r="J3181" t="n">
        <v>0</v>
      </c>
      <c r="K3181" t="n">
        <v>0</v>
      </c>
      <c r="L3181" t="n">
        <v>0</v>
      </c>
      <c r="M3181" t="n">
        <v>0</v>
      </c>
      <c r="N3181" t="n">
        <v>0</v>
      </c>
      <c r="O3181" t="n">
        <v>0</v>
      </c>
      <c r="P3181" t="n">
        <v>0</v>
      </c>
      <c r="Q3181" t="n">
        <v>0</v>
      </c>
      <c r="R3181" s="2" t="inlineStr"/>
    </row>
    <row r="3182" ht="15" customHeight="1">
      <c r="A3182" t="inlineStr">
        <is>
          <t>A 44959-2023</t>
        </is>
      </c>
      <c r="B3182" s="1" t="n">
        <v>45190</v>
      </c>
      <c r="C3182" s="1" t="n">
        <v>46145</v>
      </c>
      <c r="D3182" t="inlineStr">
        <is>
          <t>VÄSTERBOTTENS LÄN</t>
        </is>
      </c>
      <c r="E3182" t="inlineStr">
        <is>
          <t>SKELLEFTEÅ</t>
        </is>
      </c>
      <c r="F3182" t="inlineStr">
        <is>
          <t>Sveaskog</t>
        </is>
      </c>
      <c r="G3182" t="n">
        <v>15.3</v>
      </c>
      <c r="H3182" t="n">
        <v>0</v>
      </c>
      <c r="I3182" t="n">
        <v>0</v>
      </c>
      <c r="J3182" t="n">
        <v>0</v>
      </c>
      <c r="K3182" t="n">
        <v>0</v>
      </c>
      <c r="L3182" t="n">
        <v>0</v>
      </c>
      <c r="M3182" t="n">
        <v>0</v>
      </c>
      <c r="N3182" t="n">
        <v>0</v>
      </c>
      <c r="O3182" t="n">
        <v>0</v>
      </c>
      <c r="P3182" t="n">
        <v>0</v>
      </c>
      <c r="Q3182" t="n">
        <v>0</v>
      </c>
      <c r="R3182" s="2" t="inlineStr"/>
    </row>
    <row r="3183" ht="15" customHeight="1">
      <c r="A3183" t="inlineStr">
        <is>
          <t>A 47980-2024</t>
        </is>
      </c>
      <c r="B3183" s="1" t="n">
        <v>45589</v>
      </c>
      <c r="C3183" s="1" t="n">
        <v>46145</v>
      </c>
      <c r="D3183" t="inlineStr">
        <is>
          <t>VÄSTERBOTTENS LÄN</t>
        </is>
      </c>
      <c r="E3183" t="inlineStr">
        <is>
          <t>SORSELE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37569-2024</t>
        </is>
      </c>
      <c r="B3184" s="1" t="n">
        <v>45541.45086805556</v>
      </c>
      <c r="C3184" s="1" t="n">
        <v>46145</v>
      </c>
      <c r="D3184" t="inlineStr">
        <is>
          <t>VÄSTERBOTTENS LÄN</t>
        </is>
      </c>
      <c r="E3184" t="inlineStr">
        <is>
          <t>NORSJÖ</t>
        </is>
      </c>
      <c r="F3184" t="inlineStr">
        <is>
          <t>Holmen skog AB</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44972-2023</t>
        </is>
      </c>
      <c r="B3185" s="1" t="n">
        <v>45190.92549768519</v>
      </c>
      <c r="C3185" s="1" t="n">
        <v>46145</v>
      </c>
      <c r="D3185" t="inlineStr">
        <is>
          <t>VÄSTERBOTTENS LÄN</t>
        </is>
      </c>
      <c r="E3185" t="inlineStr">
        <is>
          <t>DOROTEA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58429-2022</t>
        </is>
      </c>
      <c r="B3186" s="1" t="n">
        <v>44901</v>
      </c>
      <c r="C3186" s="1" t="n">
        <v>46145</v>
      </c>
      <c r="D3186" t="inlineStr">
        <is>
          <t>VÄSTERBOTTENS LÄN</t>
        </is>
      </c>
      <c r="E3186" t="inlineStr">
        <is>
          <t>SKELLEFTEÅ</t>
        </is>
      </c>
      <c r="F3186" t="inlineStr">
        <is>
          <t>SCA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20947-2023</t>
        </is>
      </c>
      <c r="B3187" s="1" t="n">
        <v>45056</v>
      </c>
      <c r="C3187" s="1" t="n">
        <v>46145</v>
      </c>
      <c r="D3187" t="inlineStr">
        <is>
          <t>VÄSTERBOTTENS LÄN</t>
        </is>
      </c>
      <c r="E3187" t="inlineStr">
        <is>
          <t>SORSELE</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10898-2025</t>
        </is>
      </c>
      <c r="B3188" s="1" t="n">
        <v>45722</v>
      </c>
      <c r="C3188" s="1" t="n">
        <v>46145</v>
      </c>
      <c r="D3188" t="inlineStr">
        <is>
          <t>VÄSTERBOTTENS LÄN</t>
        </is>
      </c>
      <c r="E3188" t="inlineStr">
        <is>
          <t>UMEÅ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48033-2024</t>
        </is>
      </c>
      <c r="B3189" s="1" t="n">
        <v>45589.49001157407</v>
      </c>
      <c r="C3189" s="1" t="n">
        <v>46145</v>
      </c>
      <c r="D3189" t="inlineStr">
        <is>
          <t>VÄSTERBOTTENS LÄN</t>
        </is>
      </c>
      <c r="E3189" t="inlineStr">
        <is>
          <t>ÅSELE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41642-2024</t>
        </is>
      </c>
      <c r="B3190" s="1" t="n">
        <v>45560.63359953704</v>
      </c>
      <c r="C3190" s="1" t="n">
        <v>46145</v>
      </c>
      <c r="D3190" t="inlineStr">
        <is>
          <t>VÄSTERBOTTENS LÄN</t>
        </is>
      </c>
      <c r="E3190" t="inlineStr">
        <is>
          <t>SKELLEFTEÅ</t>
        </is>
      </c>
      <c r="F3190" t="inlineStr">
        <is>
          <t>Holmen skog AB</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49382-2024</t>
        </is>
      </c>
      <c r="B3191" s="1" t="n">
        <v>45595</v>
      </c>
      <c r="C3191" s="1" t="n">
        <v>46145</v>
      </c>
      <c r="D3191" t="inlineStr">
        <is>
          <t>VÄSTERBOTTENS LÄN</t>
        </is>
      </c>
      <c r="E3191" t="inlineStr">
        <is>
          <t>ÅSELE</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41710-2024</t>
        </is>
      </c>
      <c r="B3192" s="1" t="n">
        <v>45560.70313657408</v>
      </c>
      <c r="C3192" s="1" t="n">
        <v>46145</v>
      </c>
      <c r="D3192" t="inlineStr">
        <is>
          <t>VÄSTERBOTTENS LÄN</t>
        </is>
      </c>
      <c r="E3192" t="inlineStr">
        <is>
          <t>SKELLEFTEÅ</t>
        </is>
      </c>
      <c r="F3192" t="inlineStr">
        <is>
          <t>Holmen skog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40144-2024</t>
        </is>
      </c>
      <c r="B3193" s="1" t="n">
        <v>45554.49422453704</v>
      </c>
      <c r="C3193" s="1" t="n">
        <v>46145</v>
      </c>
      <c r="D3193" t="inlineStr">
        <is>
          <t>VÄSTERBOTTENS LÄN</t>
        </is>
      </c>
      <c r="E3193" t="inlineStr">
        <is>
          <t>VINDELN</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8273-2023</t>
        </is>
      </c>
      <c r="B3194" s="1" t="n">
        <v>44971</v>
      </c>
      <c r="C3194" s="1" t="n">
        <v>46145</v>
      </c>
      <c r="D3194" t="inlineStr">
        <is>
          <t>VÄSTERBOTTENS LÄN</t>
        </is>
      </c>
      <c r="E3194" t="inlineStr">
        <is>
          <t>VINDELN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7102-2024</t>
        </is>
      </c>
      <c r="B3195" s="1" t="n">
        <v>45343</v>
      </c>
      <c r="C3195" s="1" t="n">
        <v>46145</v>
      </c>
      <c r="D3195" t="inlineStr">
        <is>
          <t>VÄSTERBOTTENS LÄN</t>
        </is>
      </c>
      <c r="E3195" t="inlineStr">
        <is>
          <t>VILHELMINA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39788-2023</t>
        </is>
      </c>
      <c r="B3196" s="1" t="n">
        <v>45167</v>
      </c>
      <c r="C3196" s="1" t="n">
        <v>46145</v>
      </c>
      <c r="D3196" t="inlineStr">
        <is>
          <t>VÄSTERBOTTENS LÄN</t>
        </is>
      </c>
      <c r="E3196" t="inlineStr">
        <is>
          <t>MALÅ</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45850-2024</t>
        </is>
      </c>
      <c r="B3197" s="1" t="n">
        <v>45580</v>
      </c>
      <c r="C3197" s="1" t="n">
        <v>46145</v>
      </c>
      <c r="D3197" t="inlineStr">
        <is>
          <t>VÄSTERBOTTENS LÄN</t>
        </is>
      </c>
      <c r="E3197" t="inlineStr">
        <is>
          <t>SKELLEFTEÅ</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56727-2022</t>
        </is>
      </c>
      <c r="B3198" s="1" t="n">
        <v>44893</v>
      </c>
      <c r="C3198" s="1" t="n">
        <v>46145</v>
      </c>
      <c r="D3198" t="inlineStr">
        <is>
          <t>VÄSTERBOTTENS LÄN</t>
        </is>
      </c>
      <c r="E3198" t="inlineStr">
        <is>
          <t>MALÅ</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53903-2022</t>
        </is>
      </c>
      <c r="B3199" s="1" t="n">
        <v>44880</v>
      </c>
      <c r="C3199" s="1" t="n">
        <v>46145</v>
      </c>
      <c r="D3199" t="inlineStr">
        <is>
          <t>VÄSTERBOTTENS LÄN</t>
        </is>
      </c>
      <c r="E3199" t="inlineStr">
        <is>
          <t>SKELLEFTEÅ</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47441-2024</t>
        </is>
      </c>
      <c r="B3200" s="1" t="n">
        <v>45587</v>
      </c>
      <c r="C3200" s="1" t="n">
        <v>46145</v>
      </c>
      <c r="D3200" t="inlineStr">
        <is>
          <t>VÄSTERBOTTENS LÄN</t>
        </is>
      </c>
      <c r="E3200" t="inlineStr">
        <is>
          <t>ÅSELE</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47070-2024</t>
        </is>
      </c>
      <c r="B3201" s="1" t="n">
        <v>45586.48637731482</v>
      </c>
      <c r="C3201" s="1" t="n">
        <v>46145</v>
      </c>
      <c r="D3201" t="inlineStr">
        <is>
          <t>VÄSTERBOTTENS LÄN</t>
        </is>
      </c>
      <c r="E3201" t="inlineStr">
        <is>
          <t>NORDMALING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39208-2023</t>
        </is>
      </c>
      <c r="B3202" s="1" t="n">
        <v>45166.41417824074</v>
      </c>
      <c r="C3202" s="1" t="n">
        <v>46145</v>
      </c>
      <c r="D3202" t="inlineStr">
        <is>
          <t>VÄSTERBOTTENS LÄN</t>
        </is>
      </c>
      <c r="E3202" t="inlineStr">
        <is>
          <t>VINDELN</t>
        </is>
      </c>
      <c r="F3202" t="inlineStr">
        <is>
          <t>Sveaskog</t>
        </is>
      </c>
      <c r="G3202" t="n">
        <v>13.8</v>
      </c>
      <c r="H3202" t="n">
        <v>0</v>
      </c>
      <c r="I3202" t="n">
        <v>0</v>
      </c>
      <c r="J3202" t="n">
        <v>0</v>
      </c>
      <c r="K3202" t="n">
        <v>0</v>
      </c>
      <c r="L3202" t="n">
        <v>0</v>
      </c>
      <c r="M3202" t="n">
        <v>0</v>
      </c>
      <c r="N3202" t="n">
        <v>0</v>
      </c>
      <c r="O3202" t="n">
        <v>0</v>
      </c>
      <c r="P3202" t="n">
        <v>0</v>
      </c>
      <c r="Q3202" t="n">
        <v>0</v>
      </c>
      <c r="R3202" s="2" t="inlineStr"/>
    </row>
    <row r="3203" ht="15" customHeight="1">
      <c r="A3203" t="inlineStr">
        <is>
          <t>A 13025-2024</t>
        </is>
      </c>
      <c r="B3203" s="1" t="n">
        <v>45385</v>
      </c>
      <c r="C3203" s="1" t="n">
        <v>46145</v>
      </c>
      <c r="D3203" t="inlineStr">
        <is>
          <t>VÄSTERBOTTENS LÄN</t>
        </is>
      </c>
      <c r="E3203" t="inlineStr">
        <is>
          <t>VINDELN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13164-2024</t>
        </is>
      </c>
      <c r="B3204" s="1" t="n">
        <v>45386</v>
      </c>
      <c r="C3204" s="1" t="n">
        <v>46145</v>
      </c>
      <c r="D3204" t="inlineStr">
        <is>
          <t>VÄSTERBOTTENS LÄN</t>
        </is>
      </c>
      <c r="E3204" t="inlineStr">
        <is>
          <t>ROBERTSFORS</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44829-2024</t>
        </is>
      </c>
      <c r="B3205" s="1" t="n">
        <v>45574.67832175926</v>
      </c>
      <c r="C3205" s="1" t="n">
        <v>46145</v>
      </c>
      <c r="D3205" t="inlineStr">
        <is>
          <t>VÄSTERBOTTENS LÄN</t>
        </is>
      </c>
      <c r="E3205" t="inlineStr">
        <is>
          <t>SKELLEFTEÅ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46268-2024</t>
        </is>
      </c>
      <c r="B3206" s="1" t="n">
        <v>45581</v>
      </c>
      <c r="C3206" s="1" t="n">
        <v>46145</v>
      </c>
      <c r="D3206" t="inlineStr">
        <is>
          <t>VÄSTERBOTTENS LÄN</t>
        </is>
      </c>
      <c r="E3206" t="inlineStr">
        <is>
          <t>SKELLEFTEÅ</t>
        </is>
      </c>
      <c r="F3206" t="inlineStr">
        <is>
          <t>Holmen skog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51401-2024</t>
        </is>
      </c>
      <c r="B3207" s="1" t="n">
        <v>45604.42592592593</v>
      </c>
      <c r="C3207" s="1" t="n">
        <v>46145</v>
      </c>
      <c r="D3207" t="inlineStr">
        <is>
          <t>VÄSTERBOTTENS LÄN</t>
        </is>
      </c>
      <c r="E3207" t="inlineStr">
        <is>
          <t>NORSJÖ</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51406-2024</t>
        </is>
      </c>
      <c r="B3208" s="1" t="n">
        <v>45604.42814814814</v>
      </c>
      <c r="C3208" s="1" t="n">
        <v>46145</v>
      </c>
      <c r="D3208" t="inlineStr">
        <is>
          <t>VÄSTERBOTTENS LÄN</t>
        </is>
      </c>
      <c r="E3208" t="inlineStr">
        <is>
          <t>LYCKSELE</t>
        </is>
      </c>
      <c r="F3208" t="inlineStr">
        <is>
          <t>SCA</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10718-2025</t>
        </is>
      </c>
      <c r="B3209" s="1" t="n">
        <v>45722.37076388889</v>
      </c>
      <c r="C3209" s="1" t="n">
        <v>46145</v>
      </c>
      <c r="D3209" t="inlineStr">
        <is>
          <t>VÄSTERBOTTENS LÄN</t>
        </is>
      </c>
      <c r="E3209" t="inlineStr">
        <is>
          <t>UMEÅ</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40787-2024</t>
        </is>
      </c>
      <c r="B3210" s="1" t="n">
        <v>45558</v>
      </c>
      <c r="C3210" s="1" t="n">
        <v>46145</v>
      </c>
      <c r="D3210" t="inlineStr">
        <is>
          <t>VÄSTERBOTTENS LÄN</t>
        </is>
      </c>
      <c r="E3210" t="inlineStr">
        <is>
          <t>SKELLEFTEÅ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702-2023</t>
        </is>
      </c>
      <c r="B3211" s="1" t="n">
        <v>44930.92688657407</v>
      </c>
      <c r="C3211" s="1" t="n">
        <v>46145</v>
      </c>
      <c r="D3211" t="inlineStr">
        <is>
          <t>VÄSTERBOTTENS LÄN</t>
        </is>
      </c>
      <c r="E3211" t="inlineStr">
        <is>
          <t>SKELLEFTEÅ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61044-2022</t>
        </is>
      </c>
      <c r="B3212" s="1" t="n">
        <v>44914.97001157407</v>
      </c>
      <c r="C3212" s="1" t="n">
        <v>46145</v>
      </c>
      <c r="D3212" t="inlineStr">
        <is>
          <t>VÄSTERBOTTENS LÄN</t>
        </is>
      </c>
      <c r="E3212" t="inlineStr">
        <is>
          <t>BJURHOLM</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61105-2022</t>
        </is>
      </c>
      <c r="B3213" s="1" t="n">
        <v>44915.41087962963</v>
      </c>
      <c r="C3213" s="1" t="n">
        <v>46145</v>
      </c>
      <c r="D3213" t="inlineStr">
        <is>
          <t>VÄSTERBOTTENS LÄN</t>
        </is>
      </c>
      <c r="E3213" t="inlineStr">
        <is>
          <t>SKELLEFTEÅ</t>
        </is>
      </c>
      <c r="F3213" t="inlineStr">
        <is>
          <t>Sveaskog</t>
        </is>
      </c>
      <c r="G3213" t="n">
        <v>19.5</v>
      </c>
      <c r="H3213" t="n">
        <v>0</v>
      </c>
      <c r="I3213" t="n">
        <v>0</v>
      </c>
      <c r="J3213" t="n">
        <v>0</v>
      </c>
      <c r="K3213" t="n">
        <v>0</v>
      </c>
      <c r="L3213" t="n">
        <v>0</v>
      </c>
      <c r="M3213" t="n">
        <v>0</v>
      </c>
      <c r="N3213" t="n">
        <v>0</v>
      </c>
      <c r="O3213" t="n">
        <v>0</v>
      </c>
      <c r="P3213" t="n">
        <v>0</v>
      </c>
      <c r="Q3213" t="n">
        <v>0</v>
      </c>
      <c r="R3213" s="2" t="inlineStr"/>
    </row>
    <row r="3214" ht="15" customHeight="1">
      <c r="A3214" t="inlineStr">
        <is>
          <t>A 58824-2023</t>
        </is>
      </c>
      <c r="B3214" s="1" t="n">
        <v>45247</v>
      </c>
      <c r="C3214" s="1" t="n">
        <v>46145</v>
      </c>
      <c r="D3214" t="inlineStr">
        <is>
          <t>VÄSTERBOTTENS LÄN</t>
        </is>
      </c>
      <c r="E3214" t="inlineStr">
        <is>
          <t>SORSELE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58838-2023</t>
        </is>
      </c>
      <c r="B3215" s="1" t="n">
        <v>45252.41853009259</v>
      </c>
      <c r="C3215" s="1" t="n">
        <v>46145</v>
      </c>
      <c r="D3215" t="inlineStr">
        <is>
          <t>VÄSTERBOTTENS LÄN</t>
        </is>
      </c>
      <c r="E3215" t="inlineStr">
        <is>
          <t>SKELLEFTEÅ</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45403-2024</t>
        </is>
      </c>
      <c r="B3216" s="1" t="n">
        <v>45576.57667824074</v>
      </c>
      <c r="C3216" s="1" t="n">
        <v>46145</v>
      </c>
      <c r="D3216" t="inlineStr">
        <is>
          <t>VÄSTERBOTTENS LÄN</t>
        </is>
      </c>
      <c r="E3216" t="inlineStr">
        <is>
          <t>SKELLEFTEÅ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11381-2025</t>
        </is>
      </c>
      <c r="B3217" s="1" t="n">
        <v>45724</v>
      </c>
      <c r="C3217" s="1" t="n">
        <v>46145</v>
      </c>
      <c r="D3217" t="inlineStr">
        <is>
          <t>VÄSTERBOTTENS LÄN</t>
        </is>
      </c>
      <c r="E3217" t="inlineStr">
        <is>
          <t>STORUMAN</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53657-2023</t>
        </is>
      </c>
      <c r="B3218" s="1" t="n">
        <v>45230</v>
      </c>
      <c r="C3218" s="1" t="n">
        <v>46145</v>
      </c>
      <c r="D3218" t="inlineStr">
        <is>
          <t>VÄSTERBOTTENS LÄN</t>
        </is>
      </c>
      <c r="E3218" t="inlineStr">
        <is>
          <t>MALÅ</t>
        </is>
      </c>
      <c r="F3218" t="inlineStr">
        <is>
          <t>Sveaskog</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15799-2024</t>
        </is>
      </c>
      <c r="B3219" s="1" t="n">
        <v>45404.63964120371</v>
      </c>
      <c r="C3219" s="1" t="n">
        <v>46145</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8010-2025</t>
        </is>
      </c>
      <c r="B3220" s="1" t="n">
        <v>45707.55104166667</v>
      </c>
      <c r="C3220" s="1" t="n">
        <v>46145</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10360-2025</t>
        </is>
      </c>
      <c r="B3221" s="1" t="n">
        <v>45720</v>
      </c>
      <c r="C3221" s="1" t="n">
        <v>46145</v>
      </c>
      <c r="D3221" t="inlineStr">
        <is>
          <t>VÄSTERBOTTENS LÄN</t>
        </is>
      </c>
      <c r="E3221" t="inlineStr">
        <is>
          <t>ÅSELE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10381-2025</t>
        </is>
      </c>
      <c r="B3222" s="1" t="n">
        <v>45720.57324074074</v>
      </c>
      <c r="C3222" s="1" t="n">
        <v>46145</v>
      </c>
      <c r="D3222" t="inlineStr">
        <is>
          <t>VÄSTERBOTTENS LÄN</t>
        </is>
      </c>
      <c r="E3222" t="inlineStr">
        <is>
          <t>ÅSELE</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61744-2024</t>
        </is>
      </c>
      <c r="B3223" s="1" t="n">
        <v>45649</v>
      </c>
      <c r="C3223" s="1" t="n">
        <v>46145</v>
      </c>
      <c r="D3223" t="inlineStr">
        <is>
          <t>VÄSTERBOTTENS LÄN</t>
        </is>
      </c>
      <c r="E3223" t="inlineStr">
        <is>
          <t>ÅSELE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38318-2024</t>
        </is>
      </c>
      <c r="B3224" s="1" t="n">
        <v>45545.66155092593</v>
      </c>
      <c r="C3224" s="1" t="n">
        <v>46145</v>
      </c>
      <c r="D3224" t="inlineStr">
        <is>
          <t>VÄSTERBOTTENS LÄN</t>
        </is>
      </c>
      <c r="E3224" t="inlineStr">
        <is>
          <t>NORSJÖ</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17971-2025</t>
        </is>
      </c>
      <c r="B3225" s="1" t="n">
        <v>45761</v>
      </c>
      <c r="C3225" s="1" t="n">
        <v>46145</v>
      </c>
      <c r="D3225" t="inlineStr">
        <is>
          <t>VÄSTERBOTTENS LÄN</t>
        </is>
      </c>
      <c r="E3225" t="inlineStr">
        <is>
          <t>STORUMAN</t>
        </is>
      </c>
      <c r="F3225" t="inlineStr">
        <is>
          <t>Allmännings- och besparingsskogar</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2488-2023</t>
        </is>
      </c>
      <c r="B3226" s="1" t="n">
        <v>44943</v>
      </c>
      <c r="C3226" s="1" t="n">
        <v>46145</v>
      </c>
      <c r="D3226" t="inlineStr">
        <is>
          <t>VÄSTERBOTTENS LÄN</t>
        </is>
      </c>
      <c r="E3226" t="inlineStr">
        <is>
          <t>VILHELMINA</t>
        </is>
      </c>
      <c r="G3226" t="n">
        <v>69.3</v>
      </c>
      <c r="H3226" t="n">
        <v>0</v>
      </c>
      <c r="I3226" t="n">
        <v>0</v>
      </c>
      <c r="J3226" t="n">
        <v>0</v>
      </c>
      <c r="K3226" t="n">
        <v>0</v>
      </c>
      <c r="L3226" t="n">
        <v>0</v>
      </c>
      <c r="M3226" t="n">
        <v>0</v>
      </c>
      <c r="N3226" t="n">
        <v>0</v>
      </c>
      <c r="O3226" t="n">
        <v>0</v>
      </c>
      <c r="P3226" t="n">
        <v>0</v>
      </c>
      <c r="Q3226" t="n">
        <v>0</v>
      </c>
      <c r="R3226" s="2" t="inlineStr"/>
    </row>
    <row r="3227" ht="15" customHeight="1">
      <c r="A3227" t="inlineStr">
        <is>
          <t>A 58750-2023</t>
        </is>
      </c>
      <c r="B3227" s="1" t="n">
        <v>45251.92957175926</v>
      </c>
      <c r="C3227" s="1" t="n">
        <v>46145</v>
      </c>
      <c r="D3227" t="inlineStr">
        <is>
          <t>VÄSTERBOTTENS LÄN</t>
        </is>
      </c>
      <c r="E3227" t="inlineStr">
        <is>
          <t>SKELLEFTEÅ</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20148-2025</t>
        </is>
      </c>
      <c r="B3228" s="1" t="n">
        <v>45772</v>
      </c>
      <c r="C3228" s="1" t="n">
        <v>46145</v>
      </c>
      <c r="D3228" t="inlineStr">
        <is>
          <t>VÄSTERBOTTENS LÄN</t>
        </is>
      </c>
      <c r="E3228" t="inlineStr">
        <is>
          <t>LYCKSELE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20163-2025</t>
        </is>
      </c>
      <c r="B3229" s="1" t="n">
        <v>45772.57280092593</v>
      </c>
      <c r="C3229" s="1" t="n">
        <v>46145</v>
      </c>
      <c r="D3229" t="inlineStr">
        <is>
          <t>VÄSTERBOTTENS LÄN</t>
        </is>
      </c>
      <c r="E3229" t="inlineStr">
        <is>
          <t>SKELLEFTEÅ</t>
        </is>
      </c>
      <c r="F3229" t="inlineStr">
        <is>
          <t>Holmen skog AB</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56703-2024</t>
        </is>
      </c>
      <c r="B3230" s="1" t="n">
        <v>45627</v>
      </c>
      <c r="C3230" s="1" t="n">
        <v>46145</v>
      </c>
      <c r="D3230" t="inlineStr">
        <is>
          <t>VÄSTERBOTTENS LÄN</t>
        </is>
      </c>
      <c r="E3230" t="inlineStr">
        <is>
          <t>ROBERTSFORS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38398-2024</t>
        </is>
      </c>
      <c r="B3231" s="1" t="n">
        <v>45546.33550925926</v>
      </c>
      <c r="C3231" s="1" t="n">
        <v>46145</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71407-2021</t>
        </is>
      </c>
      <c r="B3232" s="1" t="n">
        <v>44540.38878472222</v>
      </c>
      <c r="C3232" s="1" t="n">
        <v>46145</v>
      </c>
      <c r="D3232" t="inlineStr">
        <is>
          <t>VÄSTERBOTTENS LÄN</t>
        </is>
      </c>
      <c r="E3232" t="inlineStr">
        <is>
          <t>LYCKSELE</t>
        </is>
      </c>
      <c r="G3232" t="n">
        <v>9.4</v>
      </c>
      <c r="H3232" t="n">
        <v>0</v>
      </c>
      <c r="I3232" t="n">
        <v>0</v>
      </c>
      <c r="J3232" t="n">
        <v>0</v>
      </c>
      <c r="K3232" t="n">
        <v>0</v>
      </c>
      <c r="L3232" t="n">
        <v>0</v>
      </c>
      <c r="M3232" t="n">
        <v>0</v>
      </c>
      <c r="N3232" t="n">
        <v>0</v>
      </c>
      <c r="O3232" t="n">
        <v>0</v>
      </c>
      <c r="P3232" t="n">
        <v>0</v>
      </c>
      <c r="Q3232" t="n">
        <v>0</v>
      </c>
      <c r="R3232" s="2" t="inlineStr"/>
    </row>
    <row r="3233" ht="15" customHeight="1">
      <c r="A3233" t="inlineStr">
        <is>
          <t>A 36150-2024</t>
        </is>
      </c>
      <c r="B3233" s="1" t="n">
        <v>45534.36832175926</v>
      </c>
      <c r="C3233" s="1" t="n">
        <v>46145</v>
      </c>
      <c r="D3233" t="inlineStr">
        <is>
          <t>VÄSTERBOTTENS LÄN</t>
        </is>
      </c>
      <c r="E3233" t="inlineStr">
        <is>
          <t>LYCKSELE</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13009-2024</t>
        </is>
      </c>
      <c r="B3234" s="1" t="n">
        <v>45385.57305555556</v>
      </c>
      <c r="C3234" s="1" t="n">
        <v>46145</v>
      </c>
      <c r="D3234" t="inlineStr">
        <is>
          <t>VÄSTERBOTTENS LÄN</t>
        </is>
      </c>
      <c r="E3234" t="inlineStr">
        <is>
          <t>VINDELN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3445-2024</t>
        </is>
      </c>
      <c r="B3235" s="1" t="n">
        <v>45320</v>
      </c>
      <c r="C3235" s="1" t="n">
        <v>46145</v>
      </c>
      <c r="D3235" t="inlineStr">
        <is>
          <t>VÄSTERBOTTENS LÄN</t>
        </is>
      </c>
      <c r="E3235" t="inlineStr">
        <is>
          <t>SKELLEFTEÅ</t>
        </is>
      </c>
      <c r="G3235" t="n">
        <v>19.1</v>
      </c>
      <c r="H3235" t="n">
        <v>0</v>
      </c>
      <c r="I3235" t="n">
        <v>0</v>
      </c>
      <c r="J3235" t="n">
        <v>0</v>
      </c>
      <c r="K3235" t="n">
        <v>0</v>
      </c>
      <c r="L3235" t="n">
        <v>0</v>
      </c>
      <c r="M3235" t="n">
        <v>0</v>
      </c>
      <c r="N3235" t="n">
        <v>0</v>
      </c>
      <c r="O3235" t="n">
        <v>0</v>
      </c>
      <c r="P3235" t="n">
        <v>0</v>
      </c>
      <c r="Q3235" t="n">
        <v>0</v>
      </c>
      <c r="R3235" s="2" t="inlineStr"/>
    </row>
    <row r="3236" ht="15" customHeight="1">
      <c r="A3236" t="inlineStr">
        <is>
          <t>A 3453-2024</t>
        </is>
      </c>
      <c r="B3236" s="1" t="n">
        <v>45320.39112268519</v>
      </c>
      <c r="C3236" s="1" t="n">
        <v>46145</v>
      </c>
      <c r="D3236" t="inlineStr">
        <is>
          <t>VÄSTERBOTTENS LÄN</t>
        </is>
      </c>
      <c r="E3236" t="inlineStr">
        <is>
          <t>SKELLEFTEÅ</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5740-2023</t>
        </is>
      </c>
      <c r="B3237" s="1" t="n">
        <v>44962.79574074074</v>
      </c>
      <c r="C3237" s="1" t="n">
        <v>46145</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46482-2024</t>
        </is>
      </c>
      <c r="B3238" s="1" t="n">
        <v>45582.57383101852</v>
      </c>
      <c r="C3238" s="1" t="n">
        <v>46145</v>
      </c>
      <c r="D3238" t="inlineStr">
        <is>
          <t>VÄSTERBOTTENS LÄN</t>
        </is>
      </c>
      <c r="E3238" t="inlineStr">
        <is>
          <t>SKELLEFTEÅ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16806-2025</t>
        </is>
      </c>
      <c r="B3239" s="1" t="n">
        <v>45754.62675925926</v>
      </c>
      <c r="C3239" s="1" t="n">
        <v>46145</v>
      </c>
      <c r="D3239" t="inlineStr">
        <is>
          <t>VÄSTERBOTTENS LÄN</t>
        </is>
      </c>
      <c r="E3239" t="inlineStr">
        <is>
          <t>ÅSELE</t>
        </is>
      </c>
      <c r="F3239" t="inlineStr">
        <is>
          <t>Holmen skog AB</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17344-2025</t>
        </is>
      </c>
      <c r="B3240" s="1" t="n">
        <v>45756.67138888889</v>
      </c>
      <c r="C3240" s="1" t="n">
        <v>46145</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49874-2023</t>
        </is>
      </c>
      <c r="B3241" s="1" t="n">
        <v>45212.95622685185</v>
      </c>
      <c r="C3241" s="1" t="n">
        <v>46145</v>
      </c>
      <c r="D3241" t="inlineStr">
        <is>
          <t>VÄSTERBOTTENS LÄN</t>
        </is>
      </c>
      <c r="E3241" t="inlineStr">
        <is>
          <t>VINDELN</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57057-2022</t>
        </is>
      </c>
      <c r="B3242" s="1" t="n">
        <v>44895</v>
      </c>
      <c r="C3242" s="1" t="n">
        <v>46145</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55315-2024</t>
        </is>
      </c>
      <c r="B3243" s="1" t="n">
        <v>45621.6587037037</v>
      </c>
      <c r="C3243" s="1" t="n">
        <v>46145</v>
      </c>
      <c r="D3243" t="inlineStr">
        <is>
          <t>VÄSTERBOTTENS LÄN</t>
        </is>
      </c>
      <c r="E3243" t="inlineStr">
        <is>
          <t>LYCKSELE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8173-2022</t>
        </is>
      </c>
      <c r="B3244" s="1" t="n">
        <v>44609.64921296296</v>
      </c>
      <c r="C3244" s="1" t="n">
        <v>46145</v>
      </c>
      <c r="D3244" t="inlineStr">
        <is>
          <t>VÄSTERBOTTENS LÄN</t>
        </is>
      </c>
      <c r="E3244" t="inlineStr">
        <is>
          <t>NORDMALING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26401-2022</t>
        </is>
      </c>
      <c r="B3245" s="1" t="n">
        <v>44735</v>
      </c>
      <c r="C3245" s="1" t="n">
        <v>46145</v>
      </c>
      <c r="D3245" t="inlineStr">
        <is>
          <t>VÄSTERBOTTENS LÄN</t>
        </is>
      </c>
      <c r="E3245" t="inlineStr">
        <is>
          <t>VILHELMINA</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47329-2024</t>
        </is>
      </c>
      <c r="B3246" s="1" t="n">
        <v>45587.38643518519</v>
      </c>
      <c r="C3246" s="1" t="n">
        <v>46145</v>
      </c>
      <c r="D3246" t="inlineStr">
        <is>
          <t>VÄSTERBOTTENS LÄN</t>
        </is>
      </c>
      <c r="E3246" t="inlineStr">
        <is>
          <t>ROBERTSFORS</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53577-2023</t>
        </is>
      </c>
      <c r="B3247" s="1" t="n">
        <v>45230</v>
      </c>
      <c r="C3247" s="1" t="n">
        <v>46145</v>
      </c>
      <c r="D3247" t="inlineStr">
        <is>
          <t>VÄSTERBOTTENS LÄN</t>
        </is>
      </c>
      <c r="E3247" t="inlineStr">
        <is>
          <t>VINDELN</t>
        </is>
      </c>
      <c r="F3247" t="inlineStr">
        <is>
          <t>Sveaskog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7251-2024</t>
        </is>
      </c>
      <c r="B3248" s="1" t="n">
        <v>45344</v>
      </c>
      <c r="C3248" s="1" t="n">
        <v>46145</v>
      </c>
      <c r="D3248" t="inlineStr">
        <is>
          <t>VÄSTERBOTTENS LÄN</t>
        </is>
      </c>
      <c r="E3248" t="inlineStr">
        <is>
          <t>NORDMALING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41523-2024</t>
        </is>
      </c>
      <c r="B3249" s="1" t="n">
        <v>45560.48015046296</v>
      </c>
      <c r="C3249" s="1" t="n">
        <v>46145</v>
      </c>
      <c r="D3249" t="inlineStr">
        <is>
          <t>VÄSTERBOTTENS LÄN</t>
        </is>
      </c>
      <c r="E3249" t="inlineStr">
        <is>
          <t>LYCKSELE</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15214-2025</t>
        </is>
      </c>
      <c r="B3250" s="1" t="n">
        <v>45744.57880787037</v>
      </c>
      <c r="C3250" s="1" t="n">
        <v>46145</v>
      </c>
      <c r="D3250" t="inlineStr">
        <is>
          <t>VÄSTERBOTTENS LÄN</t>
        </is>
      </c>
      <c r="E3250" t="inlineStr">
        <is>
          <t>BJURHOLM</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23213-2022</t>
        </is>
      </c>
      <c r="B3251" s="1" t="n">
        <v>44719.94283564815</v>
      </c>
      <c r="C3251" s="1" t="n">
        <v>46145</v>
      </c>
      <c r="D3251" t="inlineStr">
        <is>
          <t>VÄSTERBOTTENS LÄN</t>
        </is>
      </c>
      <c r="E3251" t="inlineStr">
        <is>
          <t>DOROTEA</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23234-2022</t>
        </is>
      </c>
      <c r="B3252" s="1" t="n">
        <v>44719</v>
      </c>
      <c r="C3252" s="1" t="n">
        <v>46145</v>
      </c>
      <c r="D3252" t="inlineStr">
        <is>
          <t>VÄSTERBOTTENS LÄN</t>
        </is>
      </c>
      <c r="E3252" t="inlineStr">
        <is>
          <t>SORSELE</t>
        </is>
      </c>
      <c r="G3252" t="n">
        <v>19.3</v>
      </c>
      <c r="H3252" t="n">
        <v>0</v>
      </c>
      <c r="I3252" t="n">
        <v>0</v>
      </c>
      <c r="J3252" t="n">
        <v>0</v>
      </c>
      <c r="K3252" t="n">
        <v>0</v>
      </c>
      <c r="L3252" t="n">
        <v>0</v>
      </c>
      <c r="M3252" t="n">
        <v>0</v>
      </c>
      <c r="N3252" t="n">
        <v>0</v>
      </c>
      <c r="O3252" t="n">
        <v>0</v>
      </c>
      <c r="P3252" t="n">
        <v>0</v>
      </c>
      <c r="Q3252" t="n">
        <v>0</v>
      </c>
      <c r="R3252" s="2" t="inlineStr"/>
    </row>
    <row r="3253" ht="15" customHeight="1">
      <c r="A3253" t="inlineStr">
        <is>
          <t>A 5248-2025</t>
        </is>
      </c>
      <c r="B3253" s="1" t="n">
        <v>45692.34452546296</v>
      </c>
      <c r="C3253" s="1" t="n">
        <v>46145</v>
      </c>
      <c r="D3253" t="inlineStr">
        <is>
          <t>VÄSTERBOTTENS LÄN</t>
        </is>
      </c>
      <c r="E3253" t="inlineStr">
        <is>
          <t>DOROTEA</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41353-2023</t>
        </is>
      </c>
      <c r="B3254" s="1" t="n">
        <v>45174</v>
      </c>
      <c r="C3254" s="1" t="n">
        <v>46145</v>
      </c>
      <c r="D3254" t="inlineStr">
        <is>
          <t>VÄSTERBOTTENS LÄN</t>
        </is>
      </c>
      <c r="E3254" t="inlineStr">
        <is>
          <t>MALÅ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8326-2022</t>
        </is>
      </c>
      <c r="B3255" s="1" t="n">
        <v>44610</v>
      </c>
      <c r="C3255" s="1" t="n">
        <v>46145</v>
      </c>
      <c r="D3255" t="inlineStr">
        <is>
          <t>VÄSTERBOTTENS LÄN</t>
        </is>
      </c>
      <c r="E3255" t="inlineStr">
        <is>
          <t>VINDELN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7205-2025</t>
        </is>
      </c>
      <c r="B3256" s="1" t="n">
        <v>45702.46836805555</v>
      </c>
      <c r="C3256" s="1" t="n">
        <v>46145</v>
      </c>
      <c r="D3256" t="inlineStr">
        <is>
          <t>VÄSTERBOTTENS LÄN</t>
        </is>
      </c>
      <c r="E3256" t="inlineStr">
        <is>
          <t>UMEÅ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41386-2023</t>
        </is>
      </c>
      <c r="B3257" s="1" t="n">
        <v>45174.92231481482</v>
      </c>
      <c r="C3257" s="1" t="n">
        <v>46145</v>
      </c>
      <c r="D3257" t="inlineStr">
        <is>
          <t>VÄSTERBOTTENS LÄN</t>
        </is>
      </c>
      <c r="E3257" t="inlineStr">
        <is>
          <t>NORSJÖ</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61145-2023</t>
        </is>
      </c>
      <c r="B3258" s="1" t="n">
        <v>45261.96739583334</v>
      </c>
      <c r="C3258" s="1" t="n">
        <v>46145</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40927-2024</t>
        </is>
      </c>
      <c r="B3259" s="1" t="n">
        <v>45558.64018518518</v>
      </c>
      <c r="C3259" s="1" t="n">
        <v>46145</v>
      </c>
      <c r="D3259" t="inlineStr">
        <is>
          <t>VÄSTERBOTTENS LÄN</t>
        </is>
      </c>
      <c r="E3259" t="inlineStr">
        <is>
          <t>SKELLEFTEÅ</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31928-2024</t>
        </is>
      </c>
      <c r="B3260" s="1" t="n">
        <v>45510.40539351852</v>
      </c>
      <c r="C3260" s="1" t="n">
        <v>46145</v>
      </c>
      <c r="D3260" t="inlineStr">
        <is>
          <t>VÄSTERBOTTENS LÄN</t>
        </is>
      </c>
      <c r="E3260" t="inlineStr">
        <is>
          <t>UMEÅ</t>
        </is>
      </c>
      <c r="F3260" t="inlineStr">
        <is>
          <t>Holmen skog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15706-2023</t>
        </is>
      </c>
      <c r="B3261" s="1" t="n">
        <v>45020</v>
      </c>
      <c r="C3261" s="1" t="n">
        <v>46145</v>
      </c>
      <c r="D3261" t="inlineStr">
        <is>
          <t>VÄSTERBOTTENS LÄN</t>
        </is>
      </c>
      <c r="E3261" t="inlineStr">
        <is>
          <t>SKELLEFTEÅ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43302-2024</t>
        </is>
      </c>
      <c r="B3262" s="1" t="n">
        <v>45568.43364583333</v>
      </c>
      <c r="C3262" s="1" t="n">
        <v>46145</v>
      </c>
      <c r="D3262" t="inlineStr">
        <is>
          <t>VÄSTERBOTTENS LÄN</t>
        </is>
      </c>
      <c r="E3262" t="inlineStr">
        <is>
          <t>LYCKSELE</t>
        </is>
      </c>
      <c r="F3262" t="inlineStr">
        <is>
          <t>Sveaskog</t>
        </is>
      </c>
      <c r="G3262" t="n">
        <v>58.3</v>
      </c>
      <c r="H3262" t="n">
        <v>0</v>
      </c>
      <c r="I3262" t="n">
        <v>0</v>
      </c>
      <c r="J3262" t="n">
        <v>0</v>
      </c>
      <c r="K3262" t="n">
        <v>0</v>
      </c>
      <c r="L3262" t="n">
        <v>0</v>
      </c>
      <c r="M3262" t="n">
        <v>0</v>
      </c>
      <c r="N3262" t="n">
        <v>0</v>
      </c>
      <c r="O3262" t="n">
        <v>0</v>
      </c>
      <c r="P3262" t="n">
        <v>0</v>
      </c>
      <c r="Q3262" t="n">
        <v>0</v>
      </c>
      <c r="R3262" s="2" t="inlineStr"/>
    </row>
    <row r="3263" ht="15" customHeight="1">
      <c r="A3263" t="inlineStr">
        <is>
          <t>A 12335-2024</t>
        </is>
      </c>
      <c r="B3263" s="1" t="n">
        <v>45378.71258101852</v>
      </c>
      <c r="C3263" s="1" t="n">
        <v>46145</v>
      </c>
      <c r="D3263" t="inlineStr">
        <is>
          <t>VÄSTERBOTTENS LÄN</t>
        </is>
      </c>
      <c r="E3263" t="inlineStr">
        <is>
          <t>LYCKSELE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41732-2023</t>
        </is>
      </c>
      <c r="B3264" s="1" t="n">
        <v>45176</v>
      </c>
      <c r="C3264" s="1" t="n">
        <v>46145</v>
      </c>
      <c r="D3264" t="inlineStr">
        <is>
          <t>VÄSTERBOTTENS LÄN</t>
        </is>
      </c>
      <c r="E3264" t="inlineStr">
        <is>
          <t>UMEÅ</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48722-2022</t>
        </is>
      </c>
      <c r="B3265" s="1" t="n">
        <v>44855</v>
      </c>
      <c r="C3265" s="1" t="n">
        <v>46145</v>
      </c>
      <c r="D3265" t="inlineStr">
        <is>
          <t>VÄSTERBOTTENS LÄN</t>
        </is>
      </c>
      <c r="E3265" t="inlineStr">
        <is>
          <t>SKELLEFTEÅ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43321-2024</t>
        </is>
      </c>
      <c r="B3266" s="1" t="n">
        <v>45568</v>
      </c>
      <c r="C3266" s="1" t="n">
        <v>46145</v>
      </c>
      <c r="D3266" t="inlineStr">
        <is>
          <t>VÄSTERBOTTENS LÄN</t>
        </is>
      </c>
      <c r="E3266" t="inlineStr">
        <is>
          <t>BJURHOLM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9534-2023</t>
        </is>
      </c>
      <c r="B3267" s="1" t="n">
        <v>44981.72646990741</v>
      </c>
      <c r="C3267" s="1" t="n">
        <v>46145</v>
      </c>
      <c r="D3267" t="inlineStr">
        <is>
          <t>VÄSTERBOTTENS LÄN</t>
        </is>
      </c>
      <c r="E3267" t="inlineStr">
        <is>
          <t>VILHELMINA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9607-2023</t>
        </is>
      </c>
      <c r="B3268" s="1" t="n">
        <v>44983</v>
      </c>
      <c r="C3268" s="1" t="n">
        <v>46145</v>
      </c>
      <c r="D3268" t="inlineStr">
        <is>
          <t>VÄSTERBOTTENS LÄN</t>
        </is>
      </c>
      <c r="E3268" t="inlineStr">
        <is>
          <t>UMEÅ</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32570-2024</t>
        </is>
      </c>
      <c r="B3269" s="1" t="n">
        <v>45513.56297453704</v>
      </c>
      <c r="C3269" s="1" t="n">
        <v>46145</v>
      </c>
      <c r="D3269" t="inlineStr">
        <is>
          <t>VÄSTERBOTTENS LÄN</t>
        </is>
      </c>
      <c r="E3269" t="inlineStr">
        <is>
          <t>VINDELN</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67685-2021</t>
        </is>
      </c>
      <c r="B3270" s="1" t="n">
        <v>44524</v>
      </c>
      <c r="C3270" s="1" t="n">
        <v>46145</v>
      </c>
      <c r="D3270" t="inlineStr">
        <is>
          <t>VÄSTERBOTTENS LÄN</t>
        </is>
      </c>
      <c r="E3270" t="inlineStr">
        <is>
          <t>ÅSELE</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3222-2025</t>
        </is>
      </c>
      <c r="B3271" s="1" t="n">
        <v>45679</v>
      </c>
      <c r="C3271" s="1" t="n">
        <v>46145</v>
      </c>
      <c r="D3271" t="inlineStr">
        <is>
          <t>VÄSTERBOTTENS LÄN</t>
        </is>
      </c>
      <c r="E3271" t="inlineStr">
        <is>
          <t>ROBERTSFORS</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1289-2022</t>
        </is>
      </c>
      <c r="B3272" s="1" t="n">
        <v>44572.68023148148</v>
      </c>
      <c r="C3272" s="1" t="n">
        <v>46145</v>
      </c>
      <c r="D3272" t="inlineStr">
        <is>
          <t>VÄSTERBOTTENS LÄN</t>
        </is>
      </c>
      <c r="E3272" t="inlineStr">
        <is>
          <t>LYCKSELE</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38949-2024</t>
        </is>
      </c>
      <c r="B3273" s="1" t="n">
        <v>45548</v>
      </c>
      <c r="C3273" s="1" t="n">
        <v>46145</v>
      </c>
      <c r="D3273" t="inlineStr">
        <is>
          <t>VÄSTERBOTTENS LÄN</t>
        </is>
      </c>
      <c r="E3273" t="inlineStr">
        <is>
          <t>ROBERTSFORS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46205-2024</t>
        </is>
      </c>
      <c r="B3274" s="1" t="n">
        <v>45581.54357638889</v>
      </c>
      <c r="C3274" s="1" t="n">
        <v>46145</v>
      </c>
      <c r="D3274" t="inlineStr">
        <is>
          <t>VÄSTERBOTTENS LÄN</t>
        </is>
      </c>
      <c r="E3274" t="inlineStr">
        <is>
          <t>VÄNNÄS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22935-2024</t>
        </is>
      </c>
      <c r="B3275" s="1" t="n">
        <v>45448.94409722222</v>
      </c>
      <c r="C3275" s="1" t="n">
        <v>46145</v>
      </c>
      <c r="D3275" t="inlineStr">
        <is>
          <t>VÄSTERBOTTENS LÄN</t>
        </is>
      </c>
      <c r="E3275" t="inlineStr">
        <is>
          <t>ÅSELE</t>
        </is>
      </c>
      <c r="F3275" t="inlineStr">
        <is>
          <t>SCA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38012-2024</t>
        </is>
      </c>
      <c r="B3276" s="1" t="n">
        <v>45544.62537037037</v>
      </c>
      <c r="C3276" s="1" t="n">
        <v>46145</v>
      </c>
      <c r="D3276" t="inlineStr">
        <is>
          <t>VÄSTERBOTTENS LÄN</t>
        </is>
      </c>
      <c r="E3276" t="inlineStr">
        <is>
          <t>NORSJÖ</t>
        </is>
      </c>
      <c r="F3276" t="inlineStr">
        <is>
          <t>Naturvårdsverket</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59389-2022</t>
        </is>
      </c>
      <c r="B3277" s="1" t="n">
        <v>44905</v>
      </c>
      <c r="C3277" s="1" t="n">
        <v>46145</v>
      </c>
      <c r="D3277" t="inlineStr">
        <is>
          <t>VÄSTERBOTTENS LÄN</t>
        </is>
      </c>
      <c r="E3277" t="inlineStr">
        <is>
          <t>NORDMALING</t>
        </is>
      </c>
      <c r="F3277" t="inlineStr">
        <is>
          <t>SCA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22733-2023</t>
        </is>
      </c>
      <c r="B3278" s="1" t="n">
        <v>45071</v>
      </c>
      <c r="C3278" s="1" t="n">
        <v>46145</v>
      </c>
      <c r="D3278" t="inlineStr">
        <is>
          <t>VÄSTERBOTTENS LÄN</t>
        </is>
      </c>
      <c r="E3278" t="inlineStr">
        <is>
          <t>DOROTEA</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22735-2023</t>
        </is>
      </c>
      <c r="B3279" s="1" t="n">
        <v>45071</v>
      </c>
      <c r="C3279" s="1" t="n">
        <v>46145</v>
      </c>
      <c r="D3279" t="inlineStr">
        <is>
          <t>VÄSTERBOTTENS LÄN</t>
        </is>
      </c>
      <c r="E3279" t="inlineStr">
        <is>
          <t>SKELLEFTEÅ</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34894-2023</t>
        </is>
      </c>
      <c r="B3280" s="1" t="n">
        <v>45141</v>
      </c>
      <c r="C3280" s="1" t="n">
        <v>46145</v>
      </c>
      <c r="D3280" t="inlineStr">
        <is>
          <t>VÄSTERBOTTENS LÄN</t>
        </is>
      </c>
      <c r="E3280" t="inlineStr">
        <is>
          <t>NORDMALING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34903-2023</t>
        </is>
      </c>
      <c r="B3281" s="1" t="n">
        <v>45142</v>
      </c>
      <c r="C3281" s="1" t="n">
        <v>46145</v>
      </c>
      <c r="D3281" t="inlineStr">
        <is>
          <t>VÄSTERBOTTENS LÄN</t>
        </is>
      </c>
      <c r="E3281" t="inlineStr">
        <is>
          <t>LYCKSELE</t>
        </is>
      </c>
      <c r="F3281" t="inlineStr">
        <is>
          <t>Holmen skog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56743-2023</t>
        </is>
      </c>
      <c r="B3282" s="1" t="n">
        <v>45244</v>
      </c>
      <c r="C3282" s="1" t="n">
        <v>46145</v>
      </c>
      <c r="D3282" t="inlineStr">
        <is>
          <t>VÄSTERBOTTENS LÄN</t>
        </is>
      </c>
      <c r="E3282" t="inlineStr">
        <is>
          <t>UMEÅ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56747-2023</t>
        </is>
      </c>
      <c r="B3283" s="1" t="n">
        <v>45238</v>
      </c>
      <c r="C3283" s="1" t="n">
        <v>46145</v>
      </c>
      <c r="D3283" t="inlineStr">
        <is>
          <t>VÄSTERBOTTENS LÄN</t>
        </is>
      </c>
      <c r="E3283" t="inlineStr">
        <is>
          <t>VILHELMINA</t>
        </is>
      </c>
      <c r="F3283" t="inlineStr">
        <is>
          <t>Allmännings- och besparingsskogar</t>
        </is>
      </c>
      <c r="G3283" t="n">
        <v>16.2</v>
      </c>
      <c r="H3283" t="n">
        <v>0</v>
      </c>
      <c r="I3283" t="n">
        <v>0</v>
      </c>
      <c r="J3283" t="n">
        <v>0</v>
      </c>
      <c r="K3283" t="n">
        <v>0</v>
      </c>
      <c r="L3283" t="n">
        <v>0</v>
      </c>
      <c r="M3283" t="n">
        <v>0</v>
      </c>
      <c r="N3283" t="n">
        <v>0</v>
      </c>
      <c r="O3283" t="n">
        <v>0</v>
      </c>
      <c r="P3283" t="n">
        <v>0</v>
      </c>
      <c r="Q3283" t="n">
        <v>0</v>
      </c>
      <c r="R3283" s="2" t="inlineStr"/>
    </row>
    <row r="3284" ht="15" customHeight="1">
      <c r="A3284" t="inlineStr">
        <is>
          <t>A 56879-2021</t>
        </is>
      </c>
      <c r="B3284" s="1" t="n">
        <v>44481</v>
      </c>
      <c r="C3284" s="1" t="n">
        <v>46145</v>
      </c>
      <c r="D3284" t="inlineStr">
        <is>
          <t>VÄSTERBOTTENS LÄN</t>
        </is>
      </c>
      <c r="E3284" t="inlineStr">
        <is>
          <t>STORUMAN</t>
        </is>
      </c>
      <c r="G3284" t="n">
        <v>32.2</v>
      </c>
      <c r="H3284" t="n">
        <v>0</v>
      </c>
      <c r="I3284" t="n">
        <v>0</v>
      </c>
      <c r="J3284" t="n">
        <v>0</v>
      </c>
      <c r="K3284" t="n">
        <v>0</v>
      </c>
      <c r="L3284" t="n">
        <v>0</v>
      </c>
      <c r="M3284" t="n">
        <v>0</v>
      </c>
      <c r="N3284" t="n">
        <v>0</v>
      </c>
      <c r="O3284" t="n">
        <v>0</v>
      </c>
      <c r="P3284" t="n">
        <v>0</v>
      </c>
      <c r="Q3284" t="n">
        <v>0</v>
      </c>
      <c r="R3284" s="2" t="inlineStr"/>
    </row>
    <row r="3285" ht="15" customHeight="1">
      <c r="A3285" t="inlineStr">
        <is>
          <t>A 56758-2023</t>
        </is>
      </c>
      <c r="B3285" s="1" t="n">
        <v>45238</v>
      </c>
      <c r="C3285" s="1" t="n">
        <v>46145</v>
      </c>
      <c r="D3285" t="inlineStr">
        <is>
          <t>VÄSTERBOTTENS LÄN</t>
        </is>
      </c>
      <c r="E3285" t="inlineStr">
        <is>
          <t>VILHELMINA</t>
        </is>
      </c>
      <c r="F3285" t="inlineStr">
        <is>
          <t>Allmännings- och besparingsskogar</t>
        </is>
      </c>
      <c r="G3285" t="n">
        <v>371.4</v>
      </c>
      <c r="H3285" t="n">
        <v>0</v>
      </c>
      <c r="I3285" t="n">
        <v>0</v>
      </c>
      <c r="J3285" t="n">
        <v>0</v>
      </c>
      <c r="K3285" t="n">
        <v>0</v>
      </c>
      <c r="L3285" t="n">
        <v>0</v>
      </c>
      <c r="M3285" t="n">
        <v>0</v>
      </c>
      <c r="N3285" t="n">
        <v>0</v>
      </c>
      <c r="O3285" t="n">
        <v>0</v>
      </c>
      <c r="P3285" t="n">
        <v>0</v>
      </c>
      <c r="Q3285" t="n">
        <v>0</v>
      </c>
      <c r="R3285" s="2" t="inlineStr"/>
    </row>
    <row r="3286" ht="15" customHeight="1">
      <c r="A3286" t="inlineStr">
        <is>
          <t>A 43749-2024</t>
        </is>
      </c>
      <c r="B3286" s="1" t="n">
        <v>45569.66871527778</v>
      </c>
      <c r="C3286" s="1" t="n">
        <v>46145</v>
      </c>
      <c r="D3286" t="inlineStr">
        <is>
          <t>VÄSTERBOTTENS LÄN</t>
        </is>
      </c>
      <c r="E3286" t="inlineStr">
        <is>
          <t>SKELLEFTEÅ</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46714-2024</t>
        </is>
      </c>
      <c r="B3287" s="1" t="n">
        <v>45583.4488425926</v>
      </c>
      <c r="C3287" s="1" t="n">
        <v>46145</v>
      </c>
      <c r="D3287" t="inlineStr">
        <is>
          <t>VÄSTERBOTTENS LÄN</t>
        </is>
      </c>
      <c r="E3287" t="inlineStr">
        <is>
          <t>VINDELN</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55613-2023</t>
        </is>
      </c>
      <c r="B3288" s="1" t="n">
        <v>45238.74128472222</v>
      </c>
      <c r="C3288" s="1" t="n">
        <v>46145</v>
      </c>
      <c r="D3288" t="inlineStr">
        <is>
          <t>VÄSTERBOTTENS LÄN</t>
        </is>
      </c>
      <c r="E3288" t="inlineStr">
        <is>
          <t>SKELLEFTEÅ</t>
        </is>
      </c>
      <c r="F3288" t="inlineStr">
        <is>
          <t>Sveaskog</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7475-2025</t>
        </is>
      </c>
      <c r="B3289" s="1" t="n">
        <v>45705.46724537037</v>
      </c>
      <c r="C3289" s="1" t="n">
        <v>46145</v>
      </c>
      <c r="D3289" t="inlineStr">
        <is>
          <t>VÄSTERBOTTENS LÄN</t>
        </is>
      </c>
      <c r="E3289" t="inlineStr">
        <is>
          <t>ÅSELE</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34615-2024</t>
        </is>
      </c>
      <c r="B3290" s="1" t="n">
        <v>45526.41416666667</v>
      </c>
      <c r="C3290" s="1" t="n">
        <v>46145</v>
      </c>
      <c r="D3290" t="inlineStr">
        <is>
          <t>VÄSTERBOTTENS LÄN</t>
        </is>
      </c>
      <c r="E3290" t="inlineStr">
        <is>
          <t>SKELLEFTEÅ</t>
        </is>
      </c>
      <c r="F3290" t="inlineStr">
        <is>
          <t>Holmen skog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8508-2025</t>
        </is>
      </c>
      <c r="B3291" s="1" t="n">
        <v>45709.53199074074</v>
      </c>
      <c r="C3291" s="1" t="n">
        <v>46145</v>
      </c>
      <c r="D3291" t="inlineStr">
        <is>
          <t>VÄSTERBOTTENS LÄN</t>
        </is>
      </c>
      <c r="E3291" t="inlineStr">
        <is>
          <t>SORSELE</t>
        </is>
      </c>
      <c r="F3291" t="inlineStr">
        <is>
          <t>SCA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46122-2024</t>
        </is>
      </c>
      <c r="B3292" s="1" t="n">
        <v>45581.41333333333</v>
      </c>
      <c r="C3292" s="1" t="n">
        <v>46145</v>
      </c>
      <c r="D3292" t="inlineStr">
        <is>
          <t>VÄSTERBOTTENS LÄN</t>
        </is>
      </c>
      <c r="E3292" t="inlineStr">
        <is>
          <t>UMEÅ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47592-2024</t>
        </is>
      </c>
      <c r="B3293" s="1" t="n">
        <v>45587.8405324074</v>
      </c>
      <c r="C3293" s="1" t="n">
        <v>46145</v>
      </c>
      <c r="D3293" t="inlineStr">
        <is>
          <t>VÄSTERBOTTENS LÄN</t>
        </is>
      </c>
      <c r="E3293" t="inlineStr">
        <is>
          <t>BJURHOLM</t>
        </is>
      </c>
      <c r="G3293" t="n">
        <v>2</v>
      </c>
      <c r="H3293" t="n">
        <v>0</v>
      </c>
      <c r="I3293" t="n">
        <v>0</v>
      </c>
      <c r="J3293" t="n">
        <v>0</v>
      </c>
      <c r="K3293" t="n">
        <v>0</v>
      </c>
      <c r="L3293" t="n">
        <v>0</v>
      </c>
      <c r="M3293" t="n">
        <v>0</v>
      </c>
      <c r="N3293" t="n">
        <v>0</v>
      </c>
      <c r="O3293" t="n">
        <v>0</v>
      </c>
      <c r="P3293" t="n">
        <v>0</v>
      </c>
      <c r="Q3293" t="n">
        <v>0</v>
      </c>
      <c r="R3293" s="2" t="inlineStr"/>
      <c r="U3293">
        <f>HYPERLINK("https://klasma.github.io/Logging_2403/knärot/A 47592-2024 karta knärot.png", "A 47592-2024")</f>
        <v/>
      </c>
      <c r="V3293">
        <f>HYPERLINK("https://klasma.github.io/Logging_2403/klagomål/A 47592-2024 FSC-klagomål.docx", "A 47592-2024")</f>
        <v/>
      </c>
      <c r="W3293">
        <f>HYPERLINK("https://klasma.github.io/Logging_2403/klagomålsmail/A 47592-2024 FSC-klagomål mail.docx", "A 47592-2024")</f>
        <v/>
      </c>
      <c r="X3293">
        <f>HYPERLINK("https://klasma.github.io/Logging_2403/tillsyn/A 47592-2024 tillsynsbegäran.docx", "A 47592-2024")</f>
        <v/>
      </c>
      <c r="Y3293">
        <f>HYPERLINK("https://klasma.github.io/Logging_2403/tillsynsmail/A 47592-2024 tillsynsbegäran mail.docx", "A 47592-2024")</f>
        <v/>
      </c>
    </row>
    <row r="3294" ht="15" customHeight="1">
      <c r="A3294" t="inlineStr">
        <is>
          <t>A 7621-2025</t>
        </is>
      </c>
      <c r="B3294" s="1" t="n">
        <v>45705.71922453704</v>
      </c>
      <c r="C3294" s="1" t="n">
        <v>46145</v>
      </c>
      <c r="D3294" t="inlineStr">
        <is>
          <t>VÄSTERBOTTENS LÄN</t>
        </is>
      </c>
      <c r="E3294" t="inlineStr">
        <is>
          <t>ÅSELE</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7623-2025</t>
        </is>
      </c>
      <c r="B3295" s="1" t="n">
        <v>45705.72366898148</v>
      </c>
      <c r="C3295" s="1" t="n">
        <v>46145</v>
      </c>
      <c r="D3295" t="inlineStr">
        <is>
          <t>VÄSTERBOTTENS LÄN</t>
        </is>
      </c>
      <c r="E3295" t="inlineStr">
        <is>
          <t>LYCKSELE</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47593-2024</t>
        </is>
      </c>
      <c r="B3296" s="1" t="n">
        <v>45587.84275462963</v>
      </c>
      <c r="C3296" s="1" t="n">
        <v>46145</v>
      </c>
      <c r="D3296" t="inlineStr">
        <is>
          <t>VÄSTERBOTTENS LÄN</t>
        </is>
      </c>
      <c r="E3296" t="inlineStr">
        <is>
          <t>BJURHOLM</t>
        </is>
      </c>
      <c r="G3296" t="n">
        <v>12.3</v>
      </c>
      <c r="H3296" t="n">
        <v>0</v>
      </c>
      <c r="I3296" t="n">
        <v>0</v>
      </c>
      <c r="J3296" t="n">
        <v>0</v>
      </c>
      <c r="K3296" t="n">
        <v>0</v>
      </c>
      <c r="L3296" t="n">
        <v>0</v>
      </c>
      <c r="M3296" t="n">
        <v>0</v>
      </c>
      <c r="N3296" t="n">
        <v>0</v>
      </c>
      <c r="O3296" t="n">
        <v>0</v>
      </c>
      <c r="P3296" t="n">
        <v>0</v>
      </c>
      <c r="Q3296" t="n">
        <v>0</v>
      </c>
      <c r="R3296" s="2" t="inlineStr"/>
    </row>
    <row r="3297" ht="15" customHeight="1">
      <c r="A3297" t="inlineStr">
        <is>
          <t>A 47594-2024</t>
        </is>
      </c>
      <c r="B3297" s="1" t="n">
        <v>45587.848125</v>
      </c>
      <c r="C3297" s="1" t="n">
        <v>46145</v>
      </c>
      <c r="D3297" t="inlineStr">
        <is>
          <t>VÄSTERBOTTENS LÄN</t>
        </is>
      </c>
      <c r="E3297" t="inlineStr">
        <is>
          <t>BJURHOLM</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19959-2023</t>
        </is>
      </c>
      <c r="B3298" s="1" t="n">
        <v>45054</v>
      </c>
      <c r="C3298" s="1" t="n">
        <v>46145</v>
      </c>
      <c r="D3298" t="inlineStr">
        <is>
          <t>VÄSTERBOTTENS LÄN</t>
        </is>
      </c>
      <c r="E3298" t="inlineStr">
        <is>
          <t>SORSELE</t>
        </is>
      </c>
      <c r="F3298" t="inlineStr">
        <is>
          <t>Sveaskog</t>
        </is>
      </c>
      <c r="G3298" t="n">
        <v>36.9</v>
      </c>
      <c r="H3298" t="n">
        <v>0</v>
      </c>
      <c r="I3298" t="n">
        <v>0</v>
      </c>
      <c r="J3298" t="n">
        <v>0</v>
      </c>
      <c r="K3298" t="n">
        <v>0</v>
      </c>
      <c r="L3298" t="n">
        <v>0</v>
      </c>
      <c r="M3298" t="n">
        <v>0</v>
      </c>
      <c r="N3298" t="n">
        <v>0</v>
      </c>
      <c r="O3298" t="n">
        <v>0</v>
      </c>
      <c r="P3298" t="n">
        <v>0</v>
      </c>
      <c r="Q3298" t="n">
        <v>0</v>
      </c>
      <c r="R3298" s="2" t="inlineStr"/>
    </row>
    <row r="3299" ht="15" customHeight="1">
      <c r="A3299" t="inlineStr">
        <is>
          <t>A 15903-2023</t>
        </is>
      </c>
      <c r="B3299" s="1" t="n">
        <v>45021</v>
      </c>
      <c r="C3299" s="1" t="n">
        <v>46145</v>
      </c>
      <c r="D3299" t="inlineStr">
        <is>
          <t>VÄSTERBOTTENS LÄN</t>
        </is>
      </c>
      <c r="E3299" t="inlineStr">
        <is>
          <t>SKELLEFTEÅ</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29867-2022</t>
        </is>
      </c>
      <c r="B3300" s="1" t="n">
        <v>44756</v>
      </c>
      <c r="C3300" s="1" t="n">
        <v>46145</v>
      </c>
      <c r="D3300" t="inlineStr">
        <is>
          <t>VÄSTERBOTTENS LÄN</t>
        </is>
      </c>
      <c r="E3300" t="inlineStr">
        <is>
          <t>BJURHOLM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8641-2023</t>
        </is>
      </c>
      <c r="B3301" s="1" t="n">
        <v>44977.98305555555</v>
      </c>
      <c r="C3301" s="1" t="n">
        <v>46145</v>
      </c>
      <c r="D3301" t="inlineStr">
        <is>
          <t>VÄSTERBOTTENS LÄN</t>
        </is>
      </c>
      <c r="E3301" t="inlineStr">
        <is>
          <t>NORDMALING</t>
        </is>
      </c>
      <c r="F3301" t="inlineStr">
        <is>
          <t>SCA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15105-2024</t>
        </is>
      </c>
      <c r="B3302" s="1" t="n">
        <v>45399</v>
      </c>
      <c r="C3302" s="1" t="n">
        <v>46145</v>
      </c>
      <c r="D3302" t="inlineStr">
        <is>
          <t>VÄSTERBOTTENS LÄN</t>
        </is>
      </c>
      <c r="E3302" t="inlineStr">
        <is>
          <t>UMEÅ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61467-2022</t>
        </is>
      </c>
      <c r="B3303" s="1" t="n">
        <v>44916</v>
      </c>
      <c r="C3303" s="1" t="n">
        <v>46145</v>
      </c>
      <c r="D3303" t="inlineStr">
        <is>
          <t>VÄSTERBOTTENS LÄN</t>
        </is>
      </c>
      <c r="E3303" t="inlineStr">
        <is>
          <t>SKELLEFTEÅ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61475-2022</t>
        </is>
      </c>
      <c r="B3304" s="1" t="n">
        <v>44916</v>
      </c>
      <c r="C3304" s="1" t="n">
        <v>46145</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22931-2024</t>
        </is>
      </c>
      <c r="B3305" s="1" t="n">
        <v>45448.9278125</v>
      </c>
      <c r="C3305" s="1" t="n">
        <v>46145</v>
      </c>
      <c r="D3305" t="inlineStr">
        <is>
          <t>VÄSTERBOTTENS LÄN</t>
        </is>
      </c>
      <c r="E3305" t="inlineStr">
        <is>
          <t>DOROTEA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22942-2024</t>
        </is>
      </c>
      <c r="B3306" s="1" t="n">
        <v>45448.94540509259</v>
      </c>
      <c r="C3306" s="1" t="n">
        <v>46145</v>
      </c>
      <c r="D3306" t="inlineStr">
        <is>
          <t>VÄSTERBOTTENS LÄN</t>
        </is>
      </c>
      <c r="E3306" t="inlineStr">
        <is>
          <t>DOROTEA</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22945-2024</t>
        </is>
      </c>
      <c r="B3307" s="1" t="n">
        <v>45448.94569444445</v>
      </c>
      <c r="C3307" s="1" t="n">
        <v>46145</v>
      </c>
      <c r="D3307" t="inlineStr">
        <is>
          <t>VÄSTERBOTTENS LÄN</t>
        </is>
      </c>
      <c r="E3307" t="inlineStr">
        <is>
          <t>ÅSELE</t>
        </is>
      </c>
      <c r="F3307" t="inlineStr">
        <is>
          <t>SCA</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10954-2025</t>
        </is>
      </c>
      <c r="B3308" s="1" t="n">
        <v>45723.36034722222</v>
      </c>
      <c r="C3308" s="1" t="n">
        <v>46145</v>
      </c>
      <c r="D3308" t="inlineStr">
        <is>
          <t>VÄSTERBOTTENS LÄN</t>
        </is>
      </c>
      <c r="E3308" t="inlineStr">
        <is>
          <t>BJURHOLM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37327-2023</t>
        </is>
      </c>
      <c r="B3309" s="1" t="n">
        <v>45154</v>
      </c>
      <c r="C3309" s="1" t="n">
        <v>46145</v>
      </c>
      <c r="D3309" t="inlineStr">
        <is>
          <t>VÄSTERBOTTENS LÄN</t>
        </is>
      </c>
      <c r="E3309" t="inlineStr">
        <is>
          <t>MALÅ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11061-2025</t>
        </is>
      </c>
      <c r="B3310" s="1" t="n">
        <v>45723.51538194445</v>
      </c>
      <c r="C3310" s="1" t="n">
        <v>46145</v>
      </c>
      <c r="D3310" t="inlineStr">
        <is>
          <t>VÄSTERBOTTENS LÄN</t>
        </is>
      </c>
      <c r="E3310" t="inlineStr">
        <is>
          <t>UMEÅ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46195-2024</t>
        </is>
      </c>
      <c r="B3311" s="1" t="n">
        <v>45581.51873842593</v>
      </c>
      <c r="C3311" s="1" t="n">
        <v>46145</v>
      </c>
      <c r="D3311" t="inlineStr">
        <is>
          <t>VÄSTERBOTTENS LÄN</t>
        </is>
      </c>
      <c r="E3311" t="inlineStr">
        <is>
          <t>VÄNNÄS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57362-2022</t>
        </is>
      </c>
      <c r="B3312" s="1" t="n">
        <v>44896.43010416667</v>
      </c>
      <c r="C3312" s="1" t="n">
        <v>46145</v>
      </c>
      <c r="D3312" t="inlineStr">
        <is>
          <t>VÄSTERBOTTENS LÄN</t>
        </is>
      </c>
      <c r="E3312" t="inlineStr">
        <is>
          <t>SKELLEFTEÅ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19300-2023</t>
        </is>
      </c>
      <c r="B3313" s="1" t="n">
        <v>45049</v>
      </c>
      <c r="C3313" s="1" t="n">
        <v>46145</v>
      </c>
      <c r="D3313" t="inlineStr">
        <is>
          <t>VÄSTERBOTTENS LÄN</t>
        </is>
      </c>
      <c r="E3313" t="inlineStr">
        <is>
          <t>NORDMALING</t>
        </is>
      </c>
      <c r="F3313" t="inlineStr">
        <is>
          <t>Kyrkan</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2393-2023</t>
        </is>
      </c>
      <c r="B3314" s="1" t="n">
        <v>44942.9234375</v>
      </c>
      <c r="C3314" s="1" t="n">
        <v>46145</v>
      </c>
      <c r="D3314" t="inlineStr">
        <is>
          <t>VÄSTERBOTTENS LÄN</t>
        </is>
      </c>
      <c r="E3314" t="inlineStr">
        <is>
          <t>SKELLEFTEÅ</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6286-2025</t>
        </is>
      </c>
      <c r="B3315" s="1" t="n">
        <v>45698</v>
      </c>
      <c r="C3315" s="1" t="n">
        <v>46145</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50861-2023</t>
        </is>
      </c>
      <c r="B3316" s="1" t="n">
        <v>45218.34753472222</v>
      </c>
      <c r="C3316" s="1" t="n">
        <v>46145</v>
      </c>
      <c r="D3316" t="inlineStr">
        <is>
          <t>VÄSTERBOTTENS LÄN</t>
        </is>
      </c>
      <c r="E3316" t="inlineStr">
        <is>
          <t>ÅSELE</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50879-2023</t>
        </is>
      </c>
      <c r="B3317" s="1" t="n">
        <v>45211</v>
      </c>
      <c r="C3317" s="1" t="n">
        <v>46145</v>
      </c>
      <c r="D3317" t="inlineStr">
        <is>
          <t>VÄSTERBOTTENS LÄN</t>
        </is>
      </c>
      <c r="E3317" t="inlineStr">
        <is>
          <t>UMEÅ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11527-2024</t>
        </is>
      </c>
      <c r="B3318" s="1" t="n">
        <v>45372</v>
      </c>
      <c r="C3318" s="1" t="n">
        <v>46145</v>
      </c>
      <c r="D3318" t="inlineStr">
        <is>
          <t>VÄSTERBOTTENS LÄN</t>
        </is>
      </c>
      <c r="E3318" t="inlineStr">
        <is>
          <t>SKELLEFTEÅ</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11538-2024</t>
        </is>
      </c>
      <c r="B3319" s="1" t="n">
        <v>45372</v>
      </c>
      <c r="C3319" s="1" t="n">
        <v>46145</v>
      </c>
      <c r="D3319" t="inlineStr">
        <is>
          <t>VÄSTERBOTTENS LÄN</t>
        </is>
      </c>
      <c r="E3319" t="inlineStr">
        <is>
          <t>VILHELMINA</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59913-2022</t>
        </is>
      </c>
      <c r="B3320" s="1" t="n">
        <v>44908.95995370371</v>
      </c>
      <c r="C3320" s="1" t="n">
        <v>46145</v>
      </c>
      <c r="D3320" t="inlineStr">
        <is>
          <t>VÄSTERBOTTENS LÄN</t>
        </is>
      </c>
      <c r="E3320" t="inlineStr">
        <is>
          <t>NORDMALING</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43602-2024</t>
        </is>
      </c>
      <c r="B3321" s="1" t="n">
        <v>45569.44695601852</v>
      </c>
      <c r="C3321" s="1" t="n">
        <v>46145</v>
      </c>
      <c r="D3321" t="inlineStr">
        <is>
          <t>VÄSTERBOTTENS LÄN</t>
        </is>
      </c>
      <c r="E3321" t="inlineStr">
        <is>
          <t>NORDMALING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43611-2024</t>
        </is>
      </c>
      <c r="B3322" s="1" t="n">
        <v>45569.46443287037</v>
      </c>
      <c r="C3322" s="1" t="n">
        <v>46145</v>
      </c>
      <c r="D3322" t="inlineStr">
        <is>
          <t>VÄSTERBOTTENS LÄN</t>
        </is>
      </c>
      <c r="E3322" t="inlineStr">
        <is>
          <t>VINDELN</t>
        </is>
      </c>
      <c r="F3322" t="inlineStr">
        <is>
          <t>Holmen skog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29862-2022</t>
        </is>
      </c>
      <c r="B3323" s="1" t="n">
        <v>44756.38809027777</v>
      </c>
      <c r="C3323" s="1" t="n">
        <v>46145</v>
      </c>
      <c r="D3323" t="inlineStr">
        <is>
          <t>VÄSTERBOTTENS LÄN</t>
        </is>
      </c>
      <c r="E3323" t="inlineStr">
        <is>
          <t>DOROTEA</t>
        </is>
      </c>
      <c r="G3323" t="n">
        <v>13.6</v>
      </c>
      <c r="H3323" t="n">
        <v>0</v>
      </c>
      <c r="I3323" t="n">
        <v>0</v>
      </c>
      <c r="J3323" t="n">
        <v>0</v>
      </c>
      <c r="K3323" t="n">
        <v>0</v>
      </c>
      <c r="L3323" t="n">
        <v>0</v>
      </c>
      <c r="M3323" t="n">
        <v>0</v>
      </c>
      <c r="N3323" t="n">
        <v>0</v>
      </c>
      <c r="O3323" t="n">
        <v>0</v>
      </c>
      <c r="P3323" t="n">
        <v>0</v>
      </c>
      <c r="Q3323" t="n">
        <v>0</v>
      </c>
      <c r="R3323" s="2" t="inlineStr"/>
    </row>
    <row r="3324" ht="15" customHeight="1">
      <c r="A3324" t="inlineStr">
        <is>
          <t>A 41913-2023</t>
        </is>
      </c>
      <c r="B3324" s="1" t="n">
        <v>45176</v>
      </c>
      <c r="C3324" s="1" t="n">
        <v>46145</v>
      </c>
      <c r="D3324" t="inlineStr">
        <is>
          <t>VÄSTERBOTTENS LÄN</t>
        </is>
      </c>
      <c r="E3324" t="inlineStr">
        <is>
          <t>MALÅ</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10892-2024</t>
        </is>
      </c>
      <c r="B3325" s="1" t="n">
        <v>45370.34435185185</v>
      </c>
      <c r="C3325" s="1" t="n">
        <v>46145</v>
      </c>
      <c r="D3325" t="inlineStr">
        <is>
          <t>VÄSTERBOTTENS LÄN</t>
        </is>
      </c>
      <c r="E3325" t="inlineStr">
        <is>
          <t>SKELLEFTEÅ</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59117-2022</t>
        </is>
      </c>
      <c r="B3326" s="1" t="n">
        <v>44904.43054398148</v>
      </c>
      <c r="C3326" s="1" t="n">
        <v>46145</v>
      </c>
      <c r="D3326" t="inlineStr">
        <is>
          <t>VÄSTERBOTTENS LÄN</t>
        </is>
      </c>
      <c r="E3326" t="inlineStr">
        <is>
          <t>VINDELN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34736-2024</t>
        </is>
      </c>
      <c r="B3327" s="1" t="n">
        <v>45526</v>
      </c>
      <c r="C3327" s="1" t="n">
        <v>46145</v>
      </c>
      <c r="D3327" t="inlineStr">
        <is>
          <t>VÄSTERBOTTENS LÄN</t>
        </is>
      </c>
      <c r="E3327" t="inlineStr">
        <is>
          <t>VINDELN</t>
        </is>
      </c>
      <c r="F3327" t="inlineStr">
        <is>
          <t>Sveaskog</t>
        </is>
      </c>
      <c r="G3327" t="n">
        <v>14.7</v>
      </c>
      <c r="H3327" t="n">
        <v>0</v>
      </c>
      <c r="I3327" t="n">
        <v>0</v>
      </c>
      <c r="J3327" t="n">
        <v>0</v>
      </c>
      <c r="K3327" t="n">
        <v>0</v>
      </c>
      <c r="L3327" t="n">
        <v>0</v>
      </c>
      <c r="M3327" t="n">
        <v>0</v>
      </c>
      <c r="N3327" t="n">
        <v>0</v>
      </c>
      <c r="O3327" t="n">
        <v>0</v>
      </c>
      <c r="P3327" t="n">
        <v>0</v>
      </c>
      <c r="Q3327" t="n">
        <v>0</v>
      </c>
      <c r="R3327" s="2" t="inlineStr"/>
    </row>
    <row r="3328" ht="15" customHeight="1">
      <c r="A3328" t="inlineStr">
        <is>
          <t>A 5834-2023</t>
        </is>
      </c>
      <c r="B3328" s="1" t="n">
        <v>44958</v>
      </c>
      <c r="C3328" s="1" t="n">
        <v>46145</v>
      </c>
      <c r="D3328" t="inlineStr">
        <is>
          <t>VÄSTERBOTTENS LÄN</t>
        </is>
      </c>
      <c r="E3328" t="inlineStr">
        <is>
          <t>DOROTEA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4447-2023</t>
        </is>
      </c>
      <c r="B3329" s="1" t="n">
        <v>44951</v>
      </c>
      <c r="C3329" s="1" t="n">
        <v>46145</v>
      </c>
      <c r="D3329" t="inlineStr">
        <is>
          <t>VÄSTERBOTTENS LÄN</t>
        </is>
      </c>
      <c r="E3329" t="inlineStr">
        <is>
          <t>SKELLEFTEÅ</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4458-2023</t>
        </is>
      </c>
      <c r="B3330" s="1" t="n">
        <v>44952</v>
      </c>
      <c r="C3330" s="1" t="n">
        <v>46145</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29547-2022</t>
        </is>
      </c>
      <c r="B3331" s="1" t="n">
        <v>44753.94399305555</v>
      </c>
      <c r="C3331" s="1" t="n">
        <v>46145</v>
      </c>
      <c r="D3331" t="inlineStr">
        <is>
          <t>VÄSTERBOTTENS LÄN</t>
        </is>
      </c>
      <c r="E3331" t="inlineStr">
        <is>
          <t>NORDMALING</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63123-2023</t>
        </is>
      </c>
      <c r="B3332" s="1" t="n">
        <v>45272</v>
      </c>
      <c r="C3332" s="1" t="n">
        <v>46145</v>
      </c>
      <c r="D3332" t="inlineStr">
        <is>
          <t>VÄSTERBOTTENS LÄN</t>
        </is>
      </c>
      <c r="E3332" t="inlineStr">
        <is>
          <t>DOROTEA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37817-2024</t>
        </is>
      </c>
      <c r="B3333" s="1" t="n">
        <v>45544</v>
      </c>
      <c r="C3333" s="1" t="n">
        <v>46145</v>
      </c>
      <c r="D3333" t="inlineStr">
        <is>
          <t>VÄSTERBOTTENS LÄN</t>
        </is>
      </c>
      <c r="E3333" t="inlineStr">
        <is>
          <t>LYCKSELE</t>
        </is>
      </c>
      <c r="G3333" t="n">
        <v>12.3</v>
      </c>
      <c r="H3333" t="n">
        <v>0</v>
      </c>
      <c r="I3333" t="n">
        <v>0</v>
      </c>
      <c r="J3333" t="n">
        <v>0</v>
      </c>
      <c r="K3333" t="n">
        <v>0</v>
      </c>
      <c r="L3333" t="n">
        <v>0</v>
      </c>
      <c r="M3333" t="n">
        <v>0</v>
      </c>
      <c r="N3333" t="n">
        <v>0</v>
      </c>
      <c r="O3333" t="n">
        <v>0</v>
      </c>
      <c r="P3333" t="n">
        <v>0</v>
      </c>
      <c r="Q3333" t="n">
        <v>0</v>
      </c>
      <c r="R3333" s="2" t="inlineStr"/>
    </row>
    <row r="3334" ht="15" customHeight="1">
      <c r="A3334" t="inlineStr">
        <is>
          <t>A 24010-2022</t>
        </is>
      </c>
      <c r="B3334" s="1" t="n">
        <v>44722.94122685185</v>
      </c>
      <c r="C3334" s="1" t="n">
        <v>46145</v>
      </c>
      <c r="D3334" t="inlineStr">
        <is>
          <t>VÄSTERBOTTENS LÄN</t>
        </is>
      </c>
      <c r="E3334" t="inlineStr">
        <is>
          <t>NORDMALING</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48230-2023</t>
        </is>
      </c>
      <c r="B3335" s="1" t="n">
        <v>45205</v>
      </c>
      <c r="C3335" s="1" t="n">
        <v>46145</v>
      </c>
      <c r="D3335" t="inlineStr">
        <is>
          <t>VÄSTERBOTTENS LÄN</t>
        </is>
      </c>
      <c r="E3335" t="inlineStr">
        <is>
          <t>LYCKSELE</t>
        </is>
      </c>
      <c r="F3335" t="inlineStr">
        <is>
          <t>Holmen skog AB</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48229-2024</t>
        </is>
      </c>
      <c r="B3336" s="1" t="n">
        <v>45590.37554398148</v>
      </c>
      <c r="C3336" s="1" t="n">
        <v>46145</v>
      </c>
      <c r="D3336" t="inlineStr">
        <is>
          <t>VÄSTERBOTTENS LÄN</t>
        </is>
      </c>
      <c r="E3336" t="inlineStr">
        <is>
          <t>VILHELMINA</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48250-2024</t>
        </is>
      </c>
      <c r="B3337" s="1" t="n">
        <v>45590</v>
      </c>
      <c r="C3337" s="1" t="n">
        <v>46145</v>
      </c>
      <c r="D3337" t="inlineStr">
        <is>
          <t>VÄSTERBOTTENS LÄN</t>
        </is>
      </c>
      <c r="E3337" t="inlineStr">
        <is>
          <t>ÅSELE</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11743-2023</t>
        </is>
      </c>
      <c r="B3338" s="1" t="n">
        <v>44994.59267361111</v>
      </c>
      <c r="C3338" s="1" t="n">
        <v>46145</v>
      </c>
      <c r="D3338" t="inlineStr">
        <is>
          <t>VÄSTERBOTTENS LÄN</t>
        </is>
      </c>
      <c r="E3338" t="inlineStr">
        <is>
          <t>LYCKSELE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55327-2023</t>
        </is>
      </c>
      <c r="B3339" s="1" t="n">
        <v>45237.97375</v>
      </c>
      <c r="C3339" s="1" t="n">
        <v>46145</v>
      </c>
      <c r="D3339" t="inlineStr">
        <is>
          <t>VÄSTERBOTTENS LÄN</t>
        </is>
      </c>
      <c r="E3339" t="inlineStr">
        <is>
          <t>VILHELMINA</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26545-2022</t>
        </is>
      </c>
      <c r="B3340" s="1" t="n">
        <v>44739.46318287037</v>
      </c>
      <c r="C3340" s="1" t="n">
        <v>46145</v>
      </c>
      <c r="D3340" t="inlineStr">
        <is>
          <t>VÄSTERBOTTENS LÄN</t>
        </is>
      </c>
      <c r="E3340" t="inlineStr">
        <is>
          <t>SKELLEFTEÅ</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56315-2023</t>
        </is>
      </c>
      <c r="B3341" s="1" t="n">
        <v>45236</v>
      </c>
      <c r="C3341" s="1" t="n">
        <v>46145</v>
      </c>
      <c r="D3341" t="inlineStr">
        <is>
          <t>VÄSTERBOTTENS LÄN</t>
        </is>
      </c>
      <c r="E3341" t="inlineStr">
        <is>
          <t>BJURHOLM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25575-2022</t>
        </is>
      </c>
      <c r="B3342" s="1" t="n">
        <v>44732</v>
      </c>
      <c r="C3342" s="1" t="n">
        <v>46145</v>
      </c>
      <c r="D3342" t="inlineStr">
        <is>
          <t>VÄSTERBOTTENS LÄN</t>
        </is>
      </c>
      <c r="E3342" t="inlineStr">
        <is>
          <t>ROBERTSFORS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22351-2023</t>
        </is>
      </c>
      <c r="B3343" s="1" t="n">
        <v>45068</v>
      </c>
      <c r="C3343" s="1" t="n">
        <v>46145</v>
      </c>
      <c r="D3343" t="inlineStr">
        <is>
          <t>VÄSTERBOTTENS LÄN</t>
        </is>
      </c>
      <c r="E3343" t="inlineStr">
        <is>
          <t>SKELLEFTEÅ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12757-2022</t>
        </is>
      </c>
      <c r="B3344" s="1" t="n">
        <v>44641</v>
      </c>
      <c r="C3344" s="1" t="n">
        <v>46145</v>
      </c>
      <c r="D3344" t="inlineStr">
        <is>
          <t>VÄSTERBOTTENS LÄN</t>
        </is>
      </c>
      <c r="E3344" t="inlineStr">
        <is>
          <t>VINDELN</t>
        </is>
      </c>
      <c r="G3344" t="n">
        <v>18.2</v>
      </c>
      <c r="H3344" t="n">
        <v>0</v>
      </c>
      <c r="I3344" t="n">
        <v>0</v>
      </c>
      <c r="J3344" t="n">
        <v>0</v>
      </c>
      <c r="K3344" t="n">
        <v>0</v>
      </c>
      <c r="L3344" t="n">
        <v>0</v>
      </c>
      <c r="M3344" t="n">
        <v>0</v>
      </c>
      <c r="N3344" t="n">
        <v>0</v>
      </c>
      <c r="O3344" t="n">
        <v>0</v>
      </c>
      <c r="P3344" t="n">
        <v>0</v>
      </c>
      <c r="Q3344" t="n">
        <v>0</v>
      </c>
      <c r="R3344" s="2" t="inlineStr"/>
    </row>
    <row r="3345" ht="15" customHeight="1">
      <c r="A3345" t="inlineStr">
        <is>
          <t>A 16653-2023</t>
        </is>
      </c>
      <c r="B3345" s="1" t="n">
        <v>45030.5209375</v>
      </c>
      <c r="C3345" s="1" t="n">
        <v>46145</v>
      </c>
      <c r="D3345" t="inlineStr">
        <is>
          <t>VÄSTERBOTTENS LÄN</t>
        </is>
      </c>
      <c r="E3345" t="inlineStr">
        <is>
          <t>ROBERTSFORS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19020-2025</t>
        </is>
      </c>
      <c r="B3346" s="1" t="n">
        <v>45764.61490740741</v>
      </c>
      <c r="C3346" s="1" t="n">
        <v>46145</v>
      </c>
      <c r="D3346" t="inlineStr">
        <is>
          <t>VÄSTERBOTTENS LÄN</t>
        </is>
      </c>
      <c r="E3346" t="inlineStr">
        <is>
          <t>DOROTEA</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50046-2024</t>
        </is>
      </c>
      <c r="B3347" s="1" t="n">
        <v>45600.31105324074</v>
      </c>
      <c r="C3347" s="1" t="n">
        <v>46145</v>
      </c>
      <c r="D3347" t="inlineStr">
        <is>
          <t>VÄSTERBOTTENS LÄN</t>
        </is>
      </c>
      <c r="E3347" t="inlineStr">
        <is>
          <t>ROBERTSFORS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25569-2023</t>
        </is>
      </c>
      <c r="B3348" s="1" t="n">
        <v>45089</v>
      </c>
      <c r="C3348" s="1" t="n">
        <v>46145</v>
      </c>
      <c r="D3348" t="inlineStr">
        <is>
          <t>VÄSTERBOTTENS LÄN</t>
        </is>
      </c>
      <c r="E3348" t="inlineStr">
        <is>
          <t>ROBERTSFORS</t>
        </is>
      </c>
      <c r="F3348" t="inlineStr">
        <is>
          <t>Holmen skog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42649-2024</t>
        </is>
      </c>
      <c r="B3349" s="1" t="n">
        <v>45566</v>
      </c>
      <c r="C3349" s="1" t="n">
        <v>46145</v>
      </c>
      <c r="D3349" t="inlineStr">
        <is>
          <t>VÄSTERBOTTENS LÄN</t>
        </is>
      </c>
      <c r="E3349" t="inlineStr">
        <is>
          <t>UMEÅ</t>
        </is>
      </c>
      <c r="F3349" t="inlineStr">
        <is>
          <t>Holmen skog AB</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13566-2023</t>
        </is>
      </c>
      <c r="B3350" s="1" t="n">
        <v>45006.49</v>
      </c>
      <c r="C3350" s="1" t="n">
        <v>46145</v>
      </c>
      <c r="D3350" t="inlineStr">
        <is>
          <t>VÄSTERBOTTENS LÄN</t>
        </is>
      </c>
      <c r="E3350" t="inlineStr">
        <is>
          <t>LYCKSELE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5894-2025</t>
        </is>
      </c>
      <c r="B3351" s="1" t="n">
        <v>45695.39059027778</v>
      </c>
      <c r="C3351" s="1" t="n">
        <v>46145</v>
      </c>
      <c r="D3351" t="inlineStr">
        <is>
          <t>VÄSTERBOTTENS LÄN</t>
        </is>
      </c>
      <c r="E3351" t="inlineStr">
        <is>
          <t>MALÅ</t>
        </is>
      </c>
      <c r="F3351" t="inlineStr">
        <is>
          <t>Sveaskog</t>
        </is>
      </c>
      <c r="G3351" t="n">
        <v>18.7</v>
      </c>
      <c r="H3351" t="n">
        <v>0</v>
      </c>
      <c r="I3351" t="n">
        <v>0</v>
      </c>
      <c r="J3351" t="n">
        <v>0</v>
      </c>
      <c r="K3351" t="n">
        <v>0</v>
      </c>
      <c r="L3351" t="n">
        <v>0</v>
      </c>
      <c r="M3351" t="n">
        <v>0</v>
      </c>
      <c r="N3351" t="n">
        <v>0</v>
      </c>
      <c r="O3351" t="n">
        <v>0</v>
      </c>
      <c r="P3351" t="n">
        <v>0</v>
      </c>
      <c r="Q3351" t="n">
        <v>0</v>
      </c>
      <c r="R3351" s="2" t="inlineStr"/>
    </row>
    <row r="3352" ht="15" customHeight="1">
      <c r="A3352" t="inlineStr">
        <is>
          <t>A 28061-2022</t>
        </is>
      </c>
      <c r="B3352" s="1" t="n">
        <v>44746</v>
      </c>
      <c r="C3352" s="1" t="n">
        <v>46145</v>
      </c>
      <c r="D3352" t="inlineStr">
        <is>
          <t>VÄSTERBOTTENS LÄN</t>
        </is>
      </c>
      <c r="E3352" t="inlineStr">
        <is>
          <t>STORUMAN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8964-2025</t>
        </is>
      </c>
      <c r="B3353" s="1" t="n">
        <v>45713</v>
      </c>
      <c r="C3353" s="1" t="n">
        <v>46145</v>
      </c>
      <c r="D3353" t="inlineStr">
        <is>
          <t>VÄSTERBOTTENS LÄN</t>
        </is>
      </c>
      <c r="E3353" t="inlineStr">
        <is>
          <t>ÅSELE</t>
        </is>
      </c>
      <c r="F3353" t="inlineStr">
        <is>
          <t>SCA</t>
        </is>
      </c>
      <c r="G3353" t="n">
        <v>20.5</v>
      </c>
      <c r="H3353" t="n">
        <v>0</v>
      </c>
      <c r="I3353" t="n">
        <v>0</v>
      </c>
      <c r="J3353" t="n">
        <v>0</v>
      </c>
      <c r="K3353" t="n">
        <v>0</v>
      </c>
      <c r="L3353" t="n">
        <v>0</v>
      </c>
      <c r="M3353" t="n">
        <v>0</v>
      </c>
      <c r="N3353" t="n">
        <v>0</v>
      </c>
      <c r="O3353" t="n">
        <v>0</v>
      </c>
      <c r="P3353" t="n">
        <v>0</v>
      </c>
      <c r="Q3353" t="n">
        <v>0</v>
      </c>
      <c r="R3353" s="2" t="inlineStr"/>
    </row>
    <row r="3354" ht="15" customHeight="1">
      <c r="A3354" t="inlineStr">
        <is>
          <t>A 45444-2024</t>
        </is>
      </c>
      <c r="B3354" s="1" t="n">
        <v>45576.64476851852</v>
      </c>
      <c r="C3354" s="1" t="n">
        <v>46145</v>
      </c>
      <c r="D3354" t="inlineStr">
        <is>
          <t>VÄSTERBOTTENS LÄN</t>
        </is>
      </c>
      <c r="E3354" t="inlineStr">
        <is>
          <t>LYCKSELE</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45475-2024</t>
        </is>
      </c>
      <c r="B3355" s="1" t="n">
        <v>45576.82554398148</v>
      </c>
      <c r="C3355" s="1" t="n">
        <v>46145</v>
      </c>
      <c r="D3355" t="inlineStr">
        <is>
          <t>VÄSTERBOTTENS LÄN</t>
        </is>
      </c>
      <c r="E3355" t="inlineStr">
        <is>
          <t>ÅSELE</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21883-2022</t>
        </is>
      </c>
      <c r="B3356" s="1" t="n">
        <v>44711</v>
      </c>
      <c r="C3356" s="1" t="n">
        <v>46145</v>
      </c>
      <c r="D3356" t="inlineStr">
        <is>
          <t>VÄSTERBOTTENS LÄN</t>
        </is>
      </c>
      <c r="E3356" t="inlineStr">
        <is>
          <t>SKELLEFTEÅ</t>
        </is>
      </c>
      <c r="F3356" t="inlineStr">
        <is>
          <t>Holmen skog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8980-2025</t>
        </is>
      </c>
      <c r="B3357" s="1" t="n">
        <v>45713.53248842592</v>
      </c>
      <c r="C3357" s="1" t="n">
        <v>46145</v>
      </c>
      <c r="D3357" t="inlineStr">
        <is>
          <t>VÄSTERBOTTENS LÄN</t>
        </is>
      </c>
      <c r="E3357" t="inlineStr">
        <is>
          <t>SORSELE</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8989-2025</t>
        </is>
      </c>
      <c r="B3358" s="1" t="n">
        <v>45713.5396412037</v>
      </c>
      <c r="C3358" s="1" t="n">
        <v>46145</v>
      </c>
      <c r="D3358" t="inlineStr">
        <is>
          <t>VÄSTERBOTTENS LÄN</t>
        </is>
      </c>
      <c r="E3358" t="inlineStr">
        <is>
          <t>SORSELE</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26999-2022</t>
        </is>
      </c>
      <c r="B3359" s="1" t="n">
        <v>44740</v>
      </c>
      <c r="C3359" s="1" t="n">
        <v>46145</v>
      </c>
      <c r="D3359" t="inlineStr">
        <is>
          <t>VÄSTERBOTTENS LÄN</t>
        </is>
      </c>
      <c r="E3359" t="inlineStr">
        <is>
          <t>SKELLEFTEÅ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40633-2023</t>
        </is>
      </c>
      <c r="B3360" s="1" t="n">
        <v>45170</v>
      </c>
      <c r="C3360" s="1" t="n">
        <v>46145</v>
      </c>
      <c r="D3360" t="inlineStr">
        <is>
          <t>VÄSTERBOTTENS LÄN</t>
        </is>
      </c>
      <c r="E3360" t="inlineStr">
        <is>
          <t>ROBERTSFORS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45447-2024</t>
        </is>
      </c>
      <c r="B3361" s="1" t="n">
        <v>45576.64849537037</v>
      </c>
      <c r="C3361" s="1" t="n">
        <v>46145</v>
      </c>
      <c r="D3361" t="inlineStr">
        <is>
          <t>VÄSTERBOTTENS LÄN</t>
        </is>
      </c>
      <c r="E3361" t="inlineStr">
        <is>
          <t>LYCKSELE</t>
        </is>
      </c>
      <c r="F3361" t="inlineStr">
        <is>
          <t>Naturvårdsverket</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49844-2024</t>
        </is>
      </c>
      <c r="B3362" s="1" t="n">
        <v>45597</v>
      </c>
      <c r="C3362" s="1" t="n">
        <v>46145</v>
      </c>
      <c r="D3362" t="inlineStr">
        <is>
          <t>VÄSTERBOTTENS LÄN</t>
        </is>
      </c>
      <c r="E3362" t="inlineStr">
        <is>
          <t>SKELLEFTEÅ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50894-2024</t>
        </is>
      </c>
      <c r="B3363" s="1" t="n">
        <v>45602.67774305555</v>
      </c>
      <c r="C3363" s="1" t="n">
        <v>46145</v>
      </c>
      <c r="D3363" t="inlineStr">
        <is>
          <t>VÄSTERBOTTENS LÄN</t>
        </is>
      </c>
      <c r="E3363" t="inlineStr">
        <is>
          <t>SKELLEFTEÅ</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43547-2023</t>
        </is>
      </c>
      <c r="B3364" s="1" t="n">
        <v>45184.56421296296</v>
      </c>
      <c r="C3364" s="1" t="n">
        <v>46145</v>
      </c>
      <c r="D3364" t="inlineStr">
        <is>
          <t>VÄSTERBOTTENS LÄN</t>
        </is>
      </c>
      <c r="E3364" t="inlineStr">
        <is>
          <t>ROBERTSFORS</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52916-2023</t>
        </is>
      </c>
      <c r="B3365" s="1" t="n">
        <v>45226.52811342593</v>
      </c>
      <c r="C3365" s="1" t="n">
        <v>46145</v>
      </c>
      <c r="D3365" t="inlineStr">
        <is>
          <t>VÄSTERBOTTENS LÄN</t>
        </is>
      </c>
      <c r="E3365" t="inlineStr">
        <is>
          <t>VINDELN</t>
        </is>
      </c>
      <c r="F3365" t="inlineStr">
        <is>
          <t>Holmen skog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20218-2025</t>
        </is>
      </c>
      <c r="B3366" s="1" t="n">
        <v>45772</v>
      </c>
      <c r="C3366" s="1" t="n">
        <v>46145</v>
      </c>
      <c r="D3366" t="inlineStr">
        <is>
          <t>VÄSTERBOTTENS LÄN</t>
        </is>
      </c>
      <c r="E3366" t="inlineStr">
        <is>
          <t>SKELLEFTEÅ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58565-2023</t>
        </is>
      </c>
      <c r="B3367" s="1" t="n">
        <v>45246</v>
      </c>
      <c r="C3367" s="1" t="n">
        <v>46145</v>
      </c>
      <c r="D3367" t="inlineStr">
        <is>
          <t>VÄSTERBOTTENS LÄN</t>
        </is>
      </c>
      <c r="E3367" t="inlineStr">
        <is>
          <t>ROBERTSFORS</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18889-2025</t>
        </is>
      </c>
      <c r="B3368" s="1" t="n">
        <v>45764.44584490741</v>
      </c>
      <c r="C3368" s="1" t="n">
        <v>46145</v>
      </c>
      <c r="D3368" t="inlineStr">
        <is>
          <t>VÄSTERBOTTENS LÄN</t>
        </is>
      </c>
      <c r="E3368" t="inlineStr">
        <is>
          <t>UMEÅ</t>
        </is>
      </c>
      <c r="F3368" t="inlineStr">
        <is>
          <t>Holmen skog AB</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58954-2024</t>
        </is>
      </c>
      <c r="B3369" s="1" t="n">
        <v>45636.57275462963</v>
      </c>
      <c r="C3369" s="1" t="n">
        <v>46145</v>
      </c>
      <c r="D3369" t="inlineStr">
        <is>
          <t>VÄSTERBOTTENS LÄN</t>
        </is>
      </c>
      <c r="E3369" t="inlineStr">
        <is>
          <t>UMEÅ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45618-2021</t>
        </is>
      </c>
      <c r="B3370" s="1" t="n">
        <v>44440.9255324074</v>
      </c>
      <c r="C3370" s="1" t="n">
        <v>46145</v>
      </c>
      <c r="D3370" t="inlineStr">
        <is>
          <t>VÄSTERBOTTENS LÄN</t>
        </is>
      </c>
      <c r="E3370" t="inlineStr">
        <is>
          <t>NORSJÖ</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20245-2025</t>
        </is>
      </c>
      <c r="B3371" s="1" t="n">
        <v>45772</v>
      </c>
      <c r="C3371" s="1" t="n">
        <v>46145</v>
      </c>
      <c r="D3371" t="inlineStr">
        <is>
          <t>VÄSTERBOTTENS LÄN</t>
        </is>
      </c>
      <c r="E3371" t="inlineStr">
        <is>
          <t>SKELLEFTEÅ</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49055-2024</t>
        </is>
      </c>
      <c r="B3372" s="1" t="n">
        <v>45594</v>
      </c>
      <c r="C3372" s="1" t="n">
        <v>46145</v>
      </c>
      <c r="D3372" t="inlineStr">
        <is>
          <t>VÄSTERBOTTENS LÄN</t>
        </is>
      </c>
      <c r="E3372" t="inlineStr">
        <is>
          <t>UMEÅ</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41038-2024</t>
        </is>
      </c>
      <c r="B3373" s="1" t="n">
        <v>45559.36113425926</v>
      </c>
      <c r="C3373" s="1" t="n">
        <v>46145</v>
      </c>
      <c r="D3373" t="inlineStr">
        <is>
          <t>VÄSTERBOTTENS LÄN</t>
        </is>
      </c>
      <c r="E3373" t="inlineStr">
        <is>
          <t>SKELLEFTEÅ</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57579-2024</t>
        </is>
      </c>
      <c r="B3374" s="1" t="n">
        <v>45630.47672453704</v>
      </c>
      <c r="C3374" s="1" t="n">
        <v>46145</v>
      </c>
      <c r="D3374" t="inlineStr">
        <is>
          <t>VÄSTERBOTTENS LÄN</t>
        </is>
      </c>
      <c r="E3374" t="inlineStr">
        <is>
          <t>VINDELN</t>
        </is>
      </c>
      <c r="F3374" t="inlineStr">
        <is>
          <t>Sveaskog</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25028-2024</t>
        </is>
      </c>
      <c r="B3375" s="1" t="n">
        <v>45461</v>
      </c>
      <c r="C3375" s="1" t="n">
        <v>46145</v>
      </c>
      <c r="D3375" t="inlineStr">
        <is>
          <t>VÄSTERBOTTENS LÄN</t>
        </is>
      </c>
      <c r="E3375" t="inlineStr">
        <is>
          <t>DOROTEA</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45622-2023</t>
        </is>
      </c>
      <c r="B3376" s="1" t="n">
        <v>45194.66240740741</v>
      </c>
      <c r="C3376" s="1" t="n">
        <v>46145</v>
      </c>
      <c r="D3376" t="inlineStr">
        <is>
          <t>VÄSTERBOTTENS LÄN</t>
        </is>
      </c>
      <c r="E3376" t="inlineStr">
        <is>
          <t>ÅSELE</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4626-2025</t>
        </is>
      </c>
      <c r="B3377" s="1" t="n">
        <v>45687.62158564815</v>
      </c>
      <c r="C3377" s="1" t="n">
        <v>46145</v>
      </c>
      <c r="D3377" t="inlineStr">
        <is>
          <t>VÄSTERBOTTENS LÄN</t>
        </is>
      </c>
      <c r="E3377" t="inlineStr">
        <is>
          <t>SKELLEFTEÅ</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36736-2025</t>
        </is>
      </c>
      <c r="B3378" s="1" t="n">
        <v>45873.52534722222</v>
      </c>
      <c r="C3378" s="1" t="n">
        <v>46145</v>
      </c>
      <c r="D3378" t="inlineStr">
        <is>
          <t>VÄSTERBOTTENS LÄN</t>
        </is>
      </c>
      <c r="E3378" t="inlineStr">
        <is>
          <t>LYCKSELE</t>
        </is>
      </c>
      <c r="F3378" t="inlineStr">
        <is>
          <t>Sveaskog</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36860-2025</t>
        </is>
      </c>
      <c r="B3379" s="1" t="n">
        <v>45874.40981481481</v>
      </c>
      <c r="C3379" s="1" t="n">
        <v>46145</v>
      </c>
      <c r="D3379" t="inlineStr">
        <is>
          <t>VÄSTERBOTTENS LÄN</t>
        </is>
      </c>
      <c r="E3379" t="inlineStr">
        <is>
          <t>NORDMALING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18564-2024</t>
        </is>
      </c>
      <c r="B3380" s="1" t="n">
        <v>45425</v>
      </c>
      <c r="C3380" s="1" t="n">
        <v>46145</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40798-2024</t>
        </is>
      </c>
      <c r="B3381" s="1" t="n">
        <v>45558.52645833333</v>
      </c>
      <c r="C3381" s="1" t="n">
        <v>46145</v>
      </c>
      <c r="D3381" t="inlineStr">
        <is>
          <t>VÄSTERBOTTENS LÄN</t>
        </is>
      </c>
      <c r="E3381" t="inlineStr">
        <is>
          <t>SKELLEFTEÅ</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4059-2025</t>
        </is>
      </c>
      <c r="B3382" s="1" t="n">
        <v>45684.62690972222</v>
      </c>
      <c r="C3382" s="1" t="n">
        <v>46145</v>
      </c>
      <c r="D3382" t="inlineStr">
        <is>
          <t>VÄSTERBOTTENS LÄN</t>
        </is>
      </c>
      <c r="E3382" t="inlineStr">
        <is>
          <t>VINDELN</t>
        </is>
      </c>
      <c r="G3382" t="n">
        <v>12.6</v>
      </c>
      <c r="H3382" t="n">
        <v>0</v>
      </c>
      <c r="I3382" t="n">
        <v>0</v>
      </c>
      <c r="J3382" t="n">
        <v>0</v>
      </c>
      <c r="K3382" t="n">
        <v>0</v>
      </c>
      <c r="L3382" t="n">
        <v>0</v>
      </c>
      <c r="M3382" t="n">
        <v>0</v>
      </c>
      <c r="N3382" t="n">
        <v>0</v>
      </c>
      <c r="O3382" t="n">
        <v>0</v>
      </c>
      <c r="P3382" t="n">
        <v>0</v>
      </c>
      <c r="Q3382" t="n">
        <v>0</v>
      </c>
      <c r="R3382" s="2" t="inlineStr"/>
    </row>
    <row r="3383" ht="15" customHeight="1">
      <c r="A3383" t="inlineStr">
        <is>
          <t>A 25551-2024</t>
        </is>
      </c>
      <c r="B3383" s="1" t="n">
        <v>45463</v>
      </c>
      <c r="C3383" s="1" t="n">
        <v>46145</v>
      </c>
      <c r="D3383" t="inlineStr">
        <is>
          <t>VÄSTERBOTTENS LÄN</t>
        </is>
      </c>
      <c r="E3383" t="inlineStr">
        <is>
          <t>VILHELMINA</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25553-2024</t>
        </is>
      </c>
      <c r="B3384" s="1" t="n">
        <v>45463.57846064815</v>
      </c>
      <c r="C3384" s="1" t="n">
        <v>46145</v>
      </c>
      <c r="D3384" t="inlineStr">
        <is>
          <t>VÄSTERBOTTENS LÄN</t>
        </is>
      </c>
      <c r="E3384" t="inlineStr">
        <is>
          <t>ÅSELE</t>
        </is>
      </c>
      <c r="F3384" t="inlineStr">
        <is>
          <t>Sveaskog</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13821-2025</t>
        </is>
      </c>
      <c r="B3385" s="1" t="n">
        <v>45737.53157407408</v>
      </c>
      <c r="C3385" s="1" t="n">
        <v>46145</v>
      </c>
      <c r="D3385" t="inlineStr">
        <is>
          <t>VÄSTERBOTTENS LÄN</t>
        </is>
      </c>
      <c r="E3385" t="inlineStr">
        <is>
          <t>UMEÅ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13828-2025</t>
        </is>
      </c>
      <c r="B3386" s="1" t="n">
        <v>45737.54446759259</v>
      </c>
      <c r="C3386" s="1" t="n">
        <v>46145</v>
      </c>
      <c r="D3386" t="inlineStr">
        <is>
          <t>VÄSTERBOTTENS LÄN</t>
        </is>
      </c>
      <c r="E3386" t="inlineStr">
        <is>
          <t>BJURHOLM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43992-2023</t>
        </is>
      </c>
      <c r="B3387" s="1" t="n">
        <v>45187</v>
      </c>
      <c r="C3387" s="1" t="n">
        <v>46145</v>
      </c>
      <c r="D3387" t="inlineStr">
        <is>
          <t>VÄSTERBOTTENS LÄN</t>
        </is>
      </c>
      <c r="E3387" t="inlineStr">
        <is>
          <t>BJURHOLM</t>
        </is>
      </c>
      <c r="F3387" t="inlineStr">
        <is>
          <t>SCA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53037-2023</t>
        </is>
      </c>
      <c r="B3388" s="1" t="n">
        <v>45226</v>
      </c>
      <c r="C3388" s="1" t="n">
        <v>46145</v>
      </c>
      <c r="D3388" t="inlineStr">
        <is>
          <t>VÄSTERBOTTENS LÄN</t>
        </is>
      </c>
      <c r="E3388" t="inlineStr">
        <is>
          <t>LYCKSELE</t>
        </is>
      </c>
      <c r="F3388" t="inlineStr">
        <is>
          <t>SCA</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36944-2025</t>
        </is>
      </c>
      <c r="B3389" s="1" t="n">
        <v>45874.59450231482</v>
      </c>
      <c r="C3389" s="1" t="n">
        <v>46145</v>
      </c>
      <c r="D3389" t="inlineStr">
        <is>
          <t>VÄSTERBOTTENS LÄN</t>
        </is>
      </c>
      <c r="E3389" t="inlineStr">
        <is>
          <t>VILHELMINA</t>
        </is>
      </c>
      <c r="F3389" t="inlineStr">
        <is>
          <t>SCA</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36962-2025</t>
        </is>
      </c>
      <c r="B3390" s="1" t="n">
        <v>45874.63052083334</v>
      </c>
      <c r="C3390" s="1" t="n">
        <v>46145</v>
      </c>
      <c r="D3390" t="inlineStr">
        <is>
          <t>VÄSTERBOTTENS LÄN</t>
        </is>
      </c>
      <c r="E3390" t="inlineStr">
        <is>
          <t>SKELLEFTEÅ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55931-2024</t>
        </is>
      </c>
      <c r="B3391" s="1" t="n">
        <v>45623.60524305556</v>
      </c>
      <c r="C3391" s="1" t="n">
        <v>46145</v>
      </c>
      <c r="D3391" t="inlineStr">
        <is>
          <t>VÄSTERBOTTENS LÄN</t>
        </is>
      </c>
      <c r="E3391" t="inlineStr">
        <is>
          <t>NORSJÖ</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55951-2024</t>
        </is>
      </c>
      <c r="B3392" s="1" t="n">
        <v>45623.6249537037</v>
      </c>
      <c r="C3392" s="1" t="n">
        <v>46145</v>
      </c>
      <c r="D3392" t="inlineStr">
        <is>
          <t>VÄSTERBOTTENS LÄN</t>
        </is>
      </c>
      <c r="E3392" t="inlineStr">
        <is>
          <t>NORSJÖ</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36996-2025</t>
        </is>
      </c>
      <c r="B3393" s="1" t="n">
        <v>45874.67782407408</v>
      </c>
      <c r="C3393" s="1" t="n">
        <v>46145</v>
      </c>
      <c r="D3393" t="inlineStr">
        <is>
          <t>VÄSTERBOTTENS LÄN</t>
        </is>
      </c>
      <c r="E3393" t="inlineStr">
        <is>
          <t>BJURHOLM</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14176-2023</t>
        </is>
      </c>
      <c r="B3394" s="1" t="n">
        <v>45009</v>
      </c>
      <c r="C3394" s="1" t="n">
        <v>46145</v>
      </c>
      <c r="D3394" t="inlineStr">
        <is>
          <t>VÄSTERBOTTENS LÄN</t>
        </is>
      </c>
      <c r="E3394" t="inlineStr">
        <is>
          <t>ROBERTSFORS</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37714-2024</t>
        </is>
      </c>
      <c r="B3395" s="1" t="n">
        <v>45541.63569444444</v>
      </c>
      <c r="C3395" s="1" t="n">
        <v>46145</v>
      </c>
      <c r="D3395" t="inlineStr">
        <is>
          <t>VÄSTERBOTTENS LÄN</t>
        </is>
      </c>
      <c r="E3395" t="inlineStr">
        <is>
          <t>VILHELMINA</t>
        </is>
      </c>
      <c r="F3395" t="inlineStr">
        <is>
          <t>SCA</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37715-2024</t>
        </is>
      </c>
      <c r="B3396" s="1" t="n">
        <v>45541.63581018519</v>
      </c>
      <c r="C3396" s="1" t="n">
        <v>46145</v>
      </c>
      <c r="D3396" t="inlineStr">
        <is>
          <t>VÄSTERBOTTENS LÄN</t>
        </is>
      </c>
      <c r="E3396" t="inlineStr">
        <is>
          <t>VILHELMINA</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2684-2023</t>
        </is>
      </c>
      <c r="B3397" s="1" t="n">
        <v>44944</v>
      </c>
      <c r="C3397" s="1" t="n">
        <v>46145</v>
      </c>
      <c r="D3397" t="inlineStr">
        <is>
          <t>VÄSTERBOTTENS LÄN</t>
        </is>
      </c>
      <c r="E3397" t="inlineStr">
        <is>
          <t>VINDELN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18853-2024</t>
        </is>
      </c>
      <c r="B3398" s="1" t="n">
        <v>45426</v>
      </c>
      <c r="C3398" s="1" t="n">
        <v>46145</v>
      </c>
      <c r="D3398" t="inlineStr">
        <is>
          <t>VÄSTERBOTTENS LÄN</t>
        </is>
      </c>
      <c r="E3398" t="inlineStr">
        <is>
          <t>NORSJÖ</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11642-2023</t>
        </is>
      </c>
      <c r="B3399" s="1" t="n">
        <v>44994.45225694445</v>
      </c>
      <c r="C3399" s="1" t="n">
        <v>46145</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38556-2025</t>
        </is>
      </c>
      <c r="B3400" s="1" t="n">
        <v>45884.44443287037</v>
      </c>
      <c r="C3400" s="1" t="n">
        <v>46145</v>
      </c>
      <c r="D3400" t="inlineStr">
        <is>
          <t>VÄSTERBOTTENS LÄN</t>
        </is>
      </c>
      <c r="E3400" t="inlineStr">
        <is>
          <t>NORSJÖ</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44285-2024</t>
        </is>
      </c>
      <c r="B3401" s="1" t="n">
        <v>45573</v>
      </c>
      <c r="C3401" s="1" t="n">
        <v>46145</v>
      </c>
      <c r="D3401" t="inlineStr">
        <is>
          <t>VÄSTERBOTTENS LÄN</t>
        </is>
      </c>
      <c r="E3401" t="inlineStr">
        <is>
          <t>VILHELMINA</t>
        </is>
      </c>
      <c r="G3401" t="n">
        <v>30.9</v>
      </c>
      <c r="H3401" t="n">
        <v>0</v>
      </c>
      <c r="I3401" t="n">
        <v>0</v>
      </c>
      <c r="J3401" t="n">
        <v>0</v>
      </c>
      <c r="K3401" t="n">
        <v>0</v>
      </c>
      <c r="L3401" t="n">
        <v>0</v>
      </c>
      <c r="M3401" t="n">
        <v>0</v>
      </c>
      <c r="N3401" t="n">
        <v>0</v>
      </c>
      <c r="O3401" t="n">
        <v>0</v>
      </c>
      <c r="P3401" t="n">
        <v>0</v>
      </c>
      <c r="Q3401" t="n">
        <v>0</v>
      </c>
      <c r="R3401" s="2" t="inlineStr"/>
    </row>
    <row r="3402" ht="15" customHeight="1">
      <c r="A3402" t="inlineStr">
        <is>
          <t>A 11646-2023</t>
        </is>
      </c>
      <c r="B3402" s="1" t="n">
        <v>44992</v>
      </c>
      <c r="C3402" s="1" t="n">
        <v>46145</v>
      </c>
      <c r="D3402" t="inlineStr">
        <is>
          <t>VÄSTERBOTTENS LÄN</t>
        </is>
      </c>
      <c r="E3402" t="inlineStr">
        <is>
          <t>SORSELE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29954-2023</t>
        </is>
      </c>
      <c r="B3403" s="1" t="n">
        <v>45107</v>
      </c>
      <c r="C3403" s="1" t="n">
        <v>46145</v>
      </c>
      <c r="D3403" t="inlineStr">
        <is>
          <t>VÄSTERBOTTENS LÄN</t>
        </is>
      </c>
      <c r="E3403" t="inlineStr">
        <is>
          <t>VILHELMINA</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51238-2024</t>
        </is>
      </c>
      <c r="B3404" s="1" t="n">
        <v>45603.67048611111</v>
      </c>
      <c r="C3404" s="1" t="n">
        <v>46145</v>
      </c>
      <c r="D3404" t="inlineStr">
        <is>
          <t>VÄSTERBOTTENS LÄN</t>
        </is>
      </c>
      <c r="E3404" t="inlineStr">
        <is>
          <t>VINDELN</t>
        </is>
      </c>
      <c r="G3404" t="n">
        <v>13.1</v>
      </c>
      <c r="H3404" t="n">
        <v>0</v>
      </c>
      <c r="I3404" t="n">
        <v>0</v>
      </c>
      <c r="J3404" t="n">
        <v>0</v>
      </c>
      <c r="K3404" t="n">
        <v>0</v>
      </c>
      <c r="L3404" t="n">
        <v>0</v>
      </c>
      <c r="M3404" t="n">
        <v>0</v>
      </c>
      <c r="N3404" t="n">
        <v>0</v>
      </c>
      <c r="O3404" t="n">
        <v>0</v>
      </c>
      <c r="P3404" t="n">
        <v>0</v>
      </c>
      <c r="Q3404" t="n">
        <v>0</v>
      </c>
      <c r="R3404" s="2" t="inlineStr"/>
    </row>
    <row r="3405" ht="15" customHeight="1">
      <c r="A3405" t="inlineStr">
        <is>
          <t>A 41269-2024</t>
        </is>
      </c>
      <c r="B3405" s="1" t="n">
        <v>45559</v>
      </c>
      <c r="C3405" s="1" t="n">
        <v>46145</v>
      </c>
      <c r="D3405" t="inlineStr">
        <is>
          <t>VÄSTERBOTTENS LÄN</t>
        </is>
      </c>
      <c r="E3405" t="inlineStr">
        <is>
          <t>ROBERTSFORS</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10485-2023</t>
        </is>
      </c>
      <c r="B3406" s="1" t="n">
        <v>44981</v>
      </c>
      <c r="C3406" s="1" t="n">
        <v>46145</v>
      </c>
      <c r="D3406" t="inlineStr">
        <is>
          <t>VÄSTERBOTTENS LÄN</t>
        </is>
      </c>
      <c r="E3406" t="inlineStr">
        <is>
          <t>LYCKSELE</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55500-2024</t>
        </is>
      </c>
      <c r="B3407" s="1" t="n">
        <v>45622.45622685185</v>
      </c>
      <c r="C3407" s="1" t="n">
        <v>46145</v>
      </c>
      <c r="D3407" t="inlineStr">
        <is>
          <t>VÄSTERBOTTENS LÄN</t>
        </is>
      </c>
      <c r="E3407" t="inlineStr">
        <is>
          <t>SKELLEFTEÅ</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16792-2022</t>
        </is>
      </c>
      <c r="B3408" s="1" t="n">
        <v>44673</v>
      </c>
      <c r="C3408" s="1" t="n">
        <v>46145</v>
      </c>
      <c r="D3408" t="inlineStr">
        <is>
          <t>VÄSTERBOTTENS LÄN</t>
        </is>
      </c>
      <c r="E3408" t="inlineStr">
        <is>
          <t>BJURHOLM</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36640-2025</t>
        </is>
      </c>
      <c r="B3409" s="1" t="n">
        <v>45871.05299768518</v>
      </c>
      <c r="C3409" s="1" t="n">
        <v>46145</v>
      </c>
      <c r="D3409" t="inlineStr">
        <is>
          <t>VÄSTERBOTTENS LÄN</t>
        </is>
      </c>
      <c r="E3409" t="inlineStr">
        <is>
          <t>SKELLEFTEÅ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36651-2025</t>
        </is>
      </c>
      <c r="B3410" s="1" t="n">
        <v>45872.63649305556</v>
      </c>
      <c r="C3410" s="1" t="n">
        <v>46145</v>
      </c>
      <c r="D3410" t="inlineStr">
        <is>
          <t>VÄSTERBOTTENS LÄN</t>
        </is>
      </c>
      <c r="E3410" t="inlineStr">
        <is>
          <t>ROBERTSFORS</t>
        </is>
      </c>
      <c r="G3410" t="n">
        <v>14.4</v>
      </c>
      <c r="H3410" t="n">
        <v>0</v>
      </c>
      <c r="I3410" t="n">
        <v>0</v>
      </c>
      <c r="J3410" t="n">
        <v>0</v>
      </c>
      <c r="K3410" t="n">
        <v>0</v>
      </c>
      <c r="L3410" t="n">
        <v>0</v>
      </c>
      <c r="M3410" t="n">
        <v>0</v>
      </c>
      <c r="N3410" t="n">
        <v>0</v>
      </c>
      <c r="O3410" t="n">
        <v>0</v>
      </c>
      <c r="P3410" t="n">
        <v>0</v>
      </c>
      <c r="Q3410" t="n">
        <v>0</v>
      </c>
      <c r="R3410" s="2" t="inlineStr"/>
    </row>
    <row r="3411" ht="15" customHeight="1">
      <c r="A3411" t="inlineStr">
        <is>
          <t>A 20600-2023</t>
        </is>
      </c>
      <c r="B3411" s="1" t="n">
        <v>45057</v>
      </c>
      <c r="C3411" s="1" t="n">
        <v>46145</v>
      </c>
      <c r="D3411" t="inlineStr">
        <is>
          <t>VÄSTERBOTTENS LÄN</t>
        </is>
      </c>
      <c r="E3411" t="inlineStr">
        <is>
          <t>DOROTEA</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55586-2024</t>
        </is>
      </c>
      <c r="B3412" s="1" t="n">
        <v>45622.56356481482</v>
      </c>
      <c r="C3412" s="1" t="n">
        <v>46145</v>
      </c>
      <c r="D3412" t="inlineStr">
        <is>
          <t>VÄSTERBOTTENS LÄN</t>
        </is>
      </c>
      <c r="E3412" t="inlineStr">
        <is>
          <t>NORSJÖ</t>
        </is>
      </c>
      <c r="F3412" t="inlineStr">
        <is>
          <t>Holmen skog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4084-2023</t>
        </is>
      </c>
      <c r="B3413" s="1" t="n">
        <v>44952</v>
      </c>
      <c r="C3413" s="1" t="n">
        <v>46145</v>
      </c>
      <c r="D3413" t="inlineStr">
        <is>
          <t>VÄSTERBOTTENS LÄN</t>
        </is>
      </c>
      <c r="E3413" t="inlineStr">
        <is>
          <t>ÅSELE</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55594-2024</t>
        </is>
      </c>
      <c r="B3414" s="1" t="n">
        <v>45622</v>
      </c>
      <c r="C3414" s="1" t="n">
        <v>46145</v>
      </c>
      <c r="D3414" t="inlineStr">
        <is>
          <t>VÄSTERBOTTENS LÄN</t>
        </is>
      </c>
      <c r="E3414" t="inlineStr">
        <is>
          <t>MALÅ</t>
        </is>
      </c>
      <c r="F3414" t="inlineStr">
        <is>
          <t>Sveaskog</t>
        </is>
      </c>
      <c r="G3414" t="n">
        <v>60.1</v>
      </c>
      <c r="H3414" t="n">
        <v>0</v>
      </c>
      <c r="I3414" t="n">
        <v>0</v>
      </c>
      <c r="J3414" t="n">
        <v>0</v>
      </c>
      <c r="K3414" t="n">
        <v>0</v>
      </c>
      <c r="L3414" t="n">
        <v>0</v>
      </c>
      <c r="M3414" t="n">
        <v>0</v>
      </c>
      <c r="N3414" t="n">
        <v>0</v>
      </c>
      <c r="O3414" t="n">
        <v>0</v>
      </c>
      <c r="P3414" t="n">
        <v>0</v>
      </c>
      <c r="Q3414" t="n">
        <v>0</v>
      </c>
      <c r="R3414" s="2" t="inlineStr"/>
    </row>
    <row r="3415" ht="15" customHeight="1">
      <c r="A3415" t="inlineStr">
        <is>
          <t>A 55919-2024</t>
        </is>
      </c>
      <c r="B3415" s="1" t="n">
        <v>45623.59846064815</v>
      </c>
      <c r="C3415" s="1" t="n">
        <v>46145</v>
      </c>
      <c r="D3415" t="inlineStr">
        <is>
          <t>VÄSTERBOTTENS LÄN</t>
        </is>
      </c>
      <c r="E3415" t="inlineStr">
        <is>
          <t>NORSJÖ</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11824-2023</t>
        </is>
      </c>
      <c r="B3416" s="1" t="n">
        <v>44994</v>
      </c>
      <c r="C3416" s="1" t="n">
        <v>46145</v>
      </c>
      <c r="D3416" t="inlineStr">
        <is>
          <t>VÄSTERBOTTENS LÄN</t>
        </is>
      </c>
      <c r="E3416" t="inlineStr">
        <is>
          <t>MALÅ</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8658-2025</t>
        </is>
      </c>
      <c r="B3417" s="1" t="n">
        <v>45712.38586805556</v>
      </c>
      <c r="C3417" s="1" t="n">
        <v>46145</v>
      </c>
      <c r="D3417" t="inlineStr">
        <is>
          <t>VÄSTERBOTTENS LÄN</t>
        </is>
      </c>
      <c r="E3417" t="inlineStr">
        <is>
          <t>SKELLEFTEÅ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8663-2025</t>
        </is>
      </c>
      <c r="B3418" s="1" t="n">
        <v>45712.39594907407</v>
      </c>
      <c r="C3418" s="1" t="n">
        <v>46145</v>
      </c>
      <c r="D3418" t="inlineStr">
        <is>
          <t>VÄSTERBOTTENS LÄN</t>
        </is>
      </c>
      <c r="E3418" t="inlineStr">
        <is>
          <t>BJURHOLM</t>
        </is>
      </c>
      <c r="F3418" t="inlineStr">
        <is>
          <t>Holmen skog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8686-2025</t>
        </is>
      </c>
      <c r="B3419" s="1" t="n">
        <v>45712.45840277777</v>
      </c>
      <c r="C3419" s="1" t="n">
        <v>46145</v>
      </c>
      <c r="D3419" t="inlineStr">
        <is>
          <t>VÄSTERBOTTENS LÄN</t>
        </is>
      </c>
      <c r="E3419" t="inlineStr">
        <is>
          <t>ROBERTSFORS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38430-2025</t>
        </is>
      </c>
      <c r="B3420" s="1" t="n">
        <v>45883.6364699074</v>
      </c>
      <c r="C3420" s="1" t="n">
        <v>46145</v>
      </c>
      <c r="D3420" t="inlineStr">
        <is>
          <t>VÄSTERBOTTENS LÄN</t>
        </is>
      </c>
      <c r="E3420" t="inlineStr">
        <is>
          <t>VILHELMINA</t>
        </is>
      </c>
      <c r="G3420" t="n">
        <v>36.7</v>
      </c>
      <c r="H3420" t="n">
        <v>0</v>
      </c>
      <c r="I3420" t="n">
        <v>0</v>
      </c>
      <c r="J3420" t="n">
        <v>0</v>
      </c>
      <c r="K3420" t="n">
        <v>0</v>
      </c>
      <c r="L3420" t="n">
        <v>0</v>
      </c>
      <c r="M3420" t="n">
        <v>0</v>
      </c>
      <c r="N3420" t="n">
        <v>0</v>
      </c>
      <c r="O3420" t="n">
        <v>0</v>
      </c>
      <c r="P3420" t="n">
        <v>0</v>
      </c>
      <c r="Q3420" t="n">
        <v>0</v>
      </c>
      <c r="R3420" s="2" t="inlineStr"/>
    </row>
    <row r="3421" ht="15" customHeight="1">
      <c r="A3421" t="inlineStr">
        <is>
          <t>A 37015-2025</t>
        </is>
      </c>
      <c r="B3421" s="1" t="n">
        <v>45874.71912037037</v>
      </c>
      <c r="C3421" s="1" t="n">
        <v>46145</v>
      </c>
      <c r="D3421" t="inlineStr">
        <is>
          <t>VÄSTERBOTTENS LÄN</t>
        </is>
      </c>
      <c r="E3421" t="inlineStr">
        <is>
          <t>VILHELMINA</t>
        </is>
      </c>
      <c r="F3421" t="inlineStr">
        <is>
          <t>SCA</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8689-2025</t>
        </is>
      </c>
      <c r="B3422" s="1" t="n">
        <v>45712</v>
      </c>
      <c r="C3422" s="1" t="n">
        <v>46145</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38490-2025</t>
        </is>
      </c>
      <c r="B3423" s="1" t="n">
        <v>45884.34648148148</v>
      </c>
      <c r="C3423" s="1" t="n">
        <v>46145</v>
      </c>
      <c r="D3423" t="inlineStr">
        <is>
          <t>VÄSTERBOTTENS LÄN</t>
        </is>
      </c>
      <c r="E3423" t="inlineStr">
        <is>
          <t>NORDMALING</t>
        </is>
      </c>
      <c r="F3423" t="inlineStr">
        <is>
          <t>Naturvårdsverket</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38500-2025</t>
        </is>
      </c>
      <c r="B3424" s="1" t="n">
        <v>45884.37513888889</v>
      </c>
      <c r="C3424" s="1" t="n">
        <v>46145</v>
      </c>
      <c r="D3424" t="inlineStr">
        <is>
          <t>VÄSTERBOTTENS LÄN</t>
        </is>
      </c>
      <c r="E3424" t="inlineStr">
        <is>
          <t>SKELLEFTEÅ</t>
        </is>
      </c>
      <c r="F3424" t="inlineStr">
        <is>
          <t>Holmen skog AB</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37007-2025</t>
        </is>
      </c>
      <c r="B3425" s="1" t="n">
        <v>45874.69827546296</v>
      </c>
      <c r="C3425" s="1" t="n">
        <v>46145</v>
      </c>
      <c r="D3425" t="inlineStr">
        <is>
          <t>VÄSTERBOTTENS LÄN</t>
        </is>
      </c>
      <c r="E3425" t="inlineStr">
        <is>
          <t>BJURHOLM</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37020-2025</t>
        </is>
      </c>
      <c r="B3426" s="1" t="n">
        <v>45874</v>
      </c>
      <c r="C3426" s="1" t="n">
        <v>46145</v>
      </c>
      <c r="D3426" t="inlineStr">
        <is>
          <t>VÄSTERBOTTENS LÄN</t>
        </is>
      </c>
      <c r="E3426" t="inlineStr">
        <is>
          <t>STORUMAN</t>
        </is>
      </c>
      <c r="G3426" t="n">
        <v>13.3</v>
      </c>
      <c r="H3426" t="n">
        <v>0</v>
      </c>
      <c r="I3426" t="n">
        <v>0</v>
      </c>
      <c r="J3426" t="n">
        <v>0</v>
      </c>
      <c r="K3426" t="n">
        <v>0</v>
      </c>
      <c r="L3426" t="n">
        <v>0</v>
      </c>
      <c r="M3426" t="n">
        <v>0</v>
      </c>
      <c r="N3426" t="n">
        <v>0</v>
      </c>
      <c r="O3426" t="n">
        <v>0</v>
      </c>
      <c r="P3426" t="n">
        <v>0</v>
      </c>
      <c r="Q3426" t="n">
        <v>0</v>
      </c>
      <c r="R3426" s="2" t="inlineStr"/>
    </row>
    <row r="3427" ht="15" customHeight="1">
      <c r="A3427" t="inlineStr">
        <is>
          <t>A 14238-2025</t>
        </is>
      </c>
      <c r="B3427" s="1" t="n">
        <v>45740.6105787037</v>
      </c>
      <c r="C3427" s="1" t="n">
        <v>46145</v>
      </c>
      <c r="D3427" t="inlineStr">
        <is>
          <t>VÄSTERBOTTENS LÄN</t>
        </is>
      </c>
      <c r="E3427" t="inlineStr">
        <is>
          <t>SKELLEFTEÅ</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26397-2022</t>
        </is>
      </c>
      <c r="B3428" s="1" t="n">
        <v>44735</v>
      </c>
      <c r="C3428" s="1" t="n">
        <v>46145</v>
      </c>
      <c r="D3428" t="inlineStr">
        <is>
          <t>VÄSTERBOTTENS LÄN</t>
        </is>
      </c>
      <c r="E3428" t="inlineStr">
        <is>
          <t>LYCKSELE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58624-2023</t>
        </is>
      </c>
      <c r="B3429" s="1" t="n">
        <v>45251</v>
      </c>
      <c r="C3429" s="1" t="n">
        <v>46145</v>
      </c>
      <c r="D3429" t="inlineStr">
        <is>
          <t>VÄSTERBOTTENS LÄN</t>
        </is>
      </c>
      <c r="E3429" t="inlineStr">
        <is>
          <t>ROBERTSFORS</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62721-2023</t>
        </is>
      </c>
      <c r="B3430" s="1" t="n">
        <v>45271</v>
      </c>
      <c r="C3430" s="1" t="n">
        <v>46145</v>
      </c>
      <c r="D3430" t="inlineStr">
        <is>
          <t>VÄSTERBOTTENS LÄN</t>
        </is>
      </c>
      <c r="E3430" t="inlineStr">
        <is>
          <t>UMEÅ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64421-2023</t>
        </is>
      </c>
      <c r="B3431" s="1" t="n">
        <v>45280</v>
      </c>
      <c r="C3431" s="1" t="n">
        <v>46145</v>
      </c>
      <c r="D3431" t="inlineStr">
        <is>
          <t>VÄSTERBOTTENS LÄN</t>
        </is>
      </c>
      <c r="E3431" t="inlineStr">
        <is>
          <t>VILHELMINA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57410-2024</t>
        </is>
      </c>
      <c r="B3432" s="1" t="n">
        <v>45629</v>
      </c>
      <c r="C3432" s="1" t="n">
        <v>46145</v>
      </c>
      <c r="D3432" t="inlineStr">
        <is>
          <t>VÄSTERBOTTENS LÄN</t>
        </is>
      </c>
      <c r="E3432" t="inlineStr">
        <is>
          <t>UMEÅ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63356-2023</t>
        </is>
      </c>
      <c r="B3433" s="1" t="n">
        <v>45274.44392361111</v>
      </c>
      <c r="C3433" s="1" t="n">
        <v>46145</v>
      </c>
      <c r="D3433" t="inlineStr">
        <is>
          <t>VÄSTERBOTTENS LÄN</t>
        </is>
      </c>
      <c r="E3433" t="inlineStr">
        <is>
          <t>MALÅ</t>
        </is>
      </c>
      <c r="F3433" t="inlineStr">
        <is>
          <t>Sveaskog</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51740-2024</t>
        </is>
      </c>
      <c r="B3434" s="1" t="n">
        <v>45607.40678240741</v>
      </c>
      <c r="C3434" s="1" t="n">
        <v>46145</v>
      </c>
      <c r="D3434" t="inlineStr">
        <is>
          <t>VÄSTERBOTTENS LÄN</t>
        </is>
      </c>
      <c r="E3434" t="inlineStr">
        <is>
          <t>DOROTEA</t>
        </is>
      </c>
      <c r="F3434" t="inlineStr">
        <is>
          <t>SCA</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51741-2024</t>
        </is>
      </c>
      <c r="B3435" s="1" t="n">
        <v>45607.40694444445</v>
      </c>
      <c r="C3435" s="1" t="n">
        <v>46145</v>
      </c>
      <c r="D3435" t="inlineStr">
        <is>
          <t>VÄSTERBOTTENS LÄN</t>
        </is>
      </c>
      <c r="E3435" t="inlineStr">
        <is>
          <t>DOROTEA</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41299-2024</t>
        </is>
      </c>
      <c r="B3436" s="1" t="n">
        <v>45559.61635416667</v>
      </c>
      <c r="C3436" s="1" t="n">
        <v>46145</v>
      </c>
      <c r="D3436" t="inlineStr">
        <is>
          <t>VÄSTERBOTTENS LÄN</t>
        </is>
      </c>
      <c r="E3436" t="inlineStr">
        <is>
          <t>ROBERTSFORS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41300-2024</t>
        </is>
      </c>
      <c r="B3437" s="1" t="n">
        <v>45559.61655092592</v>
      </c>
      <c r="C3437" s="1" t="n">
        <v>46145</v>
      </c>
      <c r="D3437" t="inlineStr">
        <is>
          <t>VÄSTERBOTTENS LÄN</t>
        </is>
      </c>
      <c r="E3437" t="inlineStr">
        <is>
          <t>ÅSELE</t>
        </is>
      </c>
      <c r="F3437" t="inlineStr">
        <is>
          <t>Naturvårdsverket</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37105-2025</t>
        </is>
      </c>
      <c r="B3438" s="1" t="n">
        <v>45875.47822916666</v>
      </c>
      <c r="C3438" s="1" t="n">
        <v>46145</v>
      </c>
      <c r="D3438" t="inlineStr">
        <is>
          <t>VÄSTERBOTTENS LÄN</t>
        </is>
      </c>
      <c r="E3438" t="inlineStr">
        <is>
          <t>LYCKSELE</t>
        </is>
      </c>
      <c r="F3438" t="inlineStr">
        <is>
          <t>Holmen skog AB</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41321-2024</t>
        </is>
      </c>
      <c r="B3439" s="1" t="n">
        <v>45559.64984953704</v>
      </c>
      <c r="C3439" s="1" t="n">
        <v>46145</v>
      </c>
      <c r="D3439" t="inlineStr">
        <is>
          <t>VÄSTERBOTTENS LÄN</t>
        </is>
      </c>
      <c r="E3439" t="inlineStr">
        <is>
          <t>ÅSELE</t>
        </is>
      </c>
      <c r="F3439" t="inlineStr">
        <is>
          <t>Naturvårdsverket</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51873-2024</t>
        </is>
      </c>
      <c r="B3440" s="1" t="n">
        <v>45607</v>
      </c>
      <c r="C3440" s="1" t="n">
        <v>46145</v>
      </c>
      <c r="D3440" t="inlineStr">
        <is>
          <t>VÄSTERBOTTENS LÄN</t>
        </is>
      </c>
      <c r="E3440" t="inlineStr">
        <is>
          <t>ROBERTSFORS</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37134-2025</t>
        </is>
      </c>
      <c r="B3441" s="1" t="n">
        <v>45875.54960648148</v>
      </c>
      <c r="C3441" s="1" t="n">
        <v>46145</v>
      </c>
      <c r="D3441" t="inlineStr">
        <is>
          <t>VÄSTERBOTTENS LÄN</t>
        </is>
      </c>
      <c r="E3441" t="inlineStr">
        <is>
          <t>VINDELN</t>
        </is>
      </c>
      <c r="F3441" t="inlineStr">
        <is>
          <t>Sveaskog</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37240-2025</t>
        </is>
      </c>
      <c r="B3442" s="1" t="n">
        <v>45876.38582175926</v>
      </c>
      <c r="C3442" s="1" t="n">
        <v>46145</v>
      </c>
      <c r="D3442" t="inlineStr">
        <is>
          <t>VÄSTERBOTTENS LÄN</t>
        </is>
      </c>
      <c r="E3442" t="inlineStr">
        <is>
          <t>DOROTEA</t>
        </is>
      </c>
      <c r="F3442" t="inlineStr">
        <is>
          <t>SCA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37259-2025</t>
        </is>
      </c>
      <c r="B3443" s="1" t="n">
        <v>45876.4483912037</v>
      </c>
      <c r="C3443" s="1" t="n">
        <v>46145</v>
      </c>
      <c r="D3443" t="inlineStr">
        <is>
          <t>VÄSTERBOTTENS LÄN</t>
        </is>
      </c>
      <c r="E3443" t="inlineStr">
        <is>
          <t>DOROTEA</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37282-2025</t>
        </is>
      </c>
      <c r="B3444" s="1" t="n">
        <v>45876.49122685185</v>
      </c>
      <c r="C3444" s="1" t="n">
        <v>46145</v>
      </c>
      <c r="D3444" t="inlineStr">
        <is>
          <t>VÄSTERBOTTENS LÄN</t>
        </is>
      </c>
      <c r="E3444" t="inlineStr">
        <is>
          <t>DOROTEA</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19279-2025</t>
        </is>
      </c>
      <c r="B3445" s="1" t="n">
        <v>45769</v>
      </c>
      <c r="C3445" s="1" t="n">
        <v>46145</v>
      </c>
      <c r="D3445" t="inlineStr">
        <is>
          <t>VÄSTERBOTTENS LÄN</t>
        </is>
      </c>
      <c r="E3445" t="inlineStr">
        <is>
          <t>SORSELE</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64663-2023</t>
        </is>
      </c>
      <c r="B3446" s="1" t="n">
        <v>45281</v>
      </c>
      <c r="C3446" s="1" t="n">
        <v>46145</v>
      </c>
      <c r="D3446" t="inlineStr">
        <is>
          <t>VÄSTERBOTTENS LÄN</t>
        </is>
      </c>
      <c r="E3446" t="inlineStr">
        <is>
          <t>LYCKSELE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37130-2025</t>
        </is>
      </c>
      <c r="B3447" s="1" t="n">
        <v>45875.54311342593</v>
      </c>
      <c r="C3447" s="1" t="n">
        <v>46145</v>
      </c>
      <c r="D3447" t="inlineStr">
        <is>
          <t>VÄSTERBOTTENS LÄN</t>
        </is>
      </c>
      <c r="E3447" t="inlineStr">
        <is>
          <t>VINDELN</t>
        </is>
      </c>
      <c r="F3447" t="inlineStr">
        <is>
          <t>Sveaskog</t>
        </is>
      </c>
      <c r="G3447" t="n">
        <v>14.3</v>
      </c>
      <c r="H3447" t="n">
        <v>0</v>
      </c>
      <c r="I3447" t="n">
        <v>0</v>
      </c>
      <c r="J3447" t="n">
        <v>0</v>
      </c>
      <c r="K3447" t="n">
        <v>0</v>
      </c>
      <c r="L3447" t="n">
        <v>0</v>
      </c>
      <c r="M3447" t="n">
        <v>0</v>
      </c>
      <c r="N3447" t="n">
        <v>0</v>
      </c>
      <c r="O3447" t="n">
        <v>0</v>
      </c>
      <c r="P3447" t="n">
        <v>0</v>
      </c>
      <c r="Q3447" t="n">
        <v>0</v>
      </c>
      <c r="R3447" s="2" t="inlineStr"/>
    </row>
    <row r="3448" ht="15" customHeight="1">
      <c r="A3448" t="inlineStr">
        <is>
          <t>A 37135-2025</t>
        </is>
      </c>
      <c r="B3448" s="1" t="n">
        <v>45875.5525462963</v>
      </c>
      <c r="C3448" s="1" t="n">
        <v>46145</v>
      </c>
      <c r="D3448" t="inlineStr">
        <is>
          <t>VÄSTERBOTTENS LÄN</t>
        </is>
      </c>
      <c r="E3448" t="inlineStr">
        <is>
          <t>DOROTEA</t>
        </is>
      </c>
      <c r="F3448" t="inlineStr">
        <is>
          <t>SCA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37302-2025</t>
        </is>
      </c>
      <c r="B3449" s="1" t="n">
        <v>45876</v>
      </c>
      <c r="C3449" s="1" t="n">
        <v>46145</v>
      </c>
      <c r="D3449" t="inlineStr">
        <is>
          <t>VÄSTERBOTTENS LÄN</t>
        </is>
      </c>
      <c r="E3449" t="inlineStr">
        <is>
          <t>VILHELMINA</t>
        </is>
      </c>
      <c r="F3449" t="inlineStr">
        <is>
          <t>SCA</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15085-2022</t>
        </is>
      </c>
      <c r="B3450" s="1" t="n">
        <v>44657.93243055556</v>
      </c>
      <c r="C3450" s="1" t="n">
        <v>46145</v>
      </c>
      <c r="D3450" t="inlineStr">
        <is>
          <t>VÄSTERBOTTENS LÄN</t>
        </is>
      </c>
      <c r="E3450" t="inlineStr">
        <is>
          <t>NORSJÖ</t>
        </is>
      </c>
      <c r="F3450" t="inlineStr">
        <is>
          <t>Kyrkan</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37309-2025</t>
        </is>
      </c>
      <c r="B3451" s="1" t="n">
        <v>45876.595</v>
      </c>
      <c r="C3451" s="1" t="n">
        <v>46145</v>
      </c>
      <c r="D3451" t="inlineStr">
        <is>
          <t>VÄSTERBOTTENS LÄN</t>
        </is>
      </c>
      <c r="E3451" t="inlineStr">
        <is>
          <t>UMEÅ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37039-2025</t>
        </is>
      </c>
      <c r="B3452" s="1" t="n">
        <v>45875.32471064815</v>
      </c>
      <c r="C3452" s="1" t="n">
        <v>46145</v>
      </c>
      <c r="D3452" t="inlineStr">
        <is>
          <t>VÄSTERBOTTENS LÄN</t>
        </is>
      </c>
      <c r="E3452" t="inlineStr">
        <is>
          <t>UMEÅ</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6910-2023</t>
        </is>
      </c>
      <c r="B3453" s="1" t="n">
        <v>44964</v>
      </c>
      <c r="C3453" s="1" t="n">
        <v>46145</v>
      </c>
      <c r="D3453" t="inlineStr">
        <is>
          <t>VÄSTERBOTTENS LÄN</t>
        </is>
      </c>
      <c r="E3453" t="inlineStr">
        <is>
          <t>MALÅ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36814-2025</t>
        </is>
      </c>
      <c r="B3454" s="1" t="n">
        <v>45872</v>
      </c>
      <c r="C3454" s="1" t="n">
        <v>46145</v>
      </c>
      <c r="D3454" t="inlineStr">
        <is>
          <t>VÄSTERBOTTENS LÄN</t>
        </is>
      </c>
      <c r="E3454" t="inlineStr">
        <is>
          <t>UMEÅ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37239-2025</t>
        </is>
      </c>
      <c r="B3455" s="1" t="n">
        <v>45876</v>
      </c>
      <c r="C3455" s="1" t="n">
        <v>46145</v>
      </c>
      <c r="D3455" t="inlineStr">
        <is>
          <t>VÄSTERBOTTENS LÄN</t>
        </is>
      </c>
      <c r="E3455" t="inlineStr">
        <is>
          <t>STORUMAN</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24828-2023</t>
        </is>
      </c>
      <c r="B3456" s="1" t="n">
        <v>45084</v>
      </c>
      <c r="C3456" s="1" t="n">
        <v>46145</v>
      </c>
      <c r="D3456" t="inlineStr">
        <is>
          <t>VÄSTERBOTTENS LÄN</t>
        </is>
      </c>
      <c r="E3456" t="inlineStr">
        <is>
          <t>VILHELMINA</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37269-2025</t>
        </is>
      </c>
      <c r="B3457" s="1" t="n">
        <v>45876</v>
      </c>
      <c r="C3457" s="1" t="n">
        <v>46145</v>
      </c>
      <c r="D3457" t="inlineStr">
        <is>
          <t>VÄSTERBOTTENS LÄN</t>
        </is>
      </c>
      <c r="E3457" t="inlineStr">
        <is>
          <t>VILHELMINA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37276-2025</t>
        </is>
      </c>
      <c r="B3458" s="1" t="n">
        <v>45876.49024305555</v>
      </c>
      <c r="C3458" s="1" t="n">
        <v>46145</v>
      </c>
      <c r="D3458" t="inlineStr">
        <is>
          <t>VÄSTERBOTTENS LÄN</t>
        </is>
      </c>
      <c r="E3458" t="inlineStr">
        <is>
          <t>DOROTEA</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37289-2025</t>
        </is>
      </c>
      <c r="B3459" s="1" t="n">
        <v>45876.51096064815</v>
      </c>
      <c r="C3459" s="1" t="n">
        <v>46145</v>
      </c>
      <c r="D3459" t="inlineStr">
        <is>
          <t>VÄSTERBOTTENS LÄN</t>
        </is>
      </c>
      <c r="E3459" t="inlineStr">
        <is>
          <t>DOROTEA</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37318-2025</t>
        </is>
      </c>
      <c r="B3460" s="1" t="n">
        <v>45876.61952546296</v>
      </c>
      <c r="C3460" s="1" t="n">
        <v>46145</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37322-2025</t>
        </is>
      </c>
      <c r="B3461" s="1" t="n">
        <v>45876.62466435185</v>
      </c>
      <c r="C3461" s="1" t="n">
        <v>46145</v>
      </c>
      <c r="D3461" t="inlineStr">
        <is>
          <t>VÄSTERBOTTENS LÄN</t>
        </is>
      </c>
      <c r="E3461" t="inlineStr">
        <is>
          <t>SKELLEFTEÅ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9026-2024</t>
        </is>
      </c>
      <c r="B3462" s="1" t="n">
        <v>45356</v>
      </c>
      <c r="C3462" s="1" t="n">
        <v>46145</v>
      </c>
      <c r="D3462" t="inlineStr">
        <is>
          <t>VÄSTERBOTTENS LÄN</t>
        </is>
      </c>
      <c r="E3462" t="inlineStr">
        <is>
          <t>VÄNNÄS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37174-2025</t>
        </is>
      </c>
      <c r="B3463" s="1" t="n">
        <v>45875.61515046296</v>
      </c>
      <c r="C3463" s="1" t="n">
        <v>46145</v>
      </c>
      <c r="D3463" t="inlineStr">
        <is>
          <t>VÄSTERBOTTENS LÄN</t>
        </is>
      </c>
      <c r="E3463" t="inlineStr">
        <is>
          <t>VINDELN</t>
        </is>
      </c>
      <c r="F3463" t="inlineStr">
        <is>
          <t>SCA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37175-2025</t>
        </is>
      </c>
      <c r="B3464" s="1" t="n">
        <v>45875.61523148148</v>
      </c>
      <c r="C3464" s="1" t="n">
        <v>46145</v>
      </c>
      <c r="D3464" t="inlineStr">
        <is>
          <t>VÄSTERBOTTENS LÄN</t>
        </is>
      </c>
      <c r="E3464" t="inlineStr">
        <is>
          <t>VINDELN</t>
        </is>
      </c>
      <c r="F3464" t="inlineStr">
        <is>
          <t>SCA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20068-2022</t>
        </is>
      </c>
      <c r="B3465" s="1" t="n">
        <v>44697</v>
      </c>
      <c r="C3465" s="1" t="n">
        <v>46145</v>
      </c>
      <c r="D3465" t="inlineStr">
        <is>
          <t>VÄSTERBOTTENS LÄN</t>
        </is>
      </c>
      <c r="E3465" t="inlineStr">
        <is>
          <t>ÅSELE</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37199-2025</t>
        </is>
      </c>
      <c r="B3466" s="1" t="n">
        <v>45875.67760416667</v>
      </c>
      <c r="C3466" s="1" t="n">
        <v>46145</v>
      </c>
      <c r="D3466" t="inlineStr">
        <is>
          <t>VÄSTERBOTTENS LÄN</t>
        </is>
      </c>
      <c r="E3466" t="inlineStr">
        <is>
          <t>BJURHOLM</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20154-2025</t>
        </is>
      </c>
      <c r="B3467" s="1" t="n">
        <v>45772.55646990741</v>
      </c>
      <c r="C3467" s="1" t="n">
        <v>46145</v>
      </c>
      <c r="D3467" t="inlineStr">
        <is>
          <t>VÄSTERBOTTENS LÄN</t>
        </is>
      </c>
      <c r="E3467" t="inlineStr">
        <is>
          <t>ÅSELE</t>
        </is>
      </c>
      <c r="F3467" t="inlineStr">
        <is>
          <t>Holmen skog AB</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37078-2025</t>
        </is>
      </c>
      <c r="B3468" s="1" t="n">
        <v>45875.42446759259</v>
      </c>
      <c r="C3468" s="1" t="n">
        <v>46145</v>
      </c>
      <c r="D3468" t="inlineStr">
        <is>
          <t>VÄSTERBOTTENS LÄN</t>
        </is>
      </c>
      <c r="E3468" t="inlineStr">
        <is>
          <t>LYCKSELE</t>
        </is>
      </c>
      <c r="F3468" t="inlineStr">
        <is>
          <t>Sveaskog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37119-2025</t>
        </is>
      </c>
      <c r="B3469" s="1" t="n">
        <v>45875</v>
      </c>
      <c r="C3469" s="1" t="n">
        <v>46145</v>
      </c>
      <c r="D3469" t="inlineStr">
        <is>
          <t>VÄSTERBOTTENS LÄN</t>
        </is>
      </c>
      <c r="E3469" t="inlineStr">
        <is>
          <t>MALÅ</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60810-2023</t>
        </is>
      </c>
      <c r="B3470" s="1" t="n">
        <v>45260</v>
      </c>
      <c r="C3470" s="1" t="n">
        <v>46145</v>
      </c>
      <c r="D3470" t="inlineStr">
        <is>
          <t>VÄSTERBOTTENS LÄN</t>
        </is>
      </c>
      <c r="E3470" t="inlineStr">
        <is>
          <t>VINDELN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60859-2023</t>
        </is>
      </c>
      <c r="B3471" s="1" t="n">
        <v>45260</v>
      </c>
      <c r="C3471" s="1" t="n">
        <v>46145</v>
      </c>
      <c r="D3471" t="inlineStr">
        <is>
          <t>VÄSTERBOTTENS LÄN</t>
        </is>
      </c>
      <c r="E3471" t="inlineStr">
        <is>
          <t>VINDELN</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60939-2023</t>
        </is>
      </c>
      <c r="B3472" s="1" t="n">
        <v>45259</v>
      </c>
      <c r="C3472" s="1" t="n">
        <v>46145</v>
      </c>
      <c r="D3472" t="inlineStr">
        <is>
          <t>VÄSTERBOTTENS LÄN</t>
        </is>
      </c>
      <c r="E3472" t="inlineStr">
        <is>
          <t>SORSELE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8510-2024</t>
        </is>
      </c>
      <c r="B3473" s="1" t="n">
        <v>45351</v>
      </c>
      <c r="C3473" s="1" t="n">
        <v>46145</v>
      </c>
      <c r="D3473" t="inlineStr">
        <is>
          <t>VÄSTERBOTTENS LÄN</t>
        </is>
      </c>
      <c r="E3473" t="inlineStr">
        <is>
          <t>BJURHOLM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61779-2023</t>
        </is>
      </c>
      <c r="B3474" s="1" t="n">
        <v>45265.95677083333</v>
      </c>
      <c r="C3474" s="1" t="n">
        <v>46145</v>
      </c>
      <c r="D3474" t="inlineStr">
        <is>
          <t>VÄSTERBOTTENS LÄN</t>
        </is>
      </c>
      <c r="E3474" t="inlineStr">
        <is>
          <t>VILHELMINA</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49434-2023</t>
        </is>
      </c>
      <c r="B3475" s="1" t="n">
        <v>45211</v>
      </c>
      <c r="C3475" s="1" t="n">
        <v>46145</v>
      </c>
      <c r="D3475" t="inlineStr">
        <is>
          <t>VÄSTERBOTTENS LÄN</t>
        </is>
      </c>
      <c r="E3475" t="inlineStr">
        <is>
          <t>MALÅ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61799-2023</t>
        </is>
      </c>
      <c r="B3476" s="1" t="n">
        <v>45265.95865740741</v>
      </c>
      <c r="C3476" s="1" t="n">
        <v>46145</v>
      </c>
      <c r="D3476" t="inlineStr">
        <is>
          <t>VÄSTERBOTTENS LÄN</t>
        </is>
      </c>
      <c r="E3476" t="inlineStr">
        <is>
          <t>LYCKSELE</t>
        </is>
      </c>
      <c r="F3476" t="inlineStr">
        <is>
          <t>SCA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27028-2022</t>
        </is>
      </c>
      <c r="B3477" s="1" t="n">
        <v>44740</v>
      </c>
      <c r="C3477" s="1" t="n">
        <v>46145</v>
      </c>
      <c r="D3477" t="inlineStr">
        <is>
          <t>VÄSTERBOTTENS LÄN</t>
        </is>
      </c>
      <c r="E3477" t="inlineStr">
        <is>
          <t>SKELLEFTEÅ</t>
        </is>
      </c>
      <c r="F3477" t="inlineStr">
        <is>
          <t>SCA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63103-2021</t>
        </is>
      </c>
      <c r="B3478" s="1" t="n">
        <v>44505</v>
      </c>
      <c r="C3478" s="1" t="n">
        <v>46145</v>
      </c>
      <c r="D3478" t="inlineStr">
        <is>
          <t>VÄSTERBOTTENS LÄN</t>
        </is>
      </c>
      <c r="E3478" t="inlineStr">
        <is>
          <t>SORSELE</t>
        </is>
      </c>
      <c r="G3478" t="n">
        <v>13.9</v>
      </c>
      <c r="H3478" t="n">
        <v>0</v>
      </c>
      <c r="I3478" t="n">
        <v>0</v>
      </c>
      <c r="J3478" t="n">
        <v>0</v>
      </c>
      <c r="K3478" t="n">
        <v>0</v>
      </c>
      <c r="L3478" t="n">
        <v>0</v>
      </c>
      <c r="M3478" t="n">
        <v>0</v>
      </c>
      <c r="N3478" t="n">
        <v>0</v>
      </c>
      <c r="O3478" t="n">
        <v>0</v>
      </c>
      <c r="P3478" t="n">
        <v>0</v>
      </c>
      <c r="Q3478" t="n">
        <v>0</v>
      </c>
      <c r="R3478" s="2" t="inlineStr"/>
    </row>
    <row r="3479" ht="15" customHeight="1">
      <c r="A3479" t="inlineStr">
        <is>
          <t>A 2840-2024</t>
        </is>
      </c>
      <c r="B3479" s="1" t="n">
        <v>45315</v>
      </c>
      <c r="C3479" s="1" t="n">
        <v>46145</v>
      </c>
      <c r="D3479" t="inlineStr">
        <is>
          <t>VÄSTERBOTTENS LÄN</t>
        </is>
      </c>
      <c r="E3479" t="inlineStr">
        <is>
          <t>SKELLEFTEÅ</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37038-2025</t>
        </is>
      </c>
      <c r="B3480" s="1" t="n">
        <v>45875.31435185186</v>
      </c>
      <c r="C3480" s="1" t="n">
        <v>46145</v>
      </c>
      <c r="D3480" t="inlineStr">
        <is>
          <t>VÄSTERBOTTENS LÄN</t>
        </is>
      </c>
      <c r="E3480" t="inlineStr">
        <is>
          <t>UMEÅ</t>
        </is>
      </c>
      <c r="F3480" t="inlineStr">
        <is>
          <t>Holmen skog AB</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37046-2025</t>
        </is>
      </c>
      <c r="B3481" s="1" t="n">
        <v>45875.34476851852</v>
      </c>
      <c r="C3481" s="1" t="n">
        <v>46145</v>
      </c>
      <c r="D3481" t="inlineStr">
        <is>
          <t>VÄSTERBOTTENS LÄN</t>
        </is>
      </c>
      <c r="E3481" t="inlineStr">
        <is>
          <t>BJURHOLM</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31648-2024</t>
        </is>
      </c>
      <c r="B3482" s="1" t="n">
        <v>45506.61575231481</v>
      </c>
      <c r="C3482" s="1" t="n">
        <v>46145</v>
      </c>
      <c r="D3482" t="inlineStr">
        <is>
          <t>VÄSTERBOTTENS LÄN</t>
        </is>
      </c>
      <c r="E3482" t="inlineStr">
        <is>
          <t>LYCKSELE</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37277-2025</t>
        </is>
      </c>
      <c r="B3483" s="1" t="n">
        <v>45876.49045138889</v>
      </c>
      <c r="C3483" s="1" t="n">
        <v>46145</v>
      </c>
      <c r="D3483" t="inlineStr">
        <is>
          <t>VÄSTERBOTTENS LÄN</t>
        </is>
      </c>
      <c r="E3483" t="inlineStr">
        <is>
          <t>DOROTEA</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37280-2025</t>
        </is>
      </c>
      <c r="B3484" s="1" t="n">
        <v>45876.4909837963</v>
      </c>
      <c r="C3484" s="1" t="n">
        <v>46145</v>
      </c>
      <c r="D3484" t="inlineStr">
        <is>
          <t>VÄSTERBOTTENS LÄN</t>
        </is>
      </c>
      <c r="E3484" t="inlineStr">
        <is>
          <t>DOROTEA</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37284-2025</t>
        </is>
      </c>
      <c r="B3485" s="1" t="n">
        <v>45876.49138888889</v>
      </c>
      <c r="C3485" s="1" t="n">
        <v>46145</v>
      </c>
      <c r="D3485" t="inlineStr">
        <is>
          <t>VÄSTERBOTTENS LÄN</t>
        </is>
      </c>
      <c r="E3485" t="inlineStr">
        <is>
          <t>DOROTEA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37035-2025</t>
        </is>
      </c>
      <c r="B3486" s="1" t="n">
        <v>45875.28846064815</v>
      </c>
      <c r="C3486" s="1" t="n">
        <v>46145</v>
      </c>
      <c r="D3486" t="inlineStr">
        <is>
          <t>VÄSTERBOTTENS LÄN</t>
        </is>
      </c>
      <c r="E3486" t="inlineStr">
        <is>
          <t>STORUMAN</t>
        </is>
      </c>
      <c r="G3486" t="n">
        <v>14.8</v>
      </c>
      <c r="H3486" t="n">
        <v>0</v>
      </c>
      <c r="I3486" t="n">
        <v>0</v>
      </c>
      <c r="J3486" t="n">
        <v>0</v>
      </c>
      <c r="K3486" t="n">
        <v>0</v>
      </c>
      <c r="L3486" t="n">
        <v>0</v>
      </c>
      <c r="M3486" t="n">
        <v>0</v>
      </c>
      <c r="N3486" t="n">
        <v>0</v>
      </c>
      <c r="O3486" t="n">
        <v>0</v>
      </c>
      <c r="P3486" t="n">
        <v>0</v>
      </c>
      <c r="Q3486" t="n">
        <v>0</v>
      </c>
      <c r="R3486" s="2" t="inlineStr"/>
    </row>
    <row r="3487" ht="15" customHeight="1">
      <c r="A3487" t="inlineStr">
        <is>
          <t>A 37037-2025</t>
        </is>
      </c>
      <c r="B3487" s="1" t="n">
        <v>45875.30196759259</v>
      </c>
      <c r="C3487" s="1" t="n">
        <v>46145</v>
      </c>
      <c r="D3487" t="inlineStr">
        <is>
          <t>VÄSTERBOTTENS LÄN</t>
        </is>
      </c>
      <c r="E3487" t="inlineStr">
        <is>
          <t>SORSELE</t>
        </is>
      </c>
      <c r="G3487" t="n">
        <v>17.9</v>
      </c>
      <c r="H3487" t="n">
        <v>0</v>
      </c>
      <c r="I3487" t="n">
        <v>0</v>
      </c>
      <c r="J3487" t="n">
        <v>0</v>
      </c>
      <c r="K3487" t="n">
        <v>0</v>
      </c>
      <c r="L3487" t="n">
        <v>0</v>
      </c>
      <c r="M3487" t="n">
        <v>0</v>
      </c>
      <c r="N3487" t="n">
        <v>0</v>
      </c>
      <c r="O3487" t="n">
        <v>0</v>
      </c>
      <c r="P3487" t="n">
        <v>0</v>
      </c>
      <c r="Q3487" t="n">
        <v>0</v>
      </c>
      <c r="R3487" s="2" t="inlineStr"/>
    </row>
    <row r="3488" ht="15" customHeight="1">
      <c r="A3488" t="inlineStr">
        <is>
          <t>A 46212-2024</t>
        </is>
      </c>
      <c r="B3488" s="1" t="n">
        <v>45581.55569444445</v>
      </c>
      <c r="C3488" s="1" t="n">
        <v>46145</v>
      </c>
      <c r="D3488" t="inlineStr">
        <is>
          <t>VÄSTERBOTTENS LÄN</t>
        </is>
      </c>
      <c r="E3488" t="inlineStr">
        <is>
          <t>VÄNNÄS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37176-2025</t>
        </is>
      </c>
      <c r="B3489" s="1" t="n">
        <v>45875.61525462963</v>
      </c>
      <c r="C3489" s="1" t="n">
        <v>46145</v>
      </c>
      <c r="D3489" t="inlineStr">
        <is>
          <t>VÄSTERBOTTENS LÄN</t>
        </is>
      </c>
      <c r="E3489" t="inlineStr">
        <is>
          <t>VINDELN</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37308-2025</t>
        </is>
      </c>
      <c r="B3490" s="1" t="n">
        <v>45876.59497685185</v>
      </c>
      <c r="C3490" s="1" t="n">
        <v>46145</v>
      </c>
      <c r="D3490" t="inlineStr">
        <is>
          <t>VÄSTERBOTTENS LÄN</t>
        </is>
      </c>
      <c r="E3490" t="inlineStr">
        <is>
          <t>UMEÅ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37313-2025</t>
        </is>
      </c>
      <c r="B3491" s="1" t="n">
        <v>45876.60814814815</v>
      </c>
      <c r="C3491" s="1" t="n">
        <v>46145</v>
      </c>
      <c r="D3491" t="inlineStr">
        <is>
          <t>VÄSTERBOTTENS LÄN</t>
        </is>
      </c>
      <c r="E3491" t="inlineStr">
        <is>
          <t>SKELLEFTEÅ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37192-2025</t>
        </is>
      </c>
      <c r="B3492" s="1" t="n">
        <v>45875.65143518519</v>
      </c>
      <c r="C3492" s="1" t="n">
        <v>46145</v>
      </c>
      <c r="D3492" t="inlineStr">
        <is>
          <t>VÄSTERBOTTENS LÄN</t>
        </is>
      </c>
      <c r="E3492" t="inlineStr">
        <is>
          <t>SKELLEFTEÅ</t>
        </is>
      </c>
      <c r="F3492" t="inlineStr">
        <is>
          <t>Sveaskog</t>
        </is>
      </c>
      <c r="G3492" t="n">
        <v>24.8</v>
      </c>
      <c r="H3492" t="n">
        <v>0</v>
      </c>
      <c r="I3492" t="n">
        <v>0</v>
      </c>
      <c r="J3492" t="n">
        <v>0</v>
      </c>
      <c r="K3492" t="n">
        <v>0</v>
      </c>
      <c r="L3492" t="n">
        <v>0</v>
      </c>
      <c r="M3492" t="n">
        <v>0</v>
      </c>
      <c r="N3492" t="n">
        <v>0</v>
      </c>
      <c r="O3492" t="n">
        <v>0</v>
      </c>
      <c r="P3492" t="n">
        <v>0</v>
      </c>
      <c r="Q3492" t="n">
        <v>0</v>
      </c>
      <c r="R3492" s="2" t="inlineStr"/>
    </row>
    <row r="3493" ht="15" customHeight="1">
      <c r="A3493" t="inlineStr">
        <is>
          <t>A 37193-2025</t>
        </is>
      </c>
      <c r="B3493" s="1" t="n">
        <v>45875.65556712963</v>
      </c>
      <c r="C3493" s="1" t="n">
        <v>46145</v>
      </c>
      <c r="D3493" t="inlineStr">
        <is>
          <t>VÄSTERBOTTENS LÄN</t>
        </is>
      </c>
      <c r="E3493" t="inlineStr">
        <is>
          <t>VINDELN</t>
        </is>
      </c>
      <c r="F3493" t="inlineStr">
        <is>
          <t>Sveaskog</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38566-2025</t>
        </is>
      </c>
      <c r="B3494" s="1" t="n">
        <v>45884.45541666666</v>
      </c>
      <c r="C3494" s="1" t="n">
        <v>46145</v>
      </c>
      <c r="D3494" t="inlineStr">
        <is>
          <t>VÄSTERBOTTENS LÄN</t>
        </is>
      </c>
      <c r="E3494" t="inlineStr">
        <is>
          <t>VÄNNÄS</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38580-2025</t>
        </is>
      </c>
      <c r="B3495" s="1" t="n">
        <v>45884.46951388889</v>
      </c>
      <c r="C3495" s="1" t="n">
        <v>46145</v>
      </c>
      <c r="D3495" t="inlineStr">
        <is>
          <t>VÄSTERBOTTENS LÄN</t>
        </is>
      </c>
      <c r="E3495" t="inlineStr">
        <is>
          <t>VILHELMINA</t>
        </is>
      </c>
      <c r="F3495" t="inlineStr">
        <is>
          <t>SCA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38586-2025</t>
        </is>
      </c>
      <c r="B3496" s="1" t="n">
        <v>45884.47202546296</v>
      </c>
      <c r="C3496" s="1" t="n">
        <v>46145</v>
      </c>
      <c r="D3496" t="inlineStr">
        <is>
          <t>VÄSTERBOTTENS LÄN</t>
        </is>
      </c>
      <c r="E3496" t="inlineStr">
        <is>
          <t>SKELLEFTEÅ</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37162-2025</t>
        </is>
      </c>
      <c r="B3497" s="1" t="n">
        <v>45875.60013888889</v>
      </c>
      <c r="C3497" s="1" t="n">
        <v>46145</v>
      </c>
      <c r="D3497" t="inlineStr">
        <is>
          <t>VÄSTERBOTTENS LÄN</t>
        </is>
      </c>
      <c r="E3497" t="inlineStr">
        <is>
          <t>VINDELN</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35491-2022</t>
        </is>
      </c>
      <c r="B3498" s="1" t="n">
        <v>44798</v>
      </c>
      <c r="C3498" s="1" t="n">
        <v>46145</v>
      </c>
      <c r="D3498" t="inlineStr">
        <is>
          <t>VÄSTERBOTTENS LÄN</t>
        </is>
      </c>
      <c r="E3498" t="inlineStr">
        <is>
          <t>SKELLEFTEÅ</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37441-2025</t>
        </is>
      </c>
      <c r="B3499" s="1" t="n">
        <v>45877.54078703704</v>
      </c>
      <c r="C3499" s="1" t="n">
        <v>46145</v>
      </c>
      <c r="D3499" t="inlineStr">
        <is>
          <t>VÄSTERBOTTENS LÄN</t>
        </is>
      </c>
      <c r="E3499" t="inlineStr">
        <is>
          <t>NORSJÖ</t>
        </is>
      </c>
      <c r="G3499" t="n">
        <v>13.7</v>
      </c>
      <c r="H3499" t="n">
        <v>0</v>
      </c>
      <c r="I3499" t="n">
        <v>0</v>
      </c>
      <c r="J3499" t="n">
        <v>0</v>
      </c>
      <c r="K3499" t="n">
        <v>0</v>
      </c>
      <c r="L3499" t="n">
        <v>0</v>
      </c>
      <c r="M3499" t="n">
        <v>0</v>
      </c>
      <c r="N3499" t="n">
        <v>0</v>
      </c>
      <c r="O3499" t="n">
        <v>0</v>
      </c>
      <c r="P3499" t="n">
        <v>0</v>
      </c>
      <c r="Q3499" t="n">
        <v>0</v>
      </c>
      <c r="R3499" s="2" t="inlineStr"/>
    </row>
    <row r="3500" ht="15" customHeight="1">
      <c r="A3500" t="inlineStr">
        <is>
          <t>A 38347-2025</t>
        </is>
      </c>
      <c r="B3500" s="1" t="n">
        <v>45883.51207175926</v>
      </c>
      <c r="C3500" s="1" t="n">
        <v>46145</v>
      </c>
      <c r="D3500" t="inlineStr">
        <is>
          <t>VÄSTERBOTTENS LÄN</t>
        </is>
      </c>
      <c r="E3500" t="inlineStr">
        <is>
          <t>LYCKSELE</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57777-2023</t>
        </is>
      </c>
      <c r="B3501" s="1" t="n">
        <v>45246</v>
      </c>
      <c r="C3501" s="1" t="n">
        <v>46145</v>
      </c>
      <c r="D3501" t="inlineStr">
        <is>
          <t>VÄSTERBOTTENS LÄN</t>
        </is>
      </c>
      <c r="E3501" t="inlineStr">
        <is>
          <t>VÄNNÄS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1249-2025</t>
        </is>
      </c>
      <c r="B3502" s="1" t="n">
        <v>45667.4634375</v>
      </c>
      <c r="C3502" s="1" t="n">
        <v>46145</v>
      </c>
      <c r="D3502" t="inlineStr">
        <is>
          <t>VÄSTERBOTTENS LÄN</t>
        </is>
      </c>
      <c r="E3502" t="inlineStr">
        <is>
          <t>SKELLEFTEÅ</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37429-2025</t>
        </is>
      </c>
      <c r="B3503" s="1" t="n">
        <v>45877.50601851852</v>
      </c>
      <c r="C3503" s="1" t="n">
        <v>46145</v>
      </c>
      <c r="D3503" t="inlineStr">
        <is>
          <t>VÄSTERBOTTENS LÄN</t>
        </is>
      </c>
      <c r="E3503" t="inlineStr">
        <is>
          <t>SKELLEFTEÅ</t>
        </is>
      </c>
      <c r="F3503" t="inlineStr">
        <is>
          <t>Holmen skog AB</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13348-2023</t>
        </is>
      </c>
      <c r="B3504" s="1" t="n">
        <v>45005</v>
      </c>
      <c r="C3504" s="1" t="n">
        <v>46145</v>
      </c>
      <c r="D3504" t="inlineStr">
        <is>
          <t>VÄSTERBOTTENS LÄN</t>
        </is>
      </c>
      <c r="E3504" t="inlineStr">
        <is>
          <t>ÅSELE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7635-2024</t>
        </is>
      </c>
      <c r="B3505" s="1" t="n">
        <v>45348.62467592592</v>
      </c>
      <c r="C3505" s="1" t="n">
        <v>46145</v>
      </c>
      <c r="D3505" t="inlineStr">
        <is>
          <t>VÄSTERBOTTENS LÄN</t>
        </is>
      </c>
      <c r="E3505" t="inlineStr">
        <is>
          <t>UMEÅ</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10082-2025</t>
        </is>
      </c>
      <c r="B3506" s="1" t="n">
        <v>45719</v>
      </c>
      <c r="C3506" s="1" t="n">
        <v>46145</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60510-2022</t>
        </is>
      </c>
      <c r="B3507" s="1" t="n">
        <v>44911</v>
      </c>
      <c r="C3507" s="1" t="n">
        <v>46145</v>
      </c>
      <c r="D3507" t="inlineStr">
        <is>
          <t>VÄSTERBOTTENS LÄN</t>
        </is>
      </c>
      <c r="E3507" t="inlineStr">
        <is>
          <t>ROBERTSFORS</t>
        </is>
      </c>
      <c r="F3507" t="inlineStr">
        <is>
          <t>Sveaskog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12364-2025</t>
        </is>
      </c>
      <c r="B3508" s="1" t="n">
        <v>45730.37515046296</v>
      </c>
      <c r="C3508" s="1" t="n">
        <v>46145</v>
      </c>
      <c r="D3508" t="inlineStr">
        <is>
          <t>VÄSTERBOTTENS LÄN</t>
        </is>
      </c>
      <c r="E3508" t="inlineStr">
        <is>
          <t>VILHELMINA</t>
        </is>
      </c>
      <c r="F3508" t="inlineStr">
        <is>
          <t>Övriga statliga verk och myndigheter</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12377-2025</t>
        </is>
      </c>
      <c r="B3509" s="1" t="n">
        <v>45730</v>
      </c>
      <c r="C3509" s="1" t="n">
        <v>46145</v>
      </c>
      <c r="D3509" t="inlineStr">
        <is>
          <t>VÄSTERBOTTENS LÄN</t>
        </is>
      </c>
      <c r="E3509" t="inlineStr">
        <is>
          <t>VILHELMINA</t>
        </is>
      </c>
      <c r="F3509" t="inlineStr">
        <is>
          <t>Övriga statliga verk och myndigheter</t>
        </is>
      </c>
      <c r="G3509" t="n">
        <v>37.1</v>
      </c>
      <c r="H3509" t="n">
        <v>0</v>
      </c>
      <c r="I3509" t="n">
        <v>0</v>
      </c>
      <c r="J3509" t="n">
        <v>0</v>
      </c>
      <c r="K3509" t="n">
        <v>0</v>
      </c>
      <c r="L3509" t="n">
        <v>0</v>
      </c>
      <c r="M3509" t="n">
        <v>0</v>
      </c>
      <c r="N3509" t="n">
        <v>0</v>
      </c>
      <c r="O3509" t="n">
        <v>0</v>
      </c>
      <c r="P3509" t="n">
        <v>0</v>
      </c>
      <c r="Q3509" t="n">
        <v>0</v>
      </c>
      <c r="R3509" s="2" t="inlineStr"/>
    </row>
    <row r="3510" ht="15" customHeight="1">
      <c r="A3510" t="inlineStr">
        <is>
          <t>A 57003-2024</t>
        </is>
      </c>
      <c r="B3510" s="1" t="n">
        <v>45628.73037037037</v>
      </c>
      <c r="C3510" s="1" t="n">
        <v>46145</v>
      </c>
      <c r="D3510" t="inlineStr">
        <is>
          <t>VÄSTERBOTTENS LÄN</t>
        </is>
      </c>
      <c r="E3510" t="inlineStr">
        <is>
          <t>SKELLEFTEÅ</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57020-2024</t>
        </is>
      </c>
      <c r="B3511" s="1" t="n">
        <v>45626</v>
      </c>
      <c r="C3511" s="1" t="n">
        <v>46145</v>
      </c>
      <c r="D3511" t="inlineStr">
        <is>
          <t>VÄSTERBOTTENS LÄN</t>
        </is>
      </c>
      <c r="E3511" t="inlineStr">
        <is>
          <t>SORSELE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37643-2025</t>
        </is>
      </c>
      <c r="B3512" s="1" t="n">
        <v>45880.47910879629</v>
      </c>
      <c r="C3512" s="1" t="n">
        <v>46145</v>
      </c>
      <c r="D3512" t="inlineStr">
        <is>
          <t>VÄSTERBOTTENS LÄN</t>
        </is>
      </c>
      <c r="E3512" t="inlineStr">
        <is>
          <t>ROBERTSFORS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5687-2025</t>
        </is>
      </c>
      <c r="B3513" s="1" t="n">
        <v>45694</v>
      </c>
      <c r="C3513" s="1" t="n">
        <v>46145</v>
      </c>
      <c r="D3513" t="inlineStr">
        <is>
          <t>VÄSTERBOTTENS LÄN</t>
        </is>
      </c>
      <c r="E3513" t="inlineStr">
        <is>
          <t>LYCKSELE</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5700-2025</t>
        </is>
      </c>
      <c r="B3514" s="1" t="n">
        <v>45694.42777777778</v>
      </c>
      <c r="C3514" s="1" t="n">
        <v>46145</v>
      </c>
      <c r="D3514" t="inlineStr">
        <is>
          <t>VÄSTERBOTTENS LÄN</t>
        </is>
      </c>
      <c r="E3514" t="inlineStr">
        <is>
          <t>MALÅ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36706-2023</t>
        </is>
      </c>
      <c r="B3515" s="1" t="n">
        <v>45152</v>
      </c>
      <c r="C3515" s="1" t="n">
        <v>46145</v>
      </c>
      <c r="D3515" t="inlineStr">
        <is>
          <t>VÄSTERBOTTENS LÄN</t>
        </is>
      </c>
      <c r="E3515" t="inlineStr">
        <is>
          <t>MALÅ</t>
        </is>
      </c>
      <c r="G3515" t="n">
        <v>41.7</v>
      </c>
      <c r="H3515" t="n">
        <v>0</v>
      </c>
      <c r="I3515" t="n">
        <v>0</v>
      </c>
      <c r="J3515" t="n">
        <v>0</v>
      </c>
      <c r="K3515" t="n">
        <v>0</v>
      </c>
      <c r="L3515" t="n">
        <v>0</v>
      </c>
      <c r="M3515" t="n">
        <v>0</v>
      </c>
      <c r="N3515" t="n">
        <v>0</v>
      </c>
      <c r="O3515" t="n">
        <v>0</v>
      </c>
      <c r="P3515" t="n">
        <v>0</v>
      </c>
      <c r="Q3515" t="n">
        <v>0</v>
      </c>
      <c r="R3515" s="2" t="inlineStr"/>
    </row>
    <row r="3516" ht="15" customHeight="1">
      <c r="A3516" t="inlineStr">
        <is>
          <t>A 38679-2025</t>
        </is>
      </c>
      <c r="B3516" s="1" t="n">
        <v>45884.64471064815</v>
      </c>
      <c r="C3516" s="1" t="n">
        <v>46145</v>
      </c>
      <c r="D3516" t="inlineStr">
        <is>
          <t>VÄSTERBOTTENS LÄN</t>
        </is>
      </c>
      <c r="E3516" t="inlineStr">
        <is>
          <t>VINDELN</t>
        </is>
      </c>
      <c r="F3516" t="inlineStr">
        <is>
          <t>Naturvårdsverket</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1746-2025</t>
        </is>
      </c>
      <c r="B3517" s="1" t="n">
        <v>45671.40643518518</v>
      </c>
      <c r="C3517" s="1" t="n">
        <v>46145</v>
      </c>
      <c r="D3517" t="inlineStr">
        <is>
          <t>VÄSTERBOTTENS LÄN</t>
        </is>
      </c>
      <c r="E3517" t="inlineStr">
        <is>
          <t>SKELLEFTEÅ</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14734-2023</t>
        </is>
      </c>
      <c r="B3518" s="1" t="n">
        <v>45013</v>
      </c>
      <c r="C3518" s="1" t="n">
        <v>46145</v>
      </c>
      <c r="D3518" t="inlineStr">
        <is>
          <t>VÄSTERBOTTENS LÄN</t>
        </is>
      </c>
      <c r="E3518" t="inlineStr">
        <is>
          <t>UMEÅ</t>
        </is>
      </c>
      <c r="G3518" t="n">
        <v>14.4</v>
      </c>
      <c r="H3518" t="n">
        <v>0</v>
      </c>
      <c r="I3518" t="n">
        <v>0</v>
      </c>
      <c r="J3518" t="n">
        <v>0</v>
      </c>
      <c r="K3518" t="n">
        <v>0</v>
      </c>
      <c r="L3518" t="n">
        <v>0</v>
      </c>
      <c r="M3518" t="n">
        <v>0</v>
      </c>
      <c r="N3518" t="n">
        <v>0</v>
      </c>
      <c r="O3518" t="n">
        <v>0</v>
      </c>
      <c r="P3518" t="n">
        <v>0</v>
      </c>
      <c r="Q3518" t="n">
        <v>0</v>
      </c>
      <c r="R3518" s="2" t="inlineStr"/>
    </row>
    <row r="3519" ht="15" customHeight="1">
      <c r="A3519" t="inlineStr">
        <is>
          <t>A 12197-2023</t>
        </is>
      </c>
      <c r="B3519" s="1" t="n">
        <v>44998</v>
      </c>
      <c r="C3519" s="1" t="n">
        <v>46145</v>
      </c>
      <c r="D3519" t="inlineStr">
        <is>
          <t>VÄSTERBOTTENS LÄN</t>
        </is>
      </c>
      <c r="E3519" t="inlineStr">
        <is>
          <t>BJURHOLM</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62599-2023</t>
        </is>
      </c>
      <c r="B3520" s="1" t="n">
        <v>45267</v>
      </c>
      <c r="C3520" s="1" t="n">
        <v>46145</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62601-2023</t>
        </is>
      </c>
      <c r="B3521" s="1" t="n">
        <v>45267</v>
      </c>
      <c r="C3521" s="1" t="n">
        <v>46145</v>
      </c>
      <c r="D3521" t="inlineStr">
        <is>
          <t>VÄSTERBOTTENS LÄN</t>
        </is>
      </c>
      <c r="E3521" t="inlineStr">
        <is>
          <t>SKELLEFTEÅ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17874-2025</t>
        </is>
      </c>
      <c r="B3522" s="1" t="n">
        <v>45758.64266203704</v>
      </c>
      <c r="C3522" s="1" t="n">
        <v>46145</v>
      </c>
      <c r="D3522" t="inlineStr">
        <is>
          <t>VÄSTERBOTTENS LÄN</t>
        </is>
      </c>
      <c r="E3522" t="inlineStr">
        <is>
          <t>SKELLEFTEÅ</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5994-2025</t>
        </is>
      </c>
      <c r="B3523" s="1" t="n">
        <v>45695</v>
      </c>
      <c r="C3523" s="1" t="n">
        <v>46145</v>
      </c>
      <c r="D3523" t="inlineStr">
        <is>
          <t>VÄSTERBOTTENS LÄN</t>
        </is>
      </c>
      <c r="E3523" t="inlineStr">
        <is>
          <t>UMEÅ</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12410-2025</t>
        </is>
      </c>
      <c r="B3524" s="1" t="n">
        <v>45730.43505787037</v>
      </c>
      <c r="C3524" s="1" t="n">
        <v>46145</v>
      </c>
      <c r="D3524" t="inlineStr">
        <is>
          <t>VÄSTERBOTTENS LÄN</t>
        </is>
      </c>
      <c r="E3524" t="inlineStr">
        <is>
          <t>VÄNNÄS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59671-2023</t>
        </is>
      </c>
      <c r="B3525" s="1" t="n">
        <v>45254.96524305556</v>
      </c>
      <c r="C3525" s="1" t="n">
        <v>46145</v>
      </c>
      <c r="D3525" t="inlineStr">
        <is>
          <t>VÄSTERBOTTENS LÄN</t>
        </is>
      </c>
      <c r="E3525" t="inlineStr">
        <is>
          <t>VILHELMINA</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13207-2025</t>
        </is>
      </c>
      <c r="B3526" s="1" t="n">
        <v>45735.43693287037</v>
      </c>
      <c r="C3526" s="1" t="n">
        <v>46145</v>
      </c>
      <c r="D3526" t="inlineStr">
        <is>
          <t>VÄSTERBOTTENS LÄN</t>
        </is>
      </c>
      <c r="E3526" t="inlineStr">
        <is>
          <t>SKELLEFTEÅ</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37905-2025</t>
        </is>
      </c>
      <c r="B3527" s="1" t="n">
        <v>45880</v>
      </c>
      <c r="C3527" s="1" t="n">
        <v>46145</v>
      </c>
      <c r="D3527" t="inlineStr">
        <is>
          <t>VÄSTERBOTTENS LÄN</t>
        </is>
      </c>
      <c r="E3527" t="inlineStr">
        <is>
          <t>LYCKSELE</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37928-2025</t>
        </is>
      </c>
      <c r="B3528" s="1" t="n">
        <v>45880</v>
      </c>
      <c r="C3528" s="1" t="n">
        <v>46145</v>
      </c>
      <c r="D3528" t="inlineStr">
        <is>
          <t>VÄSTERBOTTENS LÄN</t>
        </is>
      </c>
      <c r="E3528" t="inlineStr">
        <is>
          <t>BJURHOLM</t>
        </is>
      </c>
      <c r="G3528" t="n">
        <v>16.5</v>
      </c>
      <c r="H3528" t="n">
        <v>0</v>
      </c>
      <c r="I3528" t="n">
        <v>0</v>
      </c>
      <c r="J3528" t="n">
        <v>0</v>
      </c>
      <c r="K3528" t="n">
        <v>0</v>
      </c>
      <c r="L3528" t="n">
        <v>0</v>
      </c>
      <c r="M3528" t="n">
        <v>0</v>
      </c>
      <c r="N3528" t="n">
        <v>0</v>
      </c>
      <c r="O3528" t="n">
        <v>0</v>
      </c>
      <c r="P3528" t="n">
        <v>0</v>
      </c>
      <c r="Q3528" t="n">
        <v>0</v>
      </c>
      <c r="R3528" s="2" t="inlineStr"/>
    </row>
    <row r="3529" ht="15" customHeight="1">
      <c r="A3529" t="inlineStr">
        <is>
          <t>A 12424-2025</t>
        </is>
      </c>
      <c r="B3529" s="1" t="n">
        <v>45730.45533564815</v>
      </c>
      <c r="C3529" s="1" t="n">
        <v>46145</v>
      </c>
      <c r="D3529" t="inlineStr">
        <is>
          <t>VÄSTERBOTTENS LÄN</t>
        </is>
      </c>
      <c r="E3529" t="inlineStr">
        <is>
          <t>LYCKSELE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28436-2025</t>
        </is>
      </c>
      <c r="B3530" s="1" t="n">
        <v>45819.38614583333</v>
      </c>
      <c r="C3530" s="1" t="n">
        <v>46145</v>
      </c>
      <c r="D3530" t="inlineStr">
        <is>
          <t>VÄSTERBOTTENS LÄN</t>
        </is>
      </c>
      <c r="E3530" t="inlineStr">
        <is>
          <t>UMEÅ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37881-2025</t>
        </is>
      </c>
      <c r="B3531" s="1" t="n">
        <v>45880</v>
      </c>
      <c r="C3531" s="1" t="n">
        <v>46145</v>
      </c>
      <c r="D3531" t="inlineStr">
        <is>
          <t>VÄSTERBOTTENS LÄN</t>
        </is>
      </c>
      <c r="E3531" t="inlineStr">
        <is>
          <t>BJURHOLM</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37943-2025</t>
        </is>
      </c>
      <c r="B3532" s="1" t="n">
        <v>45880</v>
      </c>
      <c r="C3532" s="1" t="n">
        <v>46145</v>
      </c>
      <c r="D3532" t="inlineStr">
        <is>
          <t>VÄSTERBOTTENS LÄN</t>
        </is>
      </c>
      <c r="E3532" t="inlineStr">
        <is>
          <t>BJURHOLM</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37369-2025</t>
        </is>
      </c>
      <c r="B3533" s="1" t="n">
        <v>45877.34444444445</v>
      </c>
      <c r="C3533" s="1" t="n">
        <v>46145</v>
      </c>
      <c r="D3533" t="inlineStr">
        <is>
          <t>VÄSTERBOTTENS LÄN</t>
        </is>
      </c>
      <c r="E3533" t="inlineStr">
        <is>
          <t>VILHELMINA</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1814-2025</t>
        </is>
      </c>
      <c r="B3534" s="1" t="n">
        <v>45671</v>
      </c>
      <c r="C3534" s="1" t="n">
        <v>46145</v>
      </c>
      <c r="D3534" t="inlineStr">
        <is>
          <t>VÄSTERBOTTENS LÄN</t>
        </is>
      </c>
      <c r="E3534" t="inlineStr">
        <is>
          <t>ROBERTSFORS</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59516-2021</t>
        </is>
      </c>
      <c r="B3535" s="1" t="n">
        <v>44491</v>
      </c>
      <c r="C3535" s="1" t="n">
        <v>46145</v>
      </c>
      <c r="D3535" t="inlineStr">
        <is>
          <t>VÄSTERBOTTENS LÄN</t>
        </is>
      </c>
      <c r="E3535" t="inlineStr">
        <is>
          <t>LYCKSELE</t>
        </is>
      </c>
      <c r="F3535" t="inlineStr">
        <is>
          <t>Holmen skog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56414-2022</t>
        </is>
      </c>
      <c r="B3536" s="1" t="n">
        <v>44890</v>
      </c>
      <c r="C3536" s="1" t="n">
        <v>46145</v>
      </c>
      <c r="D3536" t="inlineStr">
        <is>
          <t>VÄSTERBOTTENS LÄN</t>
        </is>
      </c>
      <c r="E3536" t="inlineStr">
        <is>
          <t>SORSELE</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12127-2023</t>
        </is>
      </c>
      <c r="B3537" s="1" t="n">
        <v>44995</v>
      </c>
      <c r="C3537" s="1" t="n">
        <v>46145</v>
      </c>
      <c r="D3537" t="inlineStr">
        <is>
          <t>VÄSTERBOTTENS LÄN</t>
        </is>
      </c>
      <c r="E3537" t="inlineStr">
        <is>
          <t>VINDELN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37376-2025</t>
        </is>
      </c>
      <c r="B3538" s="1" t="n">
        <v>45877.36513888889</v>
      </c>
      <c r="C3538" s="1" t="n">
        <v>46145</v>
      </c>
      <c r="D3538" t="inlineStr">
        <is>
          <t>VÄSTERBOTTENS LÄN</t>
        </is>
      </c>
      <c r="E3538" t="inlineStr">
        <is>
          <t>VILHELMINA</t>
        </is>
      </c>
      <c r="F3538" t="inlineStr">
        <is>
          <t>SCA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37421-2025</t>
        </is>
      </c>
      <c r="B3539" s="1" t="n">
        <v>45877.48462962963</v>
      </c>
      <c r="C3539" s="1" t="n">
        <v>46145</v>
      </c>
      <c r="D3539" t="inlineStr">
        <is>
          <t>VÄSTERBOTTENS LÄN</t>
        </is>
      </c>
      <c r="E3539" t="inlineStr">
        <is>
          <t>NORSJÖ</t>
        </is>
      </c>
      <c r="F3539" t="inlineStr">
        <is>
          <t>Holmen skog AB</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38426-2025</t>
        </is>
      </c>
      <c r="B3540" s="1" t="n">
        <v>45883.63590277778</v>
      </c>
      <c r="C3540" s="1" t="n">
        <v>46145</v>
      </c>
      <c r="D3540" t="inlineStr">
        <is>
          <t>VÄSTERBOTTENS LÄN</t>
        </is>
      </c>
      <c r="E3540" t="inlineStr">
        <is>
          <t>BJURHOLM</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38427-2025</t>
        </is>
      </c>
      <c r="B3541" s="1" t="n">
        <v>45883.63611111111</v>
      </c>
      <c r="C3541" s="1" t="n">
        <v>46145</v>
      </c>
      <c r="D3541" t="inlineStr">
        <is>
          <t>VÄSTERBOTTENS LÄN</t>
        </is>
      </c>
      <c r="E3541" t="inlineStr">
        <is>
          <t>VILHELMINA</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38429-2025</t>
        </is>
      </c>
      <c r="B3542" s="1" t="n">
        <v>45883.63638888889</v>
      </c>
      <c r="C3542" s="1" t="n">
        <v>46145</v>
      </c>
      <c r="D3542" t="inlineStr">
        <is>
          <t>VÄSTERBOTTENS LÄN</t>
        </is>
      </c>
      <c r="E3542" t="inlineStr">
        <is>
          <t>VILHELMINA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38444-2025</t>
        </is>
      </c>
      <c r="B3543" s="1" t="n">
        <v>45883.65666666667</v>
      </c>
      <c r="C3543" s="1" t="n">
        <v>46145</v>
      </c>
      <c r="D3543" t="inlineStr">
        <is>
          <t>VÄSTERBOTTENS LÄN</t>
        </is>
      </c>
      <c r="E3543" t="inlineStr">
        <is>
          <t>BJURHOLM</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54430-2024</t>
        </is>
      </c>
      <c r="B3544" s="1" t="n">
        <v>45617.49107638889</v>
      </c>
      <c r="C3544" s="1" t="n">
        <v>46145</v>
      </c>
      <c r="D3544" t="inlineStr">
        <is>
          <t>VÄSTERBOTTENS LÄN</t>
        </is>
      </c>
      <c r="E3544" t="inlineStr">
        <is>
          <t>VILHELMINA</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37689-2025</t>
        </is>
      </c>
      <c r="B3545" s="1" t="n">
        <v>45880.56694444444</v>
      </c>
      <c r="C3545" s="1" t="n">
        <v>46145</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37692-2025</t>
        </is>
      </c>
      <c r="B3546" s="1" t="n">
        <v>45880.57291666666</v>
      </c>
      <c r="C3546" s="1" t="n">
        <v>46145</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37363-2025</t>
        </is>
      </c>
      <c r="B3547" s="1" t="n">
        <v>45877.31953703704</v>
      </c>
      <c r="C3547" s="1" t="n">
        <v>46145</v>
      </c>
      <c r="D3547" t="inlineStr">
        <is>
          <t>VÄSTERBOTTENS LÄN</t>
        </is>
      </c>
      <c r="E3547" t="inlineStr">
        <is>
          <t>ÅSELE</t>
        </is>
      </c>
      <c r="F3547" t="inlineStr">
        <is>
          <t>Naturvårdsverket</t>
        </is>
      </c>
      <c r="G3547" t="n">
        <v>19.4</v>
      </c>
      <c r="H3547" t="n">
        <v>0</v>
      </c>
      <c r="I3547" t="n">
        <v>0</v>
      </c>
      <c r="J3547" t="n">
        <v>0</v>
      </c>
      <c r="K3547" t="n">
        <v>0</v>
      </c>
      <c r="L3547" t="n">
        <v>0</v>
      </c>
      <c r="M3547" t="n">
        <v>0</v>
      </c>
      <c r="N3547" t="n">
        <v>0</v>
      </c>
      <c r="O3547" t="n">
        <v>0</v>
      </c>
      <c r="P3547" t="n">
        <v>0</v>
      </c>
      <c r="Q3547" t="n">
        <v>0</v>
      </c>
      <c r="R3547" s="2" t="inlineStr"/>
    </row>
    <row r="3548" ht="15" customHeight="1">
      <c r="A3548" t="inlineStr">
        <is>
          <t>A 37368-2025</t>
        </is>
      </c>
      <c r="B3548" s="1" t="n">
        <v>45877.34436342592</v>
      </c>
      <c r="C3548" s="1" t="n">
        <v>46145</v>
      </c>
      <c r="D3548" t="inlineStr">
        <is>
          <t>VÄSTERBOTTENS LÄN</t>
        </is>
      </c>
      <c r="E3548" t="inlineStr">
        <is>
          <t>VILHELMINA</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52509-2024</t>
        </is>
      </c>
      <c r="B3549" s="1" t="n">
        <v>45609.59239583334</v>
      </c>
      <c r="C3549" s="1" t="n">
        <v>46145</v>
      </c>
      <c r="D3549" t="inlineStr">
        <is>
          <t>VÄSTERBOTTENS LÄN</t>
        </is>
      </c>
      <c r="E3549" t="inlineStr">
        <is>
          <t>SKELLEFTEÅ</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52549-2024</t>
        </is>
      </c>
      <c r="B3550" s="1" t="n">
        <v>45609.64043981482</v>
      </c>
      <c r="C3550" s="1" t="n">
        <v>46145</v>
      </c>
      <c r="D3550" t="inlineStr">
        <is>
          <t>VÄSTERBOTTENS LÄN</t>
        </is>
      </c>
      <c r="E3550" t="inlineStr">
        <is>
          <t>BJURHOLM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52552-2024</t>
        </is>
      </c>
      <c r="B3551" s="1" t="n">
        <v>45609.64550925926</v>
      </c>
      <c r="C3551" s="1" t="n">
        <v>46145</v>
      </c>
      <c r="D3551" t="inlineStr">
        <is>
          <t>VÄSTERBOTTENS LÄN</t>
        </is>
      </c>
      <c r="E3551" t="inlineStr">
        <is>
          <t>STORUMAN</t>
        </is>
      </c>
      <c r="F3551" t="inlineStr">
        <is>
          <t>Sveaskog</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37702-2025</t>
        </is>
      </c>
      <c r="B3552" s="1" t="n">
        <v>45880.58201388889</v>
      </c>
      <c r="C3552" s="1" t="n">
        <v>46145</v>
      </c>
      <c r="D3552" t="inlineStr">
        <is>
          <t>VÄSTERBOTTENS LÄN</t>
        </is>
      </c>
      <c r="E3552" t="inlineStr">
        <is>
          <t>SKELLEFTEÅ</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37711-2025</t>
        </is>
      </c>
      <c r="B3553" s="1" t="n">
        <v>45880.59618055556</v>
      </c>
      <c r="C3553" s="1" t="n">
        <v>46145</v>
      </c>
      <c r="D3553" t="inlineStr">
        <is>
          <t>VÄSTERBOTTENS LÄN</t>
        </is>
      </c>
      <c r="E3553" t="inlineStr">
        <is>
          <t>SKELLEFTEÅ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37364-2025</t>
        </is>
      </c>
      <c r="B3554" s="1" t="n">
        <v>45877.32516203704</v>
      </c>
      <c r="C3554" s="1" t="n">
        <v>46145</v>
      </c>
      <c r="D3554" t="inlineStr">
        <is>
          <t>VÄSTERBOTTENS LÄN</t>
        </is>
      </c>
      <c r="E3554" t="inlineStr">
        <is>
          <t>VÄNNÄS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37482-2025</t>
        </is>
      </c>
      <c r="B3555" s="1" t="n">
        <v>45877.61789351852</v>
      </c>
      <c r="C3555" s="1" t="n">
        <v>46145</v>
      </c>
      <c r="D3555" t="inlineStr">
        <is>
          <t>VÄSTERBOTTENS LÄN</t>
        </is>
      </c>
      <c r="E3555" t="inlineStr">
        <is>
          <t>UMEÅ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37926-2025</t>
        </is>
      </c>
      <c r="B3556" s="1" t="n">
        <v>45880</v>
      </c>
      <c r="C3556" s="1" t="n">
        <v>46145</v>
      </c>
      <c r="D3556" t="inlineStr">
        <is>
          <t>VÄSTERBOTTENS LÄN</t>
        </is>
      </c>
      <c r="E3556" t="inlineStr">
        <is>
          <t>BJURHOLM</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23295-2023</t>
        </is>
      </c>
      <c r="B3557" s="1" t="n">
        <v>45075</v>
      </c>
      <c r="C3557" s="1" t="n">
        <v>46145</v>
      </c>
      <c r="D3557" t="inlineStr">
        <is>
          <t>VÄSTERBOTTENS LÄN</t>
        </is>
      </c>
      <c r="E3557" t="inlineStr">
        <is>
          <t>LYCKSELE</t>
        </is>
      </c>
      <c r="F3557" t="inlineStr">
        <is>
          <t>SCA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46363-2024</t>
        </is>
      </c>
      <c r="B3558" s="1" t="n">
        <v>45582</v>
      </c>
      <c r="C3558" s="1" t="n">
        <v>46145</v>
      </c>
      <c r="D3558" t="inlineStr">
        <is>
          <t>VÄSTERBOTTENS LÄN</t>
        </is>
      </c>
      <c r="E3558" t="inlineStr">
        <is>
          <t>STORUMAN</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25699-2025</t>
        </is>
      </c>
      <c r="B3559" s="1" t="n">
        <v>45803.66822916667</v>
      </c>
      <c r="C3559" s="1" t="n">
        <v>46145</v>
      </c>
      <c r="D3559" t="inlineStr">
        <is>
          <t>VÄSTERBOTTENS LÄN</t>
        </is>
      </c>
      <c r="E3559" t="inlineStr">
        <is>
          <t>UMEÅ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3193-2025</t>
        </is>
      </c>
      <c r="B3560" s="1" t="n">
        <v>45679.42042824074</v>
      </c>
      <c r="C3560" s="1" t="n">
        <v>46145</v>
      </c>
      <c r="D3560" t="inlineStr">
        <is>
          <t>VÄSTERBOTTENS LÄN</t>
        </is>
      </c>
      <c r="E3560" t="inlineStr">
        <is>
          <t>SKELLEFTEÅ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37697-2025</t>
        </is>
      </c>
      <c r="B3561" s="1" t="n">
        <v>45880.5738425926</v>
      </c>
      <c r="C3561" s="1" t="n">
        <v>46145</v>
      </c>
      <c r="D3561" t="inlineStr">
        <is>
          <t>VÄSTERBOTTENS LÄN</t>
        </is>
      </c>
      <c r="E3561" t="inlineStr">
        <is>
          <t>VINDELN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5689-2023</t>
        </is>
      </c>
      <c r="B3562" s="1" t="n">
        <v>44960</v>
      </c>
      <c r="C3562" s="1" t="n">
        <v>46145</v>
      </c>
      <c r="D3562" t="inlineStr">
        <is>
          <t>VÄSTERBOTTENS LÄN</t>
        </is>
      </c>
      <c r="E3562" t="inlineStr">
        <is>
          <t>ROBERTSFORS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5690-2023</t>
        </is>
      </c>
      <c r="B3563" s="1" t="n">
        <v>44960</v>
      </c>
      <c r="C3563" s="1" t="n">
        <v>46145</v>
      </c>
      <c r="D3563" t="inlineStr">
        <is>
          <t>VÄSTERBOTTENS LÄN</t>
        </is>
      </c>
      <c r="E3563" t="inlineStr">
        <is>
          <t>ROBERTSFORS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5691-2023</t>
        </is>
      </c>
      <c r="B3564" s="1" t="n">
        <v>44960</v>
      </c>
      <c r="C3564" s="1" t="n">
        <v>46145</v>
      </c>
      <c r="D3564" t="inlineStr">
        <is>
          <t>VÄSTERBOTTENS LÄN</t>
        </is>
      </c>
      <c r="E3564" t="inlineStr">
        <is>
          <t>ROBERTSFORS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56806-2024</t>
        </is>
      </c>
      <c r="B3565" s="1" t="n">
        <v>45628.47483796296</v>
      </c>
      <c r="C3565" s="1" t="n">
        <v>46145</v>
      </c>
      <c r="D3565" t="inlineStr">
        <is>
          <t>VÄSTERBOTTENS LÄN</t>
        </is>
      </c>
      <c r="E3565" t="inlineStr">
        <is>
          <t>SKELLEFTEÅ</t>
        </is>
      </c>
      <c r="F3565" t="inlineStr">
        <is>
          <t>Holmen skog AB</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34353-2022</t>
        </is>
      </c>
      <c r="B3566" s="1" t="n">
        <v>44792</v>
      </c>
      <c r="C3566" s="1" t="n">
        <v>46145</v>
      </c>
      <c r="D3566" t="inlineStr">
        <is>
          <t>VÄSTERBOTTENS LÄN</t>
        </is>
      </c>
      <c r="E3566" t="inlineStr">
        <is>
          <t>MALÅ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56821-2024</t>
        </is>
      </c>
      <c r="B3567" s="1" t="n">
        <v>45628.48769675926</v>
      </c>
      <c r="C3567" s="1" t="n">
        <v>46145</v>
      </c>
      <c r="D3567" t="inlineStr">
        <is>
          <t>VÄSTERBOTTENS LÄN</t>
        </is>
      </c>
      <c r="E3567" t="inlineStr">
        <is>
          <t>VINDELN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60498-2022</t>
        </is>
      </c>
      <c r="B3568" s="1" t="n">
        <v>44911.44347222222</v>
      </c>
      <c r="C3568" s="1" t="n">
        <v>46145</v>
      </c>
      <c r="D3568" t="inlineStr">
        <is>
          <t>VÄSTERBOTTENS LÄN</t>
        </is>
      </c>
      <c r="E3568" t="inlineStr">
        <is>
          <t>SKELLEFTEÅ</t>
        </is>
      </c>
      <c r="F3568" t="inlineStr">
        <is>
          <t>Sveaskog</t>
        </is>
      </c>
      <c r="G3568" t="n">
        <v>21.2</v>
      </c>
      <c r="H3568" t="n">
        <v>0</v>
      </c>
      <c r="I3568" t="n">
        <v>0</v>
      </c>
      <c r="J3568" t="n">
        <v>0</v>
      </c>
      <c r="K3568" t="n">
        <v>0</v>
      </c>
      <c r="L3568" t="n">
        <v>0</v>
      </c>
      <c r="M3568" t="n">
        <v>0</v>
      </c>
      <c r="N3568" t="n">
        <v>0</v>
      </c>
      <c r="O3568" t="n">
        <v>0</v>
      </c>
      <c r="P3568" t="n">
        <v>0</v>
      </c>
      <c r="Q3568" t="n">
        <v>0</v>
      </c>
      <c r="R3568" s="2" t="inlineStr"/>
    </row>
    <row r="3569" ht="15" customHeight="1">
      <c r="A3569" t="inlineStr">
        <is>
          <t>A 56713-2023</t>
        </is>
      </c>
      <c r="B3569" s="1" t="n">
        <v>45238</v>
      </c>
      <c r="C3569" s="1" t="n">
        <v>46145</v>
      </c>
      <c r="D3569" t="inlineStr">
        <is>
          <t>VÄSTERBOTTENS LÄN</t>
        </is>
      </c>
      <c r="E3569" t="inlineStr">
        <is>
          <t>STORUMAN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28087-2023</t>
        </is>
      </c>
      <c r="B3570" s="1" t="n">
        <v>45099</v>
      </c>
      <c r="C3570" s="1" t="n">
        <v>46145</v>
      </c>
      <c r="D3570" t="inlineStr">
        <is>
          <t>VÄSTERBOTTENS LÄN</t>
        </is>
      </c>
      <c r="E3570" t="inlineStr">
        <is>
          <t>ÅSELE</t>
        </is>
      </c>
      <c r="F3570" t="inlineStr">
        <is>
          <t>Holmen skog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56749-2023</t>
        </is>
      </c>
      <c r="B3571" s="1" t="n">
        <v>45244</v>
      </c>
      <c r="C3571" s="1" t="n">
        <v>46145</v>
      </c>
      <c r="D3571" t="inlineStr">
        <is>
          <t>VÄSTERBOTTENS LÄN</t>
        </is>
      </c>
      <c r="E3571" t="inlineStr">
        <is>
          <t>UMEÅ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25691-2025</t>
        </is>
      </c>
      <c r="B3572" s="1" t="n">
        <v>45803.66194444444</v>
      </c>
      <c r="C3572" s="1" t="n">
        <v>46145</v>
      </c>
      <c r="D3572" t="inlineStr">
        <is>
          <t>VÄSTERBOTTENS LÄN</t>
        </is>
      </c>
      <c r="E3572" t="inlineStr">
        <is>
          <t>UMEÅ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55652-2024</t>
        </is>
      </c>
      <c r="B3573" s="1" t="n">
        <v>45621</v>
      </c>
      <c r="C3573" s="1" t="n">
        <v>46145</v>
      </c>
      <c r="D3573" t="inlineStr">
        <is>
          <t>VÄSTERBOTTENS LÄN</t>
        </is>
      </c>
      <c r="E3573" t="inlineStr">
        <is>
          <t>SKELLEFTEÅ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29897-2023</t>
        </is>
      </c>
      <c r="B3574" s="1" t="n">
        <v>45107</v>
      </c>
      <c r="C3574" s="1" t="n">
        <v>46145</v>
      </c>
      <c r="D3574" t="inlineStr">
        <is>
          <t>VÄSTERBOTTENS LÄN</t>
        </is>
      </c>
      <c r="E3574" t="inlineStr">
        <is>
          <t>MALÅ</t>
        </is>
      </c>
      <c r="F3574" t="inlineStr">
        <is>
          <t>Sveaskog</t>
        </is>
      </c>
      <c r="G3574" t="n">
        <v>14.7</v>
      </c>
      <c r="H3574" t="n">
        <v>0</v>
      </c>
      <c r="I3574" t="n">
        <v>0</v>
      </c>
      <c r="J3574" t="n">
        <v>0</v>
      </c>
      <c r="K3574" t="n">
        <v>0</v>
      </c>
      <c r="L3574" t="n">
        <v>0</v>
      </c>
      <c r="M3574" t="n">
        <v>0</v>
      </c>
      <c r="N3574" t="n">
        <v>0</v>
      </c>
      <c r="O3574" t="n">
        <v>0</v>
      </c>
      <c r="P3574" t="n">
        <v>0</v>
      </c>
      <c r="Q3574" t="n">
        <v>0</v>
      </c>
      <c r="R3574" s="2" t="inlineStr"/>
    </row>
    <row r="3575" ht="15" customHeight="1">
      <c r="A3575" t="inlineStr">
        <is>
          <t>A 65206-2023</t>
        </is>
      </c>
      <c r="B3575" s="1" t="n">
        <v>45289.45186342593</v>
      </c>
      <c r="C3575" s="1" t="n">
        <v>46145</v>
      </c>
      <c r="D3575" t="inlineStr">
        <is>
          <t>VÄSTERBOTTENS LÄN</t>
        </is>
      </c>
      <c r="E3575" t="inlineStr">
        <is>
          <t>SKELLEFTEÅ</t>
        </is>
      </c>
      <c r="G3575" t="n">
        <v>19.2</v>
      </c>
      <c r="H3575" t="n">
        <v>0</v>
      </c>
      <c r="I3575" t="n">
        <v>0</v>
      </c>
      <c r="J3575" t="n">
        <v>0</v>
      </c>
      <c r="K3575" t="n">
        <v>0</v>
      </c>
      <c r="L3575" t="n">
        <v>0</v>
      </c>
      <c r="M3575" t="n">
        <v>0</v>
      </c>
      <c r="N3575" t="n">
        <v>0</v>
      </c>
      <c r="O3575" t="n">
        <v>0</v>
      </c>
      <c r="P3575" t="n">
        <v>0</v>
      </c>
      <c r="Q3575" t="n">
        <v>0</v>
      </c>
      <c r="R3575" s="2" t="inlineStr"/>
    </row>
    <row r="3576" ht="15" customHeight="1">
      <c r="A3576" t="inlineStr">
        <is>
          <t>A 37478-2025</t>
        </is>
      </c>
      <c r="B3576" s="1" t="n">
        <v>45877</v>
      </c>
      <c r="C3576" s="1" t="n">
        <v>46145</v>
      </c>
      <c r="D3576" t="inlineStr">
        <is>
          <t>VÄSTERBOTTENS LÄN</t>
        </is>
      </c>
      <c r="E3576" t="inlineStr">
        <is>
          <t>DOROTEA</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37479-2025</t>
        </is>
      </c>
      <c r="B3577" s="1" t="n">
        <v>45877.61532407408</v>
      </c>
      <c r="C3577" s="1" t="n">
        <v>46145</v>
      </c>
      <c r="D3577" t="inlineStr">
        <is>
          <t>VÄSTERBOTTENS LÄN</t>
        </is>
      </c>
      <c r="E3577" t="inlineStr">
        <is>
          <t>DOROTEA</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38481-2025</t>
        </is>
      </c>
      <c r="B3578" s="1" t="n">
        <v>45884.33145833333</v>
      </c>
      <c r="C3578" s="1" t="n">
        <v>46145</v>
      </c>
      <c r="D3578" t="inlineStr">
        <is>
          <t>VÄSTERBOTTENS LÄN</t>
        </is>
      </c>
      <c r="E3578" t="inlineStr">
        <is>
          <t>SKELLEFTEÅ</t>
        </is>
      </c>
      <c r="F3578" t="inlineStr">
        <is>
          <t>Holmen skog AB</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62052-2024</t>
        </is>
      </c>
      <c r="B3579" s="1" t="n">
        <v>45656.3674537037</v>
      </c>
      <c r="C3579" s="1" t="n">
        <v>46145</v>
      </c>
      <c r="D3579" t="inlineStr">
        <is>
          <t>VÄSTERBOTTENS LÄN</t>
        </is>
      </c>
      <c r="E3579" t="inlineStr">
        <is>
          <t>SKELLEFTEÅ</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46028-2024</t>
        </is>
      </c>
      <c r="B3580" s="1" t="n">
        <v>45580.70097222222</v>
      </c>
      <c r="C3580" s="1" t="n">
        <v>46145</v>
      </c>
      <c r="D3580" t="inlineStr">
        <is>
          <t>VÄSTERBOTTENS LÄN</t>
        </is>
      </c>
      <c r="E3580" t="inlineStr">
        <is>
          <t>UMEÅ</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35172-2022</t>
        </is>
      </c>
      <c r="B3581" s="1" t="n">
        <v>44797</v>
      </c>
      <c r="C3581" s="1" t="n">
        <v>46145</v>
      </c>
      <c r="D3581" t="inlineStr">
        <is>
          <t>VÄSTERBOTTENS LÄN</t>
        </is>
      </c>
      <c r="E3581" t="inlineStr">
        <is>
          <t>SORSELE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19752-2025</t>
        </is>
      </c>
      <c r="B3582" s="1" t="n">
        <v>45771.38605324074</v>
      </c>
      <c r="C3582" s="1" t="n">
        <v>46145</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20471-2025</t>
        </is>
      </c>
      <c r="B3583" s="1" t="n">
        <v>45775.54582175926</v>
      </c>
      <c r="C3583" s="1" t="n">
        <v>46145</v>
      </c>
      <c r="D3583" t="inlineStr">
        <is>
          <t>VÄSTERBOTTENS LÄN</t>
        </is>
      </c>
      <c r="E3583" t="inlineStr">
        <is>
          <t>NORDMALING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24050-2025</t>
        </is>
      </c>
      <c r="B3584" s="1" t="n">
        <v>45796.49869212963</v>
      </c>
      <c r="C3584" s="1" t="n">
        <v>46145</v>
      </c>
      <c r="D3584" t="inlineStr">
        <is>
          <t>VÄSTERBOTTENS LÄN</t>
        </is>
      </c>
      <c r="E3584" t="inlineStr">
        <is>
          <t>NORDMALING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24079-2025</t>
        </is>
      </c>
      <c r="B3585" s="1" t="n">
        <v>45796.5531712963</v>
      </c>
      <c r="C3585" s="1" t="n">
        <v>46145</v>
      </c>
      <c r="D3585" t="inlineStr">
        <is>
          <t>VÄSTERBOTTENS LÄN</t>
        </is>
      </c>
      <c r="E3585" t="inlineStr">
        <is>
          <t>SKELLEFTEÅ</t>
        </is>
      </c>
      <c r="F3585" t="inlineStr">
        <is>
          <t>Holmen skog AB</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56151-2024</t>
        </is>
      </c>
      <c r="B3586" s="1" t="n">
        <v>45623</v>
      </c>
      <c r="C3586" s="1" t="n">
        <v>46145</v>
      </c>
      <c r="D3586" t="inlineStr">
        <is>
          <t>VÄSTERBOTTENS LÄN</t>
        </is>
      </c>
      <c r="E3586" t="inlineStr">
        <is>
          <t>BJURHOLM</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4617-2023</t>
        </is>
      </c>
      <c r="B3587" s="1" t="n">
        <v>44956.93971064815</v>
      </c>
      <c r="C3587" s="1" t="n">
        <v>46145</v>
      </c>
      <c r="D3587" t="inlineStr">
        <is>
          <t>VÄSTERBOTTENS LÄN</t>
        </is>
      </c>
      <c r="E3587" t="inlineStr">
        <is>
          <t>DOROTEA</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46048-2024</t>
        </is>
      </c>
      <c r="B3588" s="1" t="n">
        <v>45580.85511574074</v>
      </c>
      <c r="C3588" s="1" t="n">
        <v>46145</v>
      </c>
      <c r="D3588" t="inlineStr">
        <is>
          <t>VÄSTERBOTTENS LÄN</t>
        </is>
      </c>
      <c r="E3588" t="inlineStr">
        <is>
          <t>SKELLEFTEÅ</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38690-2025</t>
        </is>
      </c>
      <c r="B3589" s="1" t="n">
        <v>45884.67143518518</v>
      </c>
      <c r="C3589" s="1" t="n">
        <v>46145</v>
      </c>
      <c r="D3589" t="inlineStr">
        <is>
          <t>VÄSTERBOTTENS LÄN</t>
        </is>
      </c>
      <c r="E3589" t="inlineStr">
        <is>
          <t>SKELLEFTEÅ</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37869-2025</t>
        </is>
      </c>
      <c r="B3590" s="1" t="n">
        <v>45881.47364583334</v>
      </c>
      <c r="C3590" s="1" t="n">
        <v>46145</v>
      </c>
      <c r="D3590" t="inlineStr">
        <is>
          <t>VÄSTERBOTTENS LÄN</t>
        </is>
      </c>
      <c r="E3590" t="inlineStr">
        <is>
          <t>ÅSELE</t>
        </is>
      </c>
      <c r="F3590" t="inlineStr">
        <is>
          <t>Kommuner</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55623-2024</t>
        </is>
      </c>
      <c r="B3591" s="1" t="n">
        <v>45622.59480324074</v>
      </c>
      <c r="C3591" s="1" t="n">
        <v>46145</v>
      </c>
      <c r="D3591" t="inlineStr">
        <is>
          <t>VÄSTERBOTTENS LÄN</t>
        </is>
      </c>
      <c r="E3591" t="inlineStr">
        <is>
          <t>ÅSELE</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30432-2025</t>
        </is>
      </c>
      <c r="B3592" s="1" t="n">
        <v>45827.6325462963</v>
      </c>
      <c r="C3592" s="1" t="n">
        <v>46145</v>
      </c>
      <c r="D3592" t="inlineStr">
        <is>
          <t>VÄSTERBOTTENS LÄN</t>
        </is>
      </c>
      <c r="E3592" t="inlineStr">
        <is>
          <t>SKELLEFTEÅ</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37469-2025</t>
        </is>
      </c>
      <c r="B3593" s="1" t="n">
        <v>45877.57869212963</v>
      </c>
      <c r="C3593" s="1" t="n">
        <v>46145</v>
      </c>
      <c r="D3593" t="inlineStr">
        <is>
          <t>VÄSTERBOTTENS LÄN</t>
        </is>
      </c>
      <c r="E3593" t="inlineStr">
        <is>
          <t>NORSJÖ</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38271-2022</t>
        </is>
      </c>
      <c r="B3594" s="1" t="n">
        <v>44812</v>
      </c>
      <c r="C3594" s="1" t="n">
        <v>46145</v>
      </c>
      <c r="D3594" t="inlineStr">
        <is>
          <t>VÄSTERBOTTENS LÄN</t>
        </is>
      </c>
      <c r="E3594" t="inlineStr">
        <is>
          <t>NORDMALING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10287-2025</t>
        </is>
      </c>
      <c r="B3595" s="1" t="n">
        <v>45720</v>
      </c>
      <c r="C3595" s="1" t="n">
        <v>46145</v>
      </c>
      <c r="D3595" t="inlineStr">
        <is>
          <t>VÄSTERBOTTENS LÄN</t>
        </is>
      </c>
      <c r="E3595" t="inlineStr">
        <is>
          <t>SKELLEFTEÅ</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57186-2024</t>
        </is>
      </c>
      <c r="B3596" s="1" t="n">
        <v>45629.45423611111</v>
      </c>
      <c r="C3596" s="1" t="n">
        <v>46145</v>
      </c>
      <c r="D3596" t="inlineStr">
        <is>
          <t>VÄSTERBOTTENS LÄN</t>
        </is>
      </c>
      <c r="E3596" t="inlineStr">
        <is>
          <t>SKELLEFTEÅ</t>
        </is>
      </c>
      <c r="F3596" t="inlineStr">
        <is>
          <t>Holmen skog AB</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25347-2024</t>
        </is>
      </c>
      <c r="B3597" s="1" t="n">
        <v>45462</v>
      </c>
      <c r="C3597" s="1" t="n">
        <v>46145</v>
      </c>
      <c r="D3597" t="inlineStr">
        <is>
          <t>VÄSTERBOTTENS LÄN</t>
        </is>
      </c>
      <c r="E3597" t="inlineStr">
        <is>
          <t>VÄNNÄS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21343-2025</t>
        </is>
      </c>
      <c r="B3598" s="1" t="n">
        <v>45782.39872685185</v>
      </c>
      <c r="C3598" s="1" t="n">
        <v>46145</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9821-2023</t>
        </is>
      </c>
      <c r="B3599" s="1" t="n">
        <v>44978</v>
      </c>
      <c r="C3599" s="1" t="n">
        <v>46145</v>
      </c>
      <c r="D3599" t="inlineStr">
        <is>
          <t>VÄSTERBOTTENS LÄN</t>
        </is>
      </c>
      <c r="E3599" t="inlineStr">
        <is>
          <t>SORSELE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37362-2025</t>
        </is>
      </c>
      <c r="B3600" s="1" t="n">
        <v>45877.31856481481</v>
      </c>
      <c r="C3600" s="1" t="n">
        <v>46145</v>
      </c>
      <c r="D3600" t="inlineStr">
        <is>
          <t>VÄSTERBOTTENS LÄN</t>
        </is>
      </c>
      <c r="E3600" t="inlineStr">
        <is>
          <t>NORDMALING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59866-2021</t>
        </is>
      </c>
      <c r="B3601" s="1" t="n">
        <v>44491</v>
      </c>
      <c r="C3601" s="1" t="n">
        <v>46145</v>
      </c>
      <c r="D3601" t="inlineStr">
        <is>
          <t>VÄSTERBOTTENS LÄN</t>
        </is>
      </c>
      <c r="E3601" t="inlineStr">
        <is>
          <t>MALÅ</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56154-2024</t>
        </is>
      </c>
      <c r="B3602" s="1" t="n">
        <v>45623</v>
      </c>
      <c r="C3602" s="1" t="n">
        <v>46145</v>
      </c>
      <c r="D3602" t="inlineStr">
        <is>
          <t>VÄSTERBOTTENS LÄN</t>
        </is>
      </c>
      <c r="E3602" t="inlineStr">
        <is>
          <t>SKELLEFTEÅ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11624-2023</t>
        </is>
      </c>
      <c r="B3603" s="1" t="n">
        <v>44994.42565972222</v>
      </c>
      <c r="C3603" s="1" t="n">
        <v>46145</v>
      </c>
      <c r="D3603" t="inlineStr">
        <is>
          <t>VÄSTERBOTTENS LÄN</t>
        </is>
      </c>
      <c r="E3603" t="inlineStr">
        <is>
          <t>SKELLEFTEÅ</t>
        </is>
      </c>
      <c r="G3603" t="n">
        <v>47.6</v>
      </c>
      <c r="H3603" t="n">
        <v>0</v>
      </c>
      <c r="I3603" t="n">
        <v>0</v>
      </c>
      <c r="J3603" t="n">
        <v>0</v>
      </c>
      <c r="K3603" t="n">
        <v>0</v>
      </c>
      <c r="L3603" t="n">
        <v>0</v>
      </c>
      <c r="M3603" t="n">
        <v>0</v>
      </c>
      <c r="N3603" t="n">
        <v>0</v>
      </c>
      <c r="O3603" t="n">
        <v>0</v>
      </c>
      <c r="P3603" t="n">
        <v>0</v>
      </c>
      <c r="Q3603" t="n">
        <v>0</v>
      </c>
      <c r="R3603" s="2" t="inlineStr"/>
    </row>
    <row r="3604" ht="15" customHeight="1">
      <c r="A3604" t="inlineStr">
        <is>
          <t>A 56888-2024</t>
        </is>
      </c>
      <c r="B3604" s="1" t="n">
        <v>45628.57732638889</v>
      </c>
      <c r="C3604" s="1" t="n">
        <v>46145</v>
      </c>
      <c r="D3604" t="inlineStr">
        <is>
          <t>VÄSTERBOTTENS LÄN</t>
        </is>
      </c>
      <c r="E3604" t="inlineStr">
        <is>
          <t>NORSJÖ</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39401-2022</t>
        </is>
      </c>
      <c r="B3605" s="1" t="n">
        <v>44817.94894675926</v>
      </c>
      <c r="C3605" s="1" t="n">
        <v>46145</v>
      </c>
      <c r="D3605" t="inlineStr">
        <is>
          <t>VÄSTERBOTTENS LÄN</t>
        </is>
      </c>
      <c r="E3605" t="inlineStr">
        <is>
          <t>ÅSELE</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37756-2025</t>
        </is>
      </c>
      <c r="B3606" s="1" t="n">
        <v>45880.67780092593</v>
      </c>
      <c r="C3606" s="1" t="n">
        <v>46145</v>
      </c>
      <c r="D3606" t="inlineStr">
        <is>
          <t>VÄSTERBOTTENS LÄN</t>
        </is>
      </c>
      <c r="E3606" t="inlineStr">
        <is>
          <t>BJURHOLM</t>
        </is>
      </c>
      <c r="F3606" t="inlineStr">
        <is>
          <t>SCA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37769-2025</t>
        </is>
      </c>
      <c r="B3607" s="1" t="n">
        <v>45880.74818287037</v>
      </c>
      <c r="C3607" s="1" t="n">
        <v>46145</v>
      </c>
      <c r="D3607" t="inlineStr">
        <is>
          <t>VÄSTERBOTTENS LÄN</t>
        </is>
      </c>
      <c r="E3607" t="inlineStr">
        <is>
          <t>ÅSELE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52507-2024</t>
        </is>
      </c>
      <c r="B3608" s="1" t="n">
        <v>45609.59013888889</v>
      </c>
      <c r="C3608" s="1" t="n">
        <v>46145</v>
      </c>
      <c r="D3608" t="inlineStr">
        <is>
          <t>VÄSTERBOTTENS LÄN</t>
        </is>
      </c>
      <c r="E3608" t="inlineStr">
        <is>
          <t>SORSELE</t>
        </is>
      </c>
      <c r="F3608" t="inlineStr">
        <is>
          <t>Sveaskog</t>
        </is>
      </c>
      <c r="G3608" t="n">
        <v>21.8</v>
      </c>
      <c r="H3608" t="n">
        <v>0</v>
      </c>
      <c r="I3608" t="n">
        <v>0</v>
      </c>
      <c r="J3608" t="n">
        <v>0</v>
      </c>
      <c r="K3608" t="n">
        <v>0</v>
      </c>
      <c r="L3608" t="n">
        <v>0</v>
      </c>
      <c r="M3608" t="n">
        <v>0</v>
      </c>
      <c r="N3608" t="n">
        <v>0</v>
      </c>
      <c r="O3608" t="n">
        <v>0</v>
      </c>
      <c r="P3608" t="n">
        <v>0</v>
      </c>
      <c r="Q3608" t="n">
        <v>0</v>
      </c>
      <c r="R3608" s="2" t="inlineStr"/>
    </row>
    <row r="3609" ht="15" customHeight="1">
      <c r="A3609" t="inlineStr">
        <is>
          <t>A 37466-2025</t>
        </is>
      </c>
      <c r="B3609" s="1" t="n">
        <v>45877.57743055555</v>
      </c>
      <c r="C3609" s="1" t="n">
        <v>46145</v>
      </c>
      <c r="D3609" t="inlineStr">
        <is>
          <t>VÄSTERBOTTENS LÄN</t>
        </is>
      </c>
      <c r="E3609" t="inlineStr">
        <is>
          <t>VINDELN</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37476-2025</t>
        </is>
      </c>
      <c r="B3610" s="1" t="n">
        <v>45877.61496527777</v>
      </c>
      <c r="C3610" s="1" t="n">
        <v>46145</v>
      </c>
      <c r="D3610" t="inlineStr">
        <is>
          <t>VÄSTERBOTTENS LÄN</t>
        </is>
      </c>
      <c r="E3610" t="inlineStr">
        <is>
          <t>DOROTEA</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22108-2024</t>
        </is>
      </c>
      <c r="B3611" s="1" t="n">
        <v>45443</v>
      </c>
      <c r="C3611" s="1" t="n">
        <v>46145</v>
      </c>
      <c r="D3611" t="inlineStr">
        <is>
          <t>VÄSTERBOTTENS LÄN</t>
        </is>
      </c>
      <c r="E3611" t="inlineStr">
        <is>
          <t>VILHELMINA</t>
        </is>
      </c>
      <c r="F3611" t="inlineStr">
        <is>
          <t>SCA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37940-2025</t>
        </is>
      </c>
      <c r="B3612" s="1" t="n">
        <v>45880</v>
      </c>
      <c r="C3612" s="1" t="n">
        <v>46145</v>
      </c>
      <c r="D3612" t="inlineStr">
        <is>
          <t>VÄSTERBOTTENS LÄN</t>
        </is>
      </c>
      <c r="E3612" t="inlineStr">
        <is>
          <t>BJURHOLM</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10825-2024</t>
        </is>
      </c>
      <c r="B3613" s="1" t="n">
        <v>45369</v>
      </c>
      <c r="C3613" s="1" t="n">
        <v>46145</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28955-2024</t>
        </is>
      </c>
      <c r="B3614" s="1" t="n">
        <v>45481</v>
      </c>
      <c r="C3614" s="1" t="n">
        <v>46145</v>
      </c>
      <c r="D3614" t="inlineStr">
        <is>
          <t>VÄSTERBOTTENS LÄN</t>
        </is>
      </c>
      <c r="E3614" t="inlineStr">
        <is>
          <t>ÅSELE</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28960-2024</t>
        </is>
      </c>
      <c r="B3615" s="1" t="n">
        <v>45481</v>
      </c>
      <c r="C3615" s="1" t="n">
        <v>46145</v>
      </c>
      <c r="D3615" t="inlineStr">
        <is>
          <t>VÄSTERBOTTENS LÄN</t>
        </is>
      </c>
      <c r="E3615" t="inlineStr">
        <is>
          <t>ÅSELE</t>
        </is>
      </c>
      <c r="F3615" t="inlineStr">
        <is>
          <t>Sveaskog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28961-2024</t>
        </is>
      </c>
      <c r="B3616" s="1" t="n">
        <v>45481</v>
      </c>
      <c r="C3616" s="1" t="n">
        <v>46145</v>
      </c>
      <c r="D3616" t="inlineStr">
        <is>
          <t>VÄSTERBOTTENS LÄN</t>
        </is>
      </c>
      <c r="E3616" t="inlineStr">
        <is>
          <t>ÅSELE</t>
        </is>
      </c>
      <c r="F3616" t="inlineStr">
        <is>
          <t>Sveaskog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16179-2023</t>
        </is>
      </c>
      <c r="B3617" s="1" t="n">
        <v>45027.92476851852</v>
      </c>
      <c r="C3617" s="1" t="n">
        <v>46145</v>
      </c>
      <c r="D3617" t="inlineStr">
        <is>
          <t>VÄSTERBOTTENS LÄN</t>
        </is>
      </c>
      <c r="E3617" t="inlineStr">
        <is>
          <t>VINDELN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38146-2025</t>
        </is>
      </c>
      <c r="B3618" s="1" t="n">
        <v>45882.58627314815</v>
      </c>
      <c r="C3618" s="1" t="n">
        <v>46145</v>
      </c>
      <c r="D3618" t="inlineStr">
        <is>
          <t>VÄSTERBOTTENS LÄN</t>
        </is>
      </c>
      <c r="E3618" t="inlineStr">
        <is>
          <t>BJURHOLM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38192-2025</t>
        </is>
      </c>
      <c r="B3619" s="1" t="n">
        <v>45882.65709490741</v>
      </c>
      <c r="C3619" s="1" t="n">
        <v>46145</v>
      </c>
      <c r="D3619" t="inlineStr">
        <is>
          <t>VÄSTERBOTTENS LÄN</t>
        </is>
      </c>
      <c r="E3619" t="inlineStr">
        <is>
          <t>UMEÅ</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38195-2025</t>
        </is>
      </c>
      <c r="B3620" s="1" t="n">
        <v>45882.65986111111</v>
      </c>
      <c r="C3620" s="1" t="n">
        <v>46145</v>
      </c>
      <c r="D3620" t="inlineStr">
        <is>
          <t>VÄSTERBOTTENS LÄN</t>
        </is>
      </c>
      <c r="E3620" t="inlineStr">
        <is>
          <t>ÅSELE</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38200-2025</t>
        </is>
      </c>
      <c r="B3621" s="1" t="n">
        <v>45882.67741898148</v>
      </c>
      <c r="C3621" s="1" t="n">
        <v>46145</v>
      </c>
      <c r="D3621" t="inlineStr">
        <is>
          <t>VÄSTERBOTTENS LÄN</t>
        </is>
      </c>
      <c r="E3621" t="inlineStr">
        <is>
          <t>NORSJÖ</t>
        </is>
      </c>
      <c r="F3621" t="inlineStr">
        <is>
          <t>Holmen skog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900-2023</t>
        </is>
      </c>
      <c r="B3622" s="1" t="n">
        <v>44931.9255324074</v>
      </c>
      <c r="C3622" s="1" t="n">
        <v>46145</v>
      </c>
      <c r="D3622" t="inlineStr">
        <is>
          <t>VÄSTERBOTTENS LÄN</t>
        </is>
      </c>
      <c r="E3622" t="inlineStr">
        <is>
          <t>SKELLEFTEÅ</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936-2023</t>
        </is>
      </c>
      <c r="B3623" s="1" t="n">
        <v>44933</v>
      </c>
      <c r="C3623" s="1" t="n">
        <v>46145</v>
      </c>
      <c r="D3623" t="inlineStr">
        <is>
          <t>VÄSTERBOTTENS LÄN</t>
        </is>
      </c>
      <c r="E3623" t="inlineStr">
        <is>
          <t>LYCKSELE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38530-2025</t>
        </is>
      </c>
      <c r="B3624" s="1" t="n">
        <v>45884.41150462963</v>
      </c>
      <c r="C3624" s="1" t="n">
        <v>46145</v>
      </c>
      <c r="D3624" t="inlineStr">
        <is>
          <t>VÄSTERBOTTENS LÄN</t>
        </is>
      </c>
      <c r="E3624" t="inlineStr">
        <is>
          <t>VINDELN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38540-2025</t>
        </is>
      </c>
      <c r="B3625" s="1" t="n">
        <v>45884.42768518518</v>
      </c>
      <c r="C3625" s="1" t="n">
        <v>46145</v>
      </c>
      <c r="D3625" t="inlineStr">
        <is>
          <t>VÄSTERBOTTENS LÄN</t>
        </is>
      </c>
      <c r="E3625" t="inlineStr">
        <is>
          <t>VILHELMINA</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38543-2025</t>
        </is>
      </c>
      <c r="B3626" s="1" t="n">
        <v>45884.42813657408</v>
      </c>
      <c r="C3626" s="1" t="n">
        <v>46145</v>
      </c>
      <c r="D3626" t="inlineStr">
        <is>
          <t>VÄSTERBOTTENS LÄN</t>
        </is>
      </c>
      <c r="E3626" t="inlineStr">
        <is>
          <t>VILHELMINA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9079-2023</t>
        </is>
      </c>
      <c r="B3627" s="1" t="n">
        <v>44979.92408564815</v>
      </c>
      <c r="C3627" s="1" t="n">
        <v>46145</v>
      </c>
      <c r="D3627" t="inlineStr">
        <is>
          <t>VÄSTERBOTTENS LÄN</t>
        </is>
      </c>
      <c r="E3627" t="inlineStr">
        <is>
          <t>SKELLEFTEÅ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38070-2025</t>
        </is>
      </c>
      <c r="B3628" s="1" t="n">
        <v>45882.43864583333</v>
      </c>
      <c r="C3628" s="1" t="n">
        <v>46145</v>
      </c>
      <c r="D3628" t="inlineStr">
        <is>
          <t>VÄSTERBOTTENS LÄN</t>
        </is>
      </c>
      <c r="E3628" t="inlineStr">
        <is>
          <t>SKELLEFTEÅ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8709-2025</t>
        </is>
      </c>
      <c r="B3629" s="1" t="n">
        <v>45712</v>
      </c>
      <c r="C3629" s="1" t="n">
        <v>46145</v>
      </c>
      <c r="D3629" t="inlineStr">
        <is>
          <t>VÄSTERBOTTENS LÄN</t>
        </is>
      </c>
      <c r="E3629" t="inlineStr">
        <is>
          <t>DOROTEA</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51075-2024</t>
        </is>
      </c>
      <c r="B3630" s="1" t="n">
        <v>45603</v>
      </c>
      <c r="C3630" s="1" t="n">
        <v>46145</v>
      </c>
      <c r="D3630" t="inlineStr">
        <is>
          <t>VÄSTERBOTTENS LÄN</t>
        </is>
      </c>
      <c r="E3630" t="inlineStr">
        <is>
          <t>NORSJÖ</t>
        </is>
      </c>
      <c r="G3630" t="n">
        <v>10.3</v>
      </c>
      <c r="H3630" t="n">
        <v>0</v>
      </c>
      <c r="I3630" t="n">
        <v>0</v>
      </c>
      <c r="J3630" t="n">
        <v>0</v>
      </c>
      <c r="K3630" t="n">
        <v>0</v>
      </c>
      <c r="L3630" t="n">
        <v>0</v>
      </c>
      <c r="M3630" t="n">
        <v>0</v>
      </c>
      <c r="N3630" t="n">
        <v>0</v>
      </c>
      <c r="O3630" t="n">
        <v>0</v>
      </c>
      <c r="P3630" t="n">
        <v>0</v>
      </c>
      <c r="Q3630" t="n">
        <v>0</v>
      </c>
      <c r="R3630" s="2" t="inlineStr"/>
    </row>
    <row r="3631" ht="15" customHeight="1">
      <c r="A3631" t="inlineStr">
        <is>
          <t>A 57199-2024</t>
        </is>
      </c>
      <c r="B3631" s="1" t="n">
        <v>45628</v>
      </c>
      <c r="C3631" s="1" t="n">
        <v>46145</v>
      </c>
      <c r="D3631" t="inlineStr">
        <is>
          <t>VÄSTERBOTTENS LÄN</t>
        </is>
      </c>
      <c r="E3631" t="inlineStr">
        <is>
          <t>SKELLEFTEÅ</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62405-2022</t>
        </is>
      </c>
      <c r="B3632" s="1" t="n">
        <v>44923</v>
      </c>
      <c r="C3632" s="1" t="n">
        <v>46145</v>
      </c>
      <c r="D3632" t="inlineStr">
        <is>
          <t>VÄSTERBOTTENS LÄN</t>
        </is>
      </c>
      <c r="E3632" t="inlineStr">
        <is>
          <t>VILHELMINA</t>
        </is>
      </c>
      <c r="F3632" t="inlineStr">
        <is>
          <t>SCA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38004-2025</t>
        </is>
      </c>
      <c r="B3633" s="1" t="n">
        <v>45881.92792824074</v>
      </c>
      <c r="C3633" s="1" t="n">
        <v>46145</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52679-2022</t>
        </is>
      </c>
      <c r="B3634" s="1" t="n">
        <v>44874</v>
      </c>
      <c r="C3634" s="1" t="n">
        <v>46145</v>
      </c>
      <c r="D3634" t="inlineStr">
        <is>
          <t>VÄSTERBOTTENS LÄN</t>
        </is>
      </c>
      <c r="E3634" t="inlineStr">
        <is>
          <t>UMEÅ</t>
        </is>
      </c>
      <c r="F3634" t="inlineStr">
        <is>
          <t>Sveaskog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38224-2025</t>
        </is>
      </c>
      <c r="B3635" s="1" t="n">
        <v>45883.34482638889</v>
      </c>
      <c r="C3635" s="1" t="n">
        <v>46145</v>
      </c>
      <c r="D3635" t="inlineStr">
        <is>
          <t>VÄSTERBOTTENS LÄN</t>
        </is>
      </c>
      <c r="E3635" t="inlineStr">
        <is>
          <t>ÅSELE</t>
        </is>
      </c>
      <c r="F3635" t="inlineStr">
        <is>
          <t>SCA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38235-2025</t>
        </is>
      </c>
      <c r="B3636" s="1" t="n">
        <v>45883.36050925926</v>
      </c>
      <c r="C3636" s="1" t="n">
        <v>46145</v>
      </c>
      <c r="D3636" t="inlineStr">
        <is>
          <t>VÄSTERBOTTENS LÄN</t>
        </is>
      </c>
      <c r="E3636" t="inlineStr">
        <is>
          <t>UMEÅ</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38239-2025</t>
        </is>
      </c>
      <c r="B3637" s="1" t="n">
        <v>45883.36519675926</v>
      </c>
      <c r="C3637" s="1" t="n">
        <v>46145</v>
      </c>
      <c r="D3637" t="inlineStr">
        <is>
          <t>VÄSTERBOTTENS LÄN</t>
        </is>
      </c>
      <c r="E3637" t="inlineStr">
        <is>
          <t>DOROTEA</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38163-2025</t>
        </is>
      </c>
      <c r="B3638" s="1" t="n">
        <v>45882.62724537037</v>
      </c>
      <c r="C3638" s="1" t="n">
        <v>46145</v>
      </c>
      <c r="D3638" t="inlineStr">
        <is>
          <t>VÄSTERBOTTENS LÄN</t>
        </is>
      </c>
      <c r="E3638" t="inlineStr">
        <is>
          <t>NORDMALING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38100-2025</t>
        </is>
      </c>
      <c r="B3639" s="1" t="n">
        <v>45882.49097222222</v>
      </c>
      <c r="C3639" s="1" t="n">
        <v>46145</v>
      </c>
      <c r="D3639" t="inlineStr">
        <is>
          <t>VÄSTERBOTTENS LÄN</t>
        </is>
      </c>
      <c r="E3639" t="inlineStr">
        <is>
          <t>DOROTEA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9103-2023</t>
        </is>
      </c>
      <c r="B3640" s="1" t="n">
        <v>44979</v>
      </c>
      <c r="C3640" s="1" t="n">
        <v>46145</v>
      </c>
      <c r="D3640" t="inlineStr">
        <is>
          <t>VÄSTERBOTTENS LÄN</t>
        </is>
      </c>
      <c r="E3640" t="inlineStr">
        <is>
          <t>DOROTEA</t>
        </is>
      </c>
      <c r="F3640" t="inlineStr">
        <is>
          <t>SCA</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38260-2025</t>
        </is>
      </c>
      <c r="B3641" s="1" t="n">
        <v>45883.39547453704</v>
      </c>
      <c r="C3641" s="1" t="n">
        <v>46145</v>
      </c>
      <c r="D3641" t="inlineStr">
        <is>
          <t>VÄSTERBOTTENS LÄN</t>
        </is>
      </c>
      <c r="E3641" t="inlineStr">
        <is>
          <t>NORDMALING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33583-2025</t>
        </is>
      </c>
      <c r="B3642" s="1" t="n">
        <v>45841.5943287037</v>
      </c>
      <c r="C3642" s="1" t="n">
        <v>46145</v>
      </c>
      <c r="D3642" t="inlineStr">
        <is>
          <t>VÄSTERBOTTENS LÄN</t>
        </is>
      </c>
      <c r="E3642" t="inlineStr">
        <is>
          <t>VINDELN</t>
        </is>
      </c>
      <c r="F3642" t="inlineStr">
        <is>
          <t>Holmen skog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24295-2023</t>
        </is>
      </c>
      <c r="B3643" s="1" t="n">
        <v>45079</v>
      </c>
      <c r="C3643" s="1" t="n">
        <v>46145</v>
      </c>
      <c r="D3643" t="inlineStr">
        <is>
          <t>VÄSTERBOTTENS LÄN</t>
        </is>
      </c>
      <c r="E3643" t="inlineStr">
        <is>
          <t>ROBERTSFORS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24327-2023</t>
        </is>
      </c>
      <c r="B3644" s="1" t="n">
        <v>45080</v>
      </c>
      <c r="C3644" s="1" t="n">
        <v>46145</v>
      </c>
      <c r="D3644" t="inlineStr">
        <is>
          <t>VÄSTERBOTTENS LÄN</t>
        </is>
      </c>
      <c r="E3644" t="inlineStr">
        <is>
          <t>SKELLEFTEÅ</t>
        </is>
      </c>
      <c r="F3644" t="inlineStr">
        <is>
          <t>SCA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37826-2025</t>
        </is>
      </c>
      <c r="B3645" s="1" t="n">
        <v>45881.40806712963</v>
      </c>
      <c r="C3645" s="1" t="n">
        <v>46145</v>
      </c>
      <c r="D3645" t="inlineStr">
        <is>
          <t>VÄSTERBOTTENS LÄN</t>
        </is>
      </c>
      <c r="E3645" t="inlineStr">
        <is>
          <t>BJURHOLM</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37970-2025</t>
        </is>
      </c>
      <c r="B3646" s="1" t="n">
        <v>45881.6677199074</v>
      </c>
      <c r="C3646" s="1" t="n">
        <v>46145</v>
      </c>
      <c r="D3646" t="inlineStr">
        <is>
          <t>VÄSTERBOTTENS LÄN</t>
        </is>
      </c>
      <c r="E3646" t="inlineStr">
        <is>
          <t>LYCKSELE</t>
        </is>
      </c>
      <c r="F3646" t="inlineStr">
        <is>
          <t>Holmen skog AB</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37977-2025</t>
        </is>
      </c>
      <c r="B3647" s="1" t="n">
        <v>45881.67791666667</v>
      </c>
      <c r="C3647" s="1" t="n">
        <v>46145</v>
      </c>
      <c r="D3647" t="inlineStr">
        <is>
          <t>VÄSTERBOTTENS LÄN</t>
        </is>
      </c>
      <c r="E3647" t="inlineStr">
        <is>
          <t>LYCKSELE</t>
        </is>
      </c>
      <c r="F3647" t="inlineStr">
        <is>
          <t>SCA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38188-2025</t>
        </is>
      </c>
      <c r="B3648" s="1" t="n">
        <v>45882.65447916667</v>
      </c>
      <c r="C3648" s="1" t="n">
        <v>46145</v>
      </c>
      <c r="D3648" t="inlineStr">
        <is>
          <t>VÄSTERBOTTENS LÄN</t>
        </is>
      </c>
      <c r="E3648" t="inlineStr">
        <is>
          <t>NORDMALING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60520-2024</t>
        </is>
      </c>
      <c r="B3649" s="1" t="n">
        <v>45643.68678240741</v>
      </c>
      <c r="C3649" s="1" t="n">
        <v>46145</v>
      </c>
      <c r="D3649" t="inlineStr">
        <is>
          <t>VÄSTERBOTTENS LÄN</t>
        </is>
      </c>
      <c r="E3649" t="inlineStr">
        <is>
          <t>MALÅ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5602-2023</t>
        </is>
      </c>
      <c r="B3650" s="1" t="n">
        <v>44960.55158564815</v>
      </c>
      <c r="C3650" s="1" t="n">
        <v>46145</v>
      </c>
      <c r="D3650" t="inlineStr">
        <is>
          <t>VÄSTERBOTTENS LÄN</t>
        </is>
      </c>
      <c r="E3650" t="inlineStr">
        <is>
          <t>SKELLEFTEÅ</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49886-2024</t>
        </is>
      </c>
      <c r="B3651" s="1" t="n">
        <v>45597</v>
      </c>
      <c r="C3651" s="1" t="n">
        <v>46145</v>
      </c>
      <c r="D3651" t="inlineStr">
        <is>
          <t>VÄSTERBOTTENS LÄN</t>
        </is>
      </c>
      <c r="E3651" t="inlineStr">
        <is>
          <t>VILHELMINA</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37816-2025</t>
        </is>
      </c>
      <c r="B3652" s="1" t="n">
        <v>45881.38435185186</v>
      </c>
      <c r="C3652" s="1" t="n">
        <v>46145</v>
      </c>
      <c r="D3652" t="inlineStr">
        <is>
          <t>VÄSTERBOTTENS LÄN</t>
        </is>
      </c>
      <c r="E3652" t="inlineStr">
        <is>
          <t>SKELLEFTEÅ</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37829-2025</t>
        </is>
      </c>
      <c r="B3653" s="1" t="n">
        <v>45881.41208333334</v>
      </c>
      <c r="C3653" s="1" t="n">
        <v>46145</v>
      </c>
      <c r="D3653" t="inlineStr">
        <is>
          <t>VÄSTERBOTTENS LÄN</t>
        </is>
      </c>
      <c r="E3653" t="inlineStr">
        <is>
          <t>BJURHOLM</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38006-2025</t>
        </is>
      </c>
      <c r="B3654" s="1" t="n">
        <v>45882.28542824074</v>
      </c>
      <c r="C3654" s="1" t="n">
        <v>46145</v>
      </c>
      <c r="D3654" t="inlineStr">
        <is>
          <t>VÄSTERBOTTENS LÄN</t>
        </is>
      </c>
      <c r="E3654" t="inlineStr">
        <is>
          <t>BJURHOLM</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14091-2023</t>
        </is>
      </c>
      <c r="B3655" s="1" t="n">
        <v>45007</v>
      </c>
      <c r="C3655" s="1" t="n">
        <v>46145</v>
      </c>
      <c r="D3655" t="inlineStr">
        <is>
          <t>VÄSTERBOTTENS LÄN</t>
        </is>
      </c>
      <c r="E3655" t="inlineStr">
        <is>
          <t>UMEÅ</t>
        </is>
      </c>
      <c r="F3655" t="inlineStr">
        <is>
          <t>Kommuner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42494-2024</t>
        </is>
      </c>
      <c r="B3656" s="1" t="n">
        <v>45565.49755787037</v>
      </c>
      <c r="C3656" s="1" t="n">
        <v>46145</v>
      </c>
      <c r="D3656" t="inlineStr">
        <is>
          <t>VÄSTERBOTTENS LÄN</t>
        </is>
      </c>
      <c r="E3656" t="inlineStr">
        <is>
          <t>ROBERTSFORS</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51134-2024</t>
        </is>
      </c>
      <c r="B3657" s="1" t="n">
        <v>45603</v>
      </c>
      <c r="C3657" s="1" t="n">
        <v>46145</v>
      </c>
      <c r="D3657" t="inlineStr">
        <is>
          <t>VÄSTERBOTTENS LÄN</t>
        </is>
      </c>
      <c r="E3657" t="inlineStr">
        <is>
          <t>VILHELMINA</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37952-2025</t>
        </is>
      </c>
      <c r="B3658" s="1" t="n">
        <v>45881.63590277778</v>
      </c>
      <c r="C3658" s="1" t="n">
        <v>46145</v>
      </c>
      <c r="D3658" t="inlineStr">
        <is>
          <t>VÄSTERBOTTENS LÄN</t>
        </is>
      </c>
      <c r="E3658" t="inlineStr">
        <is>
          <t>LYCKSELE</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37956-2025</t>
        </is>
      </c>
      <c r="B3659" s="1" t="n">
        <v>45881.64329861111</v>
      </c>
      <c r="C3659" s="1" t="n">
        <v>46145</v>
      </c>
      <c r="D3659" t="inlineStr">
        <is>
          <t>VÄSTERBOTTENS LÄN</t>
        </is>
      </c>
      <c r="E3659" t="inlineStr">
        <is>
          <t>SORSELE</t>
        </is>
      </c>
      <c r="G3659" t="n">
        <v>15.7</v>
      </c>
      <c r="H3659" t="n">
        <v>0</v>
      </c>
      <c r="I3659" t="n">
        <v>0</v>
      </c>
      <c r="J3659" t="n">
        <v>0</v>
      </c>
      <c r="K3659" t="n">
        <v>0</v>
      </c>
      <c r="L3659" t="n">
        <v>0</v>
      </c>
      <c r="M3659" t="n">
        <v>0</v>
      </c>
      <c r="N3659" t="n">
        <v>0</v>
      </c>
      <c r="O3659" t="n">
        <v>0</v>
      </c>
      <c r="P3659" t="n">
        <v>0</v>
      </c>
      <c r="Q3659" t="n">
        <v>0</v>
      </c>
      <c r="R3659" s="2" t="inlineStr"/>
    </row>
    <row r="3660" ht="15" customHeight="1">
      <c r="A3660" t="inlineStr">
        <is>
          <t>A 37964-2025</t>
        </is>
      </c>
      <c r="B3660" s="1" t="n">
        <v>45881</v>
      </c>
      <c r="C3660" s="1" t="n">
        <v>46145</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41198-2024</t>
        </is>
      </c>
      <c r="B3661" s="1" t="n">
        <v>45559.51533564815</v>
      </c>
      <c r="C3661" s="1" t="n">
        <v>46145</v>
      </c>
      <c r="D3661" t="inlineStr">
        <is>
          <t>VÄSTERBOTTENS LÄN</t>
        </is>
      </c>
      <c r="E3661" t="inlineStr">
        <is>
          <t>SKELLEFTEÅ</t>
        </is>
      </c>
      <c r="F3661" t="inlineStr">
        <is>
          <t>Holmen skog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15408-2023</t>
        </is>
      </c>
      <c r="B3662" s="1" t="n">
        <v>45019.66755787037</v>
      </c>
      <c r="C3662" s="1" t="n">
        <v>46145</v>
      </c>
      <c r="D3662" t="inlineStr">
        <is>
          <t>VÄSTERBOTTENS LÄN</t>
        </is>
      </c>
      <c r="E3662" t="inlineStr">
        <is>
          <t>VINDELN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37823-2025</t>
        </is>
      </c>
      <c r="B3663" s="1" t="n">
        <v>45881.40667824074</v>
      </c>
      <c r="C3663" s="1" t="n">
        <v>46145</v>
      </c>
      <c r="D3663" t="inlineStr">
        <is>
          <t>VÄSTERBOTTENS LÄN</t>
        </is>
      </c>
      <c r="E3663" t="inlineStr">
        <is>
          <t>LYCKSELE</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34376-2023</t>
        </is>
      </c>
      <c r="B3664" s="1" t="n">
        <v>45139</v>
      </c>
      <c r="C3664" s="1" t="n">
        <v>46145</v>
      </c>
      <c r="D3664" t="inlineStr">
        <is>
          <t>VÄSTERBOTTENS LÄN</t>
        </is>
      </c>
      <c r="E3664" t="inlineStr">
        <is>
          <t>MALÅ</t>
        </is>
      </c>
      <c r="F3664" t="inlineStr">
        <is>
          <t>Sveaskog</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38101-2025</t>
        </is>
      </c>
      <c r="B3665" s="1" t="n">
        <v>45882.49106481481</v>
      </c>
      <c r="C3665" s="1" t="n">
        <v>46145</v>
      </c>
      <c r="D3665" t="inlineStr">
        <is>
          <t>VÄSTERBOTTENS LÄN</t>
        </is>
      </c>
      <c r="E3665" t="inlineStr">
        <is>
          <t>DOROTEA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15528-2023</t>
        </is>
      </c>
      <c r="B3666" s="1" t="n">
        <v>45020</v>
      </c>
      <c r="C3666" s="1" t="n">
        <v>46145</v>
      </c>
      <c r="D3666" t="inlineStr">
        <is>
          <t>VÄSTERBOTTENS LÄN</t>
        </is>
      </c>
      <c r="E3666" t="inlineStr">
        <is>
          <t>ROBERTSFORS</t>
        </is>
      </c>
      <c r="F3666" t="inlineStr">
        <is>
          <t>Sveaskog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49981-2024</t>
        </is>
      </c>
      <c r="B3667" s="1" t="n">
        <v>45597.75133101852</v>
      </c>
      <c r="C3667" s="1" t="n">
        <v>46145</v>
      </c>
      <c r="D3667" t="inlineStr">
        <is>
          <t>VÄSTERBOTTENS LÄN</t>
        </is>
      </c>
      <c r="E3667" t="inlineStr">
        <is>
          <t>SKELLEFTEÅ</t>
        </is>
      </c>
      <c r="F3667" t="inlineStr">
        <is>
          <t>Sveaskog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52157-2024</t>
        </is>
      </c>
      <c r="B3668" s="1" t="n">
        <v>45608.52555555556</v>
      </c>
      <c r="C3668" s="1" t="n">
        <v>46145</v>
      </c>
      <c r="D3668" t="inlineStr">
        <is>
          <t>VÄSTERBOTTENS LÄN</t>
        </is>
      </c>
      <c r="E3668" t="inlineStr">
        <is>
          <t>SKELLEFTEÅ</t>
        </is>
      </c>
      <c r="F3668" t="inlineStr">
        <is>
          <t>Holmen skog AB</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38216-2025</t>
        </is>
      </c>
      <c r="B3669" s="1" t="n">
        <v>45883.29847222222</v>
      </c>
      <c r="C3669" s="1" t="n">
        <v>46145</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38227-2025</t>
        </is>
      </c>
      <c r="B3670" s="1" t="n">
        <v>45883.34537037037</v>
      </c>
      <c r="C3670" s="1" t="n">
        <v>46145</v>
      </c>
      <c r="D3670" t="inlineStr">
        <is>
          <t>VÄSTERBOTTENS LÄN</t>
        </is>
      </c>
      <c r="E3670" t="inlineStr">
        <is>
          <t>DOROTEA</t>
        </is>
      </c>
      <c r="F3670" t="inlineStr">
        <is>
          <t>SCA</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20976-2021</t>
        </is>
      </c>
      <c r="B3671" s="1" t="n">
        <v>44318</v>
      </c>
      <c r="C3671" s="1" t="n">
        <v>46145</v>
      </c>
      <c r="D3671" t="inlineStr">
        <is>
          <t>VÄSTERBOTTENS LÄN</t>
        </is>
      </c>
      <c r="E3671" t="inlineStr">
        <is>
          <t>NORDMALING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52920-2024</t>
        </is>
      </c>
      <c r="B3672" s="1" t="n">
        <v>45610</v>
      </c>
      <c r="C3672" s="1" t="n">
        <v>46145</v>
      </c>
      <c r="D3672" t="inlineStr">
        <is>
          <t>VÄSTERBOTTENS LÄN</t>
        </is>
      </c>
      <c r="E3672" t="inlineStr">
        <is>
          <t>SKELLEFTEÅ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51746-2021</t>
        </is>
      </c>
      <c r="B3673" s="1" t="n">
        <v>44462</v>
      </c>
      <c r="C3673" s="1" t="n">
        <v>46145</v>
      </c>
      <c r="D3673" t="inlineStr">
        <is>
          <t>VÄSTERBOTTENS LÄN</t>
        </is>
      </c>
      <c r="E3673" t="inlineStr">
        <is>
          <t>NORDMALING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56114-2024</t>
        </is>
      </c>
      <c r="B3674" s="1" t="n">
        <v>45623</v>
      </c>
      <c r="C3674" s="1" t="n">
        <v>46145</v>
      </c>
      <c r="D3674" t="inlineStr">
        <is>
          <t>VÄSTERBOTTENS LÄN</t>
        </is>
      </c>
      <c r="E3674" t="inlineStr">
        <is>
          <t>BJURHOLM</t>
        </is>
      </c>
      <c r="G3674" t="n">
        <v>9.699999999999999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55856-2024</t>
        </is>
      </c>
      <c r="B3675" s="1" t="n">
        <v>45623</v>
      </c>
      <c r="C3675" s="1" t="n">
        <v>46145</v>
      </c>
      <c r="D3675" t="inlineStr">
        <is>
          <t>VÄSTERBOTTENS LÄN</t>
        </is>
      </c>
      <c r="E3675" t="inlineStr">
        <is>
          <t>UMEÅ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54697-2024</t>
        </is>
      </c>
      <c r="B3676" s="1" t="n">
        <v>45618.40399305556</v>
      </c>
      <c r="C3676" s="1" t="n">
        <v>46145</v>
      </c>
      <c r="D3676" t="inlineStr">
        <is>
          <t>VÄSTERBOTTENS LÄN</t>
        </is>
      </c>
      <c r="E3676" t="inlineStr">
        <is>
          <t>LYCKSELE</t>
        </is>
      </c>
      <c r="F3676" t="inlineStr">
        <is>
          <t>Sveaskog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53096-2024</t>
        </is>
      </c>
      <c r="B3677" s="1" t="n">
        <v>45611.53107638889</v>
      </c>
      <c r="C3677" s="1" t="n">
        <v>46145</v>
      </c>
      <c r="D3677" t="inlineStr">
        <is>
          <t>VÄSTERBOTTENS LÄN</t>
        </is>
      </c>
      <c r="E3677" t="inlineStr">
        <is>
          <t>LYCKSELE</t>
        </is>
      </c>
      <c r="F3677" t="inlineStr">
        <is>
          <t>Sveaskog</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38096-2025</t>
        </is>
      </c>
      <c r="B3678" s="1" t="n">
        <v>45882</v>
      </c>
      <c r="C3678" s="1" t="n">
        <v>46145</v>
      </c>
      <c r="D3678" t="inlineStr">
        <is>
          <t>VÄSTERBOTTENS LÄN</t>
        </is>
      </c>
      <c r="E3678" t="inlineStr">
        <is>
          <t>DOROTEA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39123-2025</t>
        </is>
      </c>
      <c r="B3679" s="1" t="n">
        <v>45888.57267361111</v>
      </c>
      <c r="C3679" s="1" t="n">
        <v>46145</v>
      </c>
      <c r="D3679" t="inlineStr">
        <is>
          <t>VÄSTERBOTTENS LÄN</t>
        </is>
      </c>
      <c r="E3679" t="inlineStr">
        <is>
          <t>SKELLEFTEÅ</t>
        </is>
      </c>
      <c r="F3679" t="inlineStr">
        <is>
          <t>Holmen skog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38154-2025</t>
        </is>
      </c>
      <c r="B3680" s="1" t="n">
        <v>45882.59900462963</v>
      </c>
      <c r="C3680" s="1" t="n">
        <v>46145</v>
      </c>
      <c r="D3680" t="inlineStr">
        <is>
          <t>VÄSTERBOTTENS LÄN</t>
        </is>
      </c>
      <c r="E3680" t="inlineStr">
        <is>
          <t>VINDELN</t>
        </is>
      </c>
      <c r="F3680" t="inlineStr">
        <is>
          <t>Naturvårdsverket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38181-2025</t>
        </is>
      </c>
      <c r="B3681" s="1" t="n">
        <v>45882.64618055556</v>
      </c>
      <c r="C3681" s="1" t="n">
        <v>46145</v>
      </c>
      <c r="D3681" t="inlineStr">
        <is>
          <t>VÄSTERBOTTENS LÄN</t>
        </is>
      </c>
      <c r="E3681" t="inlineStr">
        <is>
          <t>ÅSELE</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53233-2024</t>
        </is>
      </c>
      <c r="B3682" s="1" t="n">
        <v>45613.74923611111</v>
      </c>
      <c r="C3682" s="1" t="n">
        <v>46145</v>
      </c>
      <c r="D3682" t="inlineStr">
        <is>
          <t>VÄSTERBOTTENS LÄN</t>
        </is>
      </c>
      <c r="E3682" t="inlineStr">
        <is>
          <t>LYCKSELE</t>
        </is>
      </c>
      <c r="F3682" t="inlineStr">
        <is>
          <t>Sveaskog</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39136-2025</t>
        </is>
      </c>
      <c r="B3683" s="1" t="n">
        <v>45888.59417824074</v>
      </c>
      <c r="C3683" s="1" t="n">
        <v>46145</v>
      </c>
      <c r="D3683" t="inlineStr">
        <is>
          <t>VÄSTERBOTTENS LÄN</t>
        </is>
      </c>
      <c r="E3683" t="inlineStr">
        <is>
          <t>BJURHOLM</t>
        </is>
      </c>
      <c r="F3683" t="inlineStr">
        <is>
          <t>SCA</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39138-2025</t>
        </is>
      </c>
      <c r="B3684" s="1" t="n">
        <v>45888.59435185185</v>
      </c>
      <c r="C3684" s="1" t="n">
        <v>46145</v>
      </c>
      <c r="D3684" t="inlineStr">
        <is>
          <t>VÄSTERBOTTENS LÄN</t>
        </is>
      </c>
      <c r="E3684" t="inlineStr">
        <is>
          <t>VILHELMINA</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4016-2023</t>
        </is>
      </c>
      <c r="B3685" s="1" t="n">
        <v>44952.54068287037</v>
      </c>
      <c r="C3685" s="1" t="n">
        <v>46145</v>
      </c>
      <c r="D3685" t="inlineStr">
        <is>
          <t>VÄSTERBOTTENS LÄN</t>
        </is>
      </c>
      <c r="E3685" t="inlineStr">
        <is>
          <t>ROBERTSFORS</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38099-2025</t>
        </is>
      </c>
      <c r="B3686" s="1" t="n">
        <v>45882.49087962963</v>
      </c>
      <c r="C3686" s="1" t="n">
        <v>46145</v>
      </c>
      <c r="D3686" t="inlineStr">
        <is>
          <t>VÄSTERBOTTENS LÄN</t>
        </is>
      </c>
      <c r="E3686" t="inlineStr">
        <is>
          <t>DOROTEA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37900-2025</t>
        </is>
      </c>
      <c r="B3687" s="1" t="n">
        <v>45881.56103009259</v>
      </c>
      <c r="C3687" s="1" t="n">
        <v>46145</v>
      </c>
      <c r="D3687" t="inlineStr">
        <is>
          <t>VÄSTERBOTTENS LÄN</t>
        </is>
      </c>
      <c r="E3687" t="inlineStr">
        <is>
          <t>SKELLEFTEÅ</t>
        </is>
      </c>
      <c r="F3687" t="inlineStr">
        <is>
          <t>Holmen skog AB</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7991-2025</t>
        </is>
      </c>
      <c r="B3688" s="1" t="n">
        <v>45707.48981481481</v>
      </c>
      <c r="C3688" s="1" t="n">
        <v>46145</v>
      </c>
      <c r="D3688" t="inlineStr">
        <is>
          <t>VÄSTERBOTTENS LÄN</t>
        </is>
      </c>
      <c r="E3688" t="inlineStr">
        <is>
          <t>SKELLEFTEÅ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39135-2025</t>
        </is>
      </c>
      <c r="B3689" s="1" t="n">
        <v>45888.59356481482</v>
      </c>
      <c r="C3689" s="1" t="n">
        <v>46145</v>
      </c>
      <c r="D3689" t="inlineStr">
        <is>
          <t>VÄSTERBOTTENS LÄN</t>
        </is>
      </c>
      <c r="E3689" t="inlineStr">
        <is>
          <t>LYCKSELE</t>
        </is>
      </c>
      <c r="F3689" t="inlineStr">
        <is>
          <t>Sveaskog</t>
        </is>
      </c>
      <c r="G3689" t="n">
        <v>12.7</v>
      </c>
      <c r="H3689" t="n">
        <v>0</v>
      </c>
      <c r="I3689" t="n">
        <v>0</v>
      </c>
      <c r="J3689" t="n">
        <v>0</v>
      </c>
      <c r="K3689" t="n">
        <v>0</v>
      </c>
      <c r="L3689" t="n">
        <v>0</v>
      </c>
      <c r="M3689" t="n">
        <v>0</v>
      </c>
      <c r="N3689" t="n">
        <v>0</v>
      </c>
      <c r="O3689" t="n">
        <v>0</v>
      </c>
      <c r="P3689" t="n">
        <v>0</v>
      </c>
      <c r="Q3689" t="n">
        <v>0</v>
      </c>
      <c r="R3689" s="2" t="inlineStr"/>
    </row>
    <row r="3690" ht="15" customHeight="1">
      <c r="A3690" t="inlineStr">
        <is>
          <t>A 39143-2025</t>
        </is>
      </c>
      <c r="B3690" s="1" t="n">
        <v>45888.59829861111</v>
      </c>
      <c r="C3690" s="1" t="n">
        <v>46145</v>
      </c>
      <c r="D3690" t="inlineStr">
        <is>
          <t>VÄSTERBOTTENS LÄN</t>
        </is>
      </c>
      <c r="E3690" t="inlineStr">
        <is>
          <t>LYCKSELE</t>
        </is>
      </c>
      <c r="F3690" t="inlineStr">
        <is>
          <t>Sveaskog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38184-2025</t>
        </is>
      </c>
      <c r="B3691" s="1" t="n">
        <v>45882.64888888889</v>
      </c>
      <c r="C3691" s="1" t="n">
        <v>46145</v>
      </c>
      <c r="D3691" t="inlineStr">
        <is>
          <t>VÄSTERBOTTENS LÄN</t>
        </is>
      </c>
      <c r="E3691" t="inlineStr">
        <is>
          <t>ÅSELE</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39162-2025</t>
        </is>
      </c>
      <c r="B3692" s="1" t="n">
        <v>45888.63608796296</v>
      </c>
      <c r="C3692" s="1" t="n">
        <v>46145</v>
      </c>
      <c r="D3692" t="inlineStr">
        <is>
          <t>VÄSTERBOTTENS LÄN</t>
        </is>
      </c>
      <c r="E3692" t="inlineStr">
        <is>
          <t>LYCKSELE</t>
        </is>
      </c>
      <c r="F3692" t="inlineStr">
        <is>
          <t>SCA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39163-2025</t>
        </is>
      </c>
      <c r="B3693" s="1" t="n">
        <v>45888.63672453703</v>
      </c>
      <c r="C3693" s="1" t="n">
        <v>46145</v>
      </c>
      <c r="D3693" t="inlineStr">
        <is>
          <t>VÄSTERBOTTENS LÄN</t>
        </is>
      </c>
      <c r="E3693" t="inlineStr">
        <is>
          <t>NORSJÖ</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37868-2025</t>
        </is>
      </c>
      <c r="B3694" s="1" t="n">
        <v>45881.4718287037</v>
      </c>
      <c r="C3694" s="1" t="n">
        <v>46145</v>
      </c>
      <c r="D3694" t="inlineStr">
        <is>
          <t>VÄSTERBOTTENS LÄN</t>
        </is>
      </c>
      <c r="E3694" t="inlineStr">
        <is>
          <t>ÅSELE</t>
        </is>
      </c>
      <c r="F3694" t="inlineStr">
        <is>
          <t>Kyrkan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56446-2024</t>
        </is>
      </c>
      <c r="B3695" s="1" t="n">
        <v>45625.42743055556</v>
      </c>
      <c r="C3695" s="1" t="n">
        <v>46145</v>
      </c>
      <c r="D3695" t="inlineStr">
        <is>
          <t>VÄSTERBOTTENS LÄN</t>
        </is>
      </c>
      <c r="E3695" t="inlineStr">
        <is>
          <t>ÅSELE</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53335-2024</t>
        </is>
      </c>
      <c r="B3696" s="1" t="n">
        <v>45614.42590277778</v>
      </c>
      <c r="C3696" s="1" t="n">
        <v>46145</v>
      </c>
      <c r="D3696" t="inlineStr">
        <is>
          <t>VÄSTERBOTTENS LÄN</t>
        </is>
      </c>
      <c r="E3696" t="inlineStr">
        <is>
          <t>LYCKSELE</t>
        </is>
      </c>
      <c r="F3696" t="inlineStr">
        <is>
          <t>Sveaskog</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50620-2024</t>
        </is>
      </c>
      <c r="B3697" s="1" t="n">
        <v>45601</v>
      </c>
      <c r="C3697" s="1" t="n">
        <v>46145</v>
      </c>
      <c r="D3697" t="inlineStr">
        <is>
          <t>VÄSTERBOTTENS LÄN</t>
        </is>
      </c>
      <c r="E3697" t="inlineStr">
        <is>
          <t>VINDELN</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53374-2024</t>
        </is>
      </c>
      <c r="B3698" s="1" t="n">
        <v>45614</v>
      </c>
      <c r="C3698" s="1" t="n">
        <v>46145</v>
      </c>
      <c r="D3698" t="inlineStr">
        <is>
          <t>VÄSTERBOTTENS LÄN</t>
        </is>
      </c>
      <c r="E3698" t="inlineStr">
        <is>
          <t>BJURHOLM</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38166-2025</t>
        </is>
      </c>
      <c r="B3699" s="1" t="n">
        <v>45882.63100694444</v>
      </c>
      <c r="C3699" s="1" t="n">
        <v>46145</v>
      </c>
      <c r="D3699" t="inlineStr">
        <is>
          <t>VÄSTERBOTTENS LÄN</t>
        </is>
      </c>
      <c r="E3699" t="inlineStr">
        <is>
          <t>VINDELN</t>
        </is>
      </c>
      <c r="F3699" t="inlineStr">
        <is>
          <t>Naturvårdsverket</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38177-2025</t>
        </is>
      </c>
      <c r="B3700" s="1" t="n">
        <v>45882.63927083334</v>
      </c>
      <c r="C3700" s="1" t="n">
        <v>46145</v>
      </c>
      <c r="D3700" t="inlineStr">
        <is>
          <t>VÄSTERBOTTENS LÄN</t>
        </is>
      </c>
      <c r="E3700" t="inlineStr">
        <is>
          <t>BJURHOLM</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38182-2025</t>
        </is>
      </c>
      <c r="B3701" s="1" t="n">
        <v>45882.64671296296</v>
      </c>
      <c r="C3701" s="1" t="n">
        <v>46145</v>
      </c>
      <c r="D3701" t="inlineStr">
        <is>
          <t>VÄSTERBOTTENS LÄN</t>
        </is>
      </c>
      <c r="E3701" t="inlineStr">
        <is>
          <t>NORSJÖ</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60323-2024</t>
        </is>
      </c>
      <c r="B3702" s="1" t="n">
        <v>45641</v>
      </c>
      <c r="C3702" s="1" t="n">
        <v>46145</v>
      </c>
      <c r="D3702" t="inlineStr">
        <is>
          <t>VÄSTERBOTTENS LÄN</t>
        </is>
      </c>
      <c r="E3702" t="inlineStr">
        <is>
          <t>UMEÅ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39196-2025</t>
        </is>
      </c>
      <c r="B3703" s="1" t="n">
        <v>45888.69388888889</v>
      </c>
      <c r="C3703" s="1" t="n">
        <v>46145</v>
      </c>
      <c r="D3703" t="inlineStr">
        <is>
          <t>VÄSTERBOTTENS LÄN</t>
        </is>
      </c>
      <c r="E3703" t="inlineStr">
        <is>
          <t>ÅSELE</t>
        </is>
      </c>
      <c r="F3703" t="inlineStr">
        <is>
          <t>Holmen skog AB</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38189-2025</t>
        </is>
      </c>
      <c r="B3704" s="1" t="n">
        <v>45882.65576388889</v>
      </c>
      <c r="C3704" s="1" t="n">
        <v>46145</v>
      </c>
      <c r="D3704" t="inlineStr">
        <is>
          <t>VÄSTERBOTTENS LÄN</t>
        </is>
      </c>
      <c r="E3704" t="inlineStr">
        <is>
          <t>ÅSELE</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7816-2025</t>
        </is>
      </c>
      <c r="B3705" s="1" t="n">
        <v>45706.63597222222</v>
      </c>
      <c r="C3705" s="1" t="n">
        <v>46145</v>
      </c>
      <c r="D3705" t="inlineStr">
        <is>
          <t>VÄSTERBOTTENS LÄN</t>
        </is>
      </c>
      <c r="E3705" t="inlineStr">
        <is>
          <t>SKELLEFTEÅ</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6549-2023</t>
        </is>
      </c>
      <c r="B3706" s="1" t="n">
        <v>44966</v>
      </c>
      <c r="C3706" s="1" t="n">
        <v>46145</v>
      </c>
      <c r="D3706" t="inlineStr">
        <is>
          <t>VÄSTERBOTTENS LÄN</t>
        </is>
      </c>
      <c r="E3706" t="inlineStr">
        <is>
          <t>STORUMAN</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49667-2024</t>
        </is>
      </c>
      <c r="B3707" s="1" t="n">
        <v>45596.64743055555</v>
      </c>
      <c r="C3707" s="1" t="n">
        <v>46145</v>
      </c>
      <c r="D3707" t="inlineStr">
        <is>
          <t>VÄSTERBOTTENS LÄN</t>
        </is>
      </c>
      <c r="E3707" t="inlineStr">
        <is>
          <t>LYCKSELE</t>
        </is>
      </c>
      <c r="F3707" t="inlineStr">
        <is>
          <t>Sveaskog</t>
        </is>
      </c>
      <c r="G3707" t="n">
        <v>13.9</v>
      </c>
      <c r="H3707" t="n">
        <v>0</v>
      </c>
      <c r="I3707" t="n">
        <v>0</v>
      </c>
      <c r="J3707" t="n">
        <v>0</v>
      </c>
      <c r="K3707" t="n">
        <v>0</v>
      </c>
      <c r="L3707" t="n">
        <v>0</v>
      </c>
      <c r="M3707" t="n">
        <v>0</v>
      </c>
      <c r="N3707" t="n">
        <v>0</v>
      </c>
      <c r="O3707" t="n">
        <v>0</v>
      </c>
      <c r="P3707" t="n">
        <v>0</v>
      </c>
      <c r="Q3707" t="n">
        <v>0</v>
      </c>
      <c r="R3707" s="2" t="inlineStr"/>
    </row>
    <row r="3708" ht="15" customHeight="1">
      <c r="A3708" t="inlineStr">
        <is>
          <t>A 39089-2025</t>
        </is>
      </c>
      <c r="B3708" s="1" t="n">
        <v>45887</v>
      </c>
      <c r="C3708" s="1" t="n">
        <v>46145</v>
      </c>
      <c r="D3708" t="inlineStr">
        <is>
          <t>VÄSTERBOTTENS LÄN</t>
        </is>
      </c>
      <c r="E3708" t="inlineStr">
        <is>
          <t>SKELLEFTEÅ</t>
        </is>
      </c>
      <c r="G3708" t="n">
        <v>31.5</v>
      </c>
      <c r="H3708" t="n">
        <v>0</v>
      </c>
      <c r="I3708" t="n">
        <v>0</v>
      </c>
      <c r="J3708" t="n">
        <v>0</v>
      </c>
      <c r="K3708" t="n">
        <v>0</v>
      </c>
      <c r="L3708" t="n">
        <v>0</v>
      </c>
      <c r="M3708" t="n">
        <v>0</v>
      </c>
      <c r="N3708" t="n">
        <v>0</v>
      </c>
      <c r="O3708" t="n">
        <v>0</v>
      </c>
      <c r="P3708" t="n">
        <v>0</v>
      </c>
      <c r="Q3708" t="n">
        <v>0</v>
      </c>
      <c r="R3708" s="2" t="inlineStr"/>
    </row>
    <row r="3709" ht="15" customHeight="1">
      <c r="A3709" t="inlineStr">
        <is>
          <t>A 46362-2024</t>
        </is>
      </c>
      <c r="B3709" s="1" t="n">
        <v>45582</v>
      </c>
      <c r="C3709" s="1" t="n">
        <v>46145</v>
      </c>
      <c r="D3709" t="inlineStr">
        <is>
          <t>VÄSTERBOTTENS LÄN</t>
        </is>
      </c>
      <c r="E3709" t="inlineStr">
        <is>
          <t>STORUMAN</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39104-2025</t>
        </is>
      </c>
      <c r="B3710" s="1" t="n">
        <v>45888.52721064815</v>
      </c>
      <c r="C3710" s="1" t="n">
        <v>46145</v>
      </c>
      <c r="D3710" t="inlineStr">
        <is>
          <t>VÄSTERBOTTENS LÄN</t>
        </is>
      </c>
      <c r="E3710" t="inlineStr">
        <is>
          <t>STORUMAN</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26991-2025</t>
        </is>
      </c>
      <c r="B3711" s="1" t="n">
        <v>45811.52162037037</v>
      </c>
      <c r="C3711" s="1" t="n">
        <v>46145</v>
      </c>
      <c r="D3711" t="inlineStr">
        <is>
          <t>VÄSTERBOTTENS LÄN</t>
        </is>
      </c>
      <c r="E3711" t="inlineStr">
        <is>
          <t>ROBERTSFORS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27558-2025</t>
        </is>
      </c>
      <c r="B3712" s="1" t="n">
        <v>45813</v>
      </c>
      <c r="C3712" s="1" t="n">
        <v>46145</v>
      </c>
      <c r="D3712" t="inlineStr">
        <is>
          <t>VÄSTERBOTTENS LÄN</t>
        </is>
      </c>
      <c r="E3712" t="inlineStr">
        <is>
          <t>DOROTEA</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2193-2023</t>
        </is>
      </c>
      <c r="B3713" s="1" t="n">
        <v>44942.36244212963</v>
      </c>
      <c r="C3713" s="1" t="n">
        <v>46145</v>
      </c>
      <c r="D3713" t="inlineStr">
        <is>
          <t>VÄSTERBOTTENS LÄN</t>
        </is>
      </c>
      <c r="E3713" t="inlineStr">
        <is>
          <t>LYCKSELE</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50635-2021</t>
        </is>
      </c>
      <c r="B3714" s="1" t="n">
        <v>44459.71978009259</v>
      </c>
      <c r="C3714" s="1" t="n">
        <v>46145</v>
      </c>
      <c r="D3714" t="inlineStr">
        <is>
          <t>VÄSTERBOTTENS LÄN</t>
        </is>
      </c>
      <c r="E3714" t="inlineStr">
        <is>
          <t>VILHELMINA</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12359-2023</t>
        </is>
      </c>
      <c r="B3715" s="1" t="n">
        <v>44995</v>
      </c>
      <c r="C3715" s="1" t="n">
        <v>46145</v>
      </c>
      <c r="D3715" t="inlineStr">
        <is>
          <t>VÄSTERBOTTENS LÄN</t>
        </is>
      </c>
      <c r="E3715" t="inlineStr">
        <is>
          <t>STORUMAN</t>
        </is>
      </c>
      <c r="F3715" t="inlineStr">
        <is>
          <t>Allmännings- och besparingsskogar</t>
        </is>
      </c>
      <c r="G3715" t="n">
        <v>449.4</v>
      </c>
      <c r="H3715" t="n">
        <v>0</v>
      </c>
      <c r="I3715" t="n">
        <v>0</v>
      </c>
      <c r="J3715" t="n">
        <v>0</v>
      </c>
      <c r="K3715" t="n">
        <v>0</v>
      </c>
      <c r="L3715" t="n">
        <v>0</v>
      </c>
      <c r="M3715" t="n">
        <v>0</v>
      </c>
      <c r="N3715" t="n">
        <v>0</v>
      </c>
      <c r="O3715" t="n">
        <v>0</v>
      </c>
      <c r="P3715" t="n">
        <v>0</v>
      </c>
      <c r="Q3715" t="n">
        <v>0</v>
      </c>
      <c r="R3715" s="2" t="inlineStr"/>
    </row>
    <row r="3716" ht="15" customHeight="1">
      <c r="A3716" t="inlineStr">
        <is>
          <t>A 37916-2025</t>
        </is>
      </c>
      <c r="B3716" s="1" t="n">
        <v>45881.57440972222</v>
      </c>
      <c r="C3716" s="1" t="n">
        <v>46145</v>
      </c>
      <c r="D3716" t="inlineStr">
        <is>
          <t>VÄSTERBOTTENS LÄN</t>
        </is>
      </c>
      <c r="E3716" t="inlineStr">
        <is>
          <t>NORSJÖ</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37863-2025</t>
        </is>
      </c>
      <c r="B3717" s="1" t="n">
        <v>45881.46734953704</v>
      </c>
      <c r="C3717" s="1" t="n">
        <v>46145</v>
      </c>
      <c r="D3717" t="inlineStr">
        <is>
          <t>VÄSTERBOTTENS LÄN</t>
        </is>
      </c>
      <c r="E3717" t="inlineStr">
        <is>
          <t>ÅSELE</t>
        </is>
      </c>
      <c r="F3717" t="inlineStr">
        <is>
          <t>Kommuner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11604-2023</t>
        </is>
      </c>
      <c r="B3718" s="1" t="n">
        <v>44994</v>
      </c>
      <c r="C3718" s="1" t="n">
        <v>46145</v>
      </c>
      <c r="D3718" t="inlineStr">
        <is>
          <t>VÄSTERBOTTENS LÄN</t>
        </is>
      </c>
      <c r="E3718" t="inlineStr">
        <is>
          <t>LYCKSELE</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11629-2023</t>
        </is>
      </c>
      <c r="B3719" s="1" t="n">
        <v>44994.43855324074</v>
      </c>
      <c r="C3719" s="1" t="n">
        <v>46145</v>
      </c>
      <c r="D3719" t="inlineStr">
        <is>
          <t>VÄSTERBOTTENS LÄN</t>
        </is>
      </c>
      <c r="E3719" t="inlineStr">
        <is>
          <t>SKELLEFTEÅ</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38818-2025</t>
        </is>
      </c>
      <c r="B3720" s="1" t="n">
        <v>45887.49842592593</v>
      </c>
      <c r="C3720" s="1" t="n">
        <v>46145</v>
      </c>
      <c r="D3720" t="inlineStr">
        <is>
          <t>VÄSTERBOTTENS LÄN</t>
        </is>
      </c>
      <c r="E3720" t="inlineStr">
        <is>
          <t>BJURHOLM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37814-2025</t>
        </is>
      </c>
      <c r="B3721" s="1" t="n">
        <v>45881.3749537037</v>
      </c>
      <c r="C3721" s="1" t="n">
        <v>46145</v>
      </c>
      <c r="D3721" t="inlineStr">
        <is>
          <t>VÄSTERBOTTENS LÄN</t>
        </is>
      </c>
      <c r="E3721" t="inlineStr">
        <is>
          <t>UMEÅ</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37772-2025</t>
        </is>
      </c>
      <c r="B3722" s="1" t="n">
        <v>45880.75725694445</v>
      </c>
      <c r="C3722" s="1" t="n">
        <v>46145</v>
      </c>
      <c r="D3722" t="inlineStr">
        <is>
          <t>VÄSTERBOTTENS LÄN</t>
        </is>
      </c>
      <c r="E3722" t="inlineStr">
        <is>
          <t>ÅSELE</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37773-2025</t>
        </is>
      </c>
      <c r="B3723" s="1" t="n">
        <v>45880.7615162037</v>
      </c>
      <c r="C3723" s="1" t="n">
        <v>46145</v>
      </c>
      <c r="D3723" t="inlineStr">
        <is>
          <t>VÄSTERBOTTENS LÄN</t>
        </is>
      </c>
      <c r="E3723" t="inlineStr">
        <is>
          <t>ÅSELE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48924-2024</t>
        </is>
      </c>
      <c r="B3724" s="1" t="n">
        <v>45594.37393518518</v>
      </c>
      <c r="C3724" s="1" t="n">
        <v>46145</v>
      </c>
      <c r="D3724" t="inlineStr">
        <is>
          <t>VÄSTERBOTTENS LÄN</t>
        </is>
      </c>
      <c r="E3724" t="inlineStr">
        <is>
          <t>SORSELE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38887-2025</t>
        </is>
      </c>
      <c r="B3725" s="1" t="n">
        <v>45887.58591435185</v>
      </c>
      <c r="C3725" s="1" t="n">
        <v>46145</v>
      </c>
      <c r="D3725" t="inlineStr">
        <is>
          <t>VÄSTERBOTTENS LÄN</t>
        </is>
      </c>
      <c r="E3725" t="inlineStr">
        <is>
          <t>UMEÅ</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57530-2021</t>
        </is>
      </c>
      <c r="B3726" s="1" t="n">
        <v>44483</v>
      </c>
      <c r="C3726" s="1" t="n">
        <v>46145</v>
      </c>
      <c r="D3726" t="inlineStr">
        <is>
          <t>VÄSTERBOTTENS LÄN</t>
        </is>
      </c>
      <c r="E3726" t="inlineStr">
        <is>
          <t>SKELLEFTEÅ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38909-2025</t>
        </is>
      </c>
      <c r="B3727" s="1" t="n">
        <v>45887.61462962963</v>
      </c>
      <c r="C3727" s="1" t="n">
        <v>46145</v>
      </c>
      <c r="D3727" t="inlineStr">
        <is>
          <t>VÄSTERBOTTENS LÄN</t>
        </is>
      </c>
      <c r="E3727" t="inlineStr">
        <is>
          <t>ROBERTSFORS</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28870-2024</t>
        </is>
      </c>
      <c r="B3728" s="1" t="n">
        <v>45478.94733796296</v>
      </c>
      <c r="C3728" s="1" t="n">
        <v>46145</v>
      </c>
      <c r="D3728" t="inlineStr">
        <is>
          <t>VÄSTERBOTTENS LÄN</t>
        </is>
      </c>
      <c r="E3728" t="inlineStr">
        <is>
          <t>VILHELMINA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28889-2024</t>
        </is>
      </c>
      <c r="B3729" s="1" t="n">
        <v>45479.9489699074</v>
      </c>
      <c r="C3729" s="1" t="n">
        <v>46145</v>
      </c>
      <c r="D3729" t="inlineStr">
        <is>
          <t>VÄSTERBOTTENS LÄN</t>
        </is>
      </c>
      <c r="E3729" t="inlineStr">
        <is>
          <t>ÅSELE</t>
        </is>
      </c>
      <c r="F3729" t="inlineStr">
        <is>
          <t>SCA</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1666-2023</t>
        </is>
      </c>
      <c r="B3730" s="1" t="n">
        <v>44938.36417824074</v>
      </c>
      <c r="C3730" s="1" t="n">
        <v>46145</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38836-2025</t>
        </is>
      </c>
      <c r="B3731" s="1" t="n">
        <v>45887.53207175926</v>
      </c>
      <c r="C3731" s="1" t="n">
        <v>46145</v>
      </c>
      <c r="D3731" t="inlineStr">
        <is>
          <t>VÄSTERBOTTENS LÄN</t>
        </is>
      </c>
      <c r="E3731" t="inlineStr">
        <is>
          <t>MALÅ</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17496-2023</t>
        </is>
      </c>
      <c r="B3732" s="1" t="n">
        <v>45034</v>
      </c>
      <c r="C3732" s="1" t="n">
        <v>46145</v>
      </c>
      <c r="D3732" t="inlineStr">
        <is>
          <t>VÄSTERBOTTENS LÄN</t>
        </is>
      </c>
      <c r="E3732" t="inlineStr">
        <is>
          <t>NORDMALING</t>
        </is>
      </c>
      <c r="G3732" t="n">
        <v>13.1</v>
      </c>
      <c r="H3732" t="n">
        <v>0</v>
      </c>
      <c r="I3732" t="n">
        <v>0</v>
      </c>
      <c r="J3732" t="n">
        <v>0</v>
      </c>
      <c r="K3732" t="n">
        <v>0</v>
      </c>
      <c r="L3732" t="n">
        <v>0</v>
      </c>
      <c r="M3732" t="n">
        <v>0</v>
      </c>
      <c r="N3732" t="n">
        <v>0</v>
      </c>
      <c r="O3732" t="n">
        <v>0</v>
      </c>
      <c r="P3732" t="n">
        <v>0</v>
      </c>
      <c r="Q3732" t="n">
        <v>0</v>
      </c>
      <c r="R3732" s="2" t="inlineStr"/>
    </row>
    <row r="3733" ht="15" customHeight="1">
      <c r="A3733" t="inlineStr">
        <is>
          <t>A 4056-2023</t>
        </is>
      </c>
      <c r="B3733" s="1" t="n">
        <v>44952</v>
      </c>
      <c r="C3733" s="1" t="n">
        <v>46145</v>
      </c>
      <c r="D3733" t="inlineStr">
        <is>
          <t>VÄSTERBOTTENS LÄN</t>
        </is>
      </c>
      <c r="E3733" t="inlineStr">
        <is>
          <t>LYCKSELE</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39064-2025</t>
        </is>
      </c>
      <c r="B3734" s="1" t="n">
        <v>45888.46336805556</v>
      </c>
      <c r="C3734" s="1" t="n">
        <v>46145</v>
      </c>
      <c r="D3734" t="inlineStr">
        <is>
          <t>VÄSTERBOTTENS LÄN</t>
        </is>
      </c>
      <c r="E3734" t="inlineStr">
        <is>
          <t>SKELLEFTEÅ</t>
        </is>
      </c>
      <c r="F3734" t="inlineStr">
        <is>
          <t>Holmen skog AB</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38837-2025</t>
        </is>
      </c>
      <c r="B3735" s="1" t="n">
        <v>45887.53356481482</v>
      </c>
      <c r="C3735" s="1" t="n">
        <v>46145</v>
      </c>
      <c r="D3735" t="inlineStr">
        <is>
          <t>VÄSTERBOTTENS LÄN</t>
        </is>
      </c>
      <c r="E3735" t="inlineStr">
        <is>
          <t>VINDELN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38097-2025</t>
        </is>
      </c>
      <c r="B3736" s="1" t="n">
        <v>45882.49069444444</v>
      </c>
      <c r="C3736" s="1" t="n">
        <v>46145</v>
      </c>
      <c r="D3736" t="inlineStr">
        <is>
          <t>VÄSTERBOTTENS LÄN</t>
        </is>
      </c>
      <c r="E3736" t="inlineStr">
        <is>
          <t>DOROTEA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38098-2025</t>
        </is>
      </c>
      <c r="B3737" s="1" t="n">
        <v>45882</v>
      </c>
      <c r="C3737" s="1" t="n">
        <v>46145</v>
      </c>
      <c r="D3737" t="inlineStr">
        <is>
          <t>VÄSTERBOTTENS LÄN</t>
        </is>
      </c>
      <c r="E3737" t="inlineStr">
        <is>
          <t>DOROTEA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58284-2021</t>
        </is>
      </c>
      <c r="B3738" s="1" t="n">
        <v>44487.97035879629</v>
      </c>
      <c r="C3738" s="1" t="n">
        <v>46145</v>
      </c>
      <c r="D3738" t="inlineStr">
        <is>
          <t>VÄSTERBOTTENS LÄN</t>
        </is>
      </c>
      <c r="E3738" t="inlineStr">
        <is>
          <t>UMEÅ</t>
        </is>
      </c>
      <c r="F3738" t="inlineStr">
        <is>
          <t>Kommuner</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39105-2025</t>
        </is>
      </c>
      <c r="B3739" s="1" t="n">
        <v>45888.52792824074</v>
      </c>
      <c r="C3739" s="1" t="n">
        <v>46145</v>
      </c>
      <c r="D3739" t="inlineStr">
        <is>
          <t>VÄSTERBOTTENS LÄN</t>
        </is>
      </c>
      <c r="E3739" t="inlineStr">
        <is>
          <t>SKELLEFTEÅ</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38925-2025</t>
        </is>
      </c>
      <c r="B3740" s="1" t="n">
        <v>45887.6322337963</v>
      </c>
      <c r="C3740" s="1" t="n">
        <v>46145</v>
      </c>
      <c r="D3740" t="inlineStr">
        <is>
          <t>VÄSTERBOTTENS LÄN</t>
        </is>
      </c>
      <c r="E3740" t="inlineStr">
        <is>
          <t>LYCKSELE</t>
        </is>
      </c>
      <c r="F3740" t="inlineStr">
        <is>
          <t>Sveaskog</t>
        </is>
      </c>
      <c r="G3740" t="n">
        <v>12.7</v>
      </c>
      <c r="H3740" t="n">
        <v>0</v>
      </c>
      <c r="I3740" t="n">
        <v>0</v>
      </c>
      <c r="J3740" t="n">
        <v>0</v>
      </c>
      <c r="K3740" t="n">
        <v>0</v>
      </c>
      <c r="L3740" t="n">
        <v>0</v>
      </c>
      <c r="M3740" t="n">
        <v>0</v>
      </c>
      <c r="N3740" t="n">
        <v>0</v>
      </c>
      <c r="O3740" t="n">
        <v>0</v>
      </c>
      <c r="P3740" t="n">
        <v>0</v>
      </c>
      <c r="Q3740" t="n">
        <v>0</v>
      </c>
      <c r="R3740" s="2" t="inlineStr"/>
    </row>
    <row r="3741" ht="15" customHeight="1">
      <c r="A3741" t="inlineStr">
        <is>
          <t>A 56952-2024</t>
        </is>
      </c>
      <c r="B3741" s="1" t="n">
        <v>45628</v>
      </c>
      <c r="C3741" s="1" t="n">
        <v>46145</v>
      </c>
      <c r="D3741" t="inlineStr">
        <is>
          <t>VÄSTERBOTTENS LÄN</t>
        </is>
      </c>
      <c r="E3741" t="inlineStr">
        <is>
          <t>SKELLEFTEÅ</t>
        </is>
      </c>
      <c r="F3741" t="inlineStr">
        <is>
          <t>Holmen skog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56983-2024</t>
        </is>
      </c>
      <c r="B3742" s="1" t="n">
        <v>45628.69109953703</v>
      </c>
      <c r="C3742" s="1" t="n">
        <v>46145</v>
      </c>
      <c r="D3742" t="inlineStr">
        <is>
          <t>VÄSTERBOTTENS LÄN</t>
        </is>
      </c>
      <c r="E3742" t="inlineStr">
        <is>
          <t>SKELLEFTEÅ</t>
        </is>
      </c>
      <c r="F3742" t="inlineStr">
        <is>
          <t>Holmen skog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38117-2025</t>
        </is>
      </c>
      <c r="B3743" s="1" t="n">
        <v>45882.53344907407</v>
      </c>
      <c r="C3743" s="1" t="n">
        <v>46145</v>
      </c>
      <c r="D3743" t="inlineStr">
        <is>
          <t>VÄSTERBOTTENS LÄN</t>
        </is>
      </c>
      <c r="E3743" t="inlineStr">
        <is>
          <t>VINDELN</t>
        </is>
      </c>
      <c r="F3743" t="inlineStr">
        <is>
          <t>Naturvårdsverket</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37888-2025</t>
        </is>
      </c>
      <c r="B3744" s="1" t="n">
        <v>45881.51483796296</v>
      </c>
      <c r="C3744" s="1" t="n">
        <v>46145</v>
      </c>
      <c r="D3744" t="inlineStr">
        <is>
          <t>VÄSTERBOTTENS LÄN</t>
        </is>
      </c>
      <c r="E3744" t="inlineStr">
        <is>
          <t>BJURHOLM</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46282-2024</t>
        </is>
      </c>
      <c r="B3745" s="1" t="n">
        <v>45581.6378587963</v>
      </c>
      <c r="C3745" s="1" t="n">
        <v>46145</v>
      </c>
      <c r="D3745" t="inlineStr">
        <is>
          <t>VÄSTERBOTTENS LÄN</t>
        </is>
      </c>
      <c r="E3745" t="inlineStr">
        <is>
          <t>SKELLEFTEÅ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37962-2025</t>
        </is>
      </c>
      <c r="B3746" s="1" t="n">
        <v>45881</v>
      </c>
      <c r="C3746" s="1" t="n">
        <v>46145</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38988-2025</t>
        </is>
      </c>
      <c r="B3747" s="1" t="n">
        <v>45888.31405092592</v>
      </c>
      <c r="C3747" s="1" t="n">
        <v>46145</v>
      </c>
      <c r="D3747" t="inlineStr">
        <is>
          <t>VÄSTERBOTTENS LÄN</t>
        </is>
      </c>
      <c r="E3747" t="inlineStr">
        <is>
          <t>LYCKSELE</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57869-2023</t>
        </is>
      </c>
      <c r="B3748" s="1" t="n">
        <v>45244</v>
      </c>
      <c r="C3748" s="1" t="n">
        <v>46145</v>
      </c>
      <c r="D3748" t="inlineStr">
        <is>
          <t>VÄSTERBOTTENS LÄN</t>
        </is>
      </c>
      <c r="E3748" t="inlineStr">
        <is>
          <t>NORSJÖ</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38612-2025</t>
        </is>
      </c>
      <c r="B3749" s="1" t="n">
        <v>45884.5409375</v>
      </c>
      <c r="C3749" s="1" t="n">
        <v>46145</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38620-2025</t>
        </is>
      </c>
      <c r="B3750" s="1" t="n">
        <v>45884.55297453704</v>
      </c>
      <c r="C3750" s="1" t="n">
        <v>46145</v>
      </c>
      <c r="D3750" t="inlineStr">
        <is>
          <t>VÄSTERBOTTENS LÄN</t>
        </is>
      </c>
      <c r="E3750" t="inlineStr">
        <is>
          <t>VILHELMINA</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27943-2024</t>
        </is>
      </c>
      <c r="B3751" s="1" t="n">
        <v>45476.31515046296</v>
      </c>
      <c r="C3751" s="1" t="n">
        <v>46145</v>
      </c>
      <c r="D3751" t="inlineStr">
        <is>
          <t>VÄSTERBOTTENS LÄN</t>
        </is>
      </c>
      <c r="E3751" t="inlineStr">
        <is>
          <t>ÅSELE</t>
        </is>
      </c>
      <c r="F3751" t="inlineStr">
        <is>
          <t>Sveaskog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27946-2024</t>
        </is>
      </c>
      <c r="B3752" s="1" t="n">
        <v>45476.31981481481</v>
      </c>
      <c r="C3752" s="1" t="n">
        <v>46145</v>
      </c>
      <c r="D3752" t="inlineStr">
        <is>
          <t>VÄSTERBOTTENS LÄN</t>
        </is>
      </c>
      <c r="E3752" t="inlineStr">
        <is>
          <t>ÅSELE</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41852-2023</t>
        </is>
      </c>
      <c r="B3753" s="1" t="n">
        <v>45174</v>
      </c>
      <c r="C3753" s="1" t="n">
        <v>46145</v>
      </c>
      <c r="D3753" t="inlineStr">
        <is>
          <t>VÄSTERBOTTENS LÄN</t>
        </is>
      </c>
      <c r="E3753" t="inlineStr">
        <is>
          <t>MALÅ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60672-2022</t>
        </is>
      </c>
      <c r="B3754" s="1" t="n">
        <v>44911.93910879629</v>
      </c>
      <c r="C3754" s="1" t="n">
        <v>46145</v>
      </c>
      <c r="D3754" t="inlineStr">
        <is>
          <t>VÄSTERBOTTENS LÄN</t>
        </is>
      </c>
      <c r="E3754" t="inlineStr">
        <is>
          <t>VINDELN</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38777-2025</t>
        </is>
      </c>
      <c r="B3755" s="1" t="n">
        <v>45887.43675925926</v>
      </c>
      <c r="C3755" s="1" t="n">
        <v>46145</v>
      </c>
      <c r="D3755" t="inlineStr">
        <is>
          <t>VÄSTERBOTTENS LÄN</t>
        </is>
      </c>
      <c r="E3755" t="inlineStr">
        <is>
          <t>LYCKSELE</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38778-2025</t>
        </is>
      </c>
      <c r="B3756" s="1" t="n">
        <v>45887.43694444445</v>
      </c>
      <c r="C3756" s="1" t="n">
        <v>46145</v>
      </c>
      <c r="D3756" t="inlineStr">
        <is>
          <t>VÄSTERBOTTENS LÄN</t>
        </is>
      </c>
      <c r="E3756" t="inlineStr">
        <is>
          <t>SKELLEFTEÅ</t>
        </is>
      </c>
      <c r="G3756" t="n">
        <v>19.7</v>
      </c>
      <c r="H3756" t="n">
        <v>0</v>
      </c>
      <c r="I3756" t="n">
        <v>0</v>
      </c>
      <c r="J3756" t="n">
        <v>0</v>
      </c>
      <c r="K3756" t="n">
        <v>0</v>
      </c>
      <c r="L3756" t="n">
        <v>0</v>
      </c>
      <c r="M3756" t="n">
        <v>0</v>
      </c>
      <c r="N3756" t="n">
        <v>0</v>
      </c>
      <c r="O3756" t="n">
        <v>0</v>
      </c>
      <c r="P3756" t="n">
        <v>0</v>
      </c>
      <c r="Q3756" t="n">
        <v>0</v>
      </c>
      <c r="R3756" s="2" t="inlineStr"/>
    </row>
    <row r="3757" ht="15" customHeight="1">
      <c r="A3757" t="inlineStr">
        <is>
          <t>A 18520-2023</t>
        </is>
      </c>
      <c r="B3757" s="1" t="n">
        <v>45041</v>
      </c>
      <c r="C3757" s="1" t="n">
        <v>46145</v>
      </c>
      <c r="D3757" t="inlineStr">
        <is>
          <t>VÄSTERBOTTENS LÄN</t>
        </is>
      </c>
      <c r="E3757" t="inlineStr">
        <is>
          <t>UMEÅ</t>
        </is>
      </c>
      <c r="F3757" t="inlineStr">
        <is>
          <t>Kommuner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15899-2023</t>
        </is>
      </c>
      <c r="B3758" s="1" t="n">
        <v>45021</v>
      </c>
      <c r="C3758" s="1" t="n">
        <v>46145</v>
      </c>
      <c r="D3758" t="inlineStr">
        <is>
          <t>VÄSTERBOTTENS LÄN</t>
        </is>
      </c>
      <c r="E3758" t="inlineStr">
        <is>
          <t>SKELLEFTEÅ</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7512-2023</t>
        </is>
      </c>
      <c r="B3759" s="1" t="n">
        <v>44971.93078703704</v>
      </c>
      <c r="C3759" s="1" t="n">
        <v>46145</v>
      </c>
      <c r="D3759" t="inlineStr">
        <is>
          <t>VÄSTERBOTTENS LÄN</t>
        </is>
      </c>
      <c r="E3759" t="inlineStr">
        <is>
          <t>ÅSELE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39151-2025</t>
        </is>
      </c>
      <c r="B3760" s="1" t="n">
        <v>45888.60806712963</v>
      </c>
      <c r="C3760" s="1" t="n">
        <v>46145</v>
      </c>
      <c r="D3760" t="inlineStr">
        <is>
          <t>VÄSTERBOTTENS LÄN</t>
        </is>
      </c>
      <c r="E3760" t="inlineStr">
        <is>
          <t>LYCKSELE</t>
        </is>
      </c>
      <c r="F3760" t="inlineStr">
        <is>
          <t>Sveaskog</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18527-2023</t>
        </is>
      </c>
      <c r="B3761" s="1" t="n">
        <v>45041</v>
      </c>
      <c r="C3761" s="1" t="n">
        <v>46145</v>
      </c>
      <c r="D3761" t="inlineStr">
        <is>
          <t>VÄSTERBOTTENS LÄN</t>
        </is>
      </c>
      <c r="E3761" t="inlineStr">
        <is>
          <t>UMEÅ</t>
        </is>
      </c>
      <c r="F3761" t="inlineStr">
        <is>
          <t>Kommuner</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61730-2023</t>
        </is>
      </c>
      <c r="B3762" s="1" t="n">
        <v>45264</v>
      </c>
      <c r="C3762" s="1" t="n">
        <v>46145</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38862-2025</t>
        </is>
      </c>
      <c r="B3763" s="1" t="n">
        <v>45887.56513888889</v>
      </c>
      <c r="C3763" s="1" t="n">
        <v>46145</v>
      </c>
      <c r="D3763" t="inlineStr">
        <is>
          <t>VÄSTERBOTTENS LÄN</t>
        </is>
      </c>
      <c r="E3763" t="inlineStr">
        <is>
          <t>NORSJÖ</t>
        </is>
      </c>
      <c r="F3763" t="inlineStr">
        <is>
          <t>Holmen skog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38539-2025</t>
        </is>
      </c>
      <c r="B3764" s="1" t="n">
        <v>45884.42550925926</v>
      </c>
      <c r="C3764" s="1" t="n">
        <v>46145</v>
      </c>
      <c r="D3764" t="inlineStr">
        <is>
          <t>VÄSTERBOTTENS LÄN</t>
        </is>
      </c>
      <c r="E3764" t="inlineStr">
        <is>
          <t>SKELLEFTEÅ</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38833-2025</t>
        </is>
      </c>
      <c r="B3765" s="1" t="n">
        <v>45887.53068287037</v>
      </c>
      <c r="C3765" s="1" t="n">
        <v>46145</v>
      </c>
      <c r="D3765" t="inlineStr">
        <is>
          <t>VÄSTERBOTTENS LÄN</t>
        </is>
      </c>
      <c r="E3765" t="inlineStr">
        <is>
          <t>VINDELN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8596-2025</t>
        </is>
      </c>
      <c r="B3766" s="1" t="n">
        <v>45709.73266203704</v>
      </c>
      <c r="C3766" s="1" t="n">
        <v>46145</v>
      </c>
      <c r="D3766" t="inlineStr">
        <is>
          <t>VÄSTERBOTTENS LÄN</t>
        </is>
      </c>
      <c r="E3766" t="inlineStr">
        <is>
          <t>LYCKSELE</t>
        </is>
      </c>
      <c r="G3766" t="n">
        <v>10.5</v>
      </c>
      <c r="H3766" t="n">
        <v>0</v>
      </c>
      <c r="I3766" t="n">
        <v>0</v>
      </c>
      <c r="J3766" t="n">
        <v>0</v>
      </c>
      <c r="K3766" t="n">
        <v>0</v>
      </c>
      <c r="L3766" t="n">
        <v>0</v>
      </c>
      <c r="M3766" t="n">
        <v>0</v>
      </c>
      <c r="N3766" t="n">
        <v>0</v>
      </c>
      <c r="O3766" t="n">
        <v>0</v>
      </c>
      <c r="P3766" t="n">
        <v>0</v>
      </c>
      <c r="Q3766" t="n">
        <v>0</v>
      </c>
      <c r="R3766" s="2" t="inlineStr"/>
    </row>
    <row r="3767" ht="15" customHeight="1">
      <c r="A3767" t="inlineStr">
        <is>
          <t>A 24825-2025</t>
        </is>
      </c>
      <c r="B3767" s="1" t="n">
        <v>45799.45575231482</v>
      </c>
      <c r="C3767" s="1" t="n">
        <v>46145</v>
      </c>
      <c r="D3767" t="inlineStr">
        <is>
          <t>VÄSTERBOTTENS LÄN</t>
        </is>
      </c>
      <c r="E3767" t="inlineStr">
        <is>
          <t>SKELLEFTEÅ</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30167-2025</t>
        </is>
      </c>
      <c r="B3768" s="1" t="n">
        <v>45827</v>
      </c>
      <c r="C3768" s="1" t="n">
        <v>46145</v>
      </c>
      <c r="D3768" t="inlineStr">
        <is>
          <t>VÄSTERBOTTENS LÄN</t>
        </is>
      </c>
      <c r="E3768" t="inlineStr">
        <is>
          <t>ÅSELE</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19230-2023</t>
        </is>
      </c>
      <c r="B3769" s="1" t="n">
        <v>45048</v>
      </c>
      <c r="C3769" s="1" t="n">
        <v>46145</v>
      </c>
      <c r="D3769" t="inlineStr">
        <is>
          <t>VÄSTERBOTTENS LÄN</t>
        </is>
      </c>
      <c r="E3769" t="inlineStr">
        <is>
          <t>NORDMALING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12797-2023</t>
        </is>
      </c>
      <c r="B3770" s="1" t="n">
        <v>45000</v>
      </c>
      <c r="C3770" s="1" t="n">
        <v>46145</v>
      </c>
      <c r="D3770" t="inlineStr">
        <is>
          <t>VÄSTERBOTTENS LÄN</t>
        </is>
      </c>
      <c r="E3770" t="inlineStr">
        <is>
          <t>MALÅ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65771-2021</t>
        </is>
      </c>
      <c r="B3771" s="1" t="n">
        <v>44516</v>
      </c>
      <c r="C3771" s="1" t="n">
        <v>46145</v>
      </c>
      <c r="D3771" t="inlineStr">
        <is>
          <t>VÄSTERBOTTENS LÄN</t>
        </is>
      </c>
      <c r="E3771" t="inlineStr">
        <is>
          <t>ROBERTSFORS</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26788-2023</t>
        </is>
      </c>
      <c r="B3772" s="1" t="n">
        <v>45090</v>
      </c>
      <c r="C3772" s="1" t="n">
        <v>46145</v>
      </c>
      <c r="D3772" t="inlineStr">
        <is>
          <t>VÄSTERBOTTENS LÄN</t>
        </is>
      </c>
      <c r="E3772" t="inlineStr">
        <is>
          <t>ROBERTSFORS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20594-2023</t>
        </is>
      </c>
      <c r="B3773" s="1" t="n">
        <v>45057.9408912037</v>
      </c>
      <c r="C3773" s="1" t="n">
        <v>46145</v>
      </c>
      <c r="D3773" t="inlineStr">
        <is>
          <t>VÄSTERBOTTENS LÄN</t>
        </is>
      </c>
      <c r="E3773" t="inlineStr">
        <is>
          <t>BJURHOLM</t>
        </is>
      </c>
      <c r="F3773" t="inlineStr">
        <is>
          <t>SCA</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38922-2025</t>
        </is>
      </c>
      <c r="B3774" s="1" t="n">
        <v>45887.62902777778</v>
      </c>
      <c r="C3774" s="1" t="n">
        <v>46145</v>
      </c>
      <c r="D3774" t="inlineStr">
        <is>
          <t>VÄSTERBOTTENS LÄN</t>
        </is>
      </c>
      <c r="E3774" t="inlineStr">
        <is>
          <t>LYCKSELE</t>
        </is>
      </c>
      <c r="F3774" t="inlineStr">
        <is>
          <t>Sveaskog</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38906-2025</t>
        </is>
      </c>
      <c r="B3775" s="1" t="n">
        <v>45887.60821759259</v>
      </c>
      <c r="C3775" s="1" t="n">
        <v>46145</v>
      </c>
      <c r="D3775" t="inlineStr">
        <is>
          <t>VÄSTERBOTTENS LÄN</t>
        </is>
      </c>
      <c r="E3775" t="inlineStr">
        <is>
          <t>SKELLEFTEÅ</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38774-2025</t>
        </is>
      </c>
      <c r="B3776" s="1" t="n">
        <v>45887.42543981481</v>
      </c>
      <c r="C3776" s="1" t="n">
        <v>46145</v>
      </c>
      <c r="D3776" t="inlineStr">
        <is>
          <t>VÄSTERBOTTENS LÄN</t>
        </is>
      </c>
      <c r="E3776" t="inlineStr">
        <is>
          <t>LYCKSELE</t>
        </is>
      </c>
      <c r="F3776" t="inlineStr">
        <is>
          <t>Sveaskog</t>
        </is>
      </c>
      <c r="G3776" t="n">
        <v>10.7</v>
      </c>
      <c r="H3776" t="n">
        <v>0</v>
      </c>
      <c r="I3776" t="n">
        <v>0</v>
      </c>
      <c r="J3776" t="n">
        <v>0</v>
      </c>
      <c r="K3776" t="n">
        <v>0</v>
      </c>
      <c r="L3776" t="n">
        <v>0</v>
      </c>
      <c r="M3776" t="n">
        <v>0</v>
      </c>
      <c r="N3776" t="n">
        <v>0</v>
      </c>
      <c r="O3776" t="n">
        <v>0</v>
      </c>
      <c r="P3776" t="n">
        <v>0</v>
      </c>
      <c r="Q3776" t="n">
        <v>0</v>
      </c>
      <c r="R3776" s="2" t="inlineStr"/>
    </row>
    <row r="3777" ht="15" customHeight="1">
      <c r="A3777" t="inlineStr">
        <is>
          <t>A 23325-2023</t>
        </is>
      </c>
      <c r="B3777" s="1" t="n">
        <v>45076</v>
      </c>
      <c r="C3777" s="1" t="n">
        <v>46145</v>
      </c>
      <c r="D3777" t="inlineStr">
        <is>
          <t>VÄSTERBOTTENS LÄN</t>
        </is>
      </c>
      <c r="E3777" t="inlineStr">
        <is>
          <t>BJURHOLM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38597-2025</t>
        </is>
      </c>
      <c r="B3778" s="1" t="n">
        <v>45884.49061342593</v>
      </c>
      <c r="C3778" s="1" t="n">
        <v>46145</v>
      </c>
      <c r="D3778" t="inlineStr">
        <is>
          <t>VÄSTERBOTTENS LÄN</t>
        </is>
      </c>
      <c r="E3778" t="inlineStr">
        <is>
          <t>VILHELMINA</t>
        </is>
      </c>
      <c r="F3778" t="inlineStr">
        <is>
          <t>SCA</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38828-2025</t>
        </is>
      </c>
      <c r="B3779" s="1" t="n">
        <v>45887.51891203703</v>
      </c>
      <c r="C3779" s="1" t="n">
        <v>46145</v>
      </c>
      <c r="D3779" t="inlineStr">
        <is>
          <t>VÄSTERBOTTENS LÄN</t>
        </is>
      </c>
      <c r="E3779" t="inlineStr">
        <is>
          <t>SORSELE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38661-2025</t>
        </is>
      </c>
      <c r="B3780" s="1" t="n">
        <v>45884.61168981482</v>
      </c>
      <c r="C3780" s="1" t="n">
        <v>46145</v>
      </c>
      <c r="D3780" t="inlineStr">
        <is>
          <t>VÄSTERBOTTENS LÄN</t>
        </is>
      </c>
      <c r="E3780" t="inlineStr">
        <is>
          <t>SKELLEFTEÅ</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53127-2024</t>
        </is>
      </c>
      <c r="B3781" s="1" t="n">
        <v>45611</v>
      </c>
      <c r="C3781" s="1" t="n">
        <v>46145</v>
      </c>
      <c r="D3781" t="inlineStr">
        <is>
          <t>VÄSTERBOTTENS LÄN</t>
        </is>
      </c>
      <c r="E3781" t="inlineStr">
        <is>
          <t>BJURHOLM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34492-2024</t>
        </is>
      </c>
      <c r="B3782" s="1" t="n">
        <v>45525.6207175926</v>
      </c>
      <c r="C3782" s="1" t="n">
        <v>46145</v>
      </c>
      <c r="D3782" t="inlineStr">
        <is>
          <t>VÄSTERBOTTENS LÄN</t>
        </is>
      </c>
      <c r="E3782" t="inlineStr">
        <is>
          <t>NORDMALING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38832-2025</t>
        </is>
      </c>
      <c r="B3783" s="1" t="n">
        <v>45887.52810185185</v>
      </c>
      <c r="C3783" s="1" t="n">
        <v>46145</v>
      </c>
      <c r="D3783" t="inlineStr">
        <is>
          <t>VÄSTERBOTTENS LÄN</t>
        </is>
      </c>
      <c r="E3783" t="inlineStr">
        <is>
          <t>VINDELN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38864-2025</t>
        </is>
      </c>
      <c r="B3784" s="1" t="n">
        <v>45887.56605324074</v>
      </c>
      <c r="C3784" s="1" t="n">
        <v>46145</v>
      </c>
      <c r="D3784" t="inlineStr">
        <is>
          <t>VÄSTERBOTTENS LÄN</t>
        </is>
      </c>
      <c r="E3784" t="inlineStr">
        <is>
          <t>NORDMALING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38870-2025</t>
        </is>
      </c>
      <c r="B3785" s="1" t="n">
        <v>45887.57328703703</v>
      </c>
      <c r="C3785" s="1" t="n">
        <v>46145</v>
      </c>
      <c r="D3785" t="inlineStr">
        <is>
          <t>VÄSTERBOTTENS LÄN</t>
        </is>
      </c>
      <c r="E3785" t="inlineStr">
        <is>
          <t>NORDMALING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1275-2025</t>
        </is>
      </c>
      <c r="B3786" s="1" t="n">
        <v>45666</v>
      </c>
      <c r="C3786" s="1" t="n">
        <v>46145</v>
      </c>
      <c r="D3786" t="inlineStr">
        <is>
          <t>VÄSTERBOTTENS LÄN</t>
        </is>
      </c>
      <c r="E3786" t="inlineStr">
        <is>
          <t>ÅSELE</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33372-2024</t>
        </is>
      </c>
      <c r="B3787" s="1" t="n">
        <v>45519</v>
      </c>
      <c r="C3787" s="1" t="n">
        <v>46145</v>
      </c>
      <c r="D3787" t="inlineStr">
        <is>
          <t>VÄSTERBOTTENS LÄN</t>
        </is>
      </c>
      <c r="E3787" t="inlineStr">
        <is>
          <t>DOROTEA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15395-2023</t>
        </is>
      </c>
      <c r="B3788" s="1" t="n">
        <v>45019.65273148148</v>
      </c>
      <c r="C3788" s="1" t="n">
        <v>46145</v>
      </c>
      <c r="D3788" t="inlineStr">
        <is>
          <t>VÄSTERBOTTENS LÄN</t>
        </is>
      </c>
      <c r="E3788" t="inlineStr">
        <is>
          <t>NORSJÖ</t>
        </is>
      </c>
      <c r="F3788" t="inlineStr">
        <is>
          <t>Holmen skog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29932-2023</t>
        </is>
      </c>
      <c r="B3789" s="1" t="n">
        <v>45107</v>
      </c>
      <c r="C3789" s="1" t="n">
        <v>46145</v>
      </c>
      <c r="D3789" t="inlineStr">
        <is>
          <t>VÄSTERBOTTENS LÄN</t>
        </is>
      </c>
      <c r="E3789" t="inlineStr">
        <is>
          <t>SKELLEFTEÅ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54727-2024</t>
        </is>
      </c>
      <c r="B3790" s="1" t="n">
        <v>45618.43804398148</v>
      </c>
      <c r="C3790" s="1" t="n">
        <v>46145</v>
      </c>
      <c r="D3790" t="inlineStr">
        <is>
          <t>VÄSTERBOTTENS LÄN</t>
        </is>
      </c>
      <c r="E3790" t="inlineStr">
        <is>
          <t>VILHELMINA</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54804-2024</t>
        </is>
      </c>
      <c r="B3791" s="1" t="n">
        <v>45618</v>
      </c>
      <c r="C3791" s="1" t="n">
        <v>46145</v>
      </c>
      <c r="D3791" t="inlineStr">
        <is>
          <t>VÄSTERBOTTENS LÄN</t>
        </is>
      </c>
      <c r="E3791" t="inlineStr">
        <is>
          <t>VILHELMINA</t>
        </is>
      </c>
      <c r="F3791" t="inlineStr">
        <is>
          <t>SCA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8648-2023</t>
        </is>
      </c>
      <c r="B3792" s="1" t="n">
        <v>44977.98358796296</v>
      </c>
      <c r="C3792" s="1" t="n">
        <v>46145</v>
      </c>
      <c r="D3792" t="inlineStr">
        <is>
          <t>VÄSTERBOTTENS LÄN</t>
        </is>
      </c>
      <c r="E3792" t="inlineStr">
        <is>
          <t>SKELLEFTEÅ</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1733-2025</t>
        </is>
      </c>
      <c r="B3793" s="1" t="n">
        <v>45671</v>
      </c>
      <c r="C3793" s="1" t="n">
        <v>46145</v>
      </c>
      <c r="D3793" t="inlineStr">
        <is>
          <t>VÄSTERBOTTENS LÄN</t>
        </is>
      </c>
      <c r="E3793" t="inlineStr">
        <is>
          <t>ÅSELE</t>
        </is>
      </c>
      <c r="F3793" t="inlineStr">
        <is>
          <t>Sveaskog</t>
        </is>
      </c>
      <c r="G3793" t="n">
        <v>18.2</v>
      </c>
      <c r="H3793" t="n">
        <v>0</v>
      </c>
      <c r="I3793" t="n">
        <v>0</v>
      </c>
      <c r="J3793" t="n">
        <v>0</v>
      </c>
      <c r="K3793" t="n">
        <v>0</v>
      </c>
      <c r="L3793" t="n">
        <v>0</v>
      </c>
      <c r="M3793" t="n">
        <v>0</v>
      </c>
      <c r="N3793" t="n">
        <v>0</v>
      </c>
      <c r="O3793" t="n">
        <v>0</v>
      </c>
      <c r="P3793" t="n">
        <v>0</v>
      </c>
      <c r="Q3793" t="n">
        <v>0</v>
      </c>
      <c r="R3793" s="2" t="inlineStr"/>
    </row>
    <row r="3794" ht="15" customHeight="1">
      <c r="A3794" t="inlineStr">
        <is>
          <t>A 60162-2024</t>
        </is>
      </c>
      <c r="B3794" s="1" t="n">
        <v>45642</v>
      </c>
      <c r="C3794" s="1" t="n">
        <v>46145</v>
      </c>
      <c r="D3794" t="inlineStr">
        <is>
          <t>VÄSTERBOTTENS LÄN</t>
        </is>
      </c>
      <c r="E3794" t="inlineStr">
        <is>
          <t>DOROTEA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38954-2025</t>
        </is>
      </c>
      <c r="B3795" s="1" t="n">
        <v>45887.66715277778</v>
      </c>
      <c r="C3795" s="1" t="n">
        <v>46145</v>
      </c>
      <c r="D3795" t="inlineStr">
        <is>
          <t>VÄSTERBOTTENS LÄN</t>
        </is>
      </c>
      <c r="E3795" t="inlineStr">
        <is>
          <t>SKELLEFTEÅ</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38991-2025</t>
        </is>
      </c>
      <c r="B3796" s="1" t="n">
        <v>45888.32443287037</v>
      </c>
      <c r="C3796" s="1" t="n">
        <v>46145</v>
      </c>
      <c r="D3796" t="inlineStr">
        <is>
          <t>VÄSTERBOTTENS LÄN</t>
        </is>
      </c>
      <c r="E3796" t="inlineStr">
        <is>
          <t>NORDMALING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38357-2025</t>
        </is>
      </c>
      <c r="B3797" s="1" t="n">
        <v>45883.53263888889</v>
      </c>
      <c r="C3797" s="1" t="n">
        <v>46145</v>
      </c>
      <c r="D3797" t="inlineStr">
        <is>
          <t>VÄSTERBOTTENS LÄN</t>
        </is>
      </c>
      <c r="E3797" t="inlineStr">
        <is>
          <t>VILHELMINA</t>
        </is>
      </c>
      <c r="F3797" t="inlineStr">
        <is>
          <t>SCA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38365-2025</t>
        </is>
      </c>
      <c r="B3798" s="1" t="n">
        <v>45883.54989583333</v>
      </c>
      <c r="C3798" s="1" t="n">
        <v>46145</v>
      </c>
      <c r="D3798" t="inlineStr">
        <is>
          <t>VÄSTERBOTTENS LÄN</t>
        </is>
      </c>
      <c r="E3798" t="inlineStr">
        <is>
          <t>NORDMALING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38409-2025</t>
        </is>
      </c>
      <c r="B3799" s="1" t="n">
        <v>45883.59429398148</v>
      </c>
      <c r="C3799" s="1" t="n">
        <v>46145</v>
      </c>
      <c r="D3799" t="inlineStr">
        <is>
          <t>VÄSTERBOTTENS LÄN</t>
        </is>
      </c>
      <c r="E3799" t="inlineStr">
        <is>
          <t>VILHELMINA</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56517-2021</t>
        </is>
      </c>
      <c r="B3800" s="1" t="n">
        <v>44480</v>
      </c>
      <c r="C3800" s="1" t="n">
        <v>46145</v>
      </c>
      <c r="D3800" t="inlineStr">
        <is>
          <t>VÄSTERBOTTENS LÄN</t>
        </is>
      </c>
      <c r="E3800" t="inlineStr">
        <is>
          <t>STORUMAN</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56530-2021</t>
        </is>
      </c>
      <c r="B3801" s="1" t="n">
        <v>44480</v>
      </c>
      <c r="C3801" s="1" t="n">
        <v>46145</v>
      </c>
      <c r="D3801" t="inlineStr">
        <is>
          <t>VÄSTERBOTTENS LÄN</t>
        </is>
      </c>
      <c r="E3801" t="inlineStr">
        <is>
          <t>STORUMAN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495-2024</t>
        </is>
      </c>
      <c r="B3802" s="1" t="n">
        <v>45299</v>
      </c>
      <c r="C3802" s="1" t="n">
        <v>46145</v>
      </c>
      <c r="D3802" t="inlineStr">
        <is>
          <t>VÄSTERBOTTENS LÄN</t>
        </is>
      </c>
      <c r="E3802" t="inlineStr">
        <is>
          <t>VINDELN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17086-2023</t>
        </is>
      </c>
      <c r="B3803" s="1" t="n">
        <v>45030</v>
      </c>
      <c r="C3803" s="1" t="n">
        <v>46145</v>
      </c>
      <c r="D3803" t="inlineStr">
        <is>
          <t>VÄSTERBOTTENS LÄN</t>
        </is>
      </c>
      <c r="E3803" t="inlineStr">
        <is>
          <t>SKELLEFTEÅ</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31965-2025</t>
        </is>
      </c>
      <c r="B3804" s="1" t="n">
        <v>45835.34505787037</v>
      </c>
      <c r="C3804" s="1" t="n">
        <v>46145</v>
      </c>
      <c r="D3804" t="inlineStr">
        <is>
          <t>VÄSTERBOTTENS LÄN</t>
        </is>
      </c>
      <c r="E3804" t="inlineStr">
        <is>
          <t>LYCKSELE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24956-2024</t>
        </is>
      </c>
      <c r="B3805" s="1" t="n">
        <v>45461</v>
      </c>
      <c r="C3805" s="1" t="n">
        <v>46145</v>
      </c>
      <c r="D3805" t="inlineStr">
        <is>
          <t>VÄSTERBOTTENS LÄN</t>
        </is>
      </c>
      <c r="E3805" t="inlineStr">
        <is>
          <t>STORUMAN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59209-2024</t>
        </is>
      </c>
      <c r="B3806" s="1" t="n">
        <v>45637.55984953704</v>
      </c>
      <c r="C3806" s="1" t="n">
        <v>46145</v>
      </c>
      <c r="D3806" t="inlineStr">
        <is>
          <t>VÄSTERBOTTENS LÄN</t>
        </is>
      </c>
      <c r="E3806" t="inlineStr">
        <is>
          <t>LYCKSELE</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59225-2024</t>
        </is>
      </c>
      <c r="B3807" s="1" t="n">
        <v>45637.57925925926</v>
      </c>
      <c r="C3807" s="1" t="n">
        <v>46145</v>
      </c>
      <c r="D3807" t="inlineStr">
        <is>
          <t>VÄSTERBOTTENS LÄN</t>
        </is>
      </c>
      <c r="E3807" t="inlineStr">
        <is>
          <t>NORDMALING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27038-2025</t>
        </is>
      </c>
      <c r="B3808" s="1" t="n">
        <v>45811.60011574074</v>
      </c>
      <c r="C3808" s="1" t="n">
        <v>46145</v>
      </c>
      <c r="D3808" t="inlineStr">
        <is>
          <t>VÄSTERBOTTENS LÄN</t>
        </is>
      </c>
      <c r="E3808" t="inlineStr">
        <is>
          <t>VINDELN</t>
        </is>
      </c>
      <c r="F3808" t="inlineStr">
        <is>
          <t>Sveaskog</t>
        </is>
      </c>
      <c r="G3808" t="n">
        <v>16.8</v>
      </c>
      <c r="H3808" t="n">
        <v>0</v>
      </c>
      <c r="I3808" t="n">
        <v>0</v>
      </c>
      <c r="J3808" t="n">
        <v>0</v>
      </c>
      <c r="K3808" t="n">
        <v>0</v>
      </c>
      <c r="L3808" t="n">
        <v>0</v>
      </c>
      <c r="M3808" t="n">
        <v>0</v>
      </c>
      <c r="N3808" t="n">
        <v>0</v>
      </c>
      <c r="O3808" t="n">
        <v>0</v>
      </c>
      <c r="P3808" t="n">
        <v>0</v>
      </c>
      <c r="Q3808" t="n">
        <v>0</v>
      </c>
      <c r="R3808" s="2" t="inlineStr"/>
    </row>
    <row r="3809" ht="15" customHeight="1">
      <c r="A3809" t="inlineStr">
        <is>
          <t>A 8941-2025</t>
        </is>
      </c>
      <c r="B3809" s="1" t="n">
        <v>45713.44863425926</v>
      </c>
      <c r="C3809" s="1" t="n">
        <v>46145</v>
      </c>
      <c r="D3809" t="inlineStr">
        <is>
          <t>VÄSTERBOTTENS LÄN</t>
        </is>
      </c>
      <c r="E3809" t="inlineStr">
        <is>
          <t>LYCKSELE</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48259-2023</t>
        </is>
      </c>
      <c r="B3810" s="1" t="n">
        <v>45205.53640046297</v>
      </c>
      <c r="C3810" s="1" t="n">
        <v>46145</v>
      </c>
      <c r="D3810" t="inlineStr">
        <is>
          <t>VÄSTERBOTTENS LÄN</t>
        </is>
      </c>
      <c r="E3810" t="inlineStr">
        <is>
          <t>ROBERTSFORS</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48264-2023</t>
        </is>
      </c>
      <c r="B3811" s="1" t="n">
        <v>45205.53902777778</v>
      </c>
      <c r="C3811" s="1" t="n">
        <v>46145</v>
      </c>
      <c r="D3811" t="inlineStr">
        <is>
          <t>VÄSTERBOTTENS LÄN</t>
        </is>
      </c>
      <c r="E3811" t="inlineStr">
        <is>
          <t>SKELLEFTEÅ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50646-2024</t>
        </is>
      </c>
      <c r="B3812" s="1" t="n">
        <v>45601.69196759259</v>
      </c>
      <c r="C3812" s="1" t="n">
        <v>46145</v>
      </c>
      <c r="D3812" t="inlineStr">
        <is>
          <t>VÄSTERBOTTENS LÄN</t>
        </is>
      </c>
      <c r="E3812" t="inlineStr">
        <is>
          <t>VINDELN</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62583-2022</t>
        </is>
      </c>
      <c r="B3813" s="1" t="n">
        <v>44924</v>
      </c>
      <c r="C3813" s="1" t="n">
        <v>46145</v>
      </c>
      <c r="D3813" t="inlineStr">
        <is>
          <t>VÄSTERBOTTENS LÄN</t>
        </is>
      </c>
      <c r="E3813" t="inlineStr">
        <is>
          <t>VINDELN</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48353-2023</t>
        </is>
      </c>
      <c r="B3814" s="1" t="n">
        <v>45201</v>
      </c>
      <c r="C3814" s="1" t="n">
        <v>46145</v>
      </c>
      <c r="D3814" t="inlineStr">
        <is>
          <t>VÄSTERBOTTENS LÄN</t>
        </is>
      </c>
      <c r="E3814" t="inlineStr">
        <is>
          <t>MALÅ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62642-2022</t>
        </is>
      </c>
      <c r="B3815" s="1" t="n">
        <v>44925</v>
      </c>
      <c r="C3815" s="1" t="n">
        <v>46145</v>
      </c>
      <c r="D3815" t="inlineStr">
        <is>
          <t>VÄSTERBOTTENS LÄN</t>
        </is>
      </c>
      <c r="E3815" t="inlineStr">
        <is>
          <t>SKELLEFTEÅ</t>
        </is>
      </c>
      <c r="F3815" t="inlineStr">
        <is>
          <t>Holmen skog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17323-2024</t>
        </is>
      </c>
      <c r="B3816" s="1" t="n">
        <v>45414</v>
      </c>
      <c r="C3816" s="1" t="n">
        <v>46145</v>
      </c>
      <c r="D3816" t="inlineStr">
        <is>
          <t>VÄSTERBOTTENS LÄN</t>
        </is>
      </c>
      <c r="E3816" t="inlineStr">
        <is>
          <t>SORSELE</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26253-2024</t>
        </is>
      </c>
      <c r="B3817" s="1" t="n">
        <v>45468.64837962963</v>
      </c>
      <c r="C3817" s="1" t="n">
        <v>46145</v>
      </c>
      <c r="D3817" t="inlineStr">
        <is>
          <t>VÄSTERBOTTENS LÄN</t>
        </is>
      </c>
      <c r="E3817" t="inlineStr">
        <is>
          <t>SKELLEFTEÅ</t>
        </is>
      </c>
      <c r="F3817" t="inlineStr">
        <is>
          <t>Holmen skog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18936-2025</t>
        </is>
      </c>
      <c r="B3818" s="1" t="n">
        <v>45764.48995370371</v>
      </c>
      <c r="C3818" s="1" t="n">
        <v>46145</v>
      </c>
      <c r="D3818" t="inlineStr">
        <is>
          <t>VÄSTERBOTTENS LÄN</t>
        </is>
      </c>
      <c r="E3818" t="inlineStr">
        <is>
          <t>ÅSELE</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38460-2025</t>
        </is>
      </c>
      <c r="B3819" s="1" t="n">
        <v>45883.71945601852</v>
      </c>
      <c r="C3819" s="1" t="n">
        <v>46145</v>
      </c>
      <c r="D3819" t="inlineStr">
        <is>
          <t>VÄSTERBOTTENS LÄN</t>
        </is>
      </c>
      <c r="E3819" t="inlineStr">
        <is>
          <t>ÅSELE</t>
        </is>
      </c>
      <c r="F3819" t="inlineStr">
        <is>
          <t>SCA</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24653-2021</t>
        </is>
      </c>
      <c r="B3820" s="1" t="n">
        <v>44340</v>
      </c>
      <c r="C3820" s="1" t="n">
        <v>46145</v>
      </c>
      <c r="D3820" t="inlineStr">
        <is>
          <t>VÄSTERBOTTENS LÄN</t>
        </is>
      </c>
      <c r="E3820" t="inlineStr">
        <is>
          <t>SKELLEFTEÅ</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15479-2023</t>
        </is>
      </c>
      <c r="B3821" s="1" t="n">
        <v>45020.45726851852</v>
      </c>
      <c r="C3821" s="1" t="n">
        <v>46145</v>
      </c>
      <c r="D3821" t="inlineStr">
        <is>
          <t>VÄSTERBOTTENS LÄN</t>
        </is>
      </c>
      <c r="E3821" t="inlineStr">
        <is>
          <t>SKELLEFTEÅ</t>
        </is>
      </c>
      <c r="F3821" t="inlineStr">
        <is>
          <t>Sveaskog</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51184-2023</t>
        </is>
      </c>
      <c r="B3822" s="1" t="n">
        <v>45219.40083333333</v>
      </c>
      <c r="C3822" s="1" t="n">
        <v>46145</v>
      </c>
      <c r="D3822" t="inlineStr">
        <is>
          <t>VÄSTERBOTTENS LÄN</t>
        </is>
      </c>
      <c r="E3822" t="inlineStr">
        <is>
          <t>VINDELN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60656-2024</t>
        </is>
      </c>
      <c r="B3823" s="1" t="n">
        <v>45642</v>
      </c>
      <c r="C3823" s="1" t="n">
        <v>46145</v>
      </c>
      <c r="D3823" t="inlineStr">
        <is>
          <t>VÄSTERBOTTENS LÄN</t>
        </is>
      </c>
      <c r="E3823" t="inlineStr">
        <is>
          <t>STORUMAN</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23709-2023</t>
        </is>
      </c>
      <c r="B3824" s="1" t="n">
        <v>45075</v>
      </c>
      <c r="C3824" s="1" t="n">
        <v>46145</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7774-2025</t>
        </is>
      </c>
      <c r="B3825" s="1" t="n">
        <v>45706.57314814815</v>
      </c>
      <c r="C3825" s="1" t="n">
        <v>46145</v>
      </c>
      <c r="D3825" t="inlineStr">
        <is>
          <t>VÄSTERBOTTENS LÄN</t>
        </is>
      </c>
      <c r="E3825" t="inlineStr">
        <is>
          <t>UMEÅ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29101-2025</t>
        </is>
      </c>
      <c r="B3826" s="1" t="n">
        <v>45821.56797453704</v>
      </c>
      <c r="C3826" s="1" t="n">
        <v>46145</v>
      </c>
      <c r="D3826" t="inlineStr">
        <is>
          <t>VÄSTERBOTTENS LÄN</t>
        </is>
      </c>
      <c r="E3826" t="inlineStr">
        <is>
          <t>SKELLEFTEÅ</t>
        </is>
      </c>
      <c r="F3826" t="inlineStr">
        <is>
          <t>Holmen skog AB</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38669-2025</t>
        </is>
      </c>
      <c r="B3827" s="1" t="n">
        <v>45884.62400462963</v>
      </c>
      <c r="C3827" s="1" t="n">
        <v>46145</v>
      </c>
      <c r="D3827" t="inlineStr">
        <is>
          <t>VÄSTERBOTTENS LÄN</t>
        </is>
      </c>
      <c r="E3827" t="inlineStr">
        <is>
          <t>UMEÅ</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13248-2023</t>
        </is>
      </c>
      <c r="B3828" s="1" t="n">
        <v>45002</v>
      </c>
      <c r="C3828" s="1" t="n">
        <v>46145</v>
      </c>
      <c r="D3828" t="inlineStr">
        <is>
          <t>VÄSTERBOTTENS LÄN</t>
        </is>
      </c>
      <c r="E3828" t="inlineStr">
        <is>
          <t>SORSELE</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11114-2022</t>
        </is>
      </c>
      <c r="B3829" s="1" t="n">
        <v>44628.925625</v>
      </c>
      <c r="C3829" s="1" t="n">
        <v>46145</v>
      </c>
      <c r="D3829" t="inlineStr">
        <is>
          <t>VÄSTERBOTTENS LÄN</t>
        </is>
      </c>
      <c r="E3829" t="inlineStr">
        <is>
          <t>VILHELMINA</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38590-2025</t>
        </is>
      </c>
      <c r="B3830" s="1" t="n">
        <v>45884.47512731481</v>
      </c>
      <c r="C3830" s="1" t="n">
        <v>46145</v>
      </c>
      <c r="D3830" t="inlineStr">
        <is>
          <t>VÄSTERBOTTENS LÄN</t>
        </is>
      </c>
      <c r="E3830" t="inlineStr">
        <is>
          <t>SKELLEFTEÅ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39164-2025</t>
        </is>
      </c>
      <c r="B3831" s="1" t="n">
        <v>45888.63680555556</v>
      </c>
      <c r="C3831" s="1" t="n">
        <v>46145</v>
      </c>
      <c r="D3831" t="inlineStr">
        <is>
          <t>VÄSTERBOTTENS LÄN</t>
        </is>
      </c>
      <c r="E3831" t="inlineStr">
        <is>
          <t>NORSJÖ</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39166-2025</t>
        </is>
      </c>
      <c r="B3832" s="1" t="n">
        <v>45888.63756944444</v>
      </c>
      <c r="C3832" s="1" t="n">
        <v>46145</v>
      </c>
      <c r="D3832" t="inlineStr">
        <is>
          <t>VÄSTERBOTTENS LÄN</t>
        </is>
      </c>
      <c r="E3832" t="inlineStr">
        <is>
          <t>SKELLEFTEÅ</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66440-2021</t>
        </is>
      </c>
      <c r="B3833" s="1" t="n">
        <v>44518</v>
      </c>
      <c r="C3833" s="1" t="n">
        <v>46145</v>
      </c>
      <c r="D3833" t="inlineStr">
        <is>
          <t>VÄSTERBOTTENS LÄN</t>
        </is>
      </c>
      <c r="E3833" t="inlineStr">
        <is>
          <t>SORSELE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38694-2025</t>
        </is>
      </c>
      <c r="B3834" s="1" t="n">
        <v>45884.71439814815</v>
      </c>
      <c r="C3834" s="1" t="n">
        <v>46145</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60390-2024</t>
        </is>
      </c>
      <c r="B3835" s="1" t="n">
        <v>45643.49013888889</v>
      </c>
      <c r="C3835" s="1" t="n">
        <v>46145</v>
      </c>
      <c r="D3835" t="inlineStr">
        <is>
          <t>VÄSTERBOTTENS LÄN</t>
        </is>
      </c>
      <c r="E3835" t="inlineStr">
        <is>
          <t>VINDELN</t>
        </is>
      </c>
      <c r="F3835" t="inlineStr">
        <is>
          <t>SCA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59735-2024</t>
        </is>
      </c>
      <c r="B3836" s="1" t="n">
        <v>45639</v>
      </c>
      <c r="C3836" s="1" t="n">
        <v>46145</v>
      </c>
      <c r="D3836" t="inlineStr">
        <is>
          <t>VÄSTERBOTTENS LÄN</t>
        </is>
      </c>
      <c r="E3836" t="inlineStr">
        <is>
          <t>UMEÅ</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33289-2023</t>
        </is>
      </c>
      <c r="B3837" s="1" t="n">
        <v>45116</v>
      </c>
      <c r="C3837" s="1" t="n">
        <v>46145</v>
      </c>
      <c r="D3837" t="inlineStr">
        <is>
          <t>VÄSTERBOTTENS LÄN</t>
        </is>
      </c>
      <c r="E3837" t="inlineStr">
        <is>
          <t>SKELLEFTEÅ</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39024-2025</t>
        </is>
      </c>
      <c r="B3838" s="1" t="n">
        <v>45888.3791550926</v>
      </c>
      <c r="C3838" s="1" t="n">
        <v>46145</v>
      </c>
      <c r="D3838" t="inlineStr">
        <is>
          <t>VÄSTERBOTTENS LÄN</t>
        </is>
      </c>
      <c r="E3838" t="inlineStr">
        <is>
          <t>SKELLEFTEÅ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39109-2025</t>
        </is>
      </c>
      <c r="B3839" s="1" t="n">
        <v>45888.53960648148</v>
      </c>
      <c r="C3839" s="1" t="n">
        <v>46145</v>
      </c>
      <c r="D3839" t="inlineStr">
        <is>
          <t>VÄSTERBOTTENS LÄN</t>
        </is>
      </c>
      <c r="E3839" t="inlineStr">
        <is>
          <t>ÅSELE</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59932-2024</t>
        </is>
      </c>
      <c r="B3840" s="1" t="n">
        <v>45642.31251157408</v>
      </c>
      <c r="C3840" s="1" t="n">
        <v>46145</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56090-2023</t>
        </is>
      </c>
      <c r="B3841" s="1" t="n">
        <v>45240</v>
      </c>
      <c r="C3841" s="1" t="n">
        <v>46145</v>
      </c>
      <c r="D3841" t="inlineStr">
        <is>
          <t>VÄSTERBOTTENS LÄN</t>
        </is>
      </c>
      <c r="E3841" t="inlineStr">
        <is>
          <t>NORSJÖ</t>
        </is>
      </c>
      <c r="F3841" t="inlineStr">
        <is>
          <t>Sveaskog</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39111-2025</t>
        </is>
      </c>
      <c r="B3842" s="1" t="n">
        <v>45888.54513888889</v>
      </c>
      <c r="C3842" s="1" t="n">
        <v>46145</v>
      </c>
      <c r="D3842" t="inlineStr">
        <is>
          <t>VÄSTERBOTTENS LÄN</t>
        </is>
      </c>
      <c r="E3842" t="inlineStr">
        <is>
          <t>ÅSELE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58555-2023</t>
        </is>
      </c>
      <c r="B3843" s="1" t="n">
        <v>45251.43552083334</v>
      </c>
      <c r="C3843" s="1" t="n">
        <v>46145</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38355-2025</t>
        </is>
      </c>
      <c r="B3844" s="1" t="n">
        <v>45883.53228009259</v>
      </c>
      <c r="C3844" s="1" t="n">
        <v>46145</v>
      </c>
      <c r="D3844" t="inlineStr">
        <is>
          <t>VÄSTERBOTTENS LÄN</t>
        </is>
      </c>
      <c r="E3844" t="inlineStr">
        <is>
          <t>VILHELMINA</t>
        </is>
      </c>
      <c r="F3844" t="inlineStr">
        <is>
          <t>SCA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38356-2025</t>
        </is>
      </c>
      <c r="B3845" s="1" t="n">
        <v>45883.53247685185</v>
      </c>
      <c r="C3845" s="1" t="n">
        <v>46145</v>
      </c>
      <c r="D3845" t="inlineStr">
        <is>
          <t>VÄSTERBOTTENS LÄN</t>
        </is>
      </c>
      <c r="E3845" t="inlineStr">
        <is>
          <t>VILHELMINA</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62708-2023</t>
        </is>
      </c>
      <c r="B3846" s="1" t="n">
        <v>45271.55337962963</v>
      </c>
      <c r="C3846" s="1" t="n">
        <v>46145</v>
      </c>
      <c r="D3846" t="inlineStr">
        <is>
          <t>VÄSTERBOTTENS LÄN</t>
        </is>
      </c>
      <c r="E3846" t="inlineStr">
        <is>
          <t>SKELLEFTEÅ</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32131-2025</t>
        </is>
      </c>
      <c r="B3847" s="1" t="n">
        <v>45835.50796296296</v>
      </c>
      <c r="C3847" s="1" t="n">
        <v>46145</v>
      </c>
      <c r="D3847" t="inlineStr">
        <is>
          <t>VÄSTERBOTTENS LÄN</t>
        </is>
      </c>
      <c r="E3847" t="inlineStr">
        <is>
          <t>BJURHOLM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43840-2024</t>
        </is>
      </c>
      <c r="B3848" s="1" t="n">
        <v>45572.34314814815</v>
      </c>
      <c r="C3848" s="1" t="n">
        <v>46145</v>
      </c>
      <c r="D3848" t="inlineStr">
        <is>
          <t>VÄSTERBOTTENS LÄN</t>
        </is>
      </c>
      <c r="E3848" t="inlineStr">
        <is>
          <t>STORUMAN</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56763-2023</t>
        </is>
      </c>
      <c r="B3849" s="1" t="n">
        <v>45238</v>
      </c>
      <c r="C3849" s="1" t="n">
        <v>46145</v>
      </c>
      <c r="D3849" t="inlineStr">
        <is>
          <t>VÄSTERBOTTENS LÄN</t>
        </is>
      </c>
      <c r="E3849" t="inlineStr">
        <is>
          <t>VILHELMINA</t>
        </is>
      </c>
      <c r="F3849" t="inlineStr">
        <is>
          <t>Allmännings- och besparingsskogar</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32678-2024</t>
        </is>
      </c>
      <c r="B3850" s="1" t="n">
        <v>45514.96238425926</v>
      </c>
      <c r="C3850" s="1" t="n">
        <v>46145</v>
      </c>
      <c r="D3850" t="inlineStr">
        <is>
          <t>VÄSTERBOTTENS LÄN</t>
        </is>
      </c>
      <c r="E3850" t="inlineStr">
        <is>
          <t>VINDELN</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38212-2025</t>
        </is>
      </c>
      <c r="B3851" s="1" t="n">
        <v>45882.95137731481</v>
      </c>
      <c r="C3851" s="1" t="n">
        <v>46145</v>
      </c>
      <c r="D3851" t="inlineStr">
        <is>
          <t>VÄSTERBOTTENS LÄN</t>
        </is>
      </c>
      <c r="E3851" t="inlineStr">
        <is>
          <t>VILHELMINA</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38214-2025</t>
        </is>
      </c>
      <c r="B3852" s="1" t="n">
        <v>45883.27512731482</v>
      </c>
      <c r="C3852" s="1" t="n">
        <v>46145</v>
      </c>
      <c r="D3852" t="inlineStr">
        <is>
          <t>VÄSTERBOTTENS LÄN</t>
        </is>
      </c>
      <c r="E3852" t="inlineStr">
        <is>
          <t>SKELLEFTEÅ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38236-2025</t>
        </is>
      </c>
      <c r="B3853" s="1" t="n">
        <v>45883.36202546296</v>
      </c>
      <c r="C3853" s="1" t="n">
        <v>46145</v>
      </c>
      <c r="D3853" t="inlineStr">
        <is>
          <t>VÄSTERBOTTENS LÄN</t>
        </is>
      </c>
      <c r="E3853" t="inlineStr">
        <is>
          <t>UMEÅ</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38243-2025</t>
        </is>
      </c>
      <c r="B3854" s="1" t="n">
        <v>45883.36553240741</v>
      </c>
      <c r="C3854" s="1" t="n">
        <v>46145</v>
      </c>
      <c r="D3854" t="inlineStr">
        <is>
          <t>VÄSTERBOTTENS LÄN</t>
        </is>
      </c>
      <c r="E3854" t="inlineStr">
        <is>
          <t>VILHELMINA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14925-2023</t>
        </is>
      </c>
      <c r="B3855" s="1" t="n">
        <v>45014</v>
      </c>
      <c r="C3855" s="1" t="n">
        <v>46145</v>
      </c>
      <c r="D3855" t="inlineStr">
        <is>
          <t>VÄSTERBOTTENS LÄN</t>
        </is>
      </c>
      <c r="E3855" t="inlineStr">
        <is>
          <t>ÅSELE</t>
        </is>
      </c>
      <c r="G3855" t="n">
        <v>9.4</v>
      </c>
      <c r="H3855" t="n">
        <v>0</v>
      </c>
      <c r="I3855" t="n">
        <v>0</v>
      </c>
      <c r="J3855" t="n">
        <v>0</v>
      </c>
      <c r="K3855" t="n">
        <v>0</v>
      </c>
      <c r="L3855" t="n">
        <v>0</v>
      </c>
      <c r="M3855" t="n">
        <v>0</v>
      </c>
      <c r="N3855" t="n">
        <v>0</v>
      </c>
      <c r="O3855" t="n">
        <v>0</v>
      </c>
      <c r="P3855" t="n">
        <v>0</v>
      </c>
      <c r="Q3855" t="n">
        <v>0</v>
      </c>
      <c r="R3855" s="2" t="inlineStr"/>
    </row>
    <row r="3856" ht="15" customHeight="1">
      <c r="A3856" t="inlineStr">
        <is>
          <t>A 38960-2025</t>
        </is>
      </c>
      <c r="B3856" s="1" t="n">
        <v>45887.67797453704</v>
      </c>
      <c r="C3856" s="1" t="n">
        <v>46145</v>
      </c>
      <c r="D3856" t="inlineStr">
        <is>
          <t>VÄSTERBOTTENS LÄN</t>
        </is>
      </c>
      <c r="E3856" t="inlineStr">
        <is>
          <t>LYCKSELE</t>
        </is>
      </c>
      <c r="F3856" t="inlineStr">
        <is>
          <t>SCA</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28778-2025</t>
        </is>
      </c>
      <c r="B3857" s="1" t="n">
        <v>45820.44819444444</v>
      </c>
      <c r="C3857" s="1" t="n">
        <v>46145</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59488-2024</t>
        </is>
      </c>
      <c r="B3858" s="1" t="n">
        <v>45638.53199074074</v>
      </c>
      <c r="C3858" s="1" t="n">
        <v>46145</v>
      </c>
      <c r="D3858" t="inlineStr">
        <is>
          <t>VÄSTERBOTTENS LÄN</t>
        </is>
      </c>
      <c r="E3858" t="inlineStr">
        <is>
          <t>NORDMALING</t>
        </is>
      </c>
      <c r="F3858" t="inlineStr">
        <is>
          <t>SCA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26318-2025</t>
        </is>
      </c>
      <c r="B3859" s="1" t="n">
        <v>45805.65717592592</v>
      </c>
      <c r="C3859" s="1" t="n">
        <v>46145</v>
      </c>
      <c r="D3859" t="inlineStr">
        <is>
          <t>VÄSTERBOTTENS LÄN</t>
        </is>
      </c>
      <c r="E3859" t="inlineStr">
        <is>
          <t>SKELLEFTEÅ</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38700-2025</t>
        </is>
      </c>
      <c r="B3860" s="1" t="n">
        <v>45884.85496527778</v>
      </c>
      <c r="C3860" s="1" t="n">
        <v>46145</v>
      </c>
      <c r="D3860" t="inlineStr">
        <is>
          <t>VÄSTERBOTTENS LÄN</t>
        </is>
      </c>
      <c r="E3860" t="inlineStr">
        <is>
          <t>STORUMAN</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38211-2025</t>
        </is>
      </c>
      <c r="B3861" s="1" t="n">
        <v>45882.93524305556</v>
      </c>
      <c r="C3861" s="1" t="n">
        <v>46145</v>
      </c>
      <c r="D3861" t="inlineStr">
        <is>
          <t>VÄSTERBOTTENS LÄN</t>
        </is>
      </c>
      <c r="E3861" t="inlineStr">
        <is>
          <t>VILHELMINA</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24712-2023</t>
        </is>
      </c>
      <c r="B3862" s="1" t="n">
        <v>45075</v>
      </c>
      <c r="C3862" s="1" t="n">
        <v>46145</v>
      </c>
      <c r="D3862" t="inlineStr">
        <is>
          <t>VÄSTERBOTTENS LÄN</t>
        </is>
      </c>
      <c r="E3862" t="inlineStr">
        <is>
          <t>NORDMALING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17026-2023</t>
        </is>
      </c>
      <c r="B3863" s="1" t="n">
        <v>45030</v>
      </c>
      <c r="C3863" s="1" t="n">
        <v>46145</v>
      </c>
      <c r="D3863" t="inlineStr">
        <is>
          <t>VÄSTERBOTTENS LÄN</t>
        </is>
      </c>
      <c r="E3863" t="inlineStr">
        <is>
          <t>SKELLEFTEÅ</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36854-2022</t>
        </is>
      </c>
      <c r="B3864" s="1" t="n">
        <v>44805.60581018519</v>
      </c>
      <c r="C3864" s="1" t="n">
        <v>46145</v>
      </c>
      <c r="D3864" t="inlineStr">
        <is>
          <t>VÄSTERBOTTENS LÄN</t>
        </is>
      </c>
      <c r="E3864" t="inlineStr">
        <is>
          <t>UMEÅ</t>
        </is>
      </c>
      <c r="F3864" t="inlineStr">
        <is>
          <t>Holmen skog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59029-2024</t>
        </is>
      </c>
      <c r="B3865" s="1" t="n">
        <v>45636</v>
      </c>
      <c r="C3865" s="1" t="n">
        <v>46145</v>
      </c>
      <c r="D3865" t="inlineStr">
        <is>
          <t>VÄSTERBOTTENS LÄN</t>
        </is>
      </c>
      <c r="E3865" t="inlineStr">
        <is>
          <t>UMEÅ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62023-2024</t>
        </is>
      </c>
      <c r="B3866" s="1" t="n">
        <v>45656.06716435185</v>
      </c>
      <c r="C3866" s="1" t="n">
        <v>46145</v>
      </c>
      <c r="D3866" t="inlineStr">
        <is>
          <t>VÄSTERBOTTENS LÄN</t>
        </is>
      </c>
      <c r="E3866" t="inlineStr">
        <is>
          <t>SKELLEFTEÅ</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57270-2023</t>
        </is>
      </c>
      <c r="B3867" s="1" t="n">
        <v>45245</v>
      </c>
      <c r="C3867" s="1" t="n">
        <v>46145</v>
      </c>
      <c r="D3867" t="inlineStr">
        <is>
          <t>VÄSTERBOTTENS LÄN</t>
        </is>
      </c>
      <c r="E3867" t="inlineStr">
        <is>
          <t>ROBERTSFORS</t>
        </is>
      </c>
      <c r="F3867" t="inlineStr">
        <is>
          <t>Holmen skog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35757-2023</t>
        </is>
      </c>
      <c r="B3868" s="1" t="n">
        <v>45147.95444444445</v>
      </c>
      <c r="C3868" s="1" t="n">
        <v>46145</v>
      </c>
      <c r="D3868" t="inlineStr">
        <is>
          <t>VÄSTERBOTTENS LÄN</t>
        </is>
      </c>
      <c r="E3868" t="inlineStr">
        <is>
          <t>VILHELMINA</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39500-2025</t>
        </is>
      </c>
      <c r="B3869" s="1" t="n">
        <v>45890</v>
      </c>
      <c r="C3869" s="1" t="n">
        <v>46145</v>
      </c>
      <c r="D3869" t="inlineStr">
        <is>
          <t>VÄSTERBOTTENS LÄN</t>
        </is>
      </c>
      <c r="E3869" t="inlineStr">
        <is>
          <t>LYCKSELE</t>
        </is>
      </c>
      <c r="G3869" t="n">
        <v>22.6</v>
      </c>
      <c r="H3869" t="n">
        <v>0</v>
      </c>
      <c r="I3869" t="n">
        <v>0</v>
      </c>
      <c r="J3869" t="n">
        <v>0</v>
      </c>
      <c r="K3869" t="n">
        <v>0</v>
      </c>
      <c r="L3869" t="n">
        <v>0</v>
      </c>
      <c r="M3869" t="n">
        <v>0</v>
      </c>
      <c r="N3869" t="n">
        <v>0</v>
      </c>
      <c r="O3869" t="n">
        <v>0</v>
      </c>
      <c r="P3869" t="n">
        <v>0</v>
      </c>
      <c r="Q3869" t="n">
        <v>0</v>
      </c>
      <c r="R3869" s="2" t="inlineStr"/>
    </row>
    <row r="3870" ht="15" customHeight="1">
      <c r="A3870" t="inlineStr">
        <is>
          <t>A 35765-2023</t>
        </is>
      </c>
      <c r="B3870" s="1" t="n">
        <v>45147.95506944445</v>
      </c>
      <c r="C3870" s="1" t="n">
        <v>46145</v>
      </c>
      <c r="D3870" t="inlineStr">
        <is>
          <t>VÄSTERBOTTENS LÄN</t>
        </is>
      </c>
      <c r="E3870" t="inlineStr">
        <is>
          <t>LYCKSELE</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36743-2023</t>
        </is>
      </c>
      <c r="B3871" s="1" t="n">
        <v>45153</v>
      </c>
      <c r="C3871" s="1" t="n">
        <v>46145</v>
      </c>
      <c r="D3871" t="inlineStr">
        <is>
          <t>VÄSTERBOTTENS LÄN</t>
        </is>
      </c>
      <c r="E3871" t="inlineStr">
        <is>
          <t>MALÅ</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36744-2023</t>
        </is>
      </c>
      <c r="B3872" s="1" t="n">
        <v>45153</v>
      </c>
      <c r="C3872" s="1" t="n">
        <v>46145</v>
      </c>
      <c r="D3872" t="inlineStr">
        <is>
          <t>VÄSTERBOTTENS LÄN</t>
        </is>
      </c>
      <c r="E3872" t="inlineStr">
        <is>
          <t>MALÅ</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8425-2023</t>
        </is>
      </c>
      <c r="B3873" s="1" t="n">
        <v>44977.45096064815</v>
      </c>
      <c r="C3873" s="1" t="n">
        <v>46145</v>
      </c>
      <c r="D3873" t="inlineStr">
        <is>
          <t>VÄSTERBOTTENS LÄN</t>
        </is>
      </c>
      <c r="E3873" t="inlineStr">
        <is>
          <t>NORDMALING</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39517-2025</t>
        </is>
      </c>
      <c r="B3874" s="1" t="n">
        <v>45890.42685185185</v>
      </c>
      <c r="C3874" s="1" t="n">
        <v>46145</v>
      </c>
      <c r="D3874" t="inlineStr">
        <is>
          <t>VÄSTERBOTTENS LÄN</t>
        </is>
      </c>
      <c r="E3874" t="inlineStr">
        <is>
          <t>LYCKSELE</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39522-2025</t>
        </is>
      </c>
      <c r="B3875" s="1" t="n">
        <v>45890.43673611111</v>
      </c>
      <c r="C3875" s="1" t="n">
        <v>46145</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39523-2025</t>
        </is>
      </c>
      <c r="B3876" s="1" t="n">
        <v>45890.43826388889</v>
      </c>
      <c r="C3876" s="1" t="n">
        <v>46145</v>
      </c>
      <c r="D3876" t="inlineStr">
        <is>
          <t>VÄSTERBOTTENS LÄN</t>
        </is>
      </c>
      <c r="E3876" t="inlineStr">
        <is>
          <t>UMEÅ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39543-2025</t>
        </is>
      </c>
      <c r="B3877" s="1" t="n">
        <v>45890.45545138889</v>
      </c>
      <c r="C3877" s="1" t="n">
        <v>46145</v>
      </c>
      <c r="D3877" t="inlineStr">
        <is>
          <t>VÄSTERBOTTENS LÄN</t>
        </is>
      </c>
      <c r="E3877" t="inlineStr">
        <is>
          <t>LYCKSELE</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39573-2025</t>
        </is>
      </c>
      <c r="B3878" s="1" t="n">
        <v>45890.49130787037</v>
      </c>
      <c r="C3878" s="1" t="n">
        <v>46145</v>
      </c>
      <c r="D3878" t="inlineStr">
        <is>
          <t>VÄSTERBOTTENS LÄN</t>
        </is>
      </c>
      <c r="E3878" t="inlineStr">
        <is>
          <t>NORDMALING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27384-2024</t>
        </is>
      </c>
      <c r="B3879" s="1" t="n">
        <v>45473</v>
      </c>
      <c r="C3879" s="1" t="n">
        <v>46145</v>
      </c>
      <c r="D3879" t="inlineStr">
        <is>
          <t>VÄSTERBOTTENS LÄN</t>
        </is>
      </c>
      <c r="E3879" t="inlineStr">
        <is>
          <t>NORDMALING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39591-2025</t>
        </is>
      </c>
      <c r="B3880" s="1" t="n">
        <v>45890</v>
      </c>
      <c r="C3880" s="1" t="n">
        <v>46145</v>
      </c>
      <c r="D3880" t="inlineStr">
        <is>
          <t>VÄSTERBOTTENS LÄN</t>
        </is>
      </c>
      <c r="E3880" t="inlineStr">
        <is>
          <t>ÅSELE</t>
        </is>
      </c>
      <c r="F3880" t="inlineStr">
        <is>
          <t>SCA</t>
        </is>
      </c>
      <c r="G3880" t="n">
        <v>13.5</v>
      </c>
      <c r="H3880" t="n">
        <v>0</v>
      </c>
      <c r="I3880" t="n">
        <v>0</v>
      </c>
      <c r="J3880" t="n">
        <v>0</v>
      </c>
      <c r="K3880" t="n">
        <v>0</v>
      </c>
      <c r="L3880" t="n">
        <v>0</v>
      </c>
      <c r="M3880" t="n">
        <v>0</v>
      </c>
      <c r="N3880" t="n">
        <v>0</v>
      </c>
      <c r="O3880" t="n">
        <v>0</v>
      </c>
      <c r="P3880" t="n">
        <v>0</v>
      </c>
      <c r="Q3880" t="n">
        <v>0</v>
      </c>
      <c r="R3880" s="2" t="inlineStr"/>
    </row>
    <row r="3881" ht="15" customHeight="1">
      <c r="A3881" t="inlineStr">
        <is>
          <t>A 39320-2025</t>
        </is>
      </c>
      <c r="B3881" s="1" t="n">
        <v>45889.46940972222</v>
      </c>
      <c r="C3881" s="1" t="n">
        <v>46145</v>
      </c>
      <c r="D3881" t="inlineStr">
        <is>
          <t>VÄSTERBOTTENS LÄN</t>
        </is>
      </c>
      <c r="E3881" t="inlineStr">
        <is>
          <t>VILHELMINA</t>
        </is>
      </c>
      <c r="F3881" t="inlineStr">
        <is>
          <t>SCA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41792-2023</t>
        </is>
      </c>
      <c r="B3882" s="1" t="n">
        <v>45176</v>
      </c>
      <c r="C3882" s="1" t="n">
        <v>46145</v>
      </c>
      <c r="D3882" t="inlineStr">
        <is>
          <t>VÄSTERBOTTENS LÄN</t>
        </is>
      </c>
      <c r="E3882" t="inlineStr">
        <is>
          <t>MALÅ</t>
        </is>
      </c>
      <c r="F3882" t="inlineStr">
        <is>
          <t>Sveaskog</t>
        </is>
      </c>
      <c r="G3882" t="n">
        <v>10.7</v>
      </c>
      <c r="H3882" t="n">
        <v>0</v>
      </c>
      <c r="I3882" t="n">
        <v>0</v>
      </c>
      <c r="J3882" t="n">
        <v>0</v>
      </c>
      <c r="K3882" t="n">
        <v>0</v>
      </c>
      <c r="L3882" t="n">
        <v>0</v>
      </c>
      <c r="M3882" t="n">
        <v>0</v>
      </c>
      <c r="N3882" t="n">
        <v>0</v>
      </c>
      <c r="O3882" t="n">
        <v>0</v>
      </c>
      <c r="P3882" t="n">
        <v>0</v>
      </c>
      <c r="Q3882" t="n">
        <v>0</v>
      </c>
      <c r="R3882" s="2" t="inlineStr"/>
    </row>
    <row r="3883" ht="15" customHeight="1">
      <c r="A3883" t="inlineStr">
        <is>
          <t>A 46498-2024</t>
        </is>
      </c>
      <c r="B3883" s="1" t="n">
        <v>45582</v>
      </c>
      <c r="C3883" s="1" t="n">
        <v>46145</v>
      </c>
      <c r="D3883" t="inlineStr">
        <is>
          <t>VÄSTERBOTTENS LÄN</t>
        </is>
      </c>
      <c r="E3883" t="inlineStr">
        <is>
          <t>BJURHOLM</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39328-2025</t>
        </is>
      </c>
      <c r="B3884" s="1" t="n">
        <v>45889</v>
      </c>
      <c r="C3884" s="1" t="n">
        <v>46145</v>
      </c>
      <c r="D3884" t="inlineStr">
        <is>
          <t>VÄSTERBOTTENS LÄN</t>
        </is>
      </c>
      <c r="E3884" t="inlineStr">
        <is>
          <t>SKELLEFTEÅ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38012-2025</t>
        </is>
      </c>
      <c r="B3885" s="1" t="n">
        <v>45882.30746527778</v>
      </c>
      <c r="C3885" s="1" t="n">
        <v>46145</v>
      </c>
      <c r="D3885" t="inlineStr">
        <is>
          <t>VÄSTERBOTTENS LÄN</t>
        </is>
      </c>
      <c r="E3885" t="inlineStr">
        <is>
          <t>LYCKSELE</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19066-2023</t>
        </is>
      </c>
      <c r="B3886" s="1" t="n">
        <v>45043</v>
      </c>
      <c r="C3886" s="1" t="n">
        <v>46145</v>
      </c>
      <c r="D3886" t="inlineStr">
        <is>
          <t>VÄSTERBOTTENS LÄN</t>
        </is>
      </c>
      <c r="E3886" t="inlineStr">
        <is>
          <t>SKELLEFTEÅ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39345-2025</t>
        </is>
      </c>
      <c r="B3887" s="1" t="n">
        <v>45889.53192129629</v>
      </c>
      <c r="C3887" s="1" t="n">
        <v>46145</v>
      </c>
      <c r="D3887" t="inlineStr">
        <is>
          <t>VÄSTERBOTTENS LÄN</t>
        </is>
      </c>
      <c r="E3887" t="inlineStr">
        <is>
          <t>DOROTEA</t>
        </is>
      </c>
      <c r="F3887" t="inlineStr">
        <is>
          <t>SCA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39349-2025</t>
        </is>
      </c>
      <c r="B3888" s="1" t="n">
        <v>45889.5431712963</v>
      </c>
      <c r="C3888" s="1" t="n">
        <v>46145</v>
      </c>
      <c r="D3888" t="inlineStr">
        <is>
          <t>VÄSTERBOTTENS LÄN</t>
        </is>
      </c>
      <c r="E3888" t="inlineStr">
        <is>
          <t>SKELLEFTEÅ</t>
        </is>
      </c>
      <c r="F3888" t="inlineStr">
        <is>
          <t>Kommuner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39379-2025</t>
        </is>
      </c>
      <c r="B3889" s="1" t="n">
        <v>45889.59917824074</v>
      </c>
      <c r="C3889" s="1" t="n">
        <v>46145</v>
      </c>
      <c r="D3889" t="inlineStr">
        <is>
          <t>VÄSTERBOTTENS LÄN</t>
        </is>
      </c>
      <c r="E3889" t="inlineStr">
        <is>
          <t>SKELLEFTEÅ</t>
        </is>
      </c>
      <c r="F3889" t="inlineStr">
        <is>
          <t>Holmen skog AB</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24256-2024</t>
        </is>
      </c>
      <c r="B3890" s="1" t="n">
        <v>45457</v>
      </c>
      <c r="C3890" s="1" t="n">
        <v>46145</v>
      </c>
      <c r="D3890" t="inlineStr">
        <is>
          <t>VÄSTERBOTTENS LÄN</t>
        </is>
      </c>
      <c r="E3890" t="inlineStr">
        <is>
          <t>VINDELN</t>
        </is>
      </c>
      <c r="F3890" t="inlineStr">
        <is>
          <t>Holmen skog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24257-2024</t>
        </is>
      </c>
      <c r="B3891" s="1" t="n">
        <v>45457</v>
      </c>
      <c r="C3891" s="1" t="n">
        <v>46145</v>
      </c>
      <c r="D3891" t="inlineStr">
        <is>
          <t>VÄSTERBOTTENS LÄN</t>
        </is>
      </c>
      <c r="E3891" t="inlineStr">
        <is>
          <t>LYCKSELE</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39472-2025</t>
        </is>
      </c>
      <c r="B3892" s="1" t="n">
        <v>45890.34418981482</v>
      </c>
      <c r="C3892" s="1" t="n">
        <v>46145</v>
      </c>
      <c r="D3892" t="inlineStr">
        <is>
          <t>VÄSTERBOTTENS LÄN</t>
        </is>
      </c>
      <c r="E3892" t="inlineStr">
        <is>
          <t>ÅSELE</t>
        </is>
      </c>
      <c r="F3892" t="inlineStr">
        <is>
          <t>SCA</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24338-2024</t>
        </is>
      </c>
      <c r="B3893" s="1" t="n">
        <v>45457</v>
      </c>
      <c r="C3893" s="1" t="n">
        <v>46145</v>
      </c>
      <c r="D3893" t="inlineStr">
        <is>
          <t>VÄSTERBOTTENS LÄN</t>
        </is>
      </c>
      <c r="E3893" t="inlineStr">
        <is>
          <t>LYCKSELE</t>
        </is>
      </c>
      <c r="F3893" t="inlineStr">
        <is>
          <t>Holmen skog AB</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24340-2024</t>
        </is>
      </c>
      <c r="B3894" s="1" t="n">
        <v>45457.57278935185</v>
      </c>
      <c r="C3894" s="1" t="n">
        <v>46145</v>
      </c>
      <c r="D3894" t="inlineStr">
        <is>
          <t>VÄSTERBOTTENS LÄN</t>
        </is>
      </c>
      <c r="E3894" t="inlineStr">
        <is>
          <t>LYCKSELE</t>
        </is>
      </c>
      <c r="F3894" t="inlineStr">
        <is>
          <t>Sveaskog</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39696-2025</t>
        </is>
      </c>
      <c r="B3895" s="1" t="n">
        <v>45890.68950231482</v>
      </c>
      <c r="C3895" s="1" t="n">
        <v>46145</v>
      </c>
      <c r="D3895" t="inlineStr">
        <is>
          <t>VÄSTERBOTTENS LÄN</t>
        </is>
      </c>
      <c r="E3895" t="inlineStr">
        <is>
          <t>NORSJÖ</t>
        </is>
      </c>
      <c r="F3895" t="inlineStr">
        <is>
          <t>Sveaskog</t>
        </is>
      </c>
      <c r="G3895" t="n">
        <v>16.6</v>
      </c>
      <c r="H3895" t="n">
        <v>0</v>
      </c>
      <c r="I3895" t="n">
        <v>0</v>
      </c>
      <c r="J3895" t="n">
        <v>0</v>
      </c>
      <c r="K3895" t="n">
        <v>0</v>
      </c>
      <c r="L3895" t="n">
        <v>0</v>
      </c>
      <c r="M3895" t="n">
        <v>0</v>
      </c>
      <c r="N3895" t="n">
        <v>0</v>
      </c>
      <c r="O3895" t="n">
        <v>0</v>
      </c>
      <c r="P3895" t="n">
        <v>0</v>
      </c>
      <c r="Q3895" t="n">
        <v>0</v>
      </c>
      <c r="R3895" s="2" t="inlineStr"/>
    </row>
    <row r="3896" ht="15" customHeight="1">
      <c r="A3896" t="inlineStr">
        <is>
          <t>A 18322-2023</t>
        </is>
      </c>
      <c r="B3896" s="1" t="n">
        <v>45041.61890046296</v>
      </c>
      <c r="C3896" s="1" t="n">
        <v>46145</v>
      </c>
      <c r="D3896" t="inlineStr">
        <is>
          <t>VÄSTERBOTTENS LÄN</t>
        </is>
      </c>
      <c r="E3896" t="inlineStr">
        <is>
          <t>UMEÅ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42182-2023</t>
        </is>
      </c>
      <c r="B3897" s="1" t="n">
        <v>45178</v>
      </c>
      <c r="C3897" s="1" t="n">
        <v>46145</v>
      </c>
      <c r="D3897" t="inlineStr">
        <is>
          <t>VÄSTERBOTTENS LÄN</t>
        </is>
      </c>
      <c r="E3897" t="inlineStr">
        <is>
          <t>MALÅ</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20824-2025</t>
        </is>
      </c>
      <c r="B3898" s="1" t="n">
        <v>45776</v>
      </c>
      <c r="C3898" s="1" t="n">
        <v>46145</v>
      </c>
      <c r="D3898" t="inlineStr">
        <is>
          <t>VÄSTERBOTTENS LÄN</t>
        </is>
      </c>
      <c r="E3898" t="inlineStr">
        <is>
          <t>SKELLEFTEÅ</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38120-2025</t>
        </is>
      </c>
      <c r="B3899" s="1" t="n">
        <v>45882.55125</v>
      </c>
      <c r="C3899" s="1" t="n">
        <v>46145</v>
      </c>
      <c r="D3899" t="inlineStr">
        <is>
          <t>VÄSTERBOTTENS LÄN</t>
        </is>
      </c>
      <c r="E3899" t="inlineStr">
        <is>
          <t>BJURHOLM</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57084-2024</t>
        </is>
      </c>
      <c r="B3900" s="1" t="n">
        <v>45629.35606481481</v>
      </c>
      <c r="C3900" s="1" t="n">
        <v>46145</v>
      </c>
      <c r="D3900" t="inlineStr">
        <is>
          <t>VÄSTERBOTTENS LÄN</t>
        </is>
      </c>
      <c r="E3900" t="inlineStr">
        <is>
          <t>LYCKSELE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39533-2025</t>
        </is>
      </c>
      <c r="B3901" s="1" t="n">
        <v>45890.44863425926</v>
      </c>
      <c r="C3901" s="1" t="n">
        <v>46145</v>
      </c>
      <c r="D3901" t="inlineStr">
        <is>
          <t>VÄSTERBOTTENS LÄN</t>
        </is>
      </c>
      <c r="E3901" t="inlineStr">
        <is>
          <t>VILHELMINA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39566-2025</t>
        </is>
      </c>
      <c r="B3902" s="1" t="n">
        <v>45890.4875925926</v>
      </c>
      <c r="C3902" s="1" t="n">
        <v>46145</v>
      </c>
      <c r="D3902" t="inlineStr">
        <is>
          <t>VÄSTERBOTTENS LÄN</t>
        </is>
      </c>
      <c r="E3902" t="inlineStr">
        <is>
          <t>VINDELN</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39571-2025</t>
        </is>
      </c>
      <c r="B3903" s="1" t="n">
        <v>45890.49021990741</v>
      </c>
      <c r="C3903" s="1" t="n">
        <v>46145</v>
      </c>
      <c r="D3903" t="inlineStr">
        <is>
          <t>VÄSTERBOTTENS LÄN</t>
        </is>
      </c>
      <c r="E3903" t="inlineStr">
        <is>
          <t>VILHELMINA</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39622-2025</t>
        </is>
      </c>
      <c r="B3904" s="1" t="n">
        <v>45890.57387731481</v>
      </c>
      <c r="C3904" s="1" t="n">
        <v>46145</v>
      </c>
      <c r="D3904" t="inlineStr">
        <is>
          <t>VÄSTERBOTTENS LÄN</t>
        </is>
      </c>
      <c r="E3904" t="inlineStr">
        <is>
          <t>MALÅ</t>
        </is>
      </c>
      <c r="F3904" t="inlineStr">
        <is>
          <t>Sveaskog</t>
        </is>
      </c>
      <c r="G3904" t="n">
        <v>14.3</v>
      </c>
      <c r="H3904" t="n">
        <v>0</v>
      </c>
      <c r="I3904" t="n">
        <v>0</v>
      </c>
      <c r="J3904" t="n">
        <v>0</v>
      </c>
      <c r="K3904" t="n">
        <v>0</v>
      </c>
      <c r="L3904" t="n">
        <v>0</v>
      </c>
      <c r="M3904" t="n">
        <v>0</v>
      </c>
      <c r="N3904" t="n">
        <v>0</v>
      </c>
      <c r="O3904" t="n">
        <v>0</v>
      </c>
      <c r="P3904" t="n">
        <v>0</v>
      </c>
      <c r="Q3904" t="n">
        <v>0</v>
      </c>
      <c r="R3904" s="2" t="inlineStr"/>
    </row>
    <row r="3905" ht="15" customHeight="1">
      <c r="A3905" t="inlineStr">
        <is>
          <t>A 39642-2025</t>
        </is>
      </c>
      <c r="B3905" s="1" t="n">
        <v>45890</v>
      </c>
      <c r="C3905" s="1" t="n">
        <v>46145</v>
      </c>
      <c r="D3905" t="inlineStr">
        <is>
          <t>VÄSTERBOTTENS LÄN</t>
        </is>
      </c>
      <c r="E3905" t="inlineStr">
        <is>
          <t>ROBERTSFORS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39378-2025</t>
        </is>
      </c>
      <c r="B3906" s="1" t="n">
        <v>45889.59453703704</v>
      </c>
      <c r="C3906" s="1" t="n">
        <v>46145</v>
      </c>
      <c r="D3906" t="inlineStr">
        <is>
          <t>VÄSTERBOTTENS LÄN</t>
        </is>
      </c>
      <c r="E3906" t="inlineStr">
        <is>
          <t>VILHELMINA</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38237-2025</t>
        </is>
      </c>
      <c r="B3907" s="1" t="n">
        <v>45883.36371527778</v>
      </c>
      <c r="C3907" s="1" t="n">
        <v>46145</v>
      </c>
      <c r="D3907" t="inlineStr">
        <is>
          <t>VÄSTERBOTTENS LÄN</t>
        </is>
      </c>
      <c r="E3907" t="inlineStr">
        <is>
          <t>UMEÅ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38242-2025</t>
        </is>
      </c>
      <c r="B3908" s="1" t="n">
        <v>45883.36547453704</v>
      </c>
      <c r="C3908" s="1" t="n">
        <v>46145</v>
      </c>
      <c r="D3908" t="inlineStr">
        <is>
          <t>VÄSTERBOTTENS LÄN</t>
        </is>
      </c>
      <c r="E3908" t="inlineStr">
        <is>
          <t>VILHELMINA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39445-2025</t>
        </is>
      </c>
      <c r="B3909" s="1" t="n">
        <v>45889.7028125</v>
      </c>
      <c r="C3909" s="1" t="n">
        <v>46145</v>
      </c>
      <c r="D3909" t="inlineStr">
        <is>
          <t>VÄSTERBOTTENS LÄN</t>
        </is>
      </c>
      <c r="E3909" t="inlineStr">
        <is>
          <t>SKELLEFTEÅ</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39705-2025</t>
        </is>
      </c>
      <c r="B3910" s="1" t="n">
        <v>45890.73013888889</v>
      </c>
      <c r="C3910" s="1" t="n">
        <v>46145</v>
      </c>
      <c r="D3910" t="inlineStr">
        <is>
          <t>VÄSTERBOTTENS LÄN</t>
        </is>
      </c>
      <c r="E3910" t="inlineStr">
        <is>
          <t>SKELLEFTEÅ</t>
        </is>
      </c>
      <c r="F3910" t="inlineStr">
        <is>
          <t>Sveaskog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39562-2025</t>
        </is>
      </c>
      <c r="B3911" s="1" t="n">
        <v>45890.47592592592</v>
      </c>
      <c r="C3911" s="1" t="n">
        <v>46145</v>
      </c>
      <c r="D3911" t="inlineStr">
        <is>
          <t>VÄSTERBOTTENS LÄN</t>
        </is>
      </c>
      <c r="E3911" t="inlineStr">
        <is>
          <t>LYCKSELE</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39589-2025</t>
        </is>
      </c>
      <c r="B3912" s="1" t="n">
        <v>45890.5162037037</v>
      </c>
      <c r="C3912" s="1" t="n">
        <v>46145</v>
      </c>
      <c r="D3912" t="inlineStr">
        <is>
          <t>VÄSTERBOTTENS LÄN</t>
        </is>
      </c>
      <c r="E3912" t="inlineStr">
        <is>
          <t>SKELLEFTEÅ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39239-2025</t>
        </is>
      </c>
      <c r="B3913" s="1" t="n">
        <v>45889.33643518519</v>
      </c>
      <c r="C3913" s="1" t="n">
        <v>46145</v>
      </c>
      <c r="D3913" t="inlineStr">
        <is>
          <t>VÄSTERBOTTENS LÄN</t>
        </is>
      </c>
      <c r="E3913" t="inlineStr">
        <is>
          <t>LYCKSELE</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39248-2025</t>
        </is>
      </c>
      <c r="B3914" s="1" t="n">
        <v>45889.3547800926</v>
      </c>
      <c r="C3914" s="1" t="n">
        <v>46145</v>
      </c>
      <c r="D3914" t="inlineStr">
        <is>
          <t>VÄSTERBOTTENS LÄN</t>
        </is>
      </c>
      <c r="E3914" t="inlineStr">
        <is>
          <t>ÅSELE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39410-2025</t>
        </is>
      </c>
      <c r="B3915" s="1" t="n">
        <v>45889.65439814814</v>
      </c>
      <c r="C3915" s="1" t="n">
        <v>46145</v>
      </c>
      <c r="D3915" t="inlineStr">
        <is>
          <t>VÄSTERBOTTENS LÄN</t>
        </is>
      </c>
      <c r="E3915" t="inlineStr">
        <is>
          <t>BJURHOLM</t>
        </is>
      </c>
      <c r="F3915" t="inlineStr">
        <is>
          <t>Holmen skog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39447-2025</t>
        </is>
      </c>
      <c r="B3916" s="1" t="n">
        <v>45889.70673611111</v>
      </c>
      <c r="C3916" s="1" t="n">
        <v>46145</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2201-2025</t>
        </is>
      </c>
      <c r="B3917" s="1" t="n">
        <v>45673.39678240741</v>
      </c>
      <c r="C3917" s="1" t="n">
        <v>46145</v>
      </c>
      <c r="D3917" t="inlineStr">
        <is>
          <t>VÄSTERBOTTENS LÄN</t>
        </is>
      </c>
      <c r="E3917" t="inlineStr">
        <is>
          <t>VÄNNÄS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39476-2025</t>
        </is>
      </c>
      <c r="B3918" s="1" t="n">
        <v>45890.3446412037</v>
      </c>
      <c r="C3918" s="1" t="n">
        <v>46145</v>
      </c>
      <c r="D3918" t="inlineStr">
        <is>
          <t>VÄSTERBOTTENS LÄN</t>
        </is>
      </c>
      <c r="E3918" t="inlineStr">
        <is>
          <t>VINDELN</t>
        </is>
      </c>
      <c r="F3918" t="inlineStr">
        <is>
          <t>SCA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36882-2025</t>
        </is>
      </c>
      <c r="B3919" s="1" t="n">
        <v>45874</v>
      </c>
      <c r="C3919" s="1" t="n">
        <v>46145</v>
      </c>
      <c r="D3919" t="inlineStr">
        <is>
          <t>VÄSTERBOTTENS LÄN</t>
        </is>
      </c>
      <c r="E3919" t="inlineStr">
        <is>
          <t>SKELLEFTEÅ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9181-2023</t>
        </is>
      </c>
      <c r="B3920" s="1" t="n">
        <v>44972</v>
      </c>
      <c r="C3920" s="1" t="n">
        <v>46145</v>
      </c>
      <c r="D3920" t="inlineStr">
        <is>
          <t>VÄSTERBOTTENS LÄN</t>
        </is>
      </c>
      <c r="E3920" t="inlineStr">
        <is>
          <t>VILHELMINA</t>
        </is>
      </c>
      <c r="F3920" t="inlineStr">
        <is>
          <t>Allmännings- och besparingsskogar</t>
        </is>
      </c>
      <c r="G3920" t="n">
        <v>220.1</v>
      </c>
      <c r="H3920" t="n">
        <v>0</v>
      </c>
      <c r="I3920" t="n">
        <v>0</v>
      </c>
      <c r="J3920" t="n">
        <v>0</v>
      </c>
      <c r="K3920" t="n">
        <v>0</v>
      </c>
      <c r="L3920" t="n">
        <v>0</v>
      </c>
      <c r="M3920" t="n">
        <v>0</v>
      </c>
      <c r="N3920" t="n">
        <v>0</v>
      </c>
      <c r="O3920" t="n">
        <v>0</v>
      </c>
      <c r="P3920" t="n">
        <v>0</v>
      </c>
      <c r="Q3920" t="n">
        <v>0</v>
      </c>
      <c r="R3920" s="2" t="inlineStr"/>
    </row>
    <row r="3921" ht="15" customHeight="1">
      <c r="A3921" t="inlineStr">
        <is>
          <t>A 6016-2023</t>
        </is>
      </c>
      <c r="B3921" s="1" t="n">
        <v>44959</v>
      </c>
      <c r="C3921" s="1" t="n">
        <v>46145</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39631-2025</t>
        </is>
      </c>
      <c r="B3922" s="1" t="n">
        <v>45890.58930555556</v>
      </c>
      <c r="C3922" s="1" t="n">
        <v>46145</v>
      </c>
      <c r="D3922" t="inlineStr">
        <is>
          <t>VÄSTERBOTTENS LÄN</t>
        </is>
      </c>
      <c r="E3922" t="inlineStr">
        <is>
          <t>SORSELE</t>
        </is>
      </c>
      <c r="F3922" t="inlineStr">
        <is>
          <t>Sveaskog</t>
        </is>
      </c>
      <c r="G3922" t="n">
        <v>25.5</v>
      </c>
      <c r="H3922" t="n">
        <v>0</v>
      </c>
      <c r="I3922" t="n">
        <v>0</v>
      </c>
      <c r="J3922" t="n">
        <v>0</v>
      </c>
      <c r="K3922" t="n">
        <v>0</v>
      </c>
      <c r="L3922" t="n">
        <v>0</v>
      </c>
      <c r="M3922" t="n">
        <v>0</v>
      </c>
      <c r="N3922" t="n">
        <v>0</v>
      </c>
      <c r="O3922" t="n">
        <v>0</v>
      </c>
      <c r="P3922" t="n">
        <v>0</v>
      </c>
      <c r="Q3922" t="n">
        <v>0</v>
      </c>
      <c r="R3922" s="2" t="inlineStr"/>
    </row>
    <row r="3923" ht="15" customHeight="1">
      <c r="A3923" t="inlineStr">
        <is>
          <t>A 30618-2023</t>
        </is>
      </c>
      <c r="B3923" s="1" t="n">
        <v>45112.41425925926</v>
      </c>
      <c r="C3923" s="1" t="n">
        <v>46145</v>
      </c>
      <c r="D3923" t="inlineStr">
        <is>
          <t>VÄSTERBOTTENS LÄN</t>
        </is>
      </c>
      <c r="E3923" t="inlineStr">
        <is>
          <t>ÅSELE</t>
        </is>
      </c>
      <c r="F3923" t="inlineStr">
        <is>
          <t>Sveaskog</t>
        </is>
      </c>
      <c r="G3923" t="n">
        <v>18.7</v>
      </c>
      <c r="H3923" t="n">
        <v>0</v>
      </c>
      <c r="I3923" t="n">
        <v>0</v>
      </c>
      <c r="J3923" t="n">
        <v>0</v>
      </c>
      <c r="K3923" t="n">
        <v>0</v>
      </c>
      <c r="L3923" t="n">
        <v>0</v>
      </c>
      <c r="M3923" t="n">
        <v>0</v>
      </c>
      <c r="N3923" t="n">
        <v>0</v>
      </c>
      <c r="O3923" t="n">
        <v>0</v>
      </c>
      <c r="P3923" t="n">
        <v>0</v>
      </c>
      <c r="Q3923" t="n">
        <v>0</v>
      </c>
      <c r="R3923" s="2" t="inlineStr"/>
    </row>
    <row r="3924" ht="15" customHeight="1">
      <c r="A3924" t="inlineStr">
        <is>
          <t>A 16623-2023</t>
        </is>
      </c>
      <c r="B3924" s="1" t="n">
        <v>45027</v>
      </c>
      <c r="C3924" s="1" t="n">
        <v>46145</v>
      </c>
      <c r="D3924" t="inlineStr">
        <is>
          <t>VÄSTERBOTTENS LÄN</t>
        </is>
      </c>
      <c r="E3924" t="inlineStr">
        <is>
          <t>SORSELE</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2425-2025</t>
        </is>
      </c>
      <c r="B3925" s="1" t="n">
        <v>45674</v>
      </c>
      <c r="C3925" s="1" t="n">
        <v>46145</v>
      </c>
      <c r="D3925" t="inlineStr">
        <is>
          <t>VÄSTERBOTTENS LÄN</t>
        </is>
      </c>
      <c r="E3925" t="inlineStr">
        <is>
          <t>VINDELN</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8917-2023</t>
        </is>
      </c>
      <c r="B3926" s="1" t="n">
        <v>44979.3956712963</v>
      </c>
      <c r="C3926" s="1" t="n">
        <v>46145</v>
      </c>
      <c r="D3926" t="inlineStr">
        <is>
          <t>VÄSTERBOTTENS LÄN</t>
        </is>
      </c>
      <c r="E3926" t="inlineStr">
        <is>
          <t>LYCKSELE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3616-2025</t>
        </is>
      </c>
      <c r="B3927" s="1" t="n">
        <v>45681.36523148148</v>
      </c>
      <c r="C3927" s="1" t="n">
        <v>46145</v>
      </c>
      <c r="D3927" t="inlineStr">
        <is>
          <t>VÄSTERBOTTENS LÄN</t>
        </is>
      </c>
      <c r="E3927" t="inlineStr">
        <is>
          <t>DOROTEA</t>
        </is>
      </c>
      <c r="F3927" t="inlineStr">
        <is>
          <t>SCA</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3626-2025</t>
        </is>
      </c>
      <c r="B3928" s="1" t="n">
        <v>45681.37163194444</v>
      </c>
      <c r="C3928" s="1" t="n">
        <v>46145</v>
      </c>
      <c r="D3928" t="inlineStr">
        <is>
          <t>VÄSTERBOTTENS LÄN</t>
        </is>
      </c>
      <c r="E3928" t="inlineStr">
        <is>
          <t>SKELLEFTEÅ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2326-2025</t>
        </is>
      </c>
      <c r="B3929" s="1" t="n">
        <v>45673.63425925926</v>
      </c>
      <c r="C3929" s="1" t="n">
        <v>46145</v>
      </c>
      <c r="D3929" t="inlineStr">
        <is>
          <t>VÄSTERBOTTENS LÄN</t>
        </is>
      </c>
      <c r="E3929" t="inlineStr">
        <is>
          <t>SKELLEFTEÅ</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38616-2025</t>
        </is>
      </c>
      <c r="B3930" s="1" t="n">
        <v>45884.54922453704</v>
      </c>
      <c r="C3930" s="1" t="n">
        <v>46145</v>
      </c>
      <c r="D3930" t="inlineStr">
        <is>
          <t>VÄSTERBOTTENS LÄN</t>
        </is>
      </c>
      <c r="E3930" t="inlineStr">
        <is>
          <t>ÅSELE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61024-2024</t>
        </is>
      </c>
      <c r="B3931" s="1" t="n">
        <v>45645.45579861111</v>
      </c>
      <c r="C3931" s="1" t="n">
        <v>46145</v>
      </c>
      <c r="D3931" t="inlineStr">
        <is>
          <t>VÄSTERBOTTENS LÄN</t>
        </is>
      </c>
      <c r="E3931" t="inlineStr">
        <is>
          <t>VINDELN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38360-2025</t>
        </is>
      </c>
      <c r="B3932" s="1" t="n">
        <v>45883.53290509259</v>
      </c>
      <c r="C3932" s="1" t="n">
        <v>46145</v>
      </c>
      <c r="D3932" t="inlineStr">
        <is>
          <t>VÄSTERBOTTENS LÄN</t>
        </is>
      </c>
      <c r="E3932" t="inlineStr">
        <is>
          <t>VILHELMINA</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38367-2025</t>
        </is>
      </c>
      <c r="B3933" s="1" t="n">
        <v>45883.55422453704</v>
      </c>
      <c r="C3933" s="1" t="n">
        <v>46145</v>
      </c>
      <c r="D3933" t="inlineStr">
        <is>
          <t>VÄSTERBOTTENS LÄN</t>
        </is>
      </c>
      <c r="E3933" t="inlineStr">
        <is>
          <t>NORDMALING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38384-2025</t>
        </is>
      </c>
      <c r="B3934" s="1" t="n">
        <v>45883</v>
      </c>
      <c r="C3934" s="1" t="n">
        <v>46145</v>
      </c>
      <c r="D3934" t="inlineStr">
        <is>
          <t>VÄSTERBOTTENS LÄN</t>
        </is>
      </c>
      <c r="E3934" t="inlineStr">
        <is>
          <t>VILHELMINA</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38387-2025</t>
        </is>
      </c>
      <c r="B3935" s="1" t="n">
        <v>45883.57451388889</v>
      </c>
      <c r="C3935" s="1" t="n">
        <v>46145</v>
      </c>
      <c r="D3935" t="inlineStr">
        <is>
          <t>VÄSTERBOTTENS LÄN</t>
        </is>
      </c>
      <c r="E3935" t="inlineStr">
        <is>
          <t>VILHELMINA</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38418-2025</t>
        </is>
      </c>
      <c r="B3936" s="1" t="n">
        <v>45883.61994212963</v>
      </c>
      <c r="C3936" s="1" t="n">
        <v>46145</v>
      </c>
      <c r="D3936" t="inlineStr">
        <is>
          <t>VÄSTERBOTTENS LÄN</t>
        </is>
      </c>
      <c r="E3936" t="inlineStr">
        <is>
          <t>ÅSELE</t>
        </is>
      </c>
      <c r="F3936" t="inlineStr">
        <is>
          <t>Holmen skog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38424-2025</t>
        </is>
      </c>
      <c r="B3937" s="1" t="n">
        <v>45883.63340277778</v>
      </c>
      <c r="C3937" s="1" t="n">
        <v>46145</v>
      </c>
      <c r="D3937" t="inlineStr">
        <is>
          <t>VÄSTERBOTTENS LÄN</t>
        </is>
      </c>
      <c r="E3937" t="inlineStr">
        <is>
          <t>UMEÅ</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38445-2025</t>
        </is>
      </c>
      <c r="B3938" s="1" t="n">
        <v>45883.65679398148</v>
      </c>
      <c r="C3938" s="1" t="n">
        <v>46145</v>
      </c>
      <c r="D3938" t="inlineStr">
        <is>
          <t>VÄSTERBOTTENS LÄN</t>
        </is>
      </c>
      <c r="E3938" t="inlineStr">
        <is>
          <t>NORDMALING</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38451-2025</t>
        </is>
      </c>
      <c r="B3939" s="1" t="n">
        <v>45883.67800925926</v>
      </c>
      <c r="C3939" s="1" t="n">
        <v>46145</v>
      </c>
      <c r="D3939" t="inlineStr">
        <is>
          <t>VÄSTERBOTTENS LÄN</t>
        </is>
      </c>
      <c r="E3939" t="inlineStr">
        <is>
          <t>ÅSELE</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38452-2025</t>
        </is>
      </c>
      <c r="B3940" s="1" t="n">
        <v>45883.67813657408</v>
      </c>
      <c r="C3940" s="1" t="n">
        <v>46145</v>
      </c>
      <c r="D3940" t="inlineStr">
        <is>
          <t>VÄSTERBOTTENS LÄN</t>
        </is>
      </c>
      <c r="E3940" t="inlineStr">
        <is>
          <t>ÅSELE</t>
        </is>
      </c>
      <c r="F3940" t="inlineStr">
        <is>
          <t>SCA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12506-2023</t>
        </is>
      </c>
      <c r="B3941" s="1" t="n">
        <v>44999</v>
      </c>
      <c r="C3941" s="1" t="n">
        <v>46145</v>
      </c>
      <c r="D3941" t="inlineStr">
        <is>
          <t>VÄSTERBOTTENS LÄN</t>
        </is>
      </c>
      <c r="E3941" t="inlineStr">
        <is>
          <t>SORSELE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38454-2025</t>
        </is>
      </c>
      <c r="B3942" s="1" t="n">
        <v>45883.67839120371</v>
      </c>
      <c r="C3942" s="1" t="n">
        <v>46145</v>
      </c>
      <c r="D3942" t="inlineStr">
        <is>
          <t>VÄSTERBOTTENS LÄN</t>
        </is>
      </c>
      <c r="E3942" t="inlineStr">
        <is>
          <t>VILHELMINA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27495-2024</t>
        </is>
      </c>
      <c r="B3943" s="1" t="n">
        <v>45474.4971875</v>
      </c>
      <c r="C3943" s="1" t="n">
        <v>46145</v>
      </c>
      <c r="D3943" t="inlineStr">
        <is>
          <t>VÄSTERBOTTENS LÄN</t>
        </is>
      </c>
      <c r="E3943" t="inlineStr">
        <is>
          <t>LYCKSELE</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39432-2025</t>
        </is>
      </c>
      <c r="B3944" s="1" t="n">
        <v>45889.67777777778</v>
      </c>
      <c r="C3944" s="1" t="n">
        <v>46145</v>
      </c>
      <c r="D3944" t="inlineStr">
        <is>
          <t>VÄSTERBOTTENS LÄN</t>
        </is>
      </c>
      <c r="E3944" t="inlineStr">
        <is>
          <t>LYCKSELE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39436-2025</t>
        </is>
      </c>
      <c r="B3945" s="1" t="n">
        <v>45889.67865740741</v>
      </c>
      <c r="C3945" s="1" t="n">
        <v>46145</v>
      </c>
      <c r="D3945" t="inlineStr">
        <is>
          <t>VÄSTERBOTTENS LÄN</t>
        </is>
      </c>
      <c r="E3945" t="inlineStr">
        <is>
          <t>LYCKSELE</t>
        </is>
      </c>
      <c r="F3945" t="inlineStr">
        <is>
          <t>SCA</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39435-2025</t>
        </is>
      </c>
      <c r="B3946" s="1" t="n">
        <v>45889.67834490741</v>
      </c>
      <c r="C3946" s="1" t="n">
        <v>46145</v>
      </c>
      <c r="D3946" t="inlineStr">
        <is>
          <t>VÄSTERBOTTENS LÄN</t>
        </is>
      </c>
      <c r="E3946" t="inlineStr">
        <is>
          <t>LYCKSELE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426-2022</t>
        </is>
      </c>
      <c r="B3947" s="1" t="n">
        <v>44565</v>
      </c>
      <c r="C3947" s="1" t="n">
        <v>46145</v>
      </c>
      <c r="D3947" t="inlineStr">
        <is>
          <t>VÄSTERBOTTENS LÄN</t>
        </is>
      </c>
      <c r="E3947" t="inlineStr">
        <is>
          <t>VÄNNÄS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39458-2025</t>
        </is>
      </c>
      <c r="B3948" s="1" t="n">
        <v>45889.82722222222</v>
      </c>
      <c r="C3948" s="1" t="n">
        <v>46145</v>
      </c>
      <c r="D3948" t="inlineStr">
        <is>
          <t>VÄSTERBOTTENS LÄN</t>
        </is>
      </c>
      <c r="E3948" t="inlineStr">
        <is>
          <t>LYCKSELE</t>
        </is>
      </c>
      <c r="F3948" t="inlineStr">
        <is>
          <t>Sveaskog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39521-2025</t>
        </is>
      </c>
      <c r="B3949" s="1" t="n">
        <v>45890.43667824074</v>
      </c>
      <c r="C3949" s="1" t="n">
        <v>46145</v>
      </c>
      <c r="D3949" t="inlineStr">
        <is>
          <t>VÄSTERBOTTENS LÄN</t>
        </is>
      </c>
      <c r="E3949" t="inlineStr">
        <is>
          <t>LYCKSELE</t>
        </is>
      </c>
      <c r="F3949" t="inlineStr">
        <is>
          <t>Sveaskog</t>
        </is>
      </c>
      <c r="G3949" t="n">
        <v>20.2</v>
      </c>
      <c r="H3949" t="n">
        <v>0</v>
      </c>
      <c r="I3949" t="n">
        <v>0</v>
      </c>
      <c r="J3949" t="n">
        <v>0</v>
      </c>
      <c r="K3949" t="n">
        <v>0</v>
      </c>
      <c r="L3949" t="n">
        <v>0</v>
      </c>
      <c r="M3949" t="n">
        <v>0</v>
      </c>
      <c r="N3949" t="n">
        <v>0</v>
      </c>
      <c r="O3949" t="n">
        <v>0</v>
      </c>
      <c r="P3949" t="n">
        <v>0</v>
      </c>
      <c r="Q3949" t="n">
        <v>0</v>
      </c>
      <c r="R3949" s="2" t="inlineStr"/>
    </row>
    <row r="3950" ht="15" customHeight="1">
      <c r="A3950" t="inlineStr">
        <is>
          <t>A 12507-2023</t>
        </is>
      </c>
      <c r="B3950" s="1" t="n">
        <v>44999</v>
      </c>
      <c r="C3950" s="1" t="n">
        <v>46145</v>
      </c>
      <c r="D3950" t="inlineStr">
        <is>
          <t>VÄSTERBOTTENS LÄN</t>
        </is>
      </c>
      <c r="E3950" t="inlineStr">
        <is>
          <t>SORSELE</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31904-2024</t>
        </is>
      </c>
      <c r="B3951" s="1" t="n">
        <v>45510</v>
      </c>
      <c r="C3951" s="1" t="n">
        <v>46145</v>
      </c>
      <c r="D3951" t="inlineStr">
        <is>
          <t>VÄSTERBOTTENS LÄN</t>
        </is>
      </c>
      <c r="E3951" t="inlineStr">
        <is>
          <t>VINDELN</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14352-2025</t>
        </is>
      </c>
      <c r="B3952" s="1" t="n">
        <v>45741.36424768518</v>
      </c>
      <c r="C3952" s="1" t="n">
        <v>46145</v>
      </c>
      <c r="D3952" t="inlineStr">
        <is>
          <t>VÄSTERBOTTENS LÄN</t>
        </is>
      </c>
      <c r="E3952" t="inlineStr">
        <is>
          <t>VINDELN</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39251-2025</t>
        </is>
      </c>
      <c r="B3953" s="1" t="n">
        <v>45889.36145833333</v>
      </c>
      <c r="C3953" s="1" t="n">
        <v>46145</v>
      </c>
      <c r="D3953" t="inlineStr">
        <is>
          <t>VÄSTERBOTTENS LÄN</t>
        </is>
      </c>
      <c r="E3953" t="inlineStr">
        <is>
          <t>ÅSELE</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39254-2025</t>
        </is>
      </c>
      <c r="B3954" s="1" t="n">
        <v>45889.36454861111</v>
      </c>
      <c r="C3954" s="1" t="n">
        <v>46145</v>
      </c>
      <c r="D3954" t="inlineStr">
        <is>
          <t>VÄSTERBOTTENS LÄN</t>
        </is>
      </c>
      <c r="E3954" t="inlineStr">
        <is>
          <t>SKELLEFTEÅ</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39255-2025</t>
        </is>
      </c>
      <c r="B3955" s="1" t="n">
        <v>45889.36472222222</v>
      </c>
      <c r="C3955" s="1" t="n">
        <v>46145</v>
      </c>
      <c r="D3955" t="inlineStr">
        <is>
          <t>VÄSTERBOTTENS LÄN</t>
        </is>
      </c>
      <c r="E3955" t="inlineStr">
        <is>
          <t>BJURHOLM</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39267-2025</t>
        </is>
      </c>
      <c r="B3956" s="1" t="n">
        <v>45889.37619212963</v>
      </c>
      <c r="C3956" s="1" t="n">
        <v>46145</v>
      </c>
      <c r="D3956" t="inlineStr">
        <is>
          <t>VÄSTERBOTTENS LÄN</t>
        </is>
      </c>
      <c r="E3956" t="inlineStr">
        <is>
          <t>BJURHOLM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20749-2024</t>
        </is>
      </c>
      <c r="B3957" s="1" t="n">
        <v>45436</v>
      </c>
      <c r="C3957" s="1" t="n">
        <v>46145</v>
      </c>
      <c r="D3957" t="inlineStr">
        <is>
          <t>VÄSTERBOTTENS LÄN</t>
        </is>
      </c>
      <c r="E3957" t="inlineStr">
        <is>
          <t>UMEÅ</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39252-2025</t>
        </is>
      </c>
      <c r="B3958" s="1" t="n">
        <v>45889.36288194444</v>
      </c>
      <c r="C3958" s="1" t="n">
        <v>46145</v>
      </c>
      <c r="D3958" t="inlineStr">
        <is>
          <t>VÄSTERBOTTENS LÄN</t>
        </is>
      </c>
      <c r="E3958" t="inlineStr">
        <is>
          <t>BJURHOLM</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54457-2024</t>
        </is>
      </c>
      <c r="B3959" s="1" t="n">
        <v>45617</v>
      </c>
      <c r="C3959" s="1" t="n">
        <v>46145</v>
      </c>
      <c r="D3959" t="inlineStr">
        <is>
          <t>VÄSTERBOTTENS LÄN</t>
        </is>
      </c>
      <c r="E3959" t="inlineStr">
        <is>
          <t>VILHELMINA</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38449-2025</t>
        </is>
      </c>
      <c r="B3960" s="1" t="n">
        <v>45883.67765046296</v>
      </c>
      <c r="C3960" s="1" t="n">
        <v>46145</v>
      </c>
      <c r="D3960" t="inlineStr">
        <is>
          <t>VÄSTERBOTTENS LÄN</t>
        </is>
      </c>
      <c r="E3960" t="inlineStr">
        <is>
          <t>ÅSELE</t>
        </is>
      </c>
      <c r="F3960" t="inlineStr">
        <is>
          <t>SCA</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39627-2025</t>
        </is>
      </c>
      <c r="B3961" s="1" t="n">
        <v>45890.5809837963</v>
      </c>
      <c r="C3961" s="1" t="n">
        <v>46145</v>
      </c>
      <c r="D3961" t="inlineStr">
        <is>
          <t>VÄSTERBOTTENS LÄN</t>
        </is>
      </c>
      <c r="E3961" t="inlineStr">
        <is>
          <t>MALÅ</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62700-2022</t>
        </is>
      </c>
      <c r="B3962" s="1" t="n">
        <v>44925.59396990741</v>
      </c>
      <c r="C3962" s="1" t="n">
        <v>46145</v>
      </c>
      <c r="D3962" t="inlineStr">
        <is>
          <t>VÄSTERBOTTENS LÄN</t>
        </is>
      </c>
      <c r="E3962" t="inlineStr">
        <is>
          <t>VINDELN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39629-2025</t>
        </is>
      </c>
      <c r="B3963" s="1" t="n">
        <v>45890.58671296296</v>
      </c>
      <c r="C3963" s="1" t="n">
        <v>46145</v>
      </c>
      <c r="D3963" t="inlineStr">
        <is>
          <t>VÄSTERBOTTENS LÄN</t>
        </is>
      </c>
      <c r="E3963" t="inlineStr">
        <is>
          <t>SORSELE</t>
        </is>
      </c>
      <c r="F3963" t="inlineStr">
        <is>
          <t>Sveaskog</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39343-2025</t>
        </is>
      </c>
      <c r="B3964" s="1" t="n">
        <v>45889.53162037037</v>
      </c>
      <c r="C3964" s="1" t="n">
        <v>46145</v>
      </c>
      <c r="D3964" t="inlineStr">
        <is>
          <t>VÄSTERBOTTENS LÄN</t>
        </is>
      </c>
      <c r="E3964" t="inlineStr">
        <is>
          <t>DOROTEA</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62715-2022</t>
        </is>
      </c>
      <c r="B3965" s="1" t="n">
        <v>44925.63133101852</v>
      </c>
      <c r="C3965" s="1" t="n">
        <v>46145</v>
      </c>
      <c r="D3965" t="inlineStr">
        <is>
          <t>VÄSTERBOTTENS LÄN</t>
        </is>
      </c>
      <c r="E3965" t="inlineStr">
        <is>
          <t>LYCKSELE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39477-2025</t>
        </is>
      </c>
      <c r="B3966" s="1" t="n">
        <v>45890.34474537037</v>
      </c>
      <c r="C3966" s="1" t="n">
        <v>46145</v>
      </c>
      <c r="D3966" t="inlineStr">
        <is>
          <t>VÄSTERBOTTENS LÄN</t>
        </is>
      </c>
      <c r="E3966" t="inlineStr">
        <is>
          <t>SKELLEFTEÅ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39491-2025</t>
        </is>
      </c>
      <c r="B3967" s="1" t="n">
        <v>45890.37449074074</v>
      </c>
      <c r="C3967" s="1" t="n">
        <v>46145</v>
      </c>
      <c r="D3967" t="inlineStr">
        <is>
          <t>VÄSTERBOTTENS LÄN</t>
        </is>
      </c>
      <c r="E3967" t="inlineStr">
        <is>
          <t>BJURHOLM</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39222-2025</t>
        </is>
      </c>
      <c r="B3968" s="1" t="n">
        <v>45888.93484953704</v>
      </c>
      <c r="C3968" s="1" t="n">
        <v>46145</v>
      </c>
      <c r="D3968" t="inlineStr">
        <is>
          <t>VÄSTERBOTTENS LÄN</t>
        </is>
      </c>
      <c r="E3968" t="inlineStr">
        <is>
          <t>ROBERTSFORS</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39259-2025</t>
        </is>
      </c>
      <c r="B3969" s="1" t="n">
        <v>45889.37043981482</v>
      </c>
      <c r="C3969" s="1" t="n">
        <v>46145</v>
      </c>
      <c r="D3969" t="inlineStr">
        <is>
          <t>VÄSTERBOTTENS LÄN</t>
        </is>
      </c>
      <c r="E3969" t="inlineStr">
        <is>
          <t>SKELLEFTEÅ</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39373-2025</t>
        </is>
      </c>
      <c r="B3970" s="1" t="n">
        <v>45889.58655092592</v>
      </c>
      <c r="C3970" s="1" t="n">
        <v>46145</v>
      </c>
      <c r="D3970" t="inlineStr">
        <is>
          <t>VÄSTERBOTTENS LÄN</t>
        </is>
      </c>
      <c r="E3970" t="inlineStr">
        <is>
          <t>UMEÅ</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3097-2025</t>
        </is>
      </c>
      <c r="B3971" s="1" t="n">
        <v>45678.66665509259</v>
      </c>
      <c r="C3971" s="1" t="n">
        <v>46145</v>
      </c>
      <c r="D3971" t="inlineStr">
        <is>
          <t>VÄSTERBOTTENS LÄN</t>
        </is>
      </c>
      <c r="E3971" t="inlineStr">
        <is>
          <t>DOROTEA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3098-2025</t>
        </is>
      </c>
      <c r="B3972" s="1" t="n">
        <v>45678.66666666666</v>
      </c>
      <c r="C3972" s="1" t="n">
        <v>46145</v>
      </c>
      <c r="D3972" t="inlineStr">
        <is>
          <t>VÄSTERBOTTENS LÄN</t>
        </is>
      </c>
      <c r="E3972" t="inlineStr">
        <is>
          <t>DOROTEA</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39242-2025</t>
        </is>
      </c>
      <c r="B3973" s="1" t="n">
        <v>45889.34109953704</v>
      </c>
      <c r="C3973" s="1" t="n">
        <v>46145</v>
      </c>
      <c r="D3973" t="inlineStr">
        <is>
          <t>VÄSTERBOTTENS LÄN</t>
        </is>
      </c>
      <c r="E3973" t="inlineStr">
        <is>
          <t>LYCKSELE</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39263-2025</t>
        </is>
      </c>
      <c r="B3974" s="1" t="n">
        <v>45889.37246527777</v>
      </c>
      <c r="C3974" s="1" t="n">
        <v>46145</v>
      </c>
      <c r="D3974" t="inlineStr">
        <is>
          <t>VÄSTERBOTTENS LÄN</t>
        </is>
      </c>
      <c r="E3974" t="inlineStr">
        <is>
          <t>BJURHOLM</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39315-2025</t>
        </is>
      </c>
      <c r="B3975" s="1" t="n">
        <v>45889</v>
      </c>
      <c r="C3975" s="1" t="n">
        <v>46145</v>
      </c>
      <c r="D3975" t="inlineStr">
        <is>
          <t>VÄSTERBOTTENS LÄN</t>
        </is>
      </c>
      <c r="E3975" t="inlineStr">
        <is>
          <t>ROBERTSFORS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3165-2025</t>
        </is>
      </c>
      <c r="B3976" s="1" t="n">
        <v>45679.35350694445</v>
      </c>
      <c r="C3976" s="1" t="n">
        <v>46145</v>
      </c>
      <c r="D3976" t="inlineStr">
        <is>
          <t>VÄSTERBOTTENS LÄN</t>
        </is>
      </c>
      <c r="E3976" t="inlineStr">
        <is>
          <t>UMEÅ</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1498-2024</t>
        </is>
      </c>
      <c r="B3977" s="1" t="n">
        <v>45306</v>
      </c>
      <c r="C3977" s="1" t="n">
        <v>46145</v>
      </c>
      <c r="D3977" t="inlineStr">
        <is>
          <t>VÄSTERBOTTENS LÄN</t>
        </is>
      </c>
      <c r="E3977" t="inlineStr">
        <is>
          <t>SKELLEFTEÅ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40559-2024</t>
        </is>
      </c>
      <c r="B3978" s="1" t="n">
        <v>45555.6578125</v>
      </c>
      <c r="C3978" s="1" t="n">
        <v>46145</v>
      </c>
      <c r="D3978" t="inlineStr">
        <is>
          <t>VÄSTERBOTTENS LÄN</t>
        </is>
      </c>
      <c r="E3978" t="inlineStr">
        <is>
          <t>VINDELN</t>
        </is>
      </c>
      <c r="F3978" t="inlineStr">
        <is>
          <t>Naturvårdsverket</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39614-2025</t>
        </is>
      </c>
      <c r="B3979" s="1" t="n">
        <v>45890.56412037037</v>
      </c>
      <c r="C3979" s="1" t="n">
        <v>46145</v>
      </c>
      <c r="D3979" t="inlineStr">
        <is>
          <t>VÄSTERBOTTENS LÄN</t>
        </is>
      </c>
      <c r="E3979" t="inlineStr">
        <is>
          <t>MALÅ</t>
        </is>
      </c>
      <c r="F3979" t="inlineStr">
        <is>
          <t>Sveaskog</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3181-2025</t>
        </is>
      </c>
      <c r="B3980" s="1" t="n">
        <v>45679.39748842592</v>
      </c>
      <c r="C3980" s="1" t="n">
        <v>46145</v>
      </c>
      <c r="D3980" t="inlineStr">
        <is>
          <t>VÄSTERBOTTENS LÄN</t>
        </is>
      </c>
      <c r="E3980" t="inlineStr">
        <is>
          <t>BJURHOLM</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24352-2024</t>
        </is>
      </c>
      <c r="B3981" s="1" t="n">
        <v>45457.59247685185</v>
      </c>
      <c r="C3981" s="1" t="n">
        <v>46145</v>
      </c>
      <c r="D3981" t="inlineStr">
        <is>
          <t>VÄSTERBOTTENS LÄN</t>
        </is>
      </c>
      <c r="E3981" t="inlineStr">
        <is>
          <t>SKELLEFTEÅ</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39665-2025</t>
        </is>
      </c>
      <c r="B3982" s="1" t="n">
        <v>45890.63614583333</v>
      </c>
      <c r="C3982" s="1" t="n">
        <v>46145</v>
      </c>
      <c r="D3982" t="inlineStr">
        <is>
          <t>VÄSTERBOTTENS LÄN</t>
        </is>
      </c>
      <c r="E3982" t="inlineStr">
        <is>
          <t>DOROTEA</t>
        </is>
      </c>
      <c r="F3982" t="inlineStr">
        <is>
          <t>SCA</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39534-2025</t>
        </is>
      </c>
      <c r="B3983" s="1" t="n">
        <v>45890.44875</v>
      </c>
      <c r="C3983" s="1" t="n">
        <v>46145</v>
      </c>
      <c r="D3983" t="inlineStr">
        <is>
          <t>VÄSTERBOTTENS LÄN</t>
        </is>
      </c>
      <c r="E3983" t="inlineStr">
        <is>
          <t>VILHELMINA</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39557-2025</t>
        </is>
      </c>
      <c r="B3984" s="1" t="n">
        <v>45890</v>
      </c>
      <c r="C3984" s="1" t="n">
        <v>46145</v>
      </c>
      <c r="D3984" t="inlineStr">
        <is>
          <t>VÄSTERBOTTENS LÄN</t>
        </is>
      </c>
      <c r="E3984" t="inlineStr">
        <is>
          <t>ÅSELE</t>
        </is>
      </c>
      <c r="F3984" t="inlineStr">
        <is>
          <t>SCA</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39613-2025</t>
        </is>
      </c>
      <c r="B3985" s="1" t="n">
        <v>45890.56368055556</v>
      </c>
      <c r="C3985" s="1" t="n">
        <v>46145</v>
      </c>
      <c r="D3985" t="inlineStr">
        <is>
          <t>VÄSTERBOTTENS LÄN</t>
        </is>
      </c>
      <c r="E3985" t="inlineStr">
        <is>
          <t>SKELLEFTEÅ</t>
        </is>
      </c>
      <c r="F3985" t="inlineStr">
        <is>
          <t>Holmen skog AB</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38272-2023</t>
        </is>
      </c>
      <c r="B3986" s="1" t="n">
        <v>45161</v>
      </c>
      <c r="C3986" s="1" t="n">
        <v>46145</v>
      </c>
      <c r="D3986" t="inlineStr">
        <is>
          <t>VÄSTERBOTTENS LÄN</t>
        </is>
      </c>
      <c r="E3986" t="inlineStr">
        <is>
          <t>NORSJÖ</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39648-2025</t>
        </is>
      </c>
      <c r="B3987" s="1" t="n">
        <v>45890.61520833334</v>
      </c>
      <c r="C3987" s="1" t="n">
        <v>46145</v>
      </c>
      <c r="D3987" t="inlineStr">
        <is>
          <t>VÄSTERBOTTENS LÄN</t>
        </is>
      </c>
      <c r="E3987" t="inlineStr">
        <is>
          <t>LYCKSELE</t>
        </is>
      </c>
      <c r="F3987" t="inlineStr">
        <is>
          <t>SCA</t>
        </is>
      </c>
      <c r="G3987" t="n">
        <v>19.3</v>
      </c>
      <c r="H3987" t="n">
        <v>0</v>
      </c>
      <c r="I3987" t="n">
        <v>0</v>
      </c>
      <c r="J3987" t="n">
        <v>0</v>
      </c>
      <c r="K3987" t="n">
        <v>0</v>
      </c>
      <c r="L3987" t="n">
        <v>0</v>
      </c>
      <c r="M3987" t="n">
        <v>0</v>
      </c>
      <c r="N3987" t="n">
        <v>0</v>
      </c>
      <c r="O3987" t="n">
        <v>0</v>
      </c>
      <c r="P3987" t="n">
        <v>0</v>
      </c>
      <c r="Q3987" t="n">
        <v>0</v>
      </c>
      <c r="R3987" s="2" t="inlineStr"/>
    </row>
    <row r="3988" ht="15" customHeight="1">
      <c r="A3988" t="inlineStr">
        <is>
          <t>A 39677-2025</t>
        </is>
      </c>
      <c r="B3988" s="1" t="n">
        <v>45890.65048611111</v>
      </c>
      <c r="C3988" s="1" t="n">
        <v>46145</v>
      </c>
      <c r="D3988" t="inlineStr">
        <is>
          <t>VÄSTERBOTTENS LÄN</t>
        </is>
      </c>
      <c r="E3988" t="inlineStr">
        <is>
          <t>ROBERTSFORS</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40510-2024</t>
        </is>
      </c>
      <c r="B3989" s="1" t="n">
        <v>45555.58457175926</v>
      </c>
      <c r="C3989" s="1" t="n">
        <v>46145</v>
      </c>
      <c r="D3989" t="inlineStr">
        <is>
          <t>VÄSTERBOTTENS LÄN</t>
        </is>
      </c>
      <c r="E3989" t="inlineStr">
        <is>
          <t>VINDELN</t>
        </is>
      </c>
      <c r="F3989" t="inlineStr">
        <is>
          <t>Naturvårdsverket</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33648-2024</t>
        </is>
      </c>
      <c r="B3990" s="1" t="n">
        <v>45520.44971064815</v>
      </c>
      <c r="C3990" s="1" t="n">
        <v>46145</v>
      </c>
      <c r="D3990" t="inlineStr">
        <is>
          <t>VÄSTERBOTTENS LÄN</t>
        </is>
      </c>
      <c r="E3990" t="inlineStr">
        <is>
          <t>SORSELE</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33657-2024</t>
        </is>
      </c>
      <c r="B3991" s="1" t="n">
        <v>45520.46878472222</v>
      </c>
      <c r="C3991" s="1" t="n">
        <v>46145</v>
      </c>
      <c r="D3991" t="inlineStr">
        <is>
          <t>VÄSTERBOTTENS LÄN</t>
        </is>
      </c>
      <c r="E3991" t="inlineStr">
        <is>
          <t>VINDELN</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20497-2024</t>
        </is>
      </c>
      <c r="B3992" s="1" t="n">
        <v>45435</v>
      </c>
      <c r="C3992" s="1" t="n">
        <v>46145</v>
      </c>
      <c r="D3992" t="inlineStr">
        <is>
          <t>VÄSTERBOTTENS LÄN</t>
        </is>
      </c>
      <c r="E3992" t="inlineStr">
        <is>
          <t>SKELLEFTEÅ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29323-2024</t>
        </is>
      </c>
      <c r="B3993" s="1" t="n">
        <v>45483.43054398148</v>
      </c>
      <c r="C3993" s="1" t="n">
        <v>46145</v>
      </c>
      <c r="D3993" t="inlineStr">
        <is>
          <t>VÄSTERBOTTENS LÄN</t>
        </is>
      </c>
      <c r="E3993" t="inlineStr">
        <is>
          <t>SKELLEFTEÅ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39655-2025</t>
        </is>
      </c>
      <c r="B3994" s="1" t="n">
        <v>45890.62754629629</v>
      </c>
      <c r="C3994" s="1" t="n">
        <v>46145</v>
      </c>
      <c r="D3994" t="inlineStr">
        <is>
          <t>VÄSTERBOTTENS LÄN</t>
        </is>
      </c>
      <c r="E3994" t="inlineStr">
        <is>
          <t>ROBERTSFORS</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8270-2023</t>
        </is>
      </c>
      <c r="B3995" s="1" t="n">
        <v>44971</v>
      </c>
      <c r="C3995" s="1" t="n">
        <v>46145</v>
      </c>
      <c r="D3995" t="inlineStr">
        <is>
          <t>VÄSTERBOTTENS LÄN</t>
        </is>
      </c>
      <c r="E3995" t="inlineStr">
        <is>
          <t>VINDELN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43599-2024</t>
        </is>
      </c>
      <c r="B3996" s="1" t="n">
        <v>45569</v>
      </c>
      <c r="C3996" s="1" t="n">
        <v>46145</v>
      </c>
      <c r="D3996" t="inlineStr">
        <is>
          <t>VÄSTERBOTTENS LÄN</t>
        </is>
      </c>
      <c r="E3996" t="inlineStr">
        <is>
          <t>SKELLEFTEÅ</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23753-2023</t>
        </is>
      </c>
      <c r="B3997" s="1" t="n">
        <v>45077</v>
      </c>
      <c r="C3997" s="1" t="n">
        <v>46145</v>
      </c>
      <c r="D3997" t="inlineStr">
        <is>
          <t>VÄSTERBOTTENS LÄN</t>
        </is>
      </c>
      <c r="E3997" t="inlineStr">
        <is>
          <t>NORDMALING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39527-2025</t>
        </is>
      </c>
      <c r="B3998" s="1" t="n">
        <v>45890</v>
      </c>
      <c r="C3998" s="1" t="n">
        <v>46145</v>
      </c>
      <c r="D3998" t="inlineStr">
        <is>
          <t>VÄSTERBOTTENS LÄN</t>
        </is>
      </c>
      <c r="E3998" t="inlineStr">
        <is>
          <t>LYCKSELE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39342-2025</t>
        </is>
      </c>
      <c r="B3999" s="1" t="n">
        <v>45889.52583333333</v>
      </c>
      <c r="C3999" s="1" t="n">
        <v>46145</v>
      </c>
      <c r="D3999" t="inlineStr">
        <is>
          <t>VÄSTERBOTTENS LÄN</t>
        </is>
      </c>
      <c r="E3999" t="inlineStr">
        <is>
          <t>LYCKSELE</t>
        </is>
      </c>
      <c r="F3999" t="inlineStr">
        <is>
          <t>Sveaskog</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19073-2023</t>
        </is>
      </c>
      <c r="B4000" s="1" t="n">
        <v>45048.37394675926</v>
      </c>
      <c r="C4000" s="1" t="n">
        <v>46145</v>
      </c>
      <c r="D4000" t="inlineStr">
        <is>
          <t>VÄSTERBOTTENS LÄN</t>
        </is>
      </c>
      <c r="E4000" t="inlineStr">
        <is>
          <t>SKELLEFTEÅ</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50476-2024</t>
        </is>
      </c>
      <c r="B4001" s="1" t="n">
        <v>45601.47450231481</v>
      </c>
      <c r="C4001" s="1" t="n">
        <v>46145</v>
      </c>
      <c r="D4001" t="inlineStr">
        <is>
          <t>VÄSTERBOTTENS LÄN</t>
        </is>
      </c>
      <c r="E4001" t="inlineStr">
        <is>
          <t>SKELLEFTEÅ</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32183-2023</t>
        </is>
      </c>
      <c r="B4002" s="1" t="n">
        <v>45119</v>
      </c>
      <c r="C4002" s="1" t="n">
        <v>46145</v>
      </c>
      <c r="D4002" t="inlineStr">
        <is>
          <t>VÄSTERBOTTENS LÄN</t>
        </is>
      </c>
      <c r="E4002" t="inlineStr">
        <is>
          <t>NORDMALING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39552-2025</t>
        </is>
      </c>
      <c r="B4003" s="1" t="n">
        <v>45890.46518518519</v>
      </c>
      <c r="C4003" s="1" t="n">
        <v>46145</v>
      </c>
      <c r="D4003" t="inlineStr">
        <is>
          <t>VÄSTERBOTTENS LÄN</t>
        </is>
      </c>
      <c r="E4003" t="inlineStr">
        <is>
          <t>LYCKSELE</t>
        </is>
      </c>
      <c r="F4003" t="inlineStr">
        <is>
          <t>Sveaskog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39558-2025</t>
        </is>
      </c>
      <c r="B4004" s="1" t="n">
        <v>45890.46978009259</v>
      </c>
      <c r="C4004" s="1" t="n">
        <v>46145</v>
      </c>
      <c r="D4004" t="inlineStr">
        <is>
          <t>VÄSTERBOTTENS LÄN</t>
        </is>
      </c>
      <c r="E4004" t="inlineStr">
        <is>
          <t>VILHELMINA</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39681-2025</t>
        </is>
      </c>
      <c r="B4005" s="1" t="n">
        <v>45890.65736111111</v>
      </c>
      <c r="C4005" s="1" t="n">
        <v>46145</v>
      </c>
      <c r="D4005" t="inlineStr">
        <is>
          <t>VÄSTERBOTTENS LÄN</t>
        </is>
      </c>
      <c r="E4005" t="inlineStr">
        <is>
          <t>SKELLEFTEÅ</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38222-2025</t>
        </is>
      </c>
      <c r="B4006" s="1" t="n">
        <v>45883.34452546296</v>
      </c>
      <c r="C4006" s="1" t="n">
        <v>46145</v>
      </c>
      <c r="D4006" t="inlineStr">
        <is>
          <t>VÄSTERBOTTENS LÄN</t>
        </is>
      </c>
      <c r="E4006" t="inlineStr">
        <is>
          <t>ÅSELE</t>
        </is>
      </c>
      <c r="F4006" t="inlineStr">
        <is>
          <t>SCA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59559-2022</t>
        </is>
      </c>
      <c r="B4007" s="1" t="n">
        <v>44900</v>
      </c>
      <c r="C4007" s="1" t="n">
        <v>46145</v>
      </c>
      <c r="D4007" t="inlineStr">
        <is>
          <t>VÄSTERBOTTENS LÄN</t>
        </is>
      </c>
      <c r="E4007" t="inlineStr">
        <is>
          <t>LYCKSELE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26627-2024</t>
        </is>
      </c>
      <c r="B4008" s="1" t="n">
        <v>45469</v>
      </c>
      <c r="C4008" s="1" t="n">
        <v>46145</v>
      </c>
      <c r="D4008" t="inlineStr">
        <is>
          <t>VÄSTERBOTTENS LÄN</t>
        </is>
      </c>
      <c r="E4008" t="inlineStr">
        <is>
          <t>NORDMALING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26637-2024</t>
        </is>
      </c>
      <c r="B4009" s="1" t="n">
        <v>45469.92811342593</v>
      </c>
      <c r="C4009" s="1" t="n">
        <v>46145</v>
      </c>
      <c r="D4009" t="inlineStr">
        <is>
          <t>VÄSTERBOTTENS LÄN</t>
        </is>
      </c>
      <c r="E4009" t="inlineStr">
        <is>
          <t>DOROTEA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39221-2025</t>
        </is>
      </c>
      <c r="B4010" s="1" t="n">
        <v>45888.93040509259</v>
      </c>
      <c r="C4010" s="1" t="n">
        <v>46145</v>
      </c>
      <c r="D4010" t="inlineStr">
        <is>
          <t>VÄSTERBOTTENS LÄN</t>
        </is>
      </c>
      <c r="E4010" t="inlineStr">
        <is>
          <t>ROBERTSFORS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24377-2024</t>
        </is>
      </c>
      <c r="B4011" s="1" t="n">
        <v>45457.61990740741</v>
      </c>
      <c r="C4011" s="1" t="n">
        <v>46145</v>
      </c>
      <c r="D4011" t="inlineStr">
        <is>
          <t>VÄSTERBOTTENS LÄN</t>
        </is>
      </c>
      <c r="E4011" t="inlineStr">
        <is>
          <t>LYCKSELE</t>
        </is>
      </c>
      <c r="F4011" t="inlineStr">
        <is>
          <t>Holmen skog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15577-2023</t>
        </is>
      </c>
      <c r="B4012" s="1" t="n">
        <v>45019</v>
      </c>
      <c r="C4012" s="1" t="n">
        <v>46145</v>
      </c>
      <c r="D4012" t="inlineStr">
        <is>
          <t>VÄSTERBOTTENS LÄN</t>
        </is>
      </c>
      <c r="E4012" t="inlineStr">
        <is>
          <t>VINDELN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37822-2025</t>
        </is>
      </c>
      <c r="B4013" s="1" t="n">
        <v>45881.40665509259</v>
      </c>
      <c r="C4013" s="1" t="n">
        <v>46145</v>
      </c>
      <c r="D4013" t="inlineStr">
        <is>
          <t>VÄSTERBOTTENS LÄN</t>
        </is>
      </c>
      <c r="E4013" t="inlineStr">
        <is>
          <t>ÅSELE</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37849-2025</t>
        </is>
      </c>
      <c r="B4014" s="1" t="n">
        <v>45881.44828703703</v>
      </c>
      <c r="C4014" s="1" t="n">
        <v>46145</v>
      </c>
      <c r="D4014" t="inlineStr">
        <is>
          <t>VÄSTERBOTTENS LÄN</t>
        </is>
      </c>
      <c r="E4014" t="inlineStr">
        <is>
          <t>ÅSELE</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42601-2024</t>
        </is>
      </c>
      <c r="B4015" s="1" t="n">
        <v>45565</v>
      </c>
      <c r="C4015" s="1" t="n">
        <v>46145</v>
      </c>
      <c r="D4015" t="inlineStr">
        <is>
          <t>VÄSTERBOTTENS LÄN</t>
        </is>
      </c>
      <c r="E4015" t="inlineStr">
        <is>
          <t>ÅSELE</t>
        </is>
      </c>
      <c r="F4015" t="inlineStr">
        <is>
          <t>Holmen skog AB</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32769-2024</t>
        </is>
      </c>
      <c r="B4016" s="1" t="n">
        <v>45516</v>
      </c>
      <c r="C4016" s="1" t="n">
        <v>46145</v>
      </c>
      <c r="D4016" t="inlineStr">
        <is>
          <t>VÄSTERBOTTENS LÄN</t>
        </is>
      </c>
      <c r="E4016" t="inlineStr">
        <is>
          <t>MALÅ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39431-2025</t>
        </is>
      </c>
      <c r="B4017" s="1" t="n">
        <v>45889</v>
      </c>
      <c r="C4017" s="1" t="n">
        <v>46145</v>
      </c>
      <c r="D4017" t="inlineStr">
        <is>
          <t>VÄSTERBOTTENS LÄN</t>
        </is>
      </c>
      <c r="E4017" t="inlineStr">
        <is>
          <t>ÅSELE</t>
        </is>
      </c>
      <c r="F4017" t="inlineStr">
        <is>
          <t>SCA</t>
        </is>
      </c>
      <c r="G4017" t="n">
        <v>14.4</v>
      </c>
      <c r="H4017" t="n">
        <v>0</v>
      </c>
      <c r="I4017" t="n">
        <v>0</v>
      </c>
      <c r="J4017" t="n">
        <v>0</v>
      </c>
      <c r="K4017" t="n">
        <v>0</v>
      </c>
      <c r="L4017" t="n">
        <v>0</v>
      </c>
      <c r="M4017" t="n">
        <v>0</v>
      </c>
      <c r="N4017" t="n">
        <v>0</v>
      </c>
      <c r="O4017" t="n">
        <v>0</v>
      </c>
      <c r="P4017" t="n">
        <v>0</v>
      </c>
      <c r="Q4017" t="n">
        <v>0</v>
      </c>
      <c r="R4017" s="2" t="inlineStr"/>
    </row>
    <row r="4018" ht="15" customHeight="1">
      <c r="A4018" t="inlineStr">
        <is>
          <t>A 39437-2025</t>
        </is>
      </c>
      <c r="B4018" s="1" t="n">
        <v>45889.67877314815</v>
      </c>
      <c r="C4018" s="1" t="n">
        <v>46145</v>
      </c>
      <c r="D4018" t="inlineStr">
        <is>
          <t>VÄSTERBOTTENS LÄN</t>
        </is>
      </c>
      <c r="E4018" t="inlineStr">
        <is>
          <t>ÅSELE</t>
        </is>
      </c>
      <c r="F4018" t="inlineStr">
        <is>
          <t>SCA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32792-2024</t>
        </is>
      </c>
      <c r="B4019" s="1" t="n">
        <v>45516.55068287037</v>
      </c>
      <c r="C4019" s="1" t="n">
        <v>46145</v>
      </c>
      <c r="D4019" t="inlineStr">
        <is>
          <t>VÄSTERBOTTENS LÄN</t>
        </is>
      </c>
      <c r="E4019" t="inlineStr">
        <is>
          <t>VÄNNÄS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32809-2024</t>
        </is>
      </c>
      <c r="B4020" s="1" t="n">
        <v>45516.57067129629</v>
      </c>
      <c r="C4020" s="1" t="n">
        <v>46145</v>
      </c>
      <c r="D4020" t="inlineStr">
        <is>
          <t>VÄSTERBOTTENS LÄN</t>
        </is>
      </c>
      <c r="E4020" t="inlineStr">
        <is>
          <t>VÄNNÄS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31851-2024</t>
        </is>
      </c>
      <c r="B4021" s="1" t="n">
        <v>45509</v>
      </c>
      <c r="C4021" s="1" t="n">
        <v>46145</v>
      </c>
      <c r="D4021" t="inlineStr">
        <is>
          <t>VÄSTERBOTTENS LÄN</t>
        </is>
      </c>
      <c r="E4021" t="inlineStr">
        <is>
          <t>VILHELMINA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39482-2025</t>
        </is>
      </c>
      <c r="B4022" s="1" t="n">
        <v>45890.35861111111</v>
      </c>
      <c r="C4022" s="1" t="n">
        <v>46145</v>
      </c>
      <c r="D4022" t="inlineStr">
        <is>
          <t>VÄSTERBOTTENS LÄN</t>
        </is>
      </c>
      <c r="E4022" t="inlineStr">
        <is>
          <t>LYCKSELE</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32662-2024</t>
        </is>
      </c>
      <c r="B4023" s="1" t="n">
        <v>45514.37979166667</v>
      </c>
      <c r="C4023" s="1" t="n">
        <v>46145</v>
      </c>
      <c r="D4023" t="inlineStr">
        <is>
          <t>VÄSTERBOTTENS LÄN</t>
        </is>
      </c>
      <c r="E4023" t="inlineStr">
        <is>
          <t>UMEÅ</t>
        </is>
      </c>
      <c r="F4023" t="inlineStr">
        <is>
          <t>Holmen skog AB</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38906-2024</t>
        </is>
      </c>
      <c r="B4024" s="1" t="n">
        <v>45547</v>
      </c>
      <c r="C4024" s="1" t="n">
        <v>46145</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29937-2024</t>
        </is>
      </c>
      <c r="B4025" s="1" t="n">
        <v>45488.41469907408</v>
      </c>
      <c r="C4025" s="1" t="n">
        <v>46145</v>
      </c>
      <c r="D4025" t="inlineStr">
        <is>
          <t>VÄSTERBOTTENS LÄN</t>
        </is>
      </c>
      <c r="E4025" t="inlineStr">
        <is>
          <t>LYCKSELE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39556-2025</t>
        </is>
      </c>
      <c r="B4026" s="1" t="n">
        <v>45890</v>
      </c>
      <c r="C4026" s="1" t="n">
        <v>46145</v>
      </c>
      <c r="D4026" t="inlineStr">
        <is>
          <t>VÄSTERBOTTENS LÄN</t>
        </is>
      </c>
      <c r="E4026" t="inlineStr">
        <is>
          <t>ÅSELE</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30725-2024</t>
        </is>
      </c>
      <c r="B4027" s="1" t="n">
        <v>45496.53711805555</v>
      </c>
      <c r="C4027" s="1" t="n">
        <v>46145</v>
      </c>
      <c r="D4027" t="inlineStr">
        <is>
          <t>VÄSTERBOTTENS LÄN</t>
        </is>
      </c>
      <c r="E4027" t="inlineStr">
        <is>
          <t>LYCKSELE</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39647-2025</t>
        </is>
      </c>
      <c r="B4028" s="1" t="n">
        <v>45890</v>
      </c>
      <c r="C4028" s="1" t="n">
        <v>46145</v>
      </c>
      <c r="D4028" t="inlineStr">
        <is>
          <t>VÄSTERBOTTENS LÄN</t>
        </is>
      </c>
      <c r="E4028" t="inlineStr">
        <is>
          <t>ÅSELE</t>
        </is>
      </c>
      <c r="F4028" t="inlineStr">
        <is>
          <t>SCA</t>
        </is>
      </c>
      <c r="G4028" t="n">
        <v>11.4</v>
      </c>
      <c r="H4028" t="n">
        <v>0</v>
      </c>
      <c r="I4028" t="n">
        <v>0</v>
      </c>
      <c r="J4028" t="n">
        <v>0</v>
      </c>
      <c r="K4028" t="n">
        <v>0</v>
      </c>
      <c r="L4028" t="n">
        <v>0</v>
      </c>
      <c r="M4028" t="n">
        <v>0</v>
      </c>
      <c r="N4028" t="n">
        <v>0</v>
      </c>
      <c r="O4028" t="n">
        <v>0</v>
      </c>
      <c r="P4028" t="n">
        <v>0</v>
      </c>
      <c r="Q4028" t="n">
        <v>0</v>
      </c>
      <c r="R4028" s="2" t="inlineStr"/>
    </row>
    <row r="4029" ht="15" customHeight="1">
      <c r="A4029" t="inlineStr">
        <is>
          <t>A 39649-2025</t>
        </is>
      </c>
      <c r="B4029" s="1" t="n">
        <v>45890.61537037037</v>
      </c>
      <c r="C4029" s="1" t="n">
        <v>46145</v>
      </c>
      <c r="D4029" t="inlineStr">
        <is>
          <t>VÄSTERBOTTENS LÄN</t>
        </is>
      </c>
      <c r="E4029" t="inlineStr">
        <is>
          <t>NORDMALING</t>
        </is>
      </c>
      <c r="F4029" t="inlineStr">
        <is>
          <t>SCA</t>
        </is>
      </c>
      <c r="G4029" t="n">
        <v>19.5</v>
      </c>
      <c r="H4029" t="n">
        <v>0</v>
      </c>
      <c r="I4029" t="n">
        <v>0</v>
      </c>
      <c r="J4029" t="n">
        <v>0</v>
      </c>
      <c r="K4029" t="n">
        <v>0</v>
      </c>
      <c r="L4029" t="n">
        <v>0</v>
      </c>
      <c r="M4029" t="n">
        <v>0</v>
      </c>
      <c r="N4029" t="n">
        <v>0</v>
      </c>
      <c r="O4029" t="n">
        <v>0</v>
      </c>
      <c r="P4029" t="n">
        <v>0</v>
      </c>
      <c r="Q4029" t="n">
        <v>0</v>
      </c>
      <c r="R4029" s="2" t="inlineStr"/>
    </row>
    <row r="4030" ht="15" customHeight="1">
      <c r="A4030" t="inlineStr">
        <is>
          <t>A 48330-2024</t>
        </is>
      </c>
      <c r="B4030" s="1" t="n">
        <v>45590.52324074074</v>
      </c>
      <c r="C4030" s="1" t="n">
        <v>46145</v>
      </c>
      <c r="D4030" t="inlineStr">
        <is>
          <t>VÄSTERBOTTENS LÄN</t>
        </is>
      </c>
      <c r="E4030" t="inlineStr">
        <is>
          <t>LYCKSELE</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39530-2025</t>
        </is>
      </c>
      <c r="B4031" s="1" t="n">
        <v>45890.44736111111</v>
      </c>
      <c r="C4031" s="1" t="n">
        <v>46145</v>
      </c>
      <c r="D4031" t="inlineStr">
        <is>
          <t>VÄSTERBOTTENS LÄN</t>
        </is>
      </c>
      <c r="E4031" t="inlineStr">
        <is>
          <t>SKELLEFTEÅ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40969-2024</t>
        </is>
      </c>
      <c r="B4032" s="1" t="n">
        <v>45558</v>
      </c>
      <c r="C4032" s="1" t="n">
        <v>46145</v>
      </c>
      <c r="D4032" t="inlineStr">
        <is>
          <t>VÄSTERBOTTENS LÄN</t>
        </is>
      </c>
      <c r="E4032" t="inlineStr">
        <is>
          <t>ÅSELE</t>
        </is>
      </c>
      <c r="F4032" t="inlineStr">
        <is>
          <t>Sveaskog</t>
        </is>
      </c>
      <c r="G4032" t="n">
        <v>14.2</v>
      </c>
      <c r="H4032" t="n">
        <v>0</v>
      </c>
      <c r="I4032" t="n">
        <v>0</v>
      </c>
      <c r="J4032" t="n">
        <v>0</v>
      </c>
      <c r="K4032" t="n">
        <v>0</v>
      </c>
      <c r="L4032" t="n">
        <v>0</v>
      </c>
      <c r="M4032" t="n">
        <v>0</v>
      </c>
      <c r="N4032" t="n">
        <v>0</v>
      </c>
      <c r="O4032" t="n">
        <v>0</v>
      </c>
      <c r="P4032" t="n">
        <v>0</v>
      </c>
      <c r="Q4032" t="n">
        <v>0</v>
      </c>
      <c r="R4032" s="2" t="inlineStr"/>
    </row>
    <row r="4033" ht="15" customHeight="1">
      <c r="A4033" t="inlineStr">
        <is>
          <t>A 30791-2025</t>
        </is>
      </c>
      <c r="B4033" s="1" t="n">
        <v>45831.63576388889</v>
      </c>
      <c r="C4033" s="1" t="n">
        <v>46145</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34898-2023</t>
        </is>
      </c>
      <c r="B4034" s="1" t="n">
        <v>45141</v>
      </c>
      <c r="C4034" s="1" t="n">
        <v>46145</v>
      </c>
      <c r="D4034" t="inlineStr">
        <is>
          <t>VÄSTERBOTTENS LÄN</t>
        </is>
      </c>
      <c r="E4034" t="inlineStr">
        <is>
          <t>NORDMALING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39257-2025</t>
        </is>
      </c>
      <c r="B4035" s="1" t="n">
        <v>45889.36733796296</v>
      </c>
      <c r="C4035" s="1" t="n">
        <v>46145</v>
      </c>
      <c r="D4035" t="inlineStr">
        <is>
          <t>VÄSTERBOTTENS LÄN</t>
        </is>
      </c>
      <c r="E4035" t="inlineStr">
        <is>
          <t>BJURHOLM</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28525-2023</t>
        </is>
      </c>
      <c r="B4036" s="1" t="n">
        <v>45103</v>
      </c>
      <c r="C4036" s="1" t="n">
        <v>46145</v>
      </c>
      <c r="D4036" t="inlineStr">
        <is>
          <t>VÄSTERBOTTENS LÄN</t>
        </is>
      </c>
      <c r="E4036" t="inlineStr">
        <is>
          <t>LYCKSELE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28528-2023</t>
        </is>
      </c>
      <c r="B4037" s="1" t="n">
        <v>45103</v>
      </c>
      <c r="C4037" s="1" t="n">
        <v>46145</v>
      </c>
      <c r="D4037" t="inlineStr">
        <is>
          <t>VÄSTERBOTTENS LÄN</t>
        </is>
      </c>
      <c r="E4037" t="inlineStr">
        <is>
          <t>LYCKSELE</t>
        </is>
      </c>
      <c r="F4037" t="inlineStr">
        <is>
          <t>Sveaskog</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28545-2023</t>
        </is>
      </c>
      <c r="B4038" s="1" t="n">
        <v>45103.50075231482</v>
      </c>
      <c r="C4038" s="1" t="n">
        <v>46145</v>
      </c>
      <c r="D4038" t="inlineStr">
        <is>
          <t>VÄSTERBOTTENS LÄN</t>
        </is>
      </c>
      <c r="E4038" t="inlineStr">
        <is>
          <t>LYCKSELE</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38590-2021</t>
        </is>
      </c>
      <c r="B4039" s="1" t="n">
        <v>44407</v>
      </c>
      <c r="C4039" s="1" t="n">
        <v>46145</v>
      </c>
      <c r="D4039" t="inlineStr">
        <is>
          <t>VÄSTERBOTTENS LÄN</t>
        </is>
      </c>
      <c r="E4039" t="inlineStr">
        <is>
          <t>ÅSELE</t>
        </is>
      </c>
      <c r="F4039" t="inlineStr">
        <is>
          <t>SCA</t>
        </is>
      </c>
      <c r="G4039" t="n">
        <v>107.3</v>
      </c>
      <c r="H4039" t="n">
        <v>0</v>
      </c>
      <c r="I4039" t="n">
        <v>0</v>
      </c>
      <c r="J4039" t="n">
        <v>0</v>
      </c>
      <c r="K4039" t="n">
        <v>0</v>
      </c>
      <c r="L4039" t="n">
        <v>0</v>
      </c>
      <c r="M4039" t="n">
        <v>0</v>
      </c>
      <c r="N4039" t="n">
        <v>0</v>
      </c>
      <c r="O4039" t="n">
        <v>0</v>
      </c>
      <c r="P4039" t="n">
        <v>0</v>
      </c>
      <c r="Q4039" t="n">
        <v>0</v>
      </c>
      <c r="R4039" s="2" t="inlineStr"/>
    </row>
    <row r="4040" ht="15" customHeight="1">
      <c r="A4040" t="inlineStr">
        <is>
          <t>A 28615-2023</t>
        </is>
      </c>
      <c r="B4040" s="1" t="n">
        <v>45103.59210648148</v>
      </c>
      <c r="C4040" s="1" t="n">
        <v>46145</v>
      </c>
      <c r="D4040" t="inlineStr">
        <is>
          <t>VÄSTERBOTTENS LÄN</t>
        </is>
      </c>
      <c r="E4040" t="inlineStr">
        <is>
          <t>VÄNNÄS</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38325-2025</t>
        </is>
      </c>
      <c r="B4041" s="1" t="n">
        <v>45883.49055555555</v>
      </c>
      <c r="C4041" s="1" t="n">
        <v>46145</v>
      </c>
      <c r="D4041" t="inlineStr">
        <is>
          <t>VÄSTERBOTTENS LÄN</t>
        </is>
      </c>
      <c r="E4041" t="inlineStr">
        <is>
          <t>LYCKSELE</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40203-2025</t>
        </is>
      </c>
      <c r="B4042" s="1" t="n">
        <v>45894.67332175926</v>
      </c>
      <c r="C4042" s="1" t="n">
        <v>46145</v>
      </c>
      <c r="D4042" t="inlineStr">
        <is>
          <t>VÄSTERBOTTENS LÄN</t>
        </is>
      </c>
      <c r="E4042" t="inlineStr">
        <is>
          <t>ROBERTSFORS</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61532-2024</t>
        </is>
      </c>
      <c r="B4043" s="1" t="n">
        <v>45646.58855324074</v>
      </c>
      <c r="C4043" s="1" t="n">
        <v>46145</v>
      </c>
      <c r="D4043" t="inlineStr">
        <is>
          <t>VÄSTERBOTTENS LÄN</t>
        </is>
      </c>
      <c r="E4043" t="inlineStr">
        <is>
          <t>UMEÅ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40233-2025</t>
        </is>
      </c>
      <c r="B4044" s="1" t="n">
        <v>45894.71912037037</v>
      </c>
      <c r="C4044" s="1" t="n">
        <v>46145</v>
      </c>
      <c r="D4044" t="inlineStr">
        <is>
          <t>VÄSTERBOTTENS LÄN</t>
        </is>
      </c>
      <c r="E4044" t="inlineStr">
        <is>
          <t>DOROTEA</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40238-2025</t>
        </is>
      </c>
      <c r="B4045" s="1" t="n">
        <v>45894</v>
      </c>
      <c r="C4045" s="1" t="n">
        <v>46145</v>
      </c>
      <c r="D4045" t="inlineStr">
        <is>
          <t>VÄSTERBOTTENS LÄN</t>
        </is>
      </c>
      <c r="E4045" t="inlineStr">
        <is>
          <t>LYCKSELE</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40124-2025</t>
        </is>
      </c>
      <c r="B4046" s="1" t="n">
        <v>45894.53172453704</v>
      </c>
      <c r="C4046" s="1" t="n">
        <v>46145</v>
      </c>
      <c r="D4046" t="inlineStr">
        <is>
          <t>VÄSTERBOTTENS LÄN</t>
        </is>
      </c>
      <c r="E4046" t="inlineStr">
        <is>
          <t>ÅSELE</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39890-2025</t>
        </is>
      </c>
      <c r="B4047" s="1" t="n">
        <v>45891.62754629629</v>
      </c>
      <c r="C4047" s="1" t="n">
        <v>46145</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39900-2025</t>
        </is>
      </c>
      <c r="B4048" s="1" t="n">
        <v>45891.63541666666</v>
      </c>
      <c r="C4048" s="1" t="n">
        <v>46145</v>
      </c>
      <c r="D4048" t="inlineStr">
        <is>
          <t>VÄSTERBOTTENS LÄN</t>
        </is>
      </c>
      <c r="E4048" t="inlineStr">
        <is>
          <t>BJURHOLM</t>
        </is>
      </c>
      <c r="F4048" t="inlineStr">
        <is>
          <t>Holmen skog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40035-2025</t>
        </is>
      </c>
      <c r="B4049" s="1" t="n">
        <v>45894.38201388889</v>
      </c>
      <c r="C4049" s="1" t="n">
        <v>46145</v>
      </c>
      <c r="D4049" t="inlineStr">
        <is>
          <t>VÄSTERBOTTENS LÄN</t>
        </is>
      </c>
      <c r="E4049" t="inlineStr">
        <is>
          <t>ÅSELE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52999-2024</t>
        </is>
      </c>
      <c r="B4050" s="1" t="n">
        <v>45611.38667824074</v>
      </c>
      <c r="C4050" s="1" t="n">
        <v>46145</v>
      </c>
      <c r="D4050" t="inlineStr">
        <is>
          <t>VÄSTERBOTTENS LÄN</t>
        </is>
      </c>
      <c r="E4050" t="inlineStr">
        <is>
          <t>SKELLEFTEÅ</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39820-2025</t>
        </is>
      </c>
      <c r="B4051" s="1" t="n">
        <v>45891.53517361111</v>
      </c>
      <c r="C4051" s="1" t="n">
        <v>46145</v>
      </c>
      <c r="D4051" t="inlineStr">
        <is>
          <t>VÄSTERBOTTENS LÄN</t>
        </is>
      </c>
      <c r="E4051" t="inlineStr">
        <is>
          <t>UMEÅ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40191-2025</t>
        </is>
      </c>
      <c r="B4052" s="1" t="n">
        <v>45894.65684027778</v>
      </c>
      <c r="C4052" s="1" t="n">
        <v>46145</v>
      </c>
      <c r="D4052" t="inlineStr">
        <is>
          <t>VÄSTERBOTTENS LÄN</t>
        </is>
      </c>
      <c r="E4052" t="inlineStr">
        <is>
          <t>BJURHOLM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55420-2023</t>
        </is>
      </c>
      <c r="B4053" s="1" t="n">
        <v>45231</v>
      </c>
      <c r="C4053" s="1" t="n">
        <v>46145</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58943-2024</t>
        </is>
      </c>
      <c r="B4054" s="1" t="n">
        <v>45636.5433449074</v>
      </c>
      <c r="C4054" s="1" t="n">
        <v>46145</v>
      </c>
      <c r="D4054" t="inlineStr">
        <is>
          <t>VÄSTERBOTTENS LÄN</t>
        </is>
      </c>
      <c r="E4054" t="inlineStr">
        <is>
          <t>VILHELMINA</t>
        </is>
      </c>
      <c r="F4054" t="inlineStr">
        <is>
          <t>Kommuner</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55512-2023</t>
        </is>
      </c>
      <c r="B4055" s="1" t="n">
        <v>45232</v>
      </c>
      <c r="C4055" s="1" t="n">
        <v>46145</v>
      </c>
      <c r="D4055" t="inlineStr">
        <is>
          <t>VÄSTERBOTTENS LÄN</t>
        </is>
      </c>
      <c r="E4055" t="inlineStr">
        <is>
          <t>BJURHOLM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9369-2025</t>
        </is>
      </c>
      <c r="B4056" s="1" t="n">
        <v>45715.32680555555</v>
      </c>
      <c r="C4056" s="1" t="n">
        <v>46145</v>
      </c>
      <c r="D4056" t="inlineStr">
        <is>
          <t>VÄSTERBOTTENS LÄN</t>
        </is>
      </c>
      <c r="E4056" t="inlineStr">
        <is>
          <t>ROBERTSFORS</t>
        </is>
      </c>
      <c r="F4056" t="inlineStr">
        <is>
          <t>Holmen skog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34929-2023</t>
        </is>
      </c>
      <c r="B4057" s="1" t="n">
        <v>45142</v>
      </c>
      <c r="C4057" s="1" t="n">
        <v>46145</v>
      </c>
      <c r="D4057" t="inlineStr">
        <is>
          <t>VÄSTERBOTTENS LÄN</t>
        </is>
      </c>
      <c r="E4057" t="inlineStr">
        <is>
          <t>LYCKSELE</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39778-2025</t>
        </is>
      </c>
      <c r="B4058" s="1" t="n">
        <v>45891.46913194445</v>
      </c>
      <c r="C4058" s="1" t="n">
        <v>46145</v>
      </c>
      <c r="D4058" t="inlineStr">
        <is>
          <t>VÄSTERBOTTENS LÄN</t>
        </is>
      </c>
      <c r="E4058" t="inlineStr">
        <is>
          <t>DOROTEA</t>
        </is>
      </c>
      <c r="F4058" t="inlineStr">
        <is>
          <t>SCA</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40062-2025</t>
        </is>
      </c>
      <c r="B4059" s="1" t="n">
        <v>45894.42775462963</v>
      </c>
      <c r="C4059" s="1" t="n">
        <v>46145</v>
      </c>
      <c r="D4059" t="inlineStr">
        <is>
          <t>VÄSTERBOTTENS LÄN</t>
        </is>
      </c>
      <c r="E4059" t="inlineStr">
        <is>
          <t>NORDMALING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40196-2025</t>
        </is>
      </c>
      <c r="B4060" s="1" t="n">
        <v>45894.65951388889</v>
      </c>
      <c r="C4060" s="1" t="n">
        <v>46145</v>
      </c>
      <c r="D4060" t="inlineStr">
        <is>
          <t>VÄSTERBOTTENS LÄN</t>
        </is>
      </c>
      <c r="E4060" t="inlineStr">
        <is>
          <t>VILHELMINA</t>
        </is>
      </c>
      <c r="G4060" t="n">
        <v>23.3</v>
      </c>
      <c r="H4060" t="n">
        <v>0</v>
      </c>
      <c r="I4060" t="n">
        <v>0</v>
      </c>
      <c r="J4060" t="n">
        <v>0</v>
      </c>
      <c r="K4060" t="n">
        <v>0</v>
      </c>
      <c r="L4060" t="n">
        <v>0</v>
      </c>
      <c r="M4060" t="n">
        <v>0</v>
      </c>
      <c r="N4060" t="n">
        <v>0</v>
      </c>
      <c r="O4060" t="n">
        <v>0</v>
      </c>
      <c r="P4060" t="n">
        <v>0</v>
      </c>
      <c r="Q4060" t="n">
        <v>0</v>
      </c>
      <c r="R4060" s="2" t="inlineStr"/>
    </row>
    <row r="4061" ht="15" customHeight="1">
      <c r="A4061" t="inlineStr">
        <is>
          <t>A 156-2025</t>
        </is>
      </c>
      <c r="B4061" s="1" t="n">
        <v>45659</v>
      </c>
      <c r="C4061" s="1" t="n">
        <v>46145</v>
      </c>
      <c r="D4061" t="inlineStr">
        <is>
          <t>VÄSTERBOTTENS LÄN</t>
        </is>
      </c>
      <c r="E4061" t="inlineStr">
        <is>
          <t>ROBERTSFORS</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160-2025</t>
        </is>
      </c>
      <c r="B4062" s="1" t="n">
        <v>45649</v>
      </c>
      <c r="C4062" s="1" t="n">
        <v>46145</v>
      </c>
      <c r="D4062" t="inlineStr">
        <is>
          <t>VÄSTERBOTTENS LÄN</t>
        </is>
      </c>
      <c r="E4062" t="inlineStr">
        <is>
          <t>SKELLEFTEÅ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175-2025</t>
        </is>
      </c>
      <c r="B4063" s="1" t="n">
        <v>45659</v>
      </c>
      <c r="C4063" s="1" t="n">
        <v>46145</v>
      </c>
      <c r="D4063" t="inlineStr">
        <is>
          <t>VÄSTERBOTTENS LÄN</t>
        </is>
      </c>
      <c r="E4063" t="inlineStr">
        <is>
          <t>ROBERTSFORS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52124-2024</t>
        </is>
      </c>
      <c r="B4064" s="1" t="n">
        <v>45608.46447916667</v>
      </c>
      <c r="C4064" s="1" t="n">
        <v>46145</v>
      </c>
      <c r="D4064" t="inlineStr">
        <is>
          <t>VÄSTERBOTTENS LÄN</t>
        </is>
      </c>
      <c r="E4064" t="inlineStr">
        <is>
          <t>LYCKSELE</t>
        </is>
      </c>
      <c r="F4064" t="inlineStr">
        <is>
          <t>Sveaskog</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40197-2025</t>
        </is>
      </c>
      <c r="B4065" s="1" t="n">
        <v>45894.66121527777</v>
      </c>
      <c r="C4065" s="1" t="n">
        <v>46145</v>
      </c>
      <c r="D4065" t="inlineStr">
        <is>
          <t>VÄSTERBOTTENS LÄN</t>
        </is>
      </c>
      <c r="E4065" t="inlineStr">
        <is>
          <t>BJURHOLM</t>
        </is>
      </c>
      <c r="F4065" t="inlineStr">
        <is>
          <t>Holmen skog AB</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32510-2025</t>
        </is>
      </c>
      <c r="B4066" s="1" t="n">
        <v>45838.47287037037</v>
      </c>
      <c r="C4066" s="1" t="n">
        <v>46145</v>
      </c>
      <c r="D4066" t="inlineStr">
        <is>
          <t>VÄSTERBOTTENS LÄN</t>
        </is>
      </c>
      <c r="E4066" t="inlineStr">
        <is>
          <t>UMEÅ</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30215-2025</t>
        </is>
      </c>
      <c r="B4067" s="1" t="n">
        <v>45827.36939814815</v>
      </c>
      <c r="C4067" s="1" t="n">
        <v>46145</v>
      </c>
      <c r="D4067" t="inlineStr">
        <is>
          <t>VÄSTERBOTTENS LÄN</t>
        </is>
      </c>
      <c r="E4067" t="inlineStr">
        <is>
          <t>UMEÅ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40220-2025</t>
        </is>
      </c>
      <c r="B4068" s="1" t="n">
        <v>45894</v>
      </c>
      <c r="C4068" s="1" t="n">
        <v>46145</v>
      </c>
      <c r="D4068" t="inlineStr">
        <is>
          <t>VÄSTERBOTTENS LÄN</t>
        </is>
      </c>
      <c r="E4068" t="inlineStr">
        <is>
          <t>VILHELMINA</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40223-2025</t>
        </is>
      </c>
      <c r="B4069" s="1" t="n">
        <v>45894.69829861111</v>
      </c>
      <c r="C4069" s="1" t="n">
        <v>46145</v>
      </c>
      <c r="D4069" t="inlineStr">
        <is>
          <t>VÄSTERBOTTENS LÄN</t>
        </is>
      </c>
      <c r="E4069" t="inlineStr">
        <is>
          <t>ÅSELE</t>
        </is>
      </c>
      <c r="F4069" t="inlineStr">
        <is>
          <t>SCA</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29932-2025</t>
        </is>
      </c>
      <c r="B4070" s="1" t="n">
        <v>45826.43984953704</v>
      </c>
      <c r="C4070" s="1" t="n">
        <v>46145</v>
      </c>
      <c r="D4070" t="inlineStr">
        <is>
          <t>VÄSTERBOTTENS LÄN</t>
        </is>
      </c>
      <c r="E4070" t="inlineStr">
        <is>
          <t>UMEÅ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38570-2025</t>
        </is>
      </c>
      <c r="B4071" s="1" t="n">
        <v>45884</v>
      </c>
      <c r="C4071" s="1" t="n">
        <v>46145</v>
      </c>
      <c r="D4071" t="inlineStr">
        <is>
          <t>VÄSTERBOTTENS LÄN</t>
        </is>
      </c>
      <c r="E4071" t="inlineStr">
        <is>
          <t>SKELLEFTEÅ</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41519-2024</t>
        </is>
      </c>
      <c r="B4072" s="1" t="n">
        <v>45560.47798611111</v>
      </c>
      <c r="C4072" s="1" t="n">
        <v>46145</v>
      </c>
      <c r="D4072" t="inlineStr">
        <is>
          <t>VÄSTERBOTTENS LÄN</t>
        </is>
      </c>
      <c r="E4072" t="inlineStr">
        <is>
          <t>VINDELN</t>
        </is>
      </c>
      <c r="F4072" t="inlineStr">
        <is>
          <t>Holmen skog AB</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23278-2021</t>
        </is>
      </c>
      <c r="B4073" s="1" t="n">
        <v>44328</v>
      </c>
      <c r="C4073" s="1" t="n">
        <v>46145</v>
      </c>
      <c r="D4073" t="inlineStr">
        <is>
          <t>VÄSTERBOTTENS LÄN</t>
        </is>
      </c>
      <c r="E4073" t="inlineStr">
        <is>
          <t>VILHELMINA</t>
        </is>
      </c>
      <c r="F4073" t="inlineStr">
        <is>
          <t>Allmännings- och besparingsskogar</t>
        </is>
      </c>
      <c r="G4073" t="n">
        <v>13.6</v>
      </c>
      <c r="H4073" t="n">
        <v>0</v>
      </c>
      <c r="I4073" t="n">
        <v>0</v>
      </c>
      <c r="J4073" t="n">
        <v>0</v>
      </c>
      <c r="K4073" t="n">
        <v>0</v>
      </c>
      <c r="L4073" t="n">
        <v>0</v>
      </c>
      <c r="M4073" t="n">
        <v>0</v>
      </c>
      <c r="N4073" t="n">
        <v>0</v>
      </c>
      <c r="O4073" t="n">
        <v>0</v>
      </c>
      <c r="P4073" t="n">
        <v>0</v>
      </c>
      <c r="Q4073" t="n">
        <v>0</v>
      </c>
      <c r="R4073" s="2" t="inlineStr"/>
    </row>
    <row r="4074" ht="15" customHeight="1">
      <c r="A4074" t="inlineStr">
        <is>
          <t>A 23285-2021</t>
        </is>
      </c>
      <c r="B4074" s="1" t="n">
        <v>44330</v>
      </c>
      <c r="C4074" s="1" t="n">
        <v>46145</v>
      </c>
      <c r="D4074" t="inlineStr">
        <is>
          <t>VÄSTERBOTTENS LÄN</t>
        </is>
      </c>
      <c r="E4074" t="inlineStr">
        <is>
          <t>UMEÅ</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39822-2025</t>
        </is>
      </c>
      <c r="B4075" s="1" t="n">
        <v>45891.53695601852</v>
      </c>
      <c r="C4075" s="1" t="n">
        <v>46145</v>
      </c>
      <c r="D4075" t="inlineStr">
        <is>
          <t>VÄSTERBOTTENS LÄN</t>
        </is>
      </c>
      <c r="E4075" t="inlineStr">
        <is>
          <t>ROBERTSFORS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39977-2025</t>
        </is>
      </c>
      <c r="B4076" s="1" t="n">
        <v>45893.65675925926</v>
      </c>
      <c r="C4076" s="1" t="n">
        <v>46145</v>
      </c>
      <c r="D4076" t="inlineStr">
        <is>
          <t>VÄSTERBOTTENS LÄN</t>
        </is>
      </c>
      <c r="E4076" t="inlineStr">
        <is>
          <t>DOROTEA</t>
        </is>
      </c>
      <c r="F4076" t="inlineStr">
        <is>
          <t>SCA</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24037-2025</t>
        </is>
      </c>
      <c r="B4077" s="1" t="n">
        <v>45796.48409722222</v>
      </c>
      <c r="C4077" s="1" t="n">
        <v>46145</v>
      </c>
      <c r="D4077" t="inlineStr">
        <is>
          <t>VÄSTERBOTTENS LÄN</t>
        </is>
      </c>
      <c r="E4077" t="inlineStr">
        <is>
          <t>NORDMALING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40028-2025</t>
        </is>
      </c>
      <c r="B4078" s="1" t="n">
        <v>45894.37039351852</v>
      </c>
      <c r="C4078" s="1" t="n">
        <v>46145</v>
      </c>
      <c r="D4078" t="inlineStr">
        <is>
          <t>VÄSTERBOTTENS LÄN</t>
        </is>
      </c>
      <c r="E4078" t="inlineStr">
        <is>
          <t>ÅSELE</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40039-2025</t>
        </is>
      </c>
      <c r="B4079" s="1" t="n">
        <v>45894.39484953704</v>
      </c>
      <c r="C4079" s="1" t="n">
        <v>46145</v>
      </c>
      <c r="D4079" t="inlineStr">
        <is>
          <t>VÄSTERBOTTENS LÄN</t>
        </is>
      </c>
      <c r="E4079" t="inlineStr">
        <is>
          <t>UMEÅ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40040-2025</t>
        </is>
      </c>
      <c r="B4080" s="1" t="n">
        <v>45894.39736111111</v>
      </c>
      <c r="C4080" s="1" t="n">
        <v>46145</v>
      </c>
      <c r="D4080" t="inlineStr">
        <is>
          <t>VÄSTERBOTTENS LÄN</t>
        </is>
      </c>
      <c r="E4080" t="inlineStr">
        <is>
          <t>UMEÅ</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35771-2022</t>
        </is>
      </c>
      <c r="B4081" s="1" t="n">
        <v>44801</v>
      </c>
      <c r="C4081" s="1" t="n">
        <v>46145</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39921-2025</t>
        </is>
      </c>
      <c r="B4082" s="1" t="n">
        <v>45891.66770833333</v>
      </c>
      <c r="C4082" s="1" t="n">
        <v>46145</v>
      </c>
      <c r="D4082" t="inlineStr">
        <is>
          <t>VÄSTERBOTTENS LÄN</t>
        </is>
      </c>
      <c r="E4082" t="inlineStr">
        <is>
          <t>SKELLEFTEÅ</t>
        </is>
      </c>
      <c r="F4082" t="inlineStr">
        <is>
          <t>Holmen skog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39978-2025</t>
        </is>
      </c>
      <c r="B4083" s="1" t="n">
        <v>45893.69837962963</v>
      </c>
      <c r="C4083" s="1" t="n">
        <v>46145</v>
      </c>
      <c r="D4083" t="inlineStr">
        <is>
          <t>VÄSTERBOTTENS LÄN</t>
        </is>
      </c>
      <c r="E4083" t="inlineStr">
        <is>
          <t>ÅSELE</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25473-2021</t>
        </is>
      </c>
      <c r="B4084" s="1" t="n">
        <v>44342.76399305555</v>
      </c>
      <c r="C4084" s="1" t="n">
        <v>46145</v>
      </c>
      <c r="D4084" t="inlineStr">
        <is>
          <t>VÄSTERBOTTENS LÄN</t>
        </is>
      </c>
      <c r="E4084" t="inlineStr">
        <is>
          <t>SKELLEFTEÅ</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25512-2021</t>
        </is>
      </c>
      <c r="B4085" s="1" t="n">
        <v>44342</v>
      </c>
      <c r="C4085" s="1" t="n">
        <v>46145</v>
      </c>
      <c r="D4085" t="inlineStr">
        <is>
          <t>VÄSTERBOTTENS LÄN</t>
        </is>
      </c>
      <c r="E4085" t="inlineStr">
        <is>
          <t>SKELLEFTEÅ</t>
        </is>
      </c>
      <c r="F4085" t="inlineStr">
        <is>
          <t>SCA</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22795-2022</t>
        </is>
      </c>
      <c r="B4086" s="1" t="n">
        <v>44715.33833333333</v>
      </c>
      <c r="C4086" s="1" t="n">
        <v>46145</v>
      </c>
      <c r="D4086" t="inlineStr">
        <is>
          <t>VÄSTERBOTTENS LÄN</t>
        </is>
      </c>
      <c r="E4086" t="inlineStr">
        <is>
          <t>UMEÅ</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39982-2025</t>
        </is>
      </c>
      <c r="B4087" s="1" t="n">
        <v>45893</v>
      </c>
      <c r="C4087" s="1" t="n">
        <v>46145</v>
      </c>
      <c r="D4087" t="inlineStr">
        <is>
          <t>VÄSTERBOTTENS LÄN</t>
        </is>
      </c>
      <c r="E4087" t="inlineStr">
        <is>
          <t>ROBERTSFORS</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24142-2025</t>
        </is>
      </c>
      <c r="B4088" s="1" t="n">
        <v>45796.64349537037</v>
      </c>
      <c r="C4088" s="1" t="n">
        <v>46145</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37171-2023</t>
        </is>
      </c>
      <c r="B4089" s="1" t="n">
        <v>45154</v>
      </c>
      <c r="C4089" s="1" t="n">
        <v>46145</v>
      </c>
      <c r="D4089" t="inlineStr">
        <is>
          <t>VÄSTERBOTTENS LÄN</t>
        </is>
      </c>
      <c r="E4089" t="inlineStr">
        <is>
          <t>MALÅ</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31329-2023</t>
        </is>
      </c>
      <c r="B4090" s="1" t="n">
        <v>45114</v>
      </c>
      <c r="C4090" s="1" t="n">
        <v>46145</v>
      </c>
      <c r="D4090" t="inlineStr">
        <is>
          <t>VÄSTERBOTTENS LÄN</t>
        </is>
      </c>
      <c r="E4090" t="inlineStr">
        <is>
          <t>STORUMAN</t>
        </is>
      </c>
      <c r="F4090" t="inlineStr">
        <is>
          <t>Holmen skog AB</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31348-2023</t>
        </is>
      </c>
      <c r="B4091" s="1" t="n">
        <v>45114.4889699074</v>
      </c>
      <c r="C4091" s="1" t="n">
        <v>46145</v>
      </c>
      <c r="D4091" t="inlineStr">
        <is>
          <t>VÄSTERBOTTENS LÄN</t>
        </is>
      </c>
      <c r="E4091" t="inlineStr">
        <is>
          <t>ÅSELE</t>
        </is>
      </c>
      <c r="F4091" t="inlineStr">
        <is>
          <t>Holmen skog AB</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25704-2025</t>
        </is>
      </c>
      <c r="B4092" s="1" t="n">
        <v>45803.6743287037</v>
      </c>
      <c r="C4092" s="1" t="n">
        <v>46145</v>
      </c>
      <c r="D4092" t="inlineStr">
        <is>
          <t>VÄSTERBOTTENS LÄN</t>
        </is>
      </c>
      <c r="E4092" t="inlineStr">
        <is>
          <t>VINDELN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23297-2023</t>
        </is>
      </c>
      <c r="B4093" s="1" t="n">
        <v>45075</v>
      </c>
      <c r="C4093" s="1" t="n">
        <v>46145</v>
      </c>
      <c r="D4093" t="inlineStr">
        <is>
          <t>VÄSTERBOTTENS LÄN</t>
        </is>
      </c>
      <c r="E4093" t="inlineStr">
        <is>
          <t>LYCKSELE</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29462-2025</t>
        </is>
      </c>
      <c r="B4094" s="1" t="n">
        <v>45824.69697916666</v>
      </c>
      <c r="C4094" s="1" t="n">
        <v>46145</v>
      </c>
      <c r="D4094" t="inlineStr">
        <is>
          <t>VÄSTERBOTTENS LÄN</t>
        </is>
      </c>
      <c r="E4094" t="inlineStr">
        <is>
          <t>VÄNNÄS</t>
        </is>
      </c>
      <c r="G4094" t="n">
        <v>11.1</v>
      </c>
      <c r="H4094" t="n">
        <v>0</v>
      </c>
      <c r="I4094" t="n">
        <v>0</v>
      </c>
      <c r="J4094" t="n">
        <v>0</v>
      </c>
      <c r="K4094" t="n">
        <v>0</v>
      </c>
      <c r="L4094" t="n">
        <v>0</v>
      </c>
      <c r="M4094" t="n">
        <v>0</v>
      </c>
      <c r="N4094" t="n">
        <v>0</v>
      </c>
      <c r="O4094" t="n">
        <v>0</v>
      </c>
      <c r="P4094" t="n">
        <v>0</v>
      </c>
      <c r="Q4094" t="n">
        <v>0</v>
      </c>
      <c r="R4094" s="2" t="inlineStr"/>
    </row>
    <row r="4095" ht="15" customHeight="1">
      <c r="A4095" t="inlineStr">
        <is>
          <t>A 36064-2024</t>
        </is>
      </c>
      <c r="B4095" s="1" t="n">
        <v>45533.64309027778</v>
      </c>
      <c r="C4095" s="1" t="n">
        <v>46145</v>
      </c>
      <c r="D4095" t="inlineStr">
        <is>
          <t>VÄSTERBOTTENS LÄN</t>
        </is>
      </c>
      <c r="E4095" t="inlineStr">
        <is>
          <t>VINDELN</t>
        </is>
      </c>
      <c r="F4095" t="inlineStr">
        <is>
          <t>Holmen skog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53967-2024</t>
        </is>
      </c>
      <c r="B4096" s="1" t="n">
        <v>45616.31673611111</v>
      </c>
      <c r="C4096" s="1" t="n">
        <v>46145</v>
      </c>
      <c r="D4096" t="inlineStr">
        <is>
          <t>VÄSTERBOTTENS LÄN</t>
        </is>
      </c>
      <c r="E4096" t="inlineStr">
        <is>
          <t>VINDELN</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49033-2024</t>
        </is>
      </c>
      <c r="B4097" s="1" t="n">
        <v>45594</v>
      </c>
      <c r="C4097" s="1" t="n">
        <v>46145</v>
      </c>
      <c r="D4097" t="inlineStr">
        <is>
          <t>VÄSTERBOTTENS LÄN</t>
        </is>
      </c>
      <c r="E4097" t="inlineStr">
        <is>
          <t>NORSJÖ</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31387-2025</t>
        </is>
      </c>
      <c r="B4098" s="1" t="n">
        <v>45833</v>
      </c>
      <c r="C4098" s="1" t="n">
        <v>46145</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13001-2023</t>
        </is>
      </c>
      <c r="B4099" s="1" t="n">
        <v>45002</v>
      </c>
      <c r="C4099" s="1" t="n">
        <v>46145</v>
      </c>
      <c r="D4099" t="inlineStr">
        <is>
          <t>VÄSTERBOTTENS LÄN</t>
        </is>
      </c>
      <c r="E4099" t="inlineStr">
        <is>
          <t>MALÅ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40079-2025</t>
        </is>
      </c>
      <c r="B4100" s="1" t="n">
        <v>45894.4565162037</v>
      </c>
      <c r="C4100" s="1" t="n">
        <v>46145</v>
      </c>
      <c r="D4100" t="inlineStr">
        <is>
          <t>VÄSTERBOTTENS LÄN</t>
        </is>
      </c>
      <c r="E4100" t="inlineStr">
        <is>
          <t>LYCKSELE</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13003-2023</t>
        </is>
      </c>
      <c r="B4101" s="1" t="n">
        <v>45002</v>
      </c>
      <c r="C4101" s="1" t="n">
        <v>46145</v>
      </c>
      <c r="D4101" t="inlineStr">
        <is>
          <t>VÄSTERBOTTENS LÄN</t>
        </is>
      </c>
      <c r="E4101" t="inlineStr">
        <is>
          <t>MALÅ</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39936-2025</t>
        </is>
      </c>
      <c r="B4102" s="1" t="n">
        <v>45891</v>
      </c>
      <c r="C4102" s="1" t="n">
        <v>46145</v>
      </c>
      <c r="D4102" t="inlineStr">
        <is>
          <t>VÄSTERBOTTENS LÄN</t>
        </is>
      </c>
      <c r="E4102" t="inlineStr">
        <is>
          <t>LYCKSELE</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39711-2025</t>
        </is>
      </c>
      <c r="B4103" s="1" t="n">
        <v>45890.85729166667</v>
      </c>
      <c r="C4103" s="1" t="n">
        <v>46145</v>
      </c>
      <c r="D4103" t="inlineStr">
        <is>
          <t>VÄSTERBOTTENS LÄN</t>
        </is>
      </c>
      <c r="E4103" t="inlineStr">
        <is>
          <t>STORUMAN</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39836-2025</t>
        </is>
      </c>
      <c r="B4104" s="1" t="n">
        <v>45891.56422453704</v>
      </c>
      <c r="C4104" s="1" t="n">
        <v>46145</v>
      </c>
      <c r="D4104" t="inlineStr">
        <is>
          <t>VÄSTERBOTTENS LÄN</t>
        </is>
      </c>
      <c r="E4104" t="inlineStr">
        <is>
          <t>UMEÅ</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39722-2025</t>
        </is>
      </c>
      <c r="B4105" s="1" t="n">
        <v>45891.33292824074</v>
      </c>
      <c r="C4105" s="1" t="n">
        <v>46145</v>
      </c>
      <c r="D4105" t="inlineStr">
        <is>
          <t>VÄSTERBOTTENS LÄN</t>
        </is>
      </c>
      <c r="E4105" t="inlineStr">
        <is>
          <t>NORSJÖ</t>
        </is>
      </c>
      <c r="F4105" t="inlineStr">
        <is>
          <t>Holmen skog AB</t>
        </is>
      </c>
      <c r="G4105" t="n">
        <v>15.9</v>
      </c>
      <c r="H4105" t="n">
        <v>0</v>
      </c>
      <c r="I4105" t="n">
        <v>0</v>
      </c>
      <c r="J4105" t="n">
        <v>0</v>
      </c>
      <c r="K4105" t="n">
        <v>0</v>
      </c>
      <c r="L4105" t="n">
        <v>0</v>
      </c>
      <c r="M4105" t="n">
        <v>0</v>
      </c>
      <c r="N4105" t="n">
        <v>0</v>
      </c>
      <c r="O4105" t="n">
        <v>0</v>
      </c>
      <c r="P4105" t="n">
        <v>0</v>
      </c>
      <c r="Q4105" t="n">
        <v>0</v>
      </c>
      <c r="R4105" s="2" t="inlineStr"/>
    </row>
    <row r="4106" ht="15" customHeight="1">
      <c r="A4106" t="inlineStr">
        <is>
          <t>A 39730-2025</t>
        </is>
      </c>
      <c r="B4106" s="1" t="n">
        <v>45891.34827546297</v>
      </c>
      <c r="C4106" s="1" t="n">
        <v>46145</v>
      </c>
      <c r="D4106" t="inlineStr">
        <is>
          <t>VÄSTERBOTTENS LÄN</t>
        </is>
      </c>
      <c r="E4106" t="inlineStr">
        <is>
          <t>ROBERTSFORS</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39733-2025</t>
        </is>
      </c>
      <c r="B4107" s="1" t="n">
        <v>45891.36577546296</v>
      </c>
      <c r="C4107" s="1" t="n">
        <v>46145</v>
      </c>
      <c r="D4107" t="inlineStr">
        <is>
          <t>VÄSTERBOTTENS LÄN</t>
        </is>
      </c>
      <c r="E4107" t="inlineStr">
        <is>
          <t>SKELLEFTEÅ</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39871-2025</t>
        </is>
      </c>
      <c r="B4108" s="1" t="n">
        <v>45891.61135416666</v>
      </c>
      <c r="C4108" s="1" t="n">
        <v>46145</v>
      </c>
      <c r="D4108" t="inlineStr">
        <is>
          <t>VÄSTERBOTTENS LÄN</t>
        </is>
      </c>
      <c r="E4108" t="inlineStr">
        <is>
          <t>SKELLEFTEÅ</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39874-2025</t>
        </is>
      </c>
      <c r="B4109" s="1" t="n">
        <v>45891.6150462963</v>
      </c>
      <c r="C4109" s="1" t="n">
        <v>46145</v>
      </c>
      <c r="D4109" t="inlineStr">
        <is>
          <t>VÄSTERBOTTENS LÄN</t>
        </is>
      </c>
      <c r="E4109" t="inlineStr">
        <is>
          <t>NORDMALING</t>
        </is>
      </c>
      <c r="F4109" t="inlineStr">
        <is>
          <t>SCA</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52128-2024</t>
        </is>
      </c>
      <c r="B4110" s="1" t="n">
        <v>45608.47178240741</v>
      </c>
      <c r="C4110" s="1" t="n">
        <v>46145</v>
      </c>
      <c r="D4110" t="inlineStr">
        <is>
          <t>VÄSTERBOTTENS LÄN</t>
        </is>
      </c>
      <c r="E4110" t="inlineStr">
        <is>
          <t>MALÅ</t>
        </is>
      </c>
      <c r="F4110" t="inlineStr">
        <is>
          <t>Sveaskog</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52144-2024</t>
        </is>
      </c>
      <c r="B4111" s="1" t="n">
        <v>45608.51774305556</v>
      </c>
      <c r="C4111" s="1" t="n">
        <v>46145</v>
      </c>
      <c r="D4111" t="inlineStr">
        <is>
          <t>VÄSTERBOTTENS LÄN</t>
        </is>
      </c>
      <c r="E4111" t="inlineStr">
        <is>
          <t>LYCKSELE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42141-2023</t>
        </is>
      </c>
      <c r="B4112" s="1" t="n">
        <v>45177</v>
      </c>
      <c r="C4112" s="1" t="n">
        <v>46145</v>
      </c>
      <c r="D4112" t="inlineStr">
        <is>
          <t>VÄSTERBOTTENS LÄN</t>
        </is>
      </c>
      <c r="E4112" t="inlineStr">
        <is>
          <t>VÄNNÄS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60163-2024</t>
        </is>
      </c>
      <c r="B4113" s="1" t="n">
        <v>45642.63332175926</v>
      </c>
      <c r="C4113" s="1" t="n">
        <v>46145</v>
      </c>
      <c r="D4113" t="inlineStr">
        <is>
          <t>VÄSTERBOTTENS LÄN</t>
        </is>
      </c>
      <c r="E4113" t="inlineStr">
        <is>
          <t>DOROTEA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60168-2024</t>
        </is>
      </c>
      <c r="B4114" s="1" t="n">
        <v>45639</v>
      </c>
      <c r="C4114" s="1" t="n">
        <v>46145</v>
      </c>
      <c r="D4114" t="inlineStr">
        <is>
          <t>VÄSTERBOTTENS LÄN</t>
        </is>
      </c>
      <c r="E4114" t="inlineStr">
        <is>
          <t>MALÅ</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39706-2025</t>
        </is>
      </c>
      <c r="B4115" s="1" t="n">
        <v>45890.80981481481</v>
      </c>
      <c r="C4115" s="1" t="n">
        <v>46145</v>
      </c>
      <c r="D4115" t="inlineStr">
        <is>
          <t>VÄSTERBOTTENS LÄN</t>
        </is>
      </c>
      <c r="E4115" t="inlineStr">
        <is>
          <t>NORDMALING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19025-2024</t>
        </is>
      </c>
      <c r="B4116" s="1" t="n">
        <v>45427</v>
      </c>
      <c r="C4116" s="1" t="n">
        <v>46145</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54387-2024</t>
        </is>
      </c>
      <c r="B4117" s="1" t="n">
        <v>45617</v>
      </c>
      <c r="C4117" s="1" t="n">
        <v>46145</v>
      </c>
      <c r="D4117" t="inlineStr">
        <is>
          <t>VÄSTERBOTTENS LÄN</t>
        </is>
      </c>
      <c r="E4117" t="inlineStr">
        <is>
          <t>VILHELMINA</t>
        </is>
      </c>
      <c r="F4117" t="inlineStr">
        <is>
          <t>SCA</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39971-2025</t>
        </is>
      </c>
      <c r="B4118" s="1" t="n">
        <v>45892.69835648148</v>
      </c>
      <c r="C4118" s="1" t="n">
        <v>46145</v>
      </c>
      <c r="D4118" t="inlineStr">
        <is>
          <t>VÄSTERBOTTENS LÄN</t>
        </is>
      </c>
      <c r="E4118" t="inlineStr">
        <is>
          <t>ÅSELE</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1311-2025</t>
        </is>
      </c>
      <c r="B4119" s="1" t="n">
        <v>45667</v>
      </c>
      <c r="C4119" s="1" t="n">
        <v>46145</v>
      </c>
      <c r="D4119" t="inlineStr">
        <is>
          <t>VÄSTERBOTTENS LÄN</t>
        </is>
      </c>
      <c r="E4119" t="inlineStr">
        <is>
          <t>ROBERTSFORS</t>
        </is>
      </c>
      <c r="F4119" t="inlineStr">
        <is>
          <t>Holmen skog AB</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23525-2021</t>
        </is>
      </c>
      <c r="B4120" s="1" t="n">
        <v>44334.33274305556</v>
      </c>
      <c r="C4120" s="1" t="n">
        <v>46145</v>
      </c>
      <c r="D4120" t="inlineStr">
        <is>
          <t>VÄSTERBOTTENS LÄN</t>
        </is>
      </c>
      <c r="E4120" t="inlineStr">
        <is>
          <t>VINDELN</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53442-2024</t>
        </is>
      </c>
      <c r="B4121" s="1" t="n">
        <v>45614.5381712963</v>
      </c>
      <c r="C4121" s="1" t="n">
        <v>46145</v>
      </c>
      <c r="D4121" t="inlineStr">
        <is>
          <t>VÄSTERBOTTENS LÄN</t>
        </is>
      </c>
      <c r="E4121" t="inlineStr">
        <is>
          <t>NORSJÖ</t>
        </is>
      </c>
      <c r="F4121" t="inlineStr">
        <is>
          <t>Holmen skog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40108-2025</t>
        </is>
      </c>
      <c r="B4122" s="1" t="n">
        <v>45894.49003472222</v>
      </c>
      <c r="C4122" s="1" t="n">
        <v>46145</v>
      </c>
      <c r="D4122" t="inlineStr">
        <is>
          <t>VÄSTERBOTTENS LÄN</t>
        </is>
      </c>
      <c r="E4122" t="inlineStr">
        <is>
          <t>NORSJÖ</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40125-2025</t>
        </is>
      </c>
      <c r="B4123" s="1" t="n">
        <v>45894.53178240741</v>
      </c>
      <c r="C4123" s="1" t="n">
        <v>46145</v>
      </c>
      <c r="D4123" t="inlineStr">
        <is>
          <t>VÄSTERBOTTENS LÄN</t>
        </is>
      </c>
      <c r="E4123" t="inlineStr">
        <is>
          <t>ÅSELE</t>
        </is>
      </c>
      <c r="F4123" t="inlineStr">
        <is>
          <t>SCA</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40144-2025</t>
        </is>
      </c>
      <c r="B4124" s="1" t="n">
        <v>45894.57322916666</v>
      </c>
      <c r="C4124" s="1" t="n">
        <v>46145</v>
      </c>
      <c r="D4124" t="inlineStr">
        <is>
          <t>VÄSTERBOTTENS LÄN</t>
        </is>
      </c>
      <c r="E4124" t="inlineStr">
        <is>
          <t>VILHELMINA</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20751-2025</t>
        </is>
      </c>
      <c r="B4125" s="1" t="n">
        <v>45776</v>
      </c>
      <c r="C4125" s="1" t="n">
        <v>46145</v>
      </c>
      <c r="D4125" t="inlineStr">
        <is>
          <t>VÄSTERBOTTENS LÄN</t>
        </is>
      </c>
      <c r="E4125" t="inlineStr">
        <is>
          <t>ROBERTSFORS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53457-2024</t>
        </is>
      </c>
      <c r="B4126" s="1" t="n">
        <v>45614.54942129629</v>
      </c>
      <c r="C4126" s="1" t="n">
        <v>46145</v>
      </c>
      <c r="D4126" t="inlineStr">
        <is>
          <t>VÄSTERBOTTENS LÄN</t>
        </is>
      </c>
      <c r="E4126" t="inlineStr">
        <is>
          <t>NORSJÖ</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43501-2023</t>
        </is>
      </c>
      <c r="B4127" s="1" t="n">
        <v>45184</v>
      </c>
      <c r="C4127" s="1" t="n">
        <v>46145</v>
      </c>
      <c r="D4127" t="inlineStr">
        <is>
          <t>VÄSTERBOTTENS LÄN</t>
        </is>
      </c>
      <c r="E4127" t="inlineStr">
        <is>
          <t>MALÅ</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23579-2024</t>
        </is>
      </c>
      <c r="B4128" s="1" t="n">
        <v>45454</v>
      </c>
      <c r="C4128" s="1" t="n">
        <v>46145</v>
      </c>
      <c r="D4128" t="inlineStr">
        <is>
          <t>VÄSTERBOTTENS LÄN</t>
        </is>
      </c>
      <c r="E4128" t="inlineStr">
        <is>
          <t>ROBERTSFORS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39867-2025</t>
        </is>
      </c>
      <c r="B4129" s="1" t="n">
        <v>45891.60611111111</v>
      </c>
      <c r="C4129" s="1" t="n">
        <v>46145</v>
      </c>
      <c r="D4129" t="inlineStr">
        <is>
          <t>VÄSTERBOTTENS LÄN</t>
        </is>
      </c>
      <c r="E4129" t="inlineStr">
        <is>
          <t>VINDELN</t>
        </is>
      </c>
      <c r="F4129" t="inlineStr">
        <is>
          <t>Naturvårdsverket</t>
        </is>
      </c>
      <c r="G4129" t="n">
        <v>38.7</v>
      </c>
      <c r="H4129" t="n">
        <v>0</v>
      </c>
      <c r="I4129" t="n">
        <v>0</v>
      </c>
      <c r="J4129" t="n">
        <v>0</v>
      </c>
      <c r="K4129" t="n">
        <v>0</v>
      </c>
      <c r="L4129" t="n">
        <v>0</v>
      </c>
      <c r="M4129" t="n">
        <v>0</v>
      </c>
      <c r="N4129" t="n">
        <v>0</v>
      </c>
      <c r="O4129" t="n">
        <v>0</v>
      </c>
      <c r="P4129" t="n">
        <v>0</v>
      </c>
      <c r="Q4129" t="n">
        <v>0</v>
      </c>
      <c r="R4129" s="2" t="inlineStr"/>
    </row>
    <row r="4130" ht="15" customHeight="1">
      <c r="A4130" t="inlineStr">
        <is>
          <t>A 7028-2025</t>
        </is>
      </c>
      <c r="B4130" s="1" t="n">
        <v>45701.63065972222</v>
      </c>
      <c r="C4130" s="1" t="n">
        <v>46145</v>
      </c>
      <c r="D4130" t="inlineStr">
        <is>
          <t>VÄSTERBOTTENS LÄN</t>
        </is>
      </c>
      <c r="E4130" t="inlineStr">
        <is>
          <t>SKELLEFTEÅ</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47519-2024</t>
        </is>
      </c>
      <c r="B4131" s="1" t="n">
        <v>45587</v>
      </c>
      <c r="C4131" s="1" t="n">
        <v>46145</v>
      </c>
      <c r="D4131" t="inlineStr">
        <is>
          <t>VÄSTERBOTTENS LÄN</t>
        </is>
      </c>
      <c r="E4131" t="inlineStr">
        <is>
          <t>SKELLEFTEÅ</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40020-2025</t>
        </is>
      </c>
      <c r="B4132" s="1" t="n">
        <v>45894.35414351852</v>
      </c>
      <c r="C4132" s="1" t="n">
        <v>46145</v>
      </c>
      <c r="D4132" t="inlineStr">
        <is>
          <t>VÄSTERBOTTENS LÄN</t>
        </is>
      </c>
      <c r="E4132" t="inlineStr">
        <is>
          <t>SKELLEFTEÅ</t>
        </is>
      </c>
      <c r="F4132" t="inlineStr">
        <is>
          <t>Holmen skog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34101-2023</t>
        </is>
      </c>
      <c r="B4133" s="1" t="n">
        <v>45125</v>
      </c>
      <c r="C4133" s="1" t="n">
        <v>46145</v>
      </c>
      <c r="D4133" t="inlineStr">
        <is>
          <t>VÄSTERBOTTENS LÄN</t>
        </is>
      </c>
      <c r="E4133" t="inlineStr">
        <is>
          <t>DOROTEA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26154-2023</t>
        </is>
      </c>
      <c r="B4134" s="1" t="n">
        <v>45091.50071759259</v>
      </c>
      <c r="C4134" s="1" t="n">
        <v>46145</v>
      </c>
      <c r="D4134" t="inlineStr">
        <is>
          <t>VÄSTERBOTTENS LÄN</t>
        </is>
      </c>
      <c r="E4134" t="inlineStr">
        <is>
          <t>SKELLEFTEÅ</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50238-2024</t>
        </is>
      </c>
      <c r="B4135" s="1" t="n">
        <v>45600.55559027778</v>
      </c>
      <c r="C4135" s="1" t="n">
        <v>46145</v>
      </c>
      <c r="D4135" t="inlineStr">
        <is>
          <t>VÄSTERBOTTENS LÄN</t>
        </is>
      </c>
      <c r="E4135" t="inlineStr">
        <is>
          <t>BJURHOLM</t>
        </is>
      </c>
      <c r="F4135" t="inlineStr">
        <is>
          <t>Holmen skog AB</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33395-2023</t>
        </is>
      </c>
      <c r="B4136" s="1" t="n">
        <v>45128.62215277777</v>
      </c>
      <c r="C4136" s="1" t="n">
        <v>46145</v>
      </c>
      <c r="D4136" t="inlineStr">
        <is>
          <t>VÄSTERBOTTENS LÄN</t>
        </is>
      </c>
      <c r="E4136" t="inlineStr">
        <is>
          <t>BJURHOLM</t>
        </is>
      </c>
      <c r="F4136" t="inlineStr">
        <is>
          <t>Holmen skog AB</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39749-2025</t>
        </is>
      </c>
      <c r="B4137" s="1" t="n">
        <v>45891.4024537037</v>
      </c>
      <c r="C4137" s="1" t="n">
        <v>46145</v>
      </c>
      <c r="D4137" t="inlineStr">
        <is>
          <t>VÄSTERBOTTENS LÄN</t>
        </is>
      </c>
      <c r="E4137" t="inlineStr">
        <is>
          <t>NORSJÖ</t>
        </is>
      </c>
      <c r="F4137" t="inlineStr">
        <is>
          <t>Holmen skog AB</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31088-2024</t>
        </is>
      </c>
      <c r="B4138" s="1" t="n">
        <v>45502</v>
      </c>
      <c r="C4138" s="1" t="n">
        <v>46145</v>
      </c>
      <c r="D4138" t="inlineStr">
        <is>
          <t>VÄSTERBOTTENS LÄN</t>
        </is>
      </c>
      <c r="E4138" t="inlineStr">
        <is>
          <t>MALÅ</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61366-2024</t>
        </is>
      </c>
      <c r="B4139" s="1" t="n">
        <v>45646.3871412037</v>
      </c>
      <c r="C4139" s="1" t="n">
        <v>46145</v>
      </c>
      <c r="D4139" t="inlineStr">
        <is>
          <t>VÄSTERBOTTENS LÄN</t>
        </is>
      </c>
      <c r="E4139" t="inlineStr">
        <is>
          <t>LYCKSELE</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61367-2024</t>
        </is>
      </c>
      <c r="B4140" s="1" t="n">
        <v>45646.38721064815</v>
      </c>
      <c r="C4140" s="1" t="n">
        <v>46145</v>
      </c>
      <c r="D4140" t="inlineStr">
        <is>
          <t>VÄSTERBOTTENS LÄN</t>
        </is>
      </c>
      <c r="E4140" t="inlineStr">
        <is>
          <t>LYCKSELE</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39870-2025</t>
        </is>
      </c>
      <c r="B4141" s="1" t="n">
        <v>45891</v>
      </c>
      <c r="C4141" s="1" t="n">
        <v>46145</v>
      </c>
      <c r="D4141" t="inlineStr">
        <is>
          <t>VÄSTERBOTTENS LÄN</t>
        </is>
      </c>
      <c r="E4141" t="inlineStr">
        <is>
          <t>SKELLEFTEÅ</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39875-2025</t>
        </is>
      </c>
      <c r="B4142" s="1" t="n">
        <v>45891.61512731481</v>
      </c>
      <c r="C4142" s="1" t="n">
        <v>46145</v>
      </c>
      <c r="D4142" t="inlineStr">
        <is>
          <t>VÄSTERBOTTENS LÄN</t>
        </is>
      </c>
      <c r="E4142" t="inlineStr">
        <is>
          <t>SKELLEFTEÅ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39888-2025</t>
        </is>
      </c>
      <c r="B4143" s="1" t="n">
        <v>45891</v>
      </c>
      <c r="C4143" s="1" t="n">
        <v>46145</v>
      </c>
      <c r="D4143" t="inlineStr">
        <is>
          <t>VÄSTERBOTTENS LÄN</t>
        </is>
      </c>
      <c r="E4143" t="inlineStr">
        <is>
          <t>SKELLEFTEÅ</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61382-2024</t>
        </is>
      </c>
      <c r="B4144" s="1" t="n">
        <v>45646.40891203703</v>
      </c>
      <c r="C4144" s="1" t="n">
        <v>46145</v>
      </c>
      <c r="D4144" t="inlineStr">
        <is>
          <t>VÄSTERBOTTENS LÄN</t>
        </is>
      </c>
      <c r="E4144" t="inlineStr">
        <is>
          <t>LYCKSELE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61386-2024</t>
        </is>
      </c>
      <c r="B4145" s="1" t="n">
        <v>45646.41387731482</v>
      </c>
      <c r="C4145" s="1" t="n">
        <v>46145</v>
      </c>
      <c r="D4145" t="inlineStr">
        <is>
          <t>VÄSTERBOTTENS LÄN</t>
        </is>
      </c>
      <c r="E4145" t="inlineStr">
        <is>
          <t>ROBERTSFORS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38968-2023</t>
        </is>
      </c>
      <c r="B4146" s="1" t="n">
        <v>45163.63506944444</v>
      </c>
      <c r="C4146" s="1" t="n">
        <v>46145</v>
      </c>
      <c r="D4146" t="inlineStr">
        <is>
          <t>VÄSTERBOTTENS LÄN</t>
        </is>
      </c>
      <c r="E4146" t="inlineStr">
        <is>
          <t>VINDELN</t>
        </is>
      </c>
      <c r="F4146" t="inlineStr">
        <is>
          <t>Holmen skog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2109-2025</t>
        </is>
      </c>
      <c r="B4147" s="1" t="n">
        <v>45672</v>
      </c>
      <c r="C4147" s="1" t="n">
        <v>46145</v>
      </c>
      <c r="D4147" t="inlineStr">
        <is>
          <t>VÄSTERBOTTENS LÄN</t>
        </is>
      </c>
      <c r="E4147" t="inlineStr">
        <is>
          <t>LYCKSELE</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61479-2024</t>
        </is>
      </c>
      <c r="B4148" s="1" t="n">
        <v>45646.52488425926</v>
      </c>
      <c r="C4148" s="1" t="n">
        <v>46145</v>
      </c>
      <c r="D4148" t="inlineStr">
        <is>
          <t>VÄSTERBOTTENS LÄN</t>
        </is>
      </c>
      <c r="E4148" t="inlineStr">
        <is>
          <t>SKELLEFTEÅ</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9090-2025</t>
        </is>
      </c>
      <c r="B4149" s="1" t="n">
        <v>45713.67753472222</v>
      </c>
      <c r="C4149" s="1" t="n">
        <v>46145</v>
      </c>
      <c r="D4149" t="inlineStr">
        <is>
          <t>VÄSTERBOTTENS LÄN</t>
        </is>
      </c>
      <c r="E4149" t="inlineStr">
        <is>
          <t>LYCKSELE</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40024-2025</t>
        </is>
      </c>
      <c r="B4150" s="1" t="n">
        <v>45894.36554398148</v>
      </c>
      <c r="C4150" s="1" t="n">
        <v>46145</v>
      </c>
      <c r="D4150" t="inlineStr">
        <is>
          <t>VÄSTERBOTTENS LÄN</t>
        </is>
      </c>
      <c r="E4150" t="inlineStr">
        <is>
          <t>VINDELN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46480-2024</t>
        </is>
      </c>
      <c r="B4151" s="1" t="n">
        <v>45582.57158564815</v>
      </c>
      <c r="C4151" s="1" t="n">
        <v>46145</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40158-2025</t>
        </is>
      </c>
      <c r="B4152" s="1" t="n">
        <v>45894.60689814815</v>
      </c>
      <c r="C4152" s="1" t="n">
        <v>46145</v>
      </c>
      <c r="D4152" t="inlineStr">
        <is>
          <t>VÄSTERBOTTENS LÄN</t>
        </is>
      </c>
      <c r="E4152" t="inlineStr">
        <is>
          <t>UMEÅ</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39859-2025</t>
        </is>
      </c>
      <c r="B4153" s="1" t="n">
        <v>45891.59393518518</v>
      </c>
      <c r="C4153" s="1" t="n">
        <v>46145</v>
      </c>
      <c r="D4153" t="inlineStr">
        <is>
          <t>VÄSTERBOTTENS LÄN</t>
        </is>
      </c>
      <c r="E4153" t="inlineStr">
        <is>
          <t>ROBERTSFORS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19724-2023</t>
        </is>
      </c>
      <c r="B4154" s="1" t="n">
        <v>45051</v>
      </c>
      <c r="C4154" s="1" t="n">
        <v>46145</v>
      </c>
      <c r="D4154" t="inlineStr">
        <is>
          <t>VÄSTERBOTTENS LÄN</t>
        </is>
      </c>
      <c r="E4154" t="inlineStr">
        <is>
          <t>ROBERTSFORS</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13730-2025</t>
        </is>
      </c>
      <c r="B4155" s="1" t="n">
        <v>45737.38648148148</v>
      </c>
      <c r="C4155" s="1" t="n">
        <v>46145</v>
      </c>
      <c r="D4155" t="inlineStr">
        <is>
          <t>VÄSTERBOTTENS LÄN</t>
        </is>
      </c>
      <c r="E4155" t="inlineStr">
        <is>
          <t>VINDELN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40608-2025</t>
        </is>
      </c>
      <c r="B4156" s="1" t="n">
        <v>45896.57358796296</v>
      </c>
      <c r="C4156" s="1" t="n">
        <v>46145</v>
      </c>
      <c r="D4156" t="inlineStr">
        <is>
          <t>VÄSTERBOTTENS LÄN</t>
        </is>
      </c>
      <c r="E4156" t="inlineStr">
        <is>
          <t>NORDMALING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40375-2025</t>
        </is>
      </c>
      <c r="B4157" s="1" t="n">
        <v>45895.52715277778</v>
      </c>
      <c r="C4157" s="1" t="n">
        <v>46145</v>
      </c>
      <c r="D4157" t="inlineStr">
        <is>
          <t>VÄSTERBOTTENS LÄN</t>
        </is>
      </c>
      <c r="E4157" t="inlineStr">
        <is>
          <t>ROBERTSFORS</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61025-2024</t>
        </is>
      </c>
      <c r="B4158" s="1" t="n">
        <v>45644</v>
      </c>
      <c r="C4158" s="1" t="n">
        <v>46145</v>
      </c>
      <c r="D4158" t="inlineStr">
        <is>
          <t>VÄSTERBOTTENS LÄN</t>
        </is>
      </c>
      <c r="E4158" t="inlineStr">
        <is>
          <t>NORSJÖ</t>
        </is>
      </c>
      <c r="F4158" t="inlineStr">
        <is>
          <t>Kommuner</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40268-2025</t>
        </is>
      </c>
      <c r="B4159" s="1" t="n">
        <v>45895.34515046296</v>
      </c>
      <c r="C4159" s="1" t="n">
        <v>46145</v>
      </c>
      <c r="D4159" t="inlineStr">
        <is>
          <t>VÄSTERBOTTENS LÄN</t>
        </is>
      </c>
      <c r="E4159" t="inlineStr">
        <is>
          <t>BJURHOLM</t>
        </is>
      </c>
      <c r="G4159" t="n">
        <v>20.9</v>
      </c>
      <c r="H4159" t="n">
        <v>0</v>
      </c>
      <c r="I4159" t="n">
        <v>0</v>
      </c>
      <c r="J4159" t="n">
        <v>0</v>
      </c>
      <c r="K4159" t="n">
        <v>0</v>
      </c>
      <c r="L4159" t="n">
        <v>0</v>
      </c>
      <c r="M4159" t="n">
        <v>0</v>
      </c>
      <c r="N4159" t="n">
        <v>0</v>
      </c>
      <c r="O4159" t="n">
        <v>0</v>
      </c>
      <c r="P4159" t="n">
        <v>0</v>
      </c>
      <c r="Q4159" t="n">
        <v>0</v>
      </c>
      <c r="R4159" s="2" t="inlineStr"/>
    </row>
    <row r="4160" ht="15" customHeight="1">
      <c r="A4160" t="inlineStr">
        <is>
          <t>A 40479-2025</t>
        </is>
      </c>
      <c r="B4160" s="1" t="n">
        <v>45895.72991898148</v>
      </c>
      <c r="C4160" s="1" t="n">
        <v>46145</v>
      </c>
      <c r="D4160" t="inlineStr">
        <is>
          <t>VÄSTERBOTTENS LÄN</t>
        </is>
      </c>
      <c r="E4160" t="inlineStr">
        <is>
          <t>ÅSELE</t>
        </is>
      </c>
      <c r="F4160" t="inlineStr">
        <is>
          <t>Naturvårdsverket</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40638-2025</t>
        </is>
      </c>
      <c r="B4161" s="1" t="n">
        <v>45896.60637731481</v>
      </c>
      <c r="C4161" s="1" t="n">
        <v>46145</v>
      </c>
      <c r="D4161" t="inlineStr">
        <is>
          <t>VÄSTERBOTTENS LÄN</t>
        </is>
      </c>
      <c r="E4161" t="inlineStr">
        <is>
          <t>ROBERTSFORS</t>
        </is>
      </c>
      <c r="F4161" t="inlineStr">
        <is>
          <t>Holmen skog AB</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40656-2025</t>
        </is>
      </c>
      <c r="B4162" s="1" t="n">
        <v>45896.63652777778</v>
      </c>
      <c r="C4162" s="1" t="n">
        <v>46145</v>
      </c>
      <c r="D4162" t="inlineStr">
        <is>
          <t>VÄSTERBOTTENS LÄN</t>
        </is>
      </c>
      <c r="E4162" t="inlineStr">
        <is>
          <t>NORSJÖ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40666-2025</t>
        </is>
      </c>
      <c r="B4163" s="1" t="n">
        <v>45896.65674768519</v>
      </c>
      <c r="C4163" s="1" t="n">
        <v>46145</v>
      </c>
      <c r="D4163" t="inlineStr">
        <is>
          <t>VÄSTERBOTTENS LÄN</t>
        </is>
      </c>
      <c r="E4163" t="inlineStr">
        <is>
          <t>NORSJÖ</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40349-2025</t>
        </is>
      </c>
      <c r="B4164" s="1" t="n">
        <v>45895.48251157408</v>
      </c>
      <c r="C4164" s="1" t="n">
        <v>46145</v>
      </c>
      <c r="D4164" t="inlineStr">
        <is>
          <t>VÄSTERBOTTENS LÄN</t>
        </is>
      </c>
      <c r="E4164" t="inlineStr">
        <is>
          <t>ÅSELE</t>
        </is>
      </c>
      <c r="F4164" t="inlineStr">
        <is>
          <t>Sveaskog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31133-2023</t>
        </is>
      </c>
      <c r="B4165" s="1" t="n">
        <v>45103</v>
      </c>
      <c r="C4165" s="1" t="n">
        <v>46145</v>
      </c>
      <c r="D4165" t="inlineStr">
        <is>
          <t>VÄSTERBOTTENS LÄN</t>
        </is>
      </c>
      <c r="E4165" t="inlineStr">
        <is>
          <t>VÄNNÄS</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25945-2022</t>
        </is>
      </c>
      <c r="B4166" s="1" t="n">
        <v>44734</v>
      </c>
      <c r="C4166" s="1" t="n">
        <v>46145</v>
      </c>
      <c r="D4166" t="inlineStr">
        <is>
          <t>VÄSTERBOTTENS LÄN</t>
        </is>
      </c>
      <c r="E4166" t="inlineStr">
        <is>
          <t>SORSELE</t>
        </is>
      </c>
      <c r="G4166" t="n">
        <v>7.7</v>
      </c>
      <c r="H4166" t="n">
        <v>0</v>
      </c>
      <c r="I4166" t="n">
        <v>0</v>
      </c>
      <c r="J4166" t="n">
        <v>0</v>
      </c>
      <c r="K4166" t="n">
        <v>0</v>
      </c>
      <c r="L4166" t="n">
        <v>0</v>
      </c>
      <c r="M4166" t="n">
        <v>0</v>
      </c>
      <c r="N4166" t="n">
        <v>0</v>
      </c>
      <c r="O4166" t="n">
        <v>0</v>
      </c>
      <c r="P4166" t="n">
        <v>0</v>
      </c>
      <c r="Q4166" t="n">
        <v>0</v>
      </c>
      <c r="R4166" s="2" t="inlineStr"/>
    </row>
    <row r="4167" ht="15" customHeight="1">
      <c r="A4167" t="inlineStr">
        <is>
          <t>A 22618-2022</t>
        </is>
      </c>
      <c r="B4167" s="1" t="n">
        <v>44714</v>
      </c>
      <c r="C4167" s="1" t="n">
        <v>46145</v>
      </c>
      <c r="D4167" t="inlineStr">
        <is>
          <t>VÄSTERBOTTENS LÄN</t>
        </is>
      </c>
      <c r="E4167" t="inlineStr">
        <is>
          <t>SKELLEFTEÅ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40324-2025</t>
        </is>
      </c>
      <c r="B4168" s="1" t="n">
        <v>45895.44799768519</v>
      </c>
      <c r="C4168" s="1" t="n">
        <v>46145</v>
      </c>
      <c r="D4168" t="inlineStr">
        <is>
          <t>VÄSTERBOTTENS LÄN</t>
        </is>
      </c>
      <c r="E4168" t="inlineStr">
        <is>
          <t>NORSJÖ</t>
        </is>
      </c>
      <c r="F4168" t="inlineStr">
        <is>
          <t>Holmen skog AB</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31184-2023</t>
        </is>
      </c>
      <c r="B4169" s="1" t="n">
        <v>45113</v>
      </c>
      <c r="C4169" s="1" t="n">
        <v>46145</v>
      </c>
      <c r="D4169" t="inlineStr">
        <is>
          <t>VÄSTERBOTTENS LÄN</t>
        </is>
      </c>
      <c r="E4169" t="inlineStr">
        <is>
          <t>ÅSELE</t>
        </is>
      </c>
      <c r="F4169" t="inlineStr">
        <is>
          <t>SCA</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56501-2024</t>
        </is>
      </c>
      <c r="B4170" s="1" t="n">
        <v>45625.49784722222</v>
      </c>
      <c r="C4170" s="1" t="n">
        <v>46145</v>
      </c>
      <c r="D4170" t="inlineStr">
        <is>
          <t>VÄSTERBOTTENS LÄN</t>
        </is>
      </c>
      <c r="E4170" t="inlineStr">
        <is>
          <t>SKELLEFTEÅ</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40256-2025</t>
        </is>
      </c>
      <c r="B4171" s="1" t="n">
        <v>45895.32369212963</v>
      </c>
      <c r="C4171" s="1" t="n">
        <v>46145</v>
      </c>
      <c r="D4171" t="inlineStr">
        <is>
          <t>VÄSTERBOTTENS LÄN</t>
        </is>
      </c>
      <c r="E4171" t="inlineStr">
        <is>
          <t>SORSELE</t>
        </is>
      </c>
      <c r="F4171" t="inlineStr">
        <is>
          <t>Allmännings- och besparingsskogar</t>
        </is>
      </c>
      <c r="G4171" t="n">
        <v>23.1</v>
      </c>
      <c r="H4171" t="n">
        <v>0</v>
      </c>
      <c r="I4171" t="n">
        <v>0</v>
      </c>
      <c r="J4171" t="n">
        <v>0</v>
      </c>
      <c r="K4171" t="n">
        <v>0</v>
      </c>
      <c r="L4171" t="n">
        <v>0</v>
      </c>
      <c r="M4171" t="n">
        <v>0</v>
      </c>
      <c r="N4171" t="n">
        <v>0</v>
      </c>
      <c r="O4171" t="n">
        <v>0</v>
      </c>
      <c r="P4171" t="n">
        <v>0</v>
      </c>
      <c r="Q4171" t="n">
        <v>0</v>
      </c>
      <c r="R4171" s="2" t="inlineStr"/>
    </row>
    <row r="4172" ht="15" customHeight="1">
      <c r="A4172" t="inlineStr">
        <is>
          <t>A 917-2025</t>
        </is>
      </c>
      <c r="B4172" s="1" t="n">
        <v>45665.77418981482</v>
      </c>
      <c r="C4172" s="1" t="n">
        <v>46145</v>
      </c>
      <c r="D4172" t="inlineStr">
        <is>
          <t>VÄSTERBOTTENS LÄN</t>
        </is>
      </c>
      <c r="E4172" t="inlineStr">
        <is>
          <t>ÅSELE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40390-2025</t>
        </is>
      </c>
      <c r="B4173" s="1" t="n">
        <v>45895.55496527778</v>
      </c>
      <c r="C4173" s="1" t="n">
        <v>46145</v>
      </c>
      <c r="D4173" t="inlineStr">
        <is>
          <t>VÄSTERBOTTENS LÄN</t>
        </is>
      </c>
      <c r="E4173" t="inlineStr">
        <is>
          <t>VINDELN</t>
        </is>
      </c>
      <c r="F4173" t="inlineStr">
        <is>
          <t>Naturvårdsverket</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58132-2022</t>
        </is>
      </c>
      <c r="B4174" s="1" t="n">
        <v>44900.68913194445</v>
      </c>
      <c r="C4174" s="1" t="n">
        <v>46145</v>
      </c>
      <c r="D4174" t="inlineStr">
        <is>
          <t>VÄSTERBOTTENS LÄN</t>
        </is>
      </c>
      <c r="E4174" t="inlineStr">
        <is>
          <t>UMEÅ</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40454-2025</t>
        </is>
      </c>
      <c r="B4175" s="1" t="n">
        <v>45895.63664351852</v>
      </c>
      <c r="C4175" s="1" t="n">
        <v>46145</v>
      </c>
      <c r="D4175" t="inlineStr">
        <is>
          <t>VÄSTERBOTTENS LÄN</t>
        </is>
      </c>
      <c r="E4175" t="inlineStr">
        <is>
          <t>ÅSELE</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40350-2025</t>
        </is>
      </c>
      <c r="B4176" s="1" t="n">
        <v>45895.48373842592</v>
      </c>
      <c r="C4176" s="1" t="n">
        <v>46145</v>
      </c>
      <c r="D4176" t="inlineStr">
        <is>
          <t>VÄSTERBOTTENS LÄN</t>
        </is>
      </c>
      <c r="E4176" t="inlineStr">
        <is>
          <t>ÅSELE</t>
        </is>
      </c>
      <c r="F4176" t="inlineStr">
        <is>
          <t>Sveaskog</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25017-2024</t>
        </is>
      </c>
      <c r="B4177" s="1" t="n">
        <v>45461</v>
      </c>
      <c r="C4177" s="1" t="n">
        <v>46145</v>
      </c>
      <c r="D4177" t="inlineStr">
        <is>
          <t>VÄSTERBOTTENS LÄN</t>
        </is>
      </c>
      <c r="E4177" t="inlineStr">
        <is>
          <t>NORSJÖ</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62870-2023</t>
        </is>
      </c>
      <c r="B4178" s="1" t="n">
        <v>45271</v>
      </c>
      <c r="C4178" s="1" t="n">
        <v>46145</v>
      </c>
      <c r="D4178" t="inlineStr">
        <is>
          <t>VÄSTERBOTTENS LÄN</t>
        </is>
      </c>
      <c r="E4178" t="inlineStr">
        <is>
          <t>LYCKSELE</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40436-2025</t>
        </is>
      </c>
      <c r="B4179" s="1" t="n">
        <v>45895.61975694444</v>
      </c>
      <c r="C4179" s="1" t="n">
        <v>46145</v>
      </c>
      <c r="D4179" t="inlineStr">
        <is>
          <t>VÄSTERBOTTENS LÄN</t>
        </is>
      </c>
      <c r="E4179" t="inlineStr">
        <is>
          <t>NORSJÖ</t>
        </is>
      </c>
      <c r="G4179" t="n">
        <v>10.5</v>
      </c>
      <c r="H4179" t="n">
        <v>0</v>
      </c>
      <c r="I4179" t="n">
        <v>0</v>
      </c>
      <c r="J4179" t="n">
        <v>0</v>
      </c>
      <c r="K4179" t="n">
        <v>0</v>
      </c>
      <c r="L4179" t="n">
        <v>0</v>
      </c>
      <c r="M4179" t="n">
        <v>0</v>
      </c>
      <c r="N4179" t="n">
        <v>0</v>
      </c>
      <c r="O4179" t="n">
        <v>0</v>
      </c>
      <c r="P4179" t="n">
        <v>0</v>
      </c>
      <c r="Q4179" t="n">
        <v>0</v>
      </c>
      <c r="R4179" s="2" t="inlineStr"/>
    </row>
    <row r="4180" ht="15" customHeight="1">
      <c r="A4180" t="inlineStr">
        <is>
          <t>A 8928-2024</t>
        </is>
      </c>
      <c r="B4180" s="1" t="n">
        <v>45357.39643518518</v>
      </c>
      <c r="C4180" s="1" t="n">
        <v>46145</v>
      </c>
      <c r="D4180" t="inlineStr">
        <is>
          <t>VÄSTERBOTTENS LÄN</t>
        </is>
      </c>
      <c r="E4180" t="inlineStr">
        <is>
          <t>SKELLEFTEÅ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40263-2025</t>
        </is>
      </c>
      <c r="B4181" s="1" t="n">
        <v>45895.34429398148</v>
      </c>
      <c r="C4181" s="1" t="n">
        <v>46145</v>
      </c>
      <c r="D4181" t="inlineStr">
        <is>
          <t>VÄSTERBOTTENS LÄN</t>
        </is>
      </c>
      <c r="E4181" t="inlineStr">
        <is>
          <t>VINDELN</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40269-2025</t>
        </is>
      </c>
      <c r="B4182" s="1" t="n">
        <v>45895.34538194445</v>
      </c>
      <c r="C4182" s="1" t="n">
        <v>46145</v>
      </c>
      <c r="D4182" t="inlineStr">
        <is>
          <t>VÄSTERBOTTENS LÄN</t>
        </is>
      </c>
      <c r="E4182" t="inlineStr">
        <is>
          <t>BJURHOLM</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53725-2024</t>
        </is>
      </c>
      <c r="B4183" s="1" t="n">
        <v>45615.45043981481</v>
      </c>
      <c r="C4183" s="1" t="n">
        <v>46145</v>
      </c>
      <c r="D4183" t="inlineStr">
        <is>
          <t>VÄSTERBOTTENS LÄN</t>
        </is>
      </c>
      <c r="E4183" t="inlineStr">
        <is>
          <t>SKELLEFTEÅ</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40531-2025</t>
        </is>
      </c>
      <c r="B4184" s="1" t="n">
        <v>45896.38892361111</v>
      </c>
      <c r="C4184" s="1" t="n">
        <v>46145</v>
      </c>
      <c r="D4184" t="inlineStr">
        <is>
          <t>VÄSTERBOTTENS LÄN</t>
        </is>
      </c>
      <c r="E4184" t="inlineStr">
        <is>
          <t>VINDELN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40253-2025</t>
        </is>
      </c>
      <c r="B4185" s="1" t="n">
        <v>45895.32173611111</v>
      </c>
      <c r="C4185" s="1" t="n">
        <v>46145</v>
      </c>
      <c r="D4185" t="inlineStr">
        <is>
          <t>VÄSTERBOTTENS LÄN</t>
        </is>
      </c>
      <c r="E4185" t="inlineStr">
        <is>
          <t>SORSELE</t>
        </is>
      </c>
      <c r="F4185" t="inlineStr">
        <is>
          <t>Allmännings- och besparingsskogar</t>
        </is>
      </c>
      <c r="G4185" t="n">
        <v>32.5</v>
      </c>
      <c r="H4185" t="n">
        <v>0</v>
      </c>
      <c r="I4185" t="n">
        <v>0</v>
      </c>
      <c r="J4185" t="n">
        <v>0</v>
      </c>
      <c r="K4185" t="n">
        <v>0</v>
      </c>
      <c r="L4185" t="n">
        <v>0</v>
      </c>
      <c r="M4185" t="n">
        <v>0</v>
      </c>
      <c r="N4185" t="n">
        <v>0</v>
      </c>
      <c r="O4185" t="n">
        <v>0</v>
      </c>
      <c r="P4185" t="n">
        <v>0</v>
      </c>
      <c r="Q4185" t="n">
        <v>0</v>
      </c>
      <c r="R4185" s="2" t="inlineStr"/>
    </row>
    <row r="4186" ht="15" customHeight="1">
      <c r="A4186" t="inlineStr">
        <is>
          <t>A 40264-2025</t>
        </is>
      </c>
      <c r="B4186" s="1" t="n">
        <v>45895.34447916667</v>
      </c>
      <c r="C4186" s="1" t="n">
        <v>46145</v>
      </c>
      <c r="D4186" t="inlineStr">
        <is>
          <t>VÄSTERBOTTENS LÄN</t>
        </is>
      </c>
      <c r="E4186" t="inlineStr">
        <is>
          <t>VINDELN</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40271-2025</t>
        </is>
      </c>
      <c r="B4187" s="1" t="n">
        <v>45895.345625</v>
      </c>
      <c r="C4187" s="1" t="n">
        <v>46145</v>
      </c>
      <c r="D4187" t="inlineStr">
        <is>
          <t>VÄSTERBOTTENS LÄN</t>
        </is>
      </c>
      <c r="E4187" t="inlineStr">
        <is>
          <t>SKELLEFTEÅ</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60128-2024</t>
        </is>
      </c>
      <c r="B4188" s="1" t="n">
        <v>45639</v>
      </c>
      <c r="C4188" s="1" t="n">
        <v>46145</v>
      </c>
      <c r="D4188" t="inlineStr">
        <is>
          <t>VÄSTERBOTTENS LÄN</t>
        </is>
      </c>
      <c r="E4188" t="inlineStr">
        <is>
          <t>VINDELN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1438-2025</t>
        </is>
      </c>
      <c r="B4189" s="1" t="n">
        <v>45669.68052083333</v>
      </c>
      <c r="C4189" s="1" t="n">
        <v>46145</v>
      </c>
      <c r="D4189" t="inlineStr">
        <is>
          <t>VÄSTERBOTTENS LÄN</t>
        </is>
      </c>
      <c r="E4189" t="inlineStr">
        <is>
          <t>VÄNNÄS</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43855-2024</t>
        </is>
      </c>
      <c r="B4190" s="1" t="n">
        <v>45572.35674768518</v>
      </c>
      <c r="C4190" s="1" t="n">
        <v>46145</v>
      </c>
      <c r="D4190" t="inlineStr">
        <is>
          <t>VÄSTERBOTTENS LÄN</t>
        </is>
      </c>
      <c r="E4190" t="inlineStr">
        <is>
          <t>STORUMAN</t>
        </is>
      </c>
      <c r="G4190" t="n">
        <v>10.5</v>
      </c>
      <c r="H4190" t="n">
        <v>0</v>
      </c>
      <c r="I4190" t="n">
        <v>0</v>
      </c>
      <c r="J4190" t="n">
        <v>0</v>
      </c>
      <c r="K4190" t="n">
        <v>0</v>
      </c>
      <c r="L4190" t="n">
        <v>0</v>
      </c>
      <c r="M4190" t="n">
        <v>0</v>
      </c>
      <c r="N4190" t="n">
        <v>0</v>
      </c>
      <c r="O4190" t="n">
        <v>0</v>
      </c>
      <c r="P4190" t="n">
        <v>0</v>
      </c>
      <c r="Q4190" t="n">
        <v>0</v>
      </c>
      <c r="R4190" s="2" t="inlineStr"/>
    </row>
    <row r="4191" ht="15" customHeight="1">
      <c r="A4191" t="inlineStr">
        <is>
          <t>A 40260-2025</t>
        </is>
      </c>
      <c r="B4191" s="1" t="n">
        <v>45895.3334837963</v>
      </c>
      <c r="C4191" s="1" t="n">
        <v>46145</v>
      </c>
      <c r="D4191" t="inlineStr">
        <is>
          <t>VÄSTERBOTTENS LÄN</t>
        </is>
      </c>
      <c r="E4191" t="inlineStr">
        <is>
          <t>ROBERTSFORS</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40262-2025</t>
        </is>
      </c>
      <c r="B4192" s="1" t="n">
        <v>45895.33680555555</v>
      </c>
      <c r="C4192" s="1" t="n">
        <v>46145</v>
      </c>
      <c r="D4192" t="inlineStr">
        <is>
          <t>VÄSTERBOTTENS LÄN</t>
        </is>
      </c>
      <c r="E4192" t="inlineStr">
        <is>
          <t>NORSJÖ</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40615-2025</t>
        </is>
      </c>
      <c r="B4193" s="1" t="n">
        <v>45896.57956018519</v>
      </c>
      <c r="C4193" s="1" t="n">
        <v>46145</v>
      </c>
      <c r="D4193" t="inlineStr">
        <is>
          <t>VÄSTERBOTTENS LÄN</t>
        </is>
      </c>
      <c r="E4193" t="inlineStr">
        <is>
          <t>SKELLEFTEÅ</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40342-2025</t>
        </is>
      </c>
      <c r="B4194" s="1" t="n">
        <v>45895.46971064815</v>
      </c>
      <c r="C4194" s="1" t="n">
        <v>46145</v>
      </c>
      <c r="D4194" t="inlineStr">
        <is>
          <t>VÄSTERBOTTENS LÄN</t>
        </is>
      </c>
      <c r="E4194" t="inlineStr">
        <is>
          <t>LYCKSELE</t>
        </is>
      </c>
      <c r="F4194" t="inlineStr">
        <is>
          <t>Holmen skog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25902-2022</t>
        </is>
      </c>
      <c r="B4195" s="1" t="n">
        <v>44733</v>
      </c>
      <c r="C4195" s="1" t="n">
        <v>46145</v>
      </c>
      <c r="D4195" t="inlineStr">
        <is>
          <t>VÄSTERBOTTENS LÄN</t>
        </is>
      </c>
      <c r="E4195" t="inlineStr">
        <is>
          <t>LYCKSELE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25904-2022</t>
        </is>
      </c>
      <c r="B4196" s="1" t="n">
        <v>44733.92600694444</v>
      </c>
      <c r="C4196" s="1" t="n">
        <v>46145</v>
      </c>
      <c r="D4196" t="inlineStr">
        <is>
          <t>VÄSTERBOTTENS LÄN</t>
        </is>
      </c>
      <c r="E4196" t="inlineStr">
        <is>
          <t>ROBERTSFORS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40600-2025</t>
        </is>
      </c>
      <c r="B4197" s="1" t="n">
        <v>45896.55915509259</v>
      </c>
      <c r="C4197" s="1" t="n">
        <v>46145</v>
      </c>
      <c r="D4197" t="inlineStr">
        <is>
          <t>VÄSTERBOTTENS LÄN</t>
        </is>
      </c>
      <c r="E4197" t="inlineStr">
        <is>
          <t>VINDELN</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40603-2025</t>
        </is>
      </c>
      <c r="B4198" s="1" t="n">
        <v>45896.56402777778</v>
      </c>
      <c r="C4198" s="1" t="n">
        <v>46145</v>
      </c>
      <c r="D4198" t="inlineStr">
        <is>
          <t>VÄSTERBOTTENS LÄN</t>
        </is>
      </c>
      <c r="E4198" t="inlineStr">
        <is>
          <t>VINDELN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58807-2024</t>
        </is>
      </c>
      <c r="B4199" s="1" t="n">
        <v>45636</v>
      </c>
      <c r="C4199" s="1" t="n">
        <v>46145</v>
      </c>
      <c r="D4199" t="inlineStr">
        <is>
          <t>VÄSTERBOTTENS LÄN</t>
        </is>
      </c>
      <c r="E4199" t="inlineStr">
        <is>
          <t>ÅSELE</t>
        </is>
      </c>
      <c r="F4199" t="inlineStr">
        <is>
          <t>SCA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40664-2025</t>
        </is>
      </c>
      <c r="B4200" s="1" t="n">
        <v>45896.65391203704</v>
      </c>
      <c r="C4200" s="1" t="n">
        <v>46145</v>
      </c>
      <c r="D4200" t="inlineStr">
        <is>
          <t>VÄSTERBOTTENS LÄN</t>
        </is>
      </c>
      <c r="E4200" t="inlineStr">
        <is>
          <t>STORUMAN</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10337-2024</t>
        </is>
      </c>
      <c r="B4201" s="1" t="n">
        <v>45365</v>
      </c>
      <c r="C4201" s="1" t="n">
        <v>46145</v>
      </c>
      <c r="D4201" t="inlineStr">
        <is>
          <t>VÄSTERBOTTENS LÄN</t>
        </is>
      </c>
      <c r="E4201" t="inlineStr">
        <is>
          <t>ROBERTSFORS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40532-2025</t>
        </is>
      </c>
      <c r="B4202" s="1" t="n">
        <v>45896.39108796296</v>
      </c>
      <c r="C4202" s="1" t="n">
        <v>46145</v>
      </c>
      <c r="D4202" t="inlineStr">
        <is>
          <t>VÄSTERBOTTENS LÄN</t>
        </is>
      </c>
      <c r="E4202" t="inlineStr">
        <is>
          <t>VINDELN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40282-2025</t>
        </is>
      </c>
      <c r="B4203" s="1" t="n">
        <v>45895.36784722222</v>
      </c>
      <c r="C4203" s="1" t="n">
        <v>46145</v>
      </c>
      <c r="D4203" t="inlineStr">
        <is>
          <t>VÄSTERBOTTENS LÄN</t>
        </is>
      </c>
      <c r="E4203" t="inlineStr">
        <is>
          <t>NORSJÖ</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32672-2022</t>
        </is>
      </c>
      <c r="B4204" s="1" t="n">
        <v>44783.54429398148</v>
      </c>
      <c r="C4204" s="1" t="n">
        <v>46145</v>
      </c>
      <c r="D4204" t="inlineStr">
        <is>
          <t>VÄSTERBOTTENS LÄN</t>
        </is>
      </c>
      <c r="E4204" t="inlineStr">
        <is>
          <t>VINDELN</t>
        </is>
      </c>
      <c r="F4204" t="inlineStr">
        <is>
          <t>Holmen skog AB</t>
        </is>
      </c>
      <c r="G4204" t="n">
        <v>17.6</v>
      </c>
      <c r="H4204" t="n">
        <v>0</v>
      </c>
      <c r="I4204" t="n">
        <v>0</v>
      </c>
      <c r="J4204" t="n">
        <v>0</v>
      </c>
      <c r="K4204" t="n">
        <v>0</v>
      </c>
      <c r="L4204" t="n">
        <v>0</v>
      </c>
      <c r="M4204" t="n">
        <v>0</v>
      </c>
      <c r="N4204" t="n">
        <v>0</v>
      </c>
      <c r="O4204" t="n">
        <v>0</v>
      </c>
      <c r="P4204" t="n">
        <v>0</v>
      </c>
      <c r="Q4204" t="n">
        <v>0</v>
      </c>
      <c r="R4204" s="2" t="inlineStr"/>
    </row>
    <row r="4205" ht="15" customHeight="1">
      <c r="A4205" t="inlineStr">
        <is>
          <t>A 22279-2021</t>
        </is>
      </c>
      <c r="B4205" s="1" t="n">
        <v>44326</v>
      </c>
      <c r="C4205" s="1" t="n">
        <v>46145</v>
      </c>
      <c r="D4205" t="inlineStr">
        <is>
          <t>VÄSTERBOTTENS LÄN</t>
        </is>
      </c>
      <c r="E4205" t="inlineStr">
        <is>
          <t>UMEÅ</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40303-2025</t>
        </is>
      </c>
      <c r="B4206" s="1" t="n">
        <v>45895.40678240741</v>
      </c>
      <c r="C4206" s="1" t="n">
        <v>46145</v>
      </c>
      <c r="D4206" t="inlineStr">
        <is>
          <t>VÄSTERBOTTENS LÄN</t>
        </is>
      </c>
      <c r="E4206" t="inlineStr">
        <is>
          <t>BJURHOLM</t>
        </is>
      </c>
      <c r="F4206" t="inlineStr">
        <is>
          <t>SCA</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58534-2024</t>
        </is>
      </c>
      <c r="B4207" s="1" t="n">
        <v>45635.44981481481</v>
      </c>
      <c r="C4207" s="1" t="n">
        <v>46145</v>
      </c>
      <c r="D4207" t="inlineStr">
        <is>
          <t>VÄSTERBOTTENS LÄN</t>
        </is>
      </c>
      <c r="E4207" t="inlineStr">
        <is>
          <t>LYCKSELE</t>
        </is>
      </c>
      <c r="F4207" t="inlineStr">
        <is>
          <t>Holmen skog AB</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40635-2025</t>
        </is>
      </c>
      <c r="B4208" s="1" t="n">
        <v>45896.60385416666</v>
      </c>
      <c r="C4208" s="1" t="n">
        <v>46145</v>
      </c>
      <c r="D4208" t="inlineStr">
        <is>
          <t>VÄSTERBOTTENS LÄN</t>
        </is>
      </c>
      <c r="E4208" t="inlineStr">
        <is>
          <t>LYCKSELE</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27273-2021</t>
        </is>
      </c>
      <c r="B4209" s="1" t="n">
        <v>44350</v>
      </c>
      <c r="C4209" s="1" t="n">
        <v>46145</v>
      </c>
      <c r="D4209" t="inlineStr">
        <is>
          <t>VÄSTERBOTTENS LÄN</t>
        </is>
      </c>
      <c r="E4209" t="inlineStr">
        <is>
          <t>SORSELE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51991-2024</t>
        </is>
      </c>
      <c r="B4210" s="1" t="n">
        <v>45607</v>
      </c>
      <c r="C4210" s="1" t="n">
        <v>46145</v>
      </c>
      <c r="D4210" t="inlineStr">
        <is>
          <t>VÄSTERBOTTENS LÄN</t>
        </is>
      </c>
      <c r="E4210" t="inlineStr">
        <is>
          <t>SKELLEFTEÅ</t>
        </is>
      </c>
      <c r="F4210" t="inlineStr">
        <is>
          <t>Kommuner</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40295-2025</t>
        </is>
      </c>
      <c r="B4211" s="1" t="n">
        <v>45895.38805555556</v>
      </c>
      <c r="C4211" s="1" t="n">
        <v>46145</v>
      </c>
      <c r="D4211" t="inlineStr">
        <is>
          <t>VÄSTERBOTTENS LÄN</t>
        </is>
      </c>
      <c r="E4211" t="inlineStr">
        <is>
          <t>SKELLEFTEÅ</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31337-2022</t>
        </is>
      </c>
      <c r="B4212" s="1" t="n">
        <v>44774</v>
      </c>
      <c r="C4212" s="1" t="n">
        <v>46145</v>
      </c>
      <c r="D4212" t="inlineStr">
        <is>
          <t>VÄSTERBOTTENS LÄN</t>
        </is>
      </c>
      <c r="E4212" t="inlineStr">
        <is>
          <t>UMEÅ</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40657-2025</t>
        </is>
      </c>
      <c r="B4213" s="1" t="n">
        <v>45896.63950231481</v>
      </c>
      <c r="C4213" s="1" t="n">
        <v>46145</v>
      </c>
      <c r="D4213" t="inlineStr">
        <is>
          <t>VÄSTERBOTTENS LÄN</t>
        </is>
      </c>
      <c r="E4213" t="inlineStr">
        <is>
          <t>LYCKSELE</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28267-2021</t>
        </is>
      </c>
      <c r="B4214" s="1" t="n">
        <v>44355</v>
      </c>
      <c r="C4214" s="1" t="n">
        <v>46145</v>
      </c>
      <c r="D4214" t="inlineStr">
        <is>
          <t>VÄSTERBOTTENS LÄN</t>
        </is>
      </c>
      <c r="E4214" t="inlineStr">
        <is>
          <t>UMEÅ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41255-2025</t>
        </is>
      </c>
      <c r="B4215" s="1" t="n">
        <v>45898.60793981481</v>
      </c>
      <c r="C4215" s="1" t="n">
        <v>46145</v>
      </c>
      <c r="D4215" t="inlineStr">
        <is>
          <t>VÄSTERBOTTENS LÄN</t>
        </is>
      </c>
      <c r="E4215" t="inlineStr">
        <is>
          <t>BJURHOLM</t>
        </is>
      </c>
      <c r="F4215" t="inlineStr">
        <is>
          <t>Holmen skog AB</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40730-2025</t>
        </is>
      </c>
      <c r="B4216" s="1" t="n">
        <v>45897.35766203704</v>
      </c>
      <c r="C4216" s="1" t="n">
        <v>46145</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40746-2025</t>
        </is>
      </c>
      <c r="B4217" s="1" t="n">
        <v>45897.37753472223</v>
      </c>
      <c r="C4217" s="1" t="n">
        <v>46145</v>
      </c>
      <c r="D4217" t="inlineStr">
        <is>
          <t>VÄSTERBOTTENS LÄN</t>
        </is>
      </c>
      <c r="E4217" t="inlineStr">
        <is>
          <t>LYCKSELE</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40751-2025</t>
        </is>
      </c>
      <c r="B4218" s="1" t="n">
        <v>45897.38390046296</v>
      </c>
      <c r="C4218" s="1" t="n">
        <v>46145</v>
      </c>
      <c r="D4218" t="inlineStr">
        <is>
          <t>VÄSTERBOTTENS LÄN</t>
        </is>
      </c>
      <c r="E4218" t="inlineStr">
        <is>
          <t>LYCKSELE</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26030-2021</t>
        </is>
      </c>
      <c r="B4219" s="1" t="n">
        <v>44344</v>
      </c>
      <c r="C4219" s="1" t="n">
        <v>46145</v>
      </c>
      <c r="D4219" t="inlineStr">
        <is>
          <t>VÄSTERBOTTENS LÄN</t>
        </is>
      </c>
      <c r="E4219" t="inlineStr">
        <is>
          <t>ÅSELE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41007-2025</t>
        </is>
      </c>
      <c r="B4220" s="1" t="n">
        <v>45898.34947916667</v>
      </c>
      <c r="C4220" s="1" t="n">
        <v>46145</v>
      </c>
      <c r="D4220" t="inlineStr">
        <is>
          <t>VÄSTERBOTTENS LÄN</t>
        </is>
      </c>
      <c r="E4220" t="inlineStr">
        <is>
          <t>VINDELN</t>
        </is>
      </c>
      <c r="F4220" t="inlineStr">
        <is>
          <t>Holmen skog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44214-2024</t>
        </is>
      </c>
      <c r="B4221" s="1" t="n">
        <v>45573.37309027778</v>
      </c>
      <c r="C4221" s="1" t="n">
        <v>46145</v>
      </c>
      <c r="D4221" t="inlineStr">
        <is>
          <t>VÄSTERBOTTENS LÄN</t>
        </is>
      </c>
      <c r="E4221" t="inlineStr">
        <is>
          <t>NORSJÖ</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3791-2025</t>
        </is>
      </c>
      <c r="B4222" s="1" t="n">
        <v>45681</v>
      </c>
      <c r="C4222" s="1" t="n">
        <v>46145</v>
      </c>
      <c r="D4222" t="inlineStr">
        <is>
          <t>VÄSTERBOTTENS LÄN</t>
        </is>
      </c>
      <c r="E4222" t="inlineStr">
        <is>
          <t>LYCKSELE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56662-2024</t>
        </is>
      </c>
      <c r="B4223" s="1" t="n">
        <v>45625</v>
      </c>
      <c r="C4223" s="1" t="n">
        <v>46145</v>
      </c>
      <c r="D4223" t="inlineStr">
        <is>
          <t>VÄSTERBOTTENS LÄN</t>
        </is>
      </c>
      <c r="E4223" t="inlineStr">
        <is>
          <t>MALÅ</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40786-2025</t>
        </is>
      </c>
      <c r="B4224" s="1" t="n">
        <v>45897</v>
      </c>
      <c r="C4224" s="1" t="n">
        <v>46145</v>
      </c>
      <c r="D4224" t="inlineStr">
        <is>
          <t>VÄSTERBOTTENS LÄN</t>
        </is>
      </c>
      <c r="E4224" t="inlineStr">
        <is>
          <t>VINDELN</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40893-2025</t>
        </is>
      </c>
      <c r="B4225" s="1" t="n">
        <v>45897</v>
      </c>
      <c r="C4225" s="1" t="n">
        <v>46145</v>
      </c>
      <c r="D4225" t="inlineStr">
        <is>
          <t>VÄSTERBOTTENS LÄN</t>
        </is>
      </c>
      <c r="E4225" t="inlineStr">
        <is>
          <t>DOROTEA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46565-2024</t>
        </is>
      </c>
      <c r="B4226" s="1" t="n">
        <v>45582</v>
      </c>
      <c r="C4226" s="1" t="n">
        <v>46145</v>
      </c>
      <c r="D4226" t="inlineStr">
        <is>
          <t>VÄSTERBOTTENS LÄN</t>
        </is>
      </c>
      <c r="E4226" t="inlineStr">
        <is>
          <t>SKELLEFTEÅ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40911-2025</t>
        </is>
      </c>
      <c r="B4227" s="1" t="n">
        <v>45897</v>
      </c>
      <c r="C4227" s="1" t="n">
        <v>46145</v>
      </c>
      <c r="D4227" t="inlineStr">
        <is>
          <t>VÄSTERBOTTENS LÄN</t>
        </is>
      </c>
      <c r="E4227" t="inlineStr">
        <is>
          <t>BJURHOLM</t>
        </is>
      </c>
      <c r="F4227" t="inlineStr">
        <is>
          <t>SCA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40912-2025</t>
        </is>
      </c>
      <c r="B4228" s="1" t="n">
        <v>45897</v>
      </c>
      <c r="C4228" s="1" t="n">
        <v>46145</v>
      </c>
      <c r="D4228" t="inlineStr">
        <is>
          <t>VÄSTERBOTTENS LÄN</t>
        </is>
      </c>
      <c r="E4228" t="inlineStr">
        <is>
          <t>BJURHOLM</t>
        </is>
      </c>
      <c r="F4228" t="inlineStr">
        <is>
          <t>SCA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57609-2024</t>
        </is>
      </c>
      <c r="B4229" s="1" t="n">
        <v>45630</v>
      </c>
      <c r="C4229" s="1" t="n">
        <v>46145</v>
      </c>
      <c r="D4229" t="inlineStr">
        <is>
          <t>VÄSTERBOTTENS LÄN</t>
        </is>
      </c>
      <c r="E4229" t="inlineStr">
        <is>
          <t>BJURHOLM</t>
        </is>
      </c>
      <c r="F4229" t="inlineStr">
        <is>
          <t>Sveaskog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44289-2024</t>
        </is>
      </c>
      <c r="B4230" s="1" t="n">
        <v>45573.51078703703</v>
      </c>
      <c r="C4230" s="1" t="n">
        <v>46145</v>
      </c>
      <c r="D4230" t="inlineStr">
        <is>
          <t>VÄSTERBOTTENS LÄN</t>
        </is>
      </c>
      <c r="E4230" t="inlineStr">
        <is>
          <t>LYCKSELE</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39059-2023</t>
        </is>
      </c>
      <c r="B4231" s="1" t="n">
        <v>45163</v>
      </c>
      <c r="C4231" s="1" t="n">
        <v>46145</v>
      </c>
      <c r="D4231" t="inlineStr">
        <is>
          <t>VÄSTERBOTTENS LÄN</t>
        </is>
      </c>
      <c r="E4231" t="inlineStr">
        <is>
          <t>SORSELE</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40949-2025</t>
        </is>
      </c>
      <c r="B4232" s="1" t="n">
        <v>45897.6609837963</v>
      </c>
      <c r="C4232" s="1" t="n">
        <v>46145</v>
      </c>
      <c r="D4232" t="inlineStr">
        <is>
          <t>VÄSTERBOTTENS LÄN</t>
        </is>
      </c>
      <c r="E4232" t="inlineStr">
        <is>
          <t>UMEÅ</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41149-2025</t>
        </is>
      </c>
      <c r="B4233" s="1" t="n">
        <v>45898.50357638889</v>
      </c>
      <c r="C4233" s="1" t="n">
        <v>46145</v>
      </c>
      <c r="D4233" t="inlineStr">
        <is>
          <t>VÄSTERBOTTENS LÄN</t>
        </is>
      </c>
      <c r="E4233" t="inlineStr">
        <is>
          <t>STORUMAN</t>
        </is>
      </c>
      <c r="F4233" t="inlineStr">
        <is>
          <t>Sveaskog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41150-2025</t>
        </is>
      </c>
      <c r="B4234" s="1" t="n">
        <v>45898.50738425926</v>
      </c>
      <c r="C4234" s="1" t="n">
        <v>46145</v>
      </c>
      <c r="D4234" t="inlineStr">
        <is>
          <t>VÄSTERBOTTENS LÄN</t>
        </is>
      </c>
      <c r="E4234" t="inlineStr">
        <is>
          <t>SKELLEFTEÅ</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41159-2025</t>
        </is>
      </c>
      <c r="B4235" s="1" t="n">
        <v>45898.53164351852</v>
      </c>
      <c r="C4235" s="1" t="n">
        <v>46145</v>
      </c>
      <c r="D4235" t="inlineStr">
        <is>
          <t>VÄSTERBOTTENS LÄN</t>
        </is>
      </c>
      <c r="E4235" t="inlineStr">
        <is>
          <t>DOROTEA</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41160-2025</t>
        </is>
      </c>
      <c r="B4236" s="1" t="n">
        <v>45898.53180555555</v>
      </c>
      <c r="C4236" s="1" t="n">
        <v>46145</v>
      </c>
      <c r="D4236" t="inlineStr">
        <is>
          <t>VÄSTERBOTTENS LÄN</t>
        </is>
      </c>
      <c r="E4236" t="inlineStr">
        <is>
          <t>ÅSELE</t>
        </is>
      </c>
      <c r="F4236" t="inlineStr">
        <is>
          <t>SCA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41145-2025</t>
        </is>
      </c>
      <c r="B4237" s="1" t="n">
        <v>45898.49674768518</v>
      </c>
      <c r="C4237" s="1" t="n">
        <v>46145</v>
      </c>
      <c r="D4237" t="inlineStr">
        <is>
          <t>VÄSTERBOTTENS LÄN</t>
        </is>
      </c>
      <c r="E4237" t="inlineStr">
        <is>
          <t>STORUMAN</t>
        </is>
      </c>
      <c r="F4237" t="inlineStr">
        <is>
          <t>Sveaskog</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41177-2025</t>
        </is>
      </c>
      <c r="B4238" s="1" t="n">
        <v>45898.55245370371</v>
      </c>
      <c r="C4238" s="1" t="n">
        <v>46145</v>
      </c>
      <c r="D4238" t="inlineStr">
        <is>
          <t>VÄSTERBOTTENS LÄN</t>
        </is>
      </c>
      <c r="E4238" t="inlineStr">
        <is>
          <t>ÅSELE</t>
        </is>
      </c>
      <c r="F4238" t="inlineStr">
        <is>
          <t>SCA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43630-2023</t>
        </is>
      </c>
      <c r="B4239" s="1" t="n">
        <v>45184</v>
      </c>
      <c r="C4239" s="1" t="n">
        <v>46145</v>
      </c>
      <c r="D4239" t="inlineStr">
        <is>
          <t>VÄSTERBOTTENS LÄN</t>
        </is>
      </c>
      <c r="E4239" t="inlineStr">
        <is>
          <t>NORSJÖ</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43651-2023</t>
        </is>
      </c>
      <c r="B4240" s="1" t="n">
        <v>45187.32118055555</v>
      </c>
      <c r="C4240" s="1" t="n">
        <v>46145</v>
      </c>
      <c r="D4240" t="inlineStr">
        <is>
          <t>VÄSTERBOTTENS LÄN</t>
        </is>
      </c>
      <c r="E4240" t="inlineStr">
        <is>
          <t>NORDMALING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44322.93407407407</v>
      </c>
      <c r="C4241" s="1" t="n">
        <v>46145</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46145</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41101-2025</t>
        </is>
      </c>
      <c r="B4243" s="1" t="n">
        <v>45898</v>
      </c>
      <c r="C4243" s="1" t="n">
        <v>46145</v>
      </c>
      <c r="D4243" t="inlineStr">
        <is>
          <t>VÄSTERBOTTENS LÄN</t>
        </is>
      </c>
      <c r="E4243" t="inlineStr">
        <is>
          <t>VINDELN</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41102-2025</t>
        </is>
      </c>
      <c r="B4244" s="1" t="n">
        <v>45898.45258101852</v>
      </c>
      <c r="C4244" s="1" t="n">
        <v>46145</v>
      </c>
      <c r="D4244" t="inlineStr">
        <is>
          <t>VÄSTERBOTTENS LÄN</t>
        </is>
      </c>
      <c r="E4244" t="inlineStr">
        <is>
          <t>SKELLEFTEÅ</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41141-2025</t>
        </is>
      </c>
      <c r="B4245" s="1" t="n">
        <v>45898.49034722222</v>
      </c>
      <c r="C4245" s="1" t="n">
        <v>46145</v>
      </c>
      <c r="D4245" t="inlineStr">
        <is>
          <t>VÄSTERBOTTENS LÄN</t>
        </is>
      </c>
      <c r="E4245" t="inlineStr">
        <is>
          <t>STORUMAN</t>
        </is>
      </c>
      <c r="F4245" t="inlineStr">
        <is>
          <t>Sveaskog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41176-2025</t>
        </is>
      </c>
      <c r="B4246" s="1" t="n">
        <v>45898</v>
      </c>
      <c r="C4246" s="1" t="n">
        <v>46145</v>
      </c>
      <c r="D4246" t="inlineStr">
        <is>
          <t>VÄSTERBOTTENS LÄN</t>
        </is>
      </c>
      <c r="E4246" t="inlineStr">
        <is>
          <t>UMEÅ</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40916-2025</t>
        </is>
      </c>
      <c r="B4247" s="1" t="n">
        <v>45897</v>
      </c>
      <c r="C4247" s="1" t="n">
        <v>46145</v>
      </c>
      <c r="D4247" t="inlineStr">
        <is>
          <t>VÄSTERBOTTENS LÄN</t>
        </is>
      </c>
      <c r="E4247" t="inlineStr">
        <is>
          <t>BJURHOLM</t>
        </is>
      </c>
      <c r="F4247" t="inlineStr">
        <is>
          <t>SCA</t>
        </is>
      </c>
      <c r="G4247" t="n">
        <v>48.1</v>
      </c>
      <c r="H4247" t="n">
        <v>0</v>
      </c>
      <c r="I4247" t="n">
        <v>0</v>
      </c>
      <c r="J4247" t="n">
        <v>0</v>
      </c>
      <c r="K4247" t="n">
        <v>0</v>
      </c>
      <c r="L4247" t="n">
        <v>0</v>
      </c>
      <c r="M4247" t="n">
        <v>0</v>
      </c>
      <c r="N4247" t="n">
        <v>0</v>
      </c>
      <c r="O4247" t="n">
        <v>0</v>
      </c>
      <c r="P4247" t="n">
        <v>0</v>
      </c>
      <c r="Q4247" t="n">
        <v>0</v>
      </c>
      <c r="R4247" s="2" t="inlineStr"/>
    </row>
    <row r="4248" ht="15" customHeight="1">
      <c r="A4248" t="inlineStr">
        <is>
          <t>A 40909-2025</t>
        </is>
      </c>
      <c r="B4248" s="1" t="n">
        <v>45897</v>
      </c>
      <c r="C4248" s="1" t="n">
        <v>46145</v>
      </c>
      <c r="D4248" t="inlineStr">
        <is>
          <t>VÄSTERBOTTENS LÄN</t>
        </is>
      </c>
      <c r="E4248" t="inlineStr">
        <is>
          <t>BJURHOLM</t>
        </is>
      </c>
      <c r="F4248" t="inlineStr">
        <is>
          <t>SCA</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2286-2025</t>
        </is>
      </c>
      <c r="B4249" s="1" t="n">
        <v>45673</v>
      </c>
      <c r="C4249" s="1" t="n">
        <v>46145</v>
      </c>
      <c r="D4249" t="inlineStr">
        <is>
          <t>VÄSTERBOTTENS LÄN</t>
        </is>
      </c>
      <c r="E4249" t="inlineStr">
        <is>
          <t>VÄNNÄS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37498-2023</t>
        </is>
      </c>
      <c r="B4250" s="1" t="n">
        <v>45157</v>
      </c>
      <c r="C4250" s="1" t="n">
        <v>46145</v>
      </c>
      <c r="D4250" t="inlineStr">
        <is>
          <t>VÄSTERBOTTENS LÄN</t>
        </is>
      </c>
      <c r="E4250" t="inlineStr">
        <is>
          <t>NORSJÖ</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37505-2023</t>
        </is>
      </c>
      <c r="B4251" s="1" t="n">
        <v>45158.31186342592</v>
      </c>
      <c r="C4251" s="1" t="n">
        <v>46145</v>
      </c>
      <c r="D4251" t="inlineStr">
        <is>
          <t>VÄSTERBOTTENS LÄN</t>
        </is>
      </c>
      <c r="E4251" t="inlineStr">
        <is>
          <t>VILHELMINA</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41126-2025</t>
        </is>
      </c>
      <c r="B4252" s="1" t="n">
        <v>45898.47530092593</v>
      </c>
      <c r="C4252" s="1" t="n">
        <v>46145</v>
      </c>
      <c r="D4252" t="inlineStr">
        <is>
          <t>VÄSTERBOTTENS LÄN</t>
        </is>
      </c>
      <c r="E4252" t="inlineStr">
        <is>
          <t>STORUMAN</t>
        </is>
      </c>
      <c r="F4252" t="inlineStr">
        <is>
          <t>Sveaskog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41131-2025</t>
        </is>
      </c>
      <c r="B4253" s="1" t="n">
        <v>45898.48043981481</v>
      </c>
      <c r="C4253" s="1" t="n">
        <v>46145</v>
      </c>
      <c r="D4253" t="inlineStr">
        <is>
          <t>VÄSTERBOTTENS LÄN</t>
        </is>
      </c>
      <c r="E4253" t="inlineStr">
        <is>
          <t>NORDMALING</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41163-2025</t>
        </is>
      </c>
      <c r="B4254" s="1" t="n">
        <v>45898.53366898148</v>
      </c>
      <c r="C4254" s="1" t="n">
        <v>46145</v>
      </c>
      <c r="D4254" t="inlineStr">
        <is>
          <t>VÄSTERBOTTENS LÄN</t>
        </is>
      </c>
      <c r="E4254" t="inlineStr">
        <is>
          <t>UMEÅ</t>
        </is>
      </c>
      <c r="F4254" t="inlineStr">
        <is>
          <t>Holmen skog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41171-2025</t>
        </is>
      </c>
      <c r="B4255" s="1" t="n">
        <v>45898</v>
      </c>
      <c r="C4255" s="1" t="n">
        <v>46145</v>
      </c>
      <c r="D4255" t="inlineStr">
        <is>
          <t>VÄSTERBOTTENS LÄN</t>
        </is>
      </c>
      <c r="E4255" t="inlineStr">
        <is>
          <t>VILHELMINA</t>
        </is>
      </c>
      <c r="F4255" t="inlineStr">
        <is>
          <t>Övriga Aktiebolag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40715-2025</t>
        </is>
      </c>
      <c r="B4256" s="1" t="n">
        <v>45897</v>
      </c>
      <c r="C4256" s="1" t="n">
        <v>46145</v>
      </c>
      <c r="D4256" t="inlineStr">
        <is>
          <t>VÄSTERBOTTENS LÄN</t>
        </is>
      </c>
      <c r="E4256" t="inlineStr">
        <is>
          <t>BJURHOLM</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40736-2025</t>
        </is>
      </c>
      <c r="B4257" s="1" t="n">
        <v>45897.36565972222</v>
      </c>
      <c r="C4257" s="1" t="n">
        <v>46145</v>
      </c>
      <c r="D4257" t="inlineStr">
        <is>
          <t>VÄSTERBOTTENS LÄN</t>
        </is>
      </c>
      <c r="E4257" t="inlineStr">
        <is>
          <t>UMEÅ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41058-2025</t>
        </is>
      </c>
      <c r="B4258" s="1" t="n">
        <v>45898.40689814815</v>
      </c>
      <c r="C4258" s="1" t="n">
        <v>46145</v>
      </c>
      <c r="D4258" t="inlineStr">
        <is>
          <t>VÄSTERBOTTENS LÄN</t>
        </is>
      </c>
      <c r="E4258" t="inlineStr">
        <is>
          <t>SKELLEFTEÅ</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645-2025</t>
        </is>
      </c>
      <c r="B4259" s="1" t="n">
        <v>45661</v>
      </c>
      <c r="C4259" s="1" t="n">
        <v>46145</v>
      </c>
      <c r="D4259" t="inlineStr">
        <is>
          <t>VÄSTERBOTTENS LÄN</t>
        </is>
      </c>
      <c r="E4259" t="inlineStr">
        <is>
          <t>ROBERTSFORS</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674-2025</t>
        </is>
      </c>
      <c r="B4260" s="1" t="n">
        <v>45664</v>
      </c>
      <c r="C4260" s="1" t="n">
        <v>46145</v>
      </c>
      <c r="D4260" t="inlineStr">
        <is>
          <t>VÄSTERBOTTENS LÄN</t>
        </is>
      </c>
      <c r="E4260" t="inlineStr">
        <is>
          <t>ROBERTSFORS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40874-2025</t>
        </is>
      </c>
      <c r="B4261" s="1" t="n">
        <v>45897.57534722222</v>
      </c>
      <c r="C4261" s="1" t="n">
        <v>46145</v>
      </c>
      <c r="D4261" t="inlineStr">
        <is>
          <t>VÄSTERBOTTENS LÄN</t>
        </is>
      </c>
      <c r="E4261" t="inlineStr">
        <is>
          <t>VINDELN</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44651-2023</t>
        </is>
      </c>
      <c r="B4262" s="1" t="n">
        <v>45184</v>
      </c>
      <c r="C4262" s="1" t="n">
        <v>46145</v>
      </c>
      <c r="D4262" t="inlineStr">
        <is>
          <t>VÄSTERBOTTENS LÄN</t>
        </is>
      </c>
      <c r="E4262" t="inlineStr">
        <is>
          <t>ROBERTSFORS</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37255-2023</t>
        </is>
      </c>
      <c r="B4263" s="1" t="n">
        <v>45155</v>
      </c>
      <c r="C4263" s="1" t="n">
        <v>46145</v>
      </c>
      <c r="D4263" t="inlineStr">
        <is>
          <t>VÄSTERBOTTENS LÄN</t>
        </is>
      </c>
      <c r="E4263" t="inlineStr">
        <is>
          <t>VINDELN</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41055-2025</t>
        </is>
      </c>
      <c r="B4264" s="1" t="n">
        <v>45898</v>
      </c>
      <c r="C4264" s="1" t="n">
        <v>46145</v>
      </c>
      <c r="D4264" t="inlineStr">
        <is>
          <t>VÄSTERBOTTENS LÄN</t>
        </is>
      </c>
      <c r="E4264" t="inlineStr">
        <is>
          <t>DOROTEA</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41087-2025</t>
        </is>
      </c>
      <c r="B4265" s="1" t="n">
        <v>45898.43600694444</v>
      </c>
      <c r="C4265" s="1" t="n">
        <v>46145</v>
      </c>
      <c r="D4265" t="inlineStr">
        <is>
          <t>VÄSTERBOTTENS LÄN</t>
        </is>
      </c>
      <c r="E4265" t="inlineStr">
        <is>
          <t>LYCKSELE</t>
        </is>
      </c>
      <c r="F4265" t="inlineStr">
        <is>
          <t>Holmen skog AB</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21835-2023</t>
        </is>
      </c>
      <c r="B4266" s="1" t="n">
        <v>45068.3797337963</v>
      </c>
      <c r="C4266" s="1" t="n">
        <v>46145</v>
      </c>
      <c r="D4266" t="inlineStr">
        <is>
          <t>VÄSTERBOTTENS LÄN</t>
        </is>
      </c>
      <c r="E4266" t="inlineStr">
        <is>
          <t>VINDELN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27881-2022</t>
        </is>
      </c>
      <c r="B4267" s="1" t="n">
        <v>44743</v>
      </c>
      <c r="C4267" s="1" t="n">
        <v>46145</v>
      </c>
      <c r="D4267" t="inlineStr">
        <is>
          <t>VÄSTERBOTTENS LÄN</t>
        </is>
      </c>
      <c r="E4267" t="inlineStr">
        <is>
          <t>VILHELMINA</t>
        </is>
      </c>
      <c r="F4267" t="inlineStr">
        <is>
          <t>Sveaskog</t>
        </is>
      </c>
      <c r="G4267" t="n">
        <v>14.3</v>
      </c>
      <c r="H4267" t="n">
        <v>0</v>
      </c>
      <c r="I4267" t="n">
        <v>0</v>
      </c>
      <c r="J4267" t="n">
        <v>0</v>
      </c>
      <c r="K4267" t="n">
        <v>0</v>
      </c>
      <c r="L4267" t="n">
        <v>0</v>
      </c>
      <c r="M4267" t="n">
        <v>0</v>
      </c>
      <c r="N4267" t="n">
        <v>0</v>
      </c>
      <c r="O4267" t="n">
        <v>0</v>
      </c>
      <c r="P4267" t="n">
        <v>0</v>
      </c>
      <c r="Q4267" t="n">
        <v>0</v>
      </c>
      <c r="R4267" s="2" t="inlineStr"/>
    </row>
    <row r="4268" ht="15" customHeight="1">
      <c r="A4268" t="inlineStr">
        <is>
          <t>A 39233-2025</t>
        </is>
      </c>
      <c r="B4268" s="1" t="n">
        <v>45889</v>
      </c>
      <c r="C4268" s="1" t="n">
        <v>46145</v>
      </c>
      <c r="D4268" t="inlineStr">
        <is>
          <t>VÄSTERBOTTENS LÄN</t>
        </is>
      </c>
      <c r="E4268" t="inlineStr">
        <is>
          <t>UMEÅ</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43092-2023</t>
        </is>
      </c>
      <c r="B4269" s="1" t="n">
        <v>45182.92409722223</v>
      </c>
      <c r="C4269" s="1" t="n">
        <v>46145</v>
      </c>
      <c r="D4269" t="inlineStr">
        <is>
          <t>VÄSTERBOTTENS LÄN</t>
        </is>
      </c>
      <c r="E4269" t="inlineStr">
        <is>
          <t>DOROTEA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41218-2025</t>
        </is>
      </c>
      <c r="B4270" s="1" t="n">
        <v>45898.58579861111</v>
      </c>
      <c r="C4270" s="1" t="n">
        <v>46145</v>
      </c>
      <c r="D4270" t="inlineStr">
        <is>
          <t>VÄSTERBOTTENS LÄN</t>
        </is>
      </c>
      <c r="E4270" t="inlineStr">
        <is>
          <t>NORSJÖ</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15745-2025</t>
        </is>
      </c>
      <c r="B4271" s="1" t="n">
        <v>45748.5515162037</v>
      </c>
      <c r="C4271" s="1" t="n">
        <v>46145</v>
      </c>
      <c r="D4271" t="inlineStr">
        <is>
          <t>VÄSTERBOTTENS LÄN</t>
        </is>
      </c>
      <c r="E4271" t="inlineStr">
        <is>
          <t>SKELLEFTEÅ</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41198-2025</t>
        </is>
      </c>
      <c r="B4272" s="1" t="n">
        <v>45898.57359953703</v>
      </c>
      <c r="C4272" s="1" t="n">
        <v>46145</v>
      </c>
      <c r="D4272" t="inlineStr">
        <is>
          <t>VÄSTERBOTTENS LÄN</t>
        </is>
      </c>
      <c r="E4272" t="inlineStr">
        <is>
          <t>MALÅ</t>
        </is>
      </c>
      <c r="F4272" t="inlineStr">
        <is>
          <t>Sveaskog</t>
        </is>
      </c>
      <c r="G4272" t="n">
        <v>22.4</v>
      </c>
      <c r="H4272" t="n">
        <v>0</v>
      </c>
      <c r="I4272" t="n">
        <v>0</v>
      </c>
      <c r="J4272" t="n">
        <v>0</v>
      </c>
      <c r="K4272" t="n">
        <v>0</v>
      </c>
      <c r="L4272" t="n">
        <v>0</v>
      </c>
      <c r="M4272" t="n">
        <v>0</v>
      </c>
      <c r="N4272" t="n">
        <v>0</v>
      </c>
      <c r="O4272" t="n">
        <v>0</v>
      </c>
      <c r="P4272" t="n">
        <v>0</v>
      </c>
      <c r="Q4272" t="n">
        <v>0</v>
      </c>
      <c r="R4272" s="2" t="inlineStr"/>
    </row>
    <row r="4273" ht="15" customHeight="1">
      <c r="A4273" t="inlineStr">
        <is>
          <t>A 58684-2024</t>
        </is>
      </c>
      <c r="B4273" s="1" t="n">
        <v>45635.61909722222</v>
      </c>
      <c r="C4273" s="1" t="n">
        <v>46145</v>
      </c>
      <c r="D4273" t="inlineStr">
        <is>
          <t>VÄSTERBOTTENS LÄN</t>
        </is>
      </c>
      <c r="E4273" t="inlineStr">
        <is>
          <t>LYCKSELE</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58712-2024</t>
        </is>
      </c>
      <c r="B4274" s="1" t="n">
        <v>45635</v>
      </c>
      <c r="C4274" s="1" t="n">
        <v>46145</v>
      </c>
      <c r="D4274" t="inlineStr">
        <is>
          <t>VÄSTERBOTTENS LÄN</t>
        </is>
      </c>
      <c r="E4274" t="inlineStr">
        <is>
          <t>ROBERTSFORS</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58716-2024</t>
        </is>
      </c>
      <c r="B4275" s="1" t="n">
        <v>45635.65770833333</v>
      </c>
      <c r="C4275" s="1" t="n">
        <v>46145</v>
      </c>
      <c r="D4275" t="inlineStr">
        <is>
          <t>VÄSTERBOTTENS LÄN</t>
        </is>
      </c>
      <c r="E4275" t="inlineStr">
        <is>
          <t>LYCKSELE</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49241-2024</t>
        </is>
      </c>
      <c r="B4276" s="1" t="n">
        <v>45595</v>
      </c>
      <c r="C4276" s="1" t="n">
        <v>46145</v>
      </c>
      <c r="D4276" t="inlineStr">
        <is>
          <t>VÄSTERBOTTENS LÄN</t>
        </is>
      </c>
      <c r="E4276" t="inlineStr">
        <is>
          <t>VILHELMINA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27088-2024</t>
        </is>
      </c>
      <c r="B4277" s="1" t="n">
        <v>45471.47892361111</v>
      </c>
      <c r="C4277" s="1" t="n">
        <v>46145</v>
      </c>
      <c r="D4277" t="inlineStr">
        <is>
          <t>VÄSTERBOTTENS LÄN</t>
        </is>
      </c>
      <c r="E4277" t="inlineStr">
        <is>
          <t>UMEÅ</t>
        </is>
      </c>
      <c r="F4277" t="inlineStr">
        <is>
          <t>Holmen skog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41212-2025</t>
        </is>
      </c>
      <c r="B4278" s="1" t="n">
        <v>45898.57967592592</v>
      </c>
      <c r="C4278" s="1" t="n">
        <v>46145</v>
      </c>
      <c r="D4278" t="inlineStr">
        <is>
          <t>VÄSTERBOTTENS LÄN</t>
        </is>
      </c>
      <c r="E4278" t="inlineStr">
        <is>
          <t>MALÅ</t>
        </is>
      </c>
      <c r="F4278" t="inlineStr">
        <is>
          <t>Sveaskog</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28291-2021</t>
        </is>
      </c>
      <c r="B4279" s="1" t="n">
        <v>44356.27717592593</v>
      </c>
      <c r="C4279" s="1" t="n">
        <v>46145</v>
      </c>
      <c r="D4279" t="inlineStr">
        <is>
          <t>VÄSTERBOTTENS LÄN</t>
        </is>
      </c>
      <c r="E4279" t="inlineStr">
        <is>
          <t>SKELLEFTEÅ</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40928-2025</t>
        </is>
      </c>
      <c r="B4280" s="1" t="n">
        <v>45897.6433912037</v>
      </c>
      <c r="C4280" s="1" t="n">
        <v>46145</v>
      </c>
      <c r="D4280" t="inlineStr">
        <is>
          <t>VÄSTERBOTTENS LÄN</t>
        </is>
      </c>
      <c r="E4280" t="inlineStr">
        <is>
          <t>UMEÅ</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41079-2025</t>
        </is>
      </c>
      <c r="B4281" s="1" t="n">
        <v>45898.42778935185</v>
      </c>
      <c r="C4281" s="1" t="n">
        <v>46145</v>
      </c>
      <c r="D4281" t="inlineStr">
        <is>
          <t>VÄSTERBOTTENS LÄN</t>
        </is>
      </c>
      <c r="E4281" t="inlineStr">
        <is>
          <t>DOROTEA</t>
        </is>
      </c>
      <c r="F4281" t="inlineStr">
        <is>
          <t>SCA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16994-2023</t>
        </is>
      </c>
      <c r="B4282" s="1" t="n">
        <v>45033</v>
      </c>
      <c r="C4282" s="1" t="n">
        <v>46145</v>
      </c>
      <c r="D4282" t="inlineStr">
        <is>
          <t>VÄSTERBOTTENS LÄN</t>
        </is>
      </c>
      <c r="E4282" t="inlineStr">
        <is>
          <t>ROBERTSFORS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41191-2025</t>
        </is>
      </c>
      <c r="B4283" s="1" t="n">
        <v>45898.56827546296</v>
      </c>
      <c r="C4283" s="1" t="n">
        <v>46145</v>
      </c>
      <c r="D4283" t="inlineStr">
        <is>
          <t>VÄSTERBOTTENS LÄN</t>
        </is>
      </c>
      <c r="E4283" t="inlineStr">
        <is>
          <t>MALÅ</t>
        </is>
      </c>
      <c r="F4283" t="inlineStr">
        <is>
          <t>Sveaskog</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16995-2023</t>
        </is>
      </c>
      <c r="B4284" s="1" t="n">
        <v>45033.92592592593</v>
      </c>
      <c r="C4284" s="1" t="n">
        <v>46145</v>
      </c>
      <c r="D4284" t="inlineStr">
        <is>
          <t>VÄSTERBOTTENS LÄN</t>
        </is>
      </c>
      <c r="E4284" t="inlineStr">
        <is>
          <t>ROBERTSFORS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36334-2023</t>
        </is>
      </c>
      <c r="B4285" s="1" t="n">
        <v>45152.44956018519</v>
      </c>
      <c r="C4285" s="1" t="n">
        <v>46145</v>
      </c>
      <c r="D4285" t="inlineStr">
        <is>
          <t>VÄSTERBOTTENS LÄN</t>
        </is>
      </c>
      <c r="E4285" t="inlineStr">
        <is>
          <t>VINDELN</t>
        </is>
      </c>
      <c r="F4285" t="inlineStr">
        <is>
          <t>Holmen skog AB</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40767-2025</t>
        </is>
      </c>
      <c r="B4286" s="1" t="n">
        <v>45897</v>
      </c>
      <c r="C4286" s="1" t="n">
        <v>46145</v>
      </c>
      <c r="D4286" t="inlineStr">
        <is>
          <t>VÄSTERBOTTENS LÄN</t>
        </is>
      </c>
      <c r="E4286" t="inlineStr">
        <is>
          <t>VINDELN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40771-2025</t>
        </is>
      </c>
      <c r="B4287" s="1" t="n">
        <v>45897.40736111111</v>
      </c>
      <c r="C4287" s="1" t="n">
        <v>46145</v>
      </c>
      <c r="D4287" t="inlineStr">
        <is>
          <t>VÄSTERBOTTENS LÄN</t>
        </is>
      </c>
      <c r="E4287" t="inlineStr">
        <is>
          <t>SKELLEFTEÅ</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15327-2023</t>
        </is>
      </c>
      <c r="B4288" s="1" t="n">
        <v>45016</v>
      </c>
      <c r="C4288" s="1" t="n">
        <v>46145</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40924-2025</t>
        </is>
      </c>
      <c r="B4289" s="1" t="n">
        <v>45897.63927083334</v>
      </c>
      <c r="C4289" s="1" t="n">
        <v>46145</v>
      </c>
      <c r="D4289" t="inlineStr">
        <is>
          <t>VÄSTERBOTTENS LÄN</t>
        </is>
      </c>
      <c r="E4289" t="inlineStr">
        <is>
          <t>UMEÅ</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10818-2025</t>
        </is>
      </c>
      <c r="B4290" s="1" t="n">
        <v>45722</v>
      </c>
      <c r="C4290" s="1" t="n">
        <v>46145</v>
      </c>
      <c r="D4290" t="inlineStr">
        <is>
          <t>VÄSTERBOTTENS LÄN</t>
        </is>
      </c>
      <c r="E4290" t="inlineStr">
        <is>
          <t>SORSELE</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41031-2025</t>
        </is>
      </c>
      <c r="B4291" s="1" t="n">
        <v>45898.37825231482</v>
      </c>
      <c r="C4291" s="1" t="n">
        <v>46145</v>
      </c>
      <c r="D4291" t="inlineStr">
        <is>
          <t>VÄSTERBOTTENS LÄN</t>
        </is>
      </c>
      <c r="E4291" t="inlineStr">
        <is>
          <t>LYCKSELE</t>
        </is>
      </c>
      <c r="F4291" t="inlineStr">
        <is>
          <t>Holmen skog AB</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41127-2025</t>
        </is>
      </c>
      <c r="B4292" s="1" t="n">
        <v>45898.47844907407</v>
      </c>
      <c r="C4292" s="1" t="n">
        <v>46145</v>
      </c>
      <c r="D4292" t="inlineStr">
        <is>
          <t>VÄSTERBOTTENS LÄN</t>
        </is>
      </c>
      <c r="E4292" t="inlineStr">
        <is>
          <t>STORUMAN</t>
        </is>
      </c>
      <c r="F4292" t="inlineStr">
        <is>
          <t>Sveaskog</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41138-2025</t>
        </is>
      </c>
      <c r="B4293" s="1" t="n">
        <v>45898.48869212963</v>
      </c>
      <c r="C4293" s="1" t="n">
        <v>46145</v>
      </c>
      <c r="D4293" t="inlineStr">
        <is>
          <t>VÄSTERBOTTENS LÄN</t>
        </is>
      </c>
      <c r="E4293" t="inlineStr">
        <is>
          <t>STORUMAN</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41142-2025</t>
        </is>
      </c>
      <c r="B4294" s="1" t="n">
        <v>45898.49275462963</v>
      </c>
      <c r="C4294" s="1" t="n">
        <v>46145</v>
      </c>
      <c r="D4294" t="inlineStr">
        <is>
          <t>VÄSTERBOTTENS LÄN</t>
        </is>
      </c>
      <c r="E4294" t="inlineStr">
        <is>
          <t>STORUMAN</t>
        </is>
      </c>
      <c r="F4294" t="inlineStr">
        <is>
          <t>Sveaskog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40922-2025</t>
        </is>
      </c>
      <c r="B4295" s="1" t="n">
        <v>45897.63563657407</v>
      </c>
      <c r="C4295" s="1" t="n">
        <v>46145</v>
      </c>
      <c r="D4295" t="inlineStr">
        <is>
          <t>VÄSTERBOTTENS LÄN</t>
        </is>
      </c>
      <c r="E4295" t="inlineStr">
        <is>
          <t>ÅSELE</t>
        </is>
      </c>
      <c r="F4295" t="inlineStr">
        <is>
          <t>Holmen skog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53576-2024</t>
        </is>
      </c>
      <c r="B4296" s="1" t="n">
        <v>45614.66203703704</v>
      </c>
      <c r="C4296" s="1" t="n">
        <v>46145</v>
      </c>
      <c r="D4296" t="inlineStr">
        <is>
          <t>VÄSTERBOTTENS LÄN</t>
        </is>
      </c>
      <c r="E4296" t="inlineStr">
        <is>
          <t>NORSJÖ</t>
        </is>
      </c>
      <c r="F4296" t="inlineStr">
        <is>
          <t>Holmen skog AB</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53607-2024</t>
        </is>
      </c>
      <c r="B4297" s="1" t="n">
        <v>45614.69854166666</v>
      </c>
      <c r="C4297" s="1" t="n">
        <v>46145</v>
      </c>
      <c r="D4297" t="inlineStr">
        <is>
          <t>VÄSTERBOTTENS LÄN</t>
        </is>
      </c>
      <c r="E4297" t="inlineStr">
        <is>
          <t>DOROTEA</t>
        </is>
      </c>
      <c r="F4297" t="inlineStr">
        <is>
          <t>SCA</t>
        </is>
      </c>
      <c r="G4297" t="n">
        <v>25.5</v>
      </c>
      <c r="H4297" t="n">
        <v>0</v>
      </c>
      <c r="I4297" t="n">
        <v>0</v>
      </c>
      <c r="J4297" t="n">
        <v>0</v>
      </c>
      <c r="K4297" t="n">
        <v>0</v>
      </c>
      <c r="L4297" t="n">
        <v>0</v>
      </c>
      <c r="M4297" t="n">
        <v>0</v>
      </c>
      <c r="N4297" t="n">
        <v>0</v>
      </c>
      <c r="O4297" t="n">
        <v>0</v>
      </c>
      <c r="P4297" t="n">
        <v>0</v>
      </c>
      <c r="Q4297" t="n">
        <v>0</v>
      </c>
      <c r="R4297" s="2" t="inlineStr"/>
    </row>
    <row r="4298" ht="15" customHeight="1">
      <c r="A4298" t="inlineStr">
        <is>
          <t>A 40716-2025</t>
        </is>
      </c>
      <c r="B4298" s="1" t="n">
        <v>45897.34454861111</v>
      </c>
      <c r="C4298" s="1" t="n">
        <v>46145</v>
      </c>
      <c r="D4298" t="inlineStr">
        <is>
          <t>VÄSTERBOTTENS LÄN</t>
        </is>
      </c>
      <c r="E4298" t="inlineStr">
        <is>
          <t>BJURHOLM</t>
        </is>
      </c>
      <c r="F4298" t="inlineStr">
        <is>
          <t>SCA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47589-2025</t>
        </is>
      </c>
      <c r="B4299" s="1" t="n">
        <v>45931</v>
      </c>
      <c r="C4299" s="1" t="n">
        <v>46145</v>
      </c>
      <c r="D4299" t="inlineStr">
        <is>
          <t>VÄSTERBOTTENS LÄN</t>
        </is>
      </c>
      <c r="E4299" t="inlineStr">
        <is>
          <t>VILHELMINA</t>
        </is>
      </c>
      <c r="G4299" t="n">
        <v>24.8</v>
      </c>
      <c r="H4299" t="n">
        <v>0</v>
      </c>
      <c r="I4299" t="n">
        <v>0</v>
      </c>
      <c r="J4299" t="n">
        <v>0</v>
      </c>
      <c r="K4299" t="n">
        <v>0</v>
      </c>
      <c r="L4299" t="n">
        <v>0</v>
      </c>
      <c r="M4299" t="n">
        <v>0</v>
      </c>
      <c r="N4299" t="n">
        <v>0</v>
      </c>
      <c r="O4299" t="n">
        <v>0</v>
      </c>
      <c r="P4299" t="n">
        <v>0</v>
      </c>
      <c r="Q4299" t="n">
        <v>0</v>
      </c>
      <c r="R4299" s="2" t="inlineStr"/>
    </row>
    <row r="4300" ht="15" customHeight="1">
      <c r="A4300" t="inlineStr">
        <is>
          <t>A 34333-2025</t>
        </is>
      </c>
      <c r="B4300" s="1" t="n">
        <v>45846.45019675926</v>
      </c>
      <c r="C4300" s="1" t="n">
        <v>46145</v>
      </c>
      <c r="D4300" t="inlineStr">
        <is>
          <t>VÄSTERBOTTENS LÄN</t>
        </is>
      </c>
      <c r="E4300" t="inlineStr">
        <is>
          <t>BJURHOLM</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11660-2025</t>
        </is>
      </c>
      <c r="B4301" s="1" t="n">
        <v>45727.49515046296</v>
      </c>
      <c r="C4301" s="1" t="n">
        <v>46145</v>
      </c>
      <c r="D4301" t="inlineStr">
        <is>
          <t>VÄSTERBOTTENS LÄN</t>
        </is>
      </c>
      <c r="E4301" t="inlineStr">
        <is>
          <t>NORDMALING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11662-2025</t>
        </is>
      </c>
      <c r="B4302" s="1" t="n">
        <v>45727.50065972222</v>
      </c>
      <c r="C4302" s="1" t="n">
        <v>46145</v>
      </c>
      <c r="D4302" t="inlineStr">
        <is>
          <t>VÄSTERBOTTENS LÄN</t>
        </is>
      </c>
      <c r="E4302" t="inlineStr">
        <is>
          <t>NORDMALING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41743-2025</t>
        </is>
      </c>
      <c r="B4303" s="1" t="n">
        <v>45902.48045138889</v>
      </c>
      <c r="C4303" s="1" t="n">
        <v>46145</v>
      </c>
      <c r="D4303" t="inlineStr">
        <is>
          <t>VÄSTERBOTTENS LÄN</t>
        </is>
      </c>
      <c r="E4303" t="inlineStr">
        <is>
          <t>ROBERTSFORS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41397-2025</t>
        </is>
      </c>
      <c r="B4304" s="1" t="n">
        <v>45899</v>
      </c>
      <c r="C4304" s="1" t="n">
        <v>46145</v>
      </c>
      <c r="D4304" t="inlineStr">
        <is>
          <t>VÄSTERBOTTENS LÄN</t>
        </is>
      </c>
      <c r="E4304" t="inlineStr">
        <is>
          <t>SORSELE</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35650-2023</t>
        </is>
      </c>
      <c r="B4305" s="1" t="n">
        <v>45147.58692129629</v>
      </c>
      <c r="C4305" s="1" t="n">
        <v>46145</v>
      </c>
      <c r="D4305" t="inlineStr">
        <is>
          <t>VÄSTERBOTTENS LÄN</t>
        </is>
      </c>
      <c r="E4305" t="inlineStr">
        <is>
          <t>NORDMALING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41523-2025</t>
        </is>
      </c>
      <c r="B4306" s="1" t="n">
        <v>45901.55246527777</v>
      </c>
      <c r="C4306" s="1" t="n">
        <v>46145</v>
      </c>
      <c r="D4306" t="inlineStr">
        <is>
          <t>VÄSTERBOTTENS LÄN</t>
        </is>
      </c>
      <c r="E4306" t="inlineStr">
        <is>
          <t>ÅSELE</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41560-2025</t>
        </is>
      </c>
      <c r="B4307" s="1" t="n">
        <v>45901.59440972222</v>
      </c>
      <c r="C4307" s="1" t="n">
        <v>46145</v>
      </c>
      <c r="D4307" t="inlineStr">
        <is>
          <t>VÄSTERBOTTENS LÄN</t>
        </is>
      </c>
      <c r="E4307" t="inlineStr">
        <is>
          <t>MALÅ</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41573-2025</t>
        </is>
      </c>
      <c r="B4308" s="1" t="n">
        <v>45901.61489583334</v>
      </c>
      <c r="C4308" s="1" t="n">
        <v>46145</v>
      </c>
      <c r="D4308" t="inlineStr">
        <is>
          <t>VÄSTERBOTTENS LÄN</t>
        </is>
      </c>
      <c r="E4308" t="inlineStr">
        <is>
          <t>NORDMALING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56396-2022</t>
        </is>
      </c>
      <c r="B4309" s="1" t="n">
        <v>44890</v>
      </c>
      <c r="C4309" s="1" t="n">
        <v>46145</v>
      </c>
      <c r="D4309" t="inlineStr">
        <is>
          <t>VÄSTERBOTTENS LÄN</t>
        </is>
      </c>
      <c r="E4309" t="inlineStr">
        <is>
          <t>VILHELMINA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26925-2025</t>
        </is>
      </c>
      <c r="B4310" s="1" t="n">
        <v>45811.39081018518</v>
      </c>
      <c r="C4310" s="1" t="n">
        <v>46145</v>
      </c>
      <c r="D4310" t="inlineStr">
        <is>
          <t>VÄSTERBOTTENS LÄN</t>
        </is>
      </c>
      <c r="E4310" t="inlineStr">
        <is>
          <t>VINDELN</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27219-2025</t>
        </is>
      </c>
      <c r="B4311" s="1" t="n">
        <v>45812</v>
      </c>
      <c r="C4311" s="1" t="n">
        <v>46145</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22429-2025</t>
        </is>
      </c>
      <c r="B4312" s="1" t="n">
        <v>45786</v>
      </c>
      <c r="C4312" s="1" t="n">
        <v>46145</v>
      </c>
      <c r="D4312" t="inlineStr">
        <is>
          <t>VÄSTERBOTTENS LÄN</t>
        </is>
      </c>
      <c r="E4312" t="inlineStr">
        <is>
          <t>SKELLEFTEÅ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35688-2023</t>
        </is>
      </c>
      <c r="B4313" s="1" t="n">
        <v>45147.64556712963</v>
      </c>
      <c r="C4313" s="1" t="n">
        <v>46145</v>
      </c>
      <c r="D4313" t="inlineStr">
        <is>
          <t>VÄSTERBOTTENS LÄN</t>
        </is>
      </c>
      <c r="E4313" t="inlineStr">
        <is>
          <t>NORDMALING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33455-2024</t>
        </is>
      </c>
      <c r="B4314" s="1" t="n">
        <v>45519.579375</v>
      </c>
      <c r="C4314" s="1" t="n">
        <v>46145</v>
      </c>
      <c r="D4314" t="inlineStr">
        <is>
          <t>VÄSTERBOTTENS LÄN</t>
        </is>
      </c>
      <c r="E4314" t="inlineStr">
        <is>
          <t>NORSJÖ</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31780-2025</t>
        </is>
      </c>
      <c r="B4315" s="1" t="n">
        <v>45834.52940972222</v>
      </c>
      <c r="C4315" s="1" t="n">
        <v>46145</v>
      </c>
      <c r="D4315" t="inlineStr">
        <is>
          <t>VÄSTERBOTTENS LÄN</t>
        </is>
      </c>
      <c r="E4315" t="inlineStr">
        <is>
          <t>SKELLEFTEÅ</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38457-2022</t>
        </is>
      </c>
      <c r="B4316" s="1" t="n">
        <v>44813</v>
      </c>
      <c r="C4316" s="1" t="n">
        <v>46145</v>
      </c>
      <c r="D4316" t="inlineStr">
        <is>
          <t>VÄSTERBOTTENS LÄN</t>
        </is>
      </c>
      <c r="E4316" t="inlineStr">
        <is>
          <t>SKELLEFTEÅ</t>
        </is>
      </c>
      <c r="F4316" t="inlineStr">
        <is>
          <t>Holmen skog AB</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38877-2023</t>
        </is>
      </c>
      <c r="B4317" s="1" t="n">
        <v>45162</v>
      </c>
      <c r="C4317" s="1" t="n">
        <v>46145</v>
      </c>
      <c r="D4317" t="inlineStr">
        <is>
          <t>VÄSTERBOTTENS LÄN</t>
        </is>
      </c>
      <c r="E4317" t="inlineStr">
        <is>
          <t>MALÅ</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34332-2024</t>
        </is>
      </c>
      <c r="B4318" s="1" t="n">
        <v>45524.89719907408</v>
      </c>
      <c r="C4318" s="1" t="n">
        <v>46145</v>
      </c>
      <c r="D4318" t="inlineStr">
        <is>
          <t>VÄSTERBOTTENS LÄN</t>
        </is>
      </c>
      <c r="E4318" t="inlineStr">
        <is>
          <t>SKELLEFTEÅ</t>
        </is>
      </c>
      <c r="F4318" t="inlineStr">
        <is>
          <t>Sveaskog</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41388-2025</t>
        </is>
      </c>
      <c r="B4319" s="1" t="n">
        <v>45899</v>
      </c>
      <c r="C4319" s="1" t="n">
        <v>46145</v>
      </c>
      <c r="D4319" t="inlineStr">
        <is>
          <t>VÄSTERBOTTENS LÄN</t>
        </is>
      </c>
      <c r="E4319" t="inlineStr">
        <is>
          <t>MALÅ</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41390-2025</t>
        </is>
      </c>
      <c r="B4320" s="1" t="n">
        <v>45899</v>
      </c>
      <c r="C4320" s="1" t="n">
        <v>46145</v>
      </c>
      <c r="D4320" t="inlineStr">
        <is>
          <t>VÄSTERBOTTENS LÄN</t>
        </is>
      </c>
      <c r="E4320" t="inlineStr">
        <is>
          <t>MALÅ</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41399-2025</t>
        </is>
      </c>
      <c r="B4321" s="1" t="n">
        <v>45899</v>
      </c>
      <c r="C4321" s="1" t="n">
        <v>46145</v>
      </c>
      <c r="D4321" t="inlineStr">
        <is>
          <t>VÄSTERBOTTENS LÄN</t>
        </is>
      </c>
      <c r="E4321" t="inlineStr">
        <is>
          <t>SORSELE</t>
        </is>
      </c>
      <c r="G4321" t="n">
        <v>19.1</v>
      </c>
      <c r="H4321" t="n">
        <v>0</v>
      </c>
      <c r="I4321" t="n">
        <v>0</v>
      </c>
      <c r="J4321" t="n">
        <v>0</v>
      </c>
      <c r="K4321" t="n">
        <v>0</v>
      </c>
      <c r="L4321" t="n">
        <v>0</v>
      </c>
      <c r="M4321" t="n">
        <v>0</v>
      </c>
      <c r="N4321" t="n">
        <v>0</v>
      </c>
      <c r="O4321" t="n">
        <v>0</v>
      </c>
      <c r="P4321" t="n">
        <v>0</v>
      </c>
      <c r="Q4321" t="n">
        <v>0</v>
      </c>
      <c r="R4321" s="2" t="inlineStr"/>
    </row>
    <row r="4322" ht="15" customHeight="1">
      <c r="A4322" t="inlineStr">
        <is>
          <t>A 41427-2025</t>
        </is>
      </c>
      <c r="B4322" s="1" t="n">
        <v>45901.38766203704</v>
      </c>
      <c r="C4322" s="1" t="n">
        <v>46145</v>
      </c>
      <c r="D4322" t="inlineStr">
        <is>
          <t>VÄSTERBOTTENS LÄN</t>
        </is>
      </c>
      <c r="E4322" t="inlineStr">
        <is>
          <t>NORSJÖ</t>
        </is>
      </c>
      <c r="F4322" t="inlineStr">
        <is>
          <t>Holmen skog AB</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41447-2025</t>
        </is>
      </c>
      <c r="B4323" s="1" t="n">
        <v>45901.42756944444</v>
      </c>
      <c r="C4323" s="1" t="n">
        <v>46145</v>
      </c>
      <c r="D4323" t="inlineStr">
        <is>
          <t>VÄSTERBOTTENS LÄN</t>
        </is>
      </c>
      <c r="E4323" t="inlineStr">
        <is>
          <t>SORSELE</t>
        </is>
      </c>
      <c r="F4323" t="inlineStr">
        <is>
          <t>SCA</t>
        </is>
      </c>
      <c r="G4323" t="n">
        <v>12.9</v>
      </c>
      <c r="H4323" t="n">
        <v>0</v>
      </c>
      <c r="I4323" t="n">
        <v>0</v>
      </c>
      <c r="J4323" t="n">
        <v>0</v>
      </c>
      <c r="K4323" t="n">
        <v>0</v>
      </c>
      <c r="L4323" t="n">
        <v>0</v>
      </c>
      <c r="M4323" t="n">
        <v>0</v>
      </c>
      <c r="N4323" t="n">
        <v>0</v>
      </c>
      <c r="O4323" t="n">
        <v>0</v>
      </c>
      <c r="P4323" t="n">
        <v>0</v>
      </c>
      <c r="Q4323" t="n">
        <v>0</v>
      </c>
      <c r="R4323" s="2" t="inlineStr"/>
    </row>
    <row r="4324" ht="15" customHeight="1">
      <c r="A4324" t="inlineStr">
        <is>
          <t>A 41466-2025</t>
        </is>
      </c>
      <c r="B4324" s="1" t="n">
        <v>45901</v>
      </c>
      <c r="C4324" s="1" t="n">
        <v>46145</v>
      </c>
      <c r="D4324" t="inlineStr">
        <is>
          <t>VÄSTERBOTTENS LÄN</t>
        </is>
      </c>
      <c r="E4324" t="inlineStr">
        <is>
          <t>UMEÅ</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8855-2025</t>
        </is>
      </c>
      <c r="B4325" s="1" t="n">
        <v>45713</v>
      </c>
      <c r="C4325" s="1" t="n">
        <v>46145</v>
      </c>
      <c r="D4325" t="inlineStr">
        <is>
          <t>VÄSTERBOTTENS LÄN</t>
        </is>
      </c>
      <c r="E4325" t="inlineStr">
        <is>
          <t>ÅSELE</t>
        </is>
      </c>
      <c r="G4325" t="n">
        <v>23.5</v>
      </c>
      <c r="H4325" t="n">
        <v>0</v>
      </c>
      <c r="I4325" t="n">
        <v>0</v>
      </c>
      <c r="J4325" t="n">
        <v>0</v>
      </c>
      <c r="K4325" t="n">
        <v>0</v>
      </c>
      <c r="L4325" t="n">
        <v>0</v>
      </c>
      <c r="M4325" t="n">
        <v>0</v>
      </c>
      <c r="N4325" t="n">
        <v>0</v>
      </c>
      <c r="O4325" t="n">
        <v>0</v>
      </c>
      <c r="P4325" t="n">
        <v>0</v>
      </c>
      <c r="Q4325" t="n">
        <v>0</v>
      </c>
      <c r="R4325" s="2" t="inlineStr"/>
    </row>
    <row r="4326" ht="15" customHeight="1">
      <c r="A4326" t="inlineStr">
        <is>
          <t>A 17982-2025</t>
        </is>
      </c>
      <c r="B4326" s="1" t="n">
        <v>45761.38211805555</v>
      </c>
      <c r="C4326" s="1" t="n">
        <v>46145</v>
      </c>
      <c r="D4326" t="inlineStr">
        <is>
          <t>VÄSTERBOTTENS LÄN</t>
        </is>
      </c>
      <c r="E4326" t="inlineStr">
        <is>
          <t>LYCKSELE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2965-2025</t>
        </is>
      </c>
      <c r="B4327" s="1" t="n">
        <v>45678.45821759259</v>
      </c>
      <c r="C4327" s="1" t="n">
        <v>46145</v>
      </c>
      <c r="D4327" t="inlineStr">
        <is>
          <t>VÄSTERBOTTENS LÄN</t>
        </is>
      </c>
      <c r="E4327" t="inlineStr">
        <is>
          <t>NORSJÖ</t>
        </is>
      </c>
      <c r="G4327" t="n">
        <v>19.6</v>
      </c>
      <c r="H4327" t="n">
        <v>0</v>
      </c>
      <c r="I4327" t="n">
        <v>0</v>
      </c>
      <c r="J4327" t="n">
        <v>0</v>
      </c>
      <c r="K4327" t="n">
        <v>0</v>
      </c>
      <c r="L4327" t="n">
        <v>0</v>
      </c>
      <c r="M4327" t="n">
        <v>0</v>
      </c>
      <c r="N4327" t="n">
        <v>0</v>
      </c>
      <c r="O4327" t="n">
        <v>0</v>
      </c>
      <c r="P4327" t="n">
        <v>0</v>
      </c>
      <c r="Q4327" t="n">
        <v>0</v>
      </c>
      <c r="R4327" s="2" t="inlineStr"/>
    </row>
    <row r="4328" ht="15" customHeight="1">
      <c r="A4328" t="inlineStr">
        <is>
          <t>A 20825-2025</t>
        </is>
      </c>
      <c r="B4328" s="1" t="n">
        <v>45776</v>
      </c>
      <c r="C4328" s="1" t="n">
        <v>46145</v>
      </c>
      <c r="D4328" t="inlineStr">
        <is>
          <t>VÄSTERBOTTENS LÄN</t>
        </is>
      </c>
      <c r="E4328" t="inlineStr">
        <is>
          <t>SKELLEFTEÅ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36875-2023</t>
        </is>
      </c>
      <c r="B4329" s="1" t="n">
        <v>45154</v>
      </c>
      <c r="C4329" s="1" t="n">
        <v>46145</v>
      </c>
      <c r="D4329" t="inlineStr">
        <is>
          <t>VÄSTERBOTTENS LÄN</t>
        </is>
      </c>
      <c r="E4329" t="inlineStr">
        <is>
          <t>LYCKSELE</t>
        </is>
      </c>
      <c r="F4329" t="inlineStr">
        <is>
          <t>Sveaskog</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22796-2024</t>
        </is>
      </c>
      <c r="B4330" s="1" t="n">
        <v>45448</v>
      </c>
      <c r="C4330" s="1" t="n">
        <v>46145</v>
      </c>
      <c r="D4330" t="inlineStr">
        <is>
          <t>VÄSTERBOTTENS LÄN</t>
        </is>
      </c>
      <c r="E4330" t="inlineStr">
        <is>
          <t>SKELLEFTEÅ</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26919-2022</t>
        </is>
      </c>
      <c r="B4331" s="1" t="n">
        <v>44740</v>
      </c>
      <c r="C4331" s="1" t="n">
        <v>46145</v>
      </c>
      <c r="D4331" t="inlineStr">
        <is>
          <t>VÄSTERBOTTENS LÄN</t>
        </is>
      </c>
      <c r="E4331" t="inlineStr">
        <is>
          <t>UMEÅ</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41365-2025</t>
        </is>
      </c>
      <c r="B4332" s="1" t="n">
        <v>45900.49813657408</v>
      </c>
      <c r="C4332" s="1" t="n">
        <v>46145</v>
      </c>
      <c r="D4332" t="inlineStr">
        <is>
          <t>VÄSTERBOTTENS LÄN</t>
        </is>
      </c>
      <c r="E4332" t="inlineStr">
        <is>
          <t>NORDMALING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30711-2025</t>
        </is>
      </c>
      <c r="B4333" s="1" t="n">
        <v>45831.55188657407</v>
      </c>
      <c r="C4333" s="1" t="n">
        <v>46145</v>
      </c>
      <c r="D4333" t="inlineStr">
        <is>
          <t>VÄSTERBOTTENS LÄN</t>
        </is>
      </c>
      <c r="E4333" t="inlineStr">
        <is>
          <t>SKELLEFTEÅ</t>
        </is>
      </c>
      <c r="F4333" t="inlineStr">
        <is>
          <t>Sveaskog</t>
        </is>
      </c>
      <c r="G4333" t="n">
        <v>21.5</v>
      </c>
      <c r="H4333" t="n">
        <v>0</v>
      </c>
      <c r="I4333" t="n">
        <v>0</v>
      </c>
      <c r="J4333" t="n">
        <v>0</v>
      </c>
      <c r="K4333" t="n">
        <v>0</v>
      </c>
      <c r="L4333" t="n">
        <v>0</v>
      </c>
      <c r="M4333" t="n">
        <v>0</v>
      </c>
      <c r="N4333" t="n">
        <v>0</v>
      </c>
      <c r="O4333" t="n">
        <v>0</v>
      </c>
      <c r="P4333" t="n">
        <v>0</v>
      </c>
      <c r="Q4333" t="n">
        <v>0</v>
      </c>
      <c r="R4333" s="2" t="inlineStr"/>
    </row>
    <row r="4334" ht="15" customHeight="1">
      <c r="A4334" t="inlineStr">
        <is>
          <t>A 27990-2024</t>
        </is>
      </c>
      <c r="B4334" s="1" t="n">
        <v>45476.42824074074</v>
      </c>
      <c r="C4334" s="1" t="n">
        <v>46145</v>
      </c>
      <c r="D4334" t="inlineStr">
        <is>
          <t>VÄSTERBOTTENS LÄN</t>
        </is>
      </c>
      <c r="E4334" t="inlineStr">
        <is>
          <t>SKELLEFTEÅ</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41674-2025</t>
        </is>
      </c>
      <c r="B4335" s="1" t="n">
        <v>45902.36511574074</v>
      </c>
      <c r="C4335" s="1" t="n">
        <v>46145</v>
      </c>
      <c r="D4335" t="inlineStr">
        <is>
          <t>VÄSTERBOTTENS LÄN</t>
        </is>
      </c>
      <c r="E4335" t="inlineStr">
        <is>
          <t>NORSJÖ</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41677-2025</t>
        </is>
      </c>
      <c r="B4336" s="1" t="n">
        <v>45902.37362268518</v>
      </c>
      <c r="C4336" s="1" t="n">
        <v>46145</v>
      </c>
      <c r="D4336" t="inlineStr">
        <is>
          <t>VÄSTERBOTTENS LÄN</t>
        </is>
      </c>
      <c r="E4336" t="inlineStr">
        <is>
          <t>SKELLEFTEÅ</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41701-2025</t>
        </is>
      </c>
      <c r="B4337" s="1" t="n">
        <v>45902.41085648148</v>
      </c>
      <c r="C4337" s="1" t="n">
        <v>46145</v>
      </c>
      <c r="D4337" t="inlineStr">
        <is>
          <t>VÄSTERBOTTENS LÄN</t>
        </is>
      </c>
      <c r="E4337" t="inlineStr">
        <is>
          <t>SKELLEFTEÅ</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41721-2025</t>
        </is>
      </c>
      <c r="B4338" s="1" t="n">
        <v>45902.44825231482</v>
      </c>
      <c r="C4338" s="1" t="n">
        <v>46145</v>
      </c>
      <c r="D4338" t="inlineStr">
        <is>
          <t>VÄSTERBOTTENS LÄN</t>
        </is>
      </c>
      <c r="E4338" t="inlineStr">
        <is>
          <t>SKELLEFTEÅ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23229-2022</t>
        </is>
      </c>
      <c r="B4339" s="1" t="n">
        <v>44719</v>
      </c>
      <c r="C4339" s="1" t="n">
        <v>46145</v>
      </c>
      <c r="D4339" t="inlineStr">
        <is>
          <t>VÄSTERBOTTENS LÄN</t>
        </is>
      </c>
      <c r="E4339" t="inlineStr">
        <is>
          <t>SORSELE</t>
        </is>
      </c>
      <c r="G4339" t="n">
        <v>22.6</v>
      </c>
      <c r="H4339" t="n">
        <v>0</v>
      </c>
      <c r="I4339" t="n">
        <v>0</v>
      </c>
      <c r="J4339" t="n">
        <v>0</v>
      </c>
      <c r="K4339" t="n">
        <v>0</v>
      </c>
      <c r="L4339" t="n">
        <v>0</v>
      </c>
      <c r="M4339" t="n">
        <v>0</v>
      </c>
      <c r="N4339" t="n">
        <v>0</v>
      </c>
      <c r="O4339" t="n">
        <v>0</v>
      </c>
      <c r="P4339" t="n">
        <v>0</v>
      </c>
      <c r="Q4339" t="n">
        <v>0</v>
      </c>
      <c r="R4339" s="2" t="inlineStr"/>
    </row>
    <row r="4340" ht="15" customHeight="1">
      <c r="A4340" t="inlineStr">
        <is>
          <t>A 32463-2023</t>
        </is>
      </c>
      <c r="B4340" s="1" t="n">
        <v>45120.92644675926</v>
      </c>
      <c r="C4340" s="1" t="n">
        <v>46145</v>
      </c>
      <c r="D4340" t="inlineStr">
        <is>
          <t>VÄSTERBOTTENS LÄN</t>
        </is>
      </c>
      <c r="E4340" t="inlineStr">
        <is>
          <t>UMEÅ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32467-2023</t>
        </is>
      </c>
      <c r="B4341" s="1" t="n">
        <v>45120.92667824074</v>
      </c>
      <c r="C4341" s="1" t="n">
        <v>46145</v>
      </c>
      <c r="D4341" t="inlineStr">
        <is>
          <t>VÄSTERBOTTENS LÄN</t>
        </is>
      </c>
      <c r="E4341" t="inlineStr">
        <is>
          <t>UMEÅ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41720-2025</t>
        </is>
      </c>
      <c r="B4342" s="1" t="n">
        <v>45902.4481712963</v>
      </c>
      <c r="C4342" s="1" t="n">
        <v>46145</v>
      </c>
      <c r="D4342" t="inlineStr">
        <is>
          <t>VÄSTERBOTTENS LÄN</t>
        </is>
      </c>
      <c r="E4342" t="inlineStr">
        <is>
          <t>SKELLEFTEÅ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41749-2025</t>
        </is>
      </c>
      <c r="B4343" s="1" t="n">
        <v>45902.49125</v>
      </c>
      <c r="C4343" s="1" t="n">
        <v>46145</v>
      </c>
      <c r="D4343" t="inlineStr">
        <is>
          <t>VÄSTERBOTTENS LÄN</t>
        </is>
      </c>
      <c r="E4343" t="inlineStr">
        <is>
          <t>VINDELN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41751-2025</t>
        </is>
      </c>
      <c r="B4344" s="1" t="n">
        <v>45902</v>
      </c>
      <c r="C4344" s="1" t="n">
        <v>46145</v>
      </c>
      <c r="D4344" t="inlineStr">
        <is>
          <t>VÄSTERBOTTENS LÄN</t>
        </is>
      </c>
      <c r="E4344" t="inlineStr">
        <is>
          <t>UMEÅ</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57245-2024</t>
        </is>
      </c>
      <c r="B4345" s="1" t="n">
        <v>45629.55153935185</v>
      </c>
      <c r="C4345" s="1" t="n">
        <v>46145</v>
      </c>
      <c r="D4345" t="inlineStr">
        <is>
          <t>VÄSTERBOTTENS LÄN</t>
        </is>
      </c>
      <c r="E4345" t="inlineStr">
        <is>
          <t>SKELLEFTEÅ</t>
        </is>
      </c>
      <c r="F4345" t="inlineStr">
        <is>
          <t>Sveaskog</t>
        </is>
      </c>
      <c r="G4345" t="n">
        <v>15.6</v>
      </c>
      <c r="H4345" t="n">
        <v>0</v>
      </c>
      <c r="I4345" t="n">
        <v>0</v>
      </c>
      <c r="J4345" t="n">
        <v>0</v>
      </c>
      <c r="K4345" t="n">
        <v>0</v>
      </c>
      <c r="L4345" t="n">
        <v>0</v>
      </c>
      <c r="M4345" t="n">
        <v>0</v>
      </c>
      <c r="N4345" t="n">
        <v>0</v>
      </c>
      <c r="O4345" t="n">
        <v>0</v>
      </c>
      <c r="P4345" t="n">
        <v>0</v>
      </c>
      <c r="Q4345" t="n">
        <v>0</v>
      </c>
      <c r="R4345" s="2" t="inlineStr"/>
    </row>
    <row r="4346" ht="15" customHeight="1">
      <c r="A4346" t="inlineStr">
        <is>
          <t>A 57263-2024</t>
        </is>
      </c>
      <c r="B4346" s="1" t="n">
        <v>45629.56875</v>
      </c>
      <c r="C4346" s="1" t="n">
        <v>46145</v>
      </c>
      <c r="D4346" t="inlineStr">
        <is>
          <t>VÄSTERBOTTENS LÄN</t>
        </is>
      </c>
      <c r="E4346" t="inlineStr">
        <is>
          <t>LYCKSELE</t>
        </is>
      </c>
      <c r="F4346" t="inlineStr">
        <is>
          <t>Sveaskog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42075-2025</t>
        </is>
      </c>
      <c r="B4347" s="1" t="n">
        <v>45902</v>
      </c>
      <c r="C4347" s="1" t="n">
        <v>46145</v>
      </c>
      <c r="D4347" t="inlineStr">
        <is>
          <t>VÄSTERBOTTENS LÄN</t>
        </is>
      </c>
      <c r="E4347" t="inlineStr">
        <is>
          <t>LYCKSELE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41386-2025</t>
        </is>
      </c>
      <c r="B4348" s="1" t="n">
        <v>45899</v>
      </c>
      <c r="C4348" s="1" t="n">
        <v>46145</v>
      </c>
      <c r="D4348" t="inlineStr">
        <is>
          <t>VÄSTERBOTTENS LÄN</t>
        </is>
      </c>
      <c r="E4348" t="inlineStr">
        <is>
          <t>MALÅ</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41438-2025</t>
        </is>
      </c>
      <c r="B4349" s="1" t="n">
        <v>45901.40425925926</v>
      </c>
      <c r="C4349" s="1" t="n">
        <v>46145</v>
      </c>
      <c r="D4349" t="inlineStr">
        <is>
          <t>VÄSTERBOTTENS LÄN</t>
        </is>
      </c>
      <c r="E4349" t="inlineStr">
        <is>
          <t>NORSJÖ</t>
        </is>
      </c>
      <c r="F4349" t="inlineStr">
        <is>
          <t>Holmen skog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41446-2025</t>
        </is>
      </c>
      <c r="B4350" s="1" t="n">
        <v>45901.42340277778</v>
      </c>
      <c r="C4350" s="1" t="n">
        <v>46145</v>
      </c>
      <c r="D4350" t="inlineStr">
        <is>
          <t>VÄSTERBOTTENS LÄN</t>
        </is>
      </c>
      <c r="E4350" t="inlineStr">
        <is>
          <t>VINDELN</t>
        </is>
      </c>
      <c r="F4350" t="inlineStr">
        <is>
          <t>Holmen skog AB</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26351-2022</t>
        </is>
      </c>
      <c r="B4351" s="1" t="n">
        <v>44735</v>
      </c>
      <c r="C4351" s="1" t="n">
        <v>46145</v>
      </c>
      <c r="D4351" t="inlineStr">
        <is>
          <t>VÄSTERBOTTENS LÄN</t>
        </is>
      </c>
      <c r="E4351" t="inlineStr">
        <is>
          <t>LYCKSELE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41459-2025</t>
        </is>
      </c>
      <c r="B4352" s="1" t="n">
        <v>45901</v>
      </c>
      <c r="C4352" s="1" t="n">
        <v>46145</v>
      </c>
      <c r="D4352" t="inlineStr">
        <is>
          <t>VÄSTERBOTTENS LÄN</t>
        </is>
      </c>
      <c r="E4352" t="inlineStr">
        <is>
          <t>VINDELN</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41460-2025</t>
        </is>
      </c>
      <c r="B4353" s="1" t="n">
        <v>45901.44833333333</v>
      </c>
      <c r="C4353" s="1" t="n">
        <v>46145</v>
      </c>
      <c r="D4353" t="inlineStr">
        <is>
          <t>VÄSTERBOTTENS LÄN</t>
        </is>
      </c>
      <c r="E4353" t="inlineStr">
        <is>
          <t>MALÅ</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41554-2025</t>
        </is>
      </c>
      <c r="B4354" s="1" t="n">
        <v>45901.59134259259</v>
      </c>
      <c r="C4354" s="1" t="n">
        <v>46145</v>
      </c>
      <c r="D4354" t="inlineStr">
        <is>
          <t>VÄSTERBOTTENS LÄN</t>
        </is>
      </c>
      <c r="E4354" t="inlineStr">
        <is>
          <t>SKELLEFTEÅ</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41558-2025</t>
        </is>
      </c>
      <c r="B4355" s="1" t="n">
        <v>45901.59408564815</v>
      </c>
      <c r="C4355" s="1" t="n">
        <v>46145</v>
      </c>
      <c r="D4355" t="inlineStr">
        <is>
          <t>VÄSTERBOTTENS LÄN</t>
        </is>
      </c>
      <c r="E4355" t="inlineStr">
        <is>
          <t>MALÅ</t>
        </is>
      </c>
      <c r="G4355" t="n">
        <v>8.9</v>
      </c>
      <c r="H4355" t="n">
        <v>0</v>
      </c>
      <c r="I4355" t="n">
        <v>0</v>
      </c>
      <c r="J4355" t="n">
        <v>0</v>
      </c>
      <c r="K4355" t="n">
        <v>0</v>
      </c>
      <c r="L4355" t="n">
        <v>0</v>
      </c>
      <c r="M4355" t="n">
        <v>0</v>
      </c>
      <c r="N4355" t="n">
        <v>0</v>
      </c>
      <c r="O4355" t="n">
        <v>0</v>
      </c>
      <c r="P4355" t="n">
        <v>0</v>
      </c>
      <c r="Q4355" t="n">
        <v>0</v>
      </c>
      <c r="R4355" s="2" t="inlineStr"/>
    </row>
    <row r="4356" ht="15" customHeight="1">
      <c r="A4356" t="inlineStr">
        <is>
          <t>A 41574-2025</t>
        </is>
      </c>
      <c r="B4356" s="1" t="n">
        <v>45901</v>
      </c>
      <c r="C4356" s="1" t="n">
        <v>46145</v>
      </c>
      <c r="D4356" t="inlineStr">
        <is>
          <t>VÄSTERBOTTENS LÄN</t>
        </is>
      </c>
      <c r="E4356" t="inlineStr">
        <is>
          <t>SKELLEFTEÅ</t>
        </is>
      </c>
      <c r="G4356" t="n">
        <v>6.9</v>
      </c>
      <c r="H4356" t="n">
        <v>0</v>
      </c>
      <c r="I4356" t="n">
        <v>0</v>
      </c>
      <c r="J4356" t="n">
        <v>0</v>
      </c>
      <c r="K4356" t="n">
        <v>0</v>
      </c>
      <c r="L4356" t="n">
        <v>0</v>
      </c>
      <c r="M4356" t="n">
        <v>0</v>
      </c>
      <c r="N4356" t="n">
        <v>0</v>
      </c>
      <c r="O4356" t="n">
        <v>0</v>
      </c>
      <c r="P4356" t="n">
        <v>0</v>
      </c>
      <c r="Q4356" t="n">
        <v>0</v>
      </c>
      <c r="R4356" s="2" t="inlineStr"/>
    </row>
    <row r="4357" ht="15" customHeight="1">
      <c r="A4357" t="inlineStr">
        <is>
          <t>A 41580-2025</t>
        </is>
      </c>
      <c r="B4357" s="1" t="n">
        <v>45901.62168981481</v>
      </c>
      <c r="C4357" s="1" t="n">
        <v>46145</v>
      </c>
      <c r="D4357" t="inlineStr">
        <is>
          <t>VÄSTERBOTTENS LÄN</t>
        </is>
      </c>
      <c r="E4357" t="inlineStr">
        <is>
          <t>UMEÅ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58313-2024</t>
        </is>
      </c>
      <c r="B4358" s="1" t="n">
        <v>45632</v>
      </c>
      <c r="C4358" s="1" t="n">
        <v>46145</v>
      </c>
      <c r="D4358" t="inlineStr">
        <is>
          <t>VÄSTERBOTTENS LÄN</t>
        </is>
      </c>
      <c r="E4358" t="inlineStr">
        <is>
          <t>DOROTEA</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58335-2024</t>
        </is>
      </c>
      <c r="B4359" s="1" t="n">
        <v>45632</v>
      </c>
      <c r="C4359" s="1" t="n">
        <v>46145</v>
      </c>
      <c r="D4359" t="inlineStr">
        <is>
          <t>VÄSTERBOTTENS LÄN</t>
        </is>
      </c>
      <c r="E4359" t="inlineStr">
        <is>
          <t>DOROTEA</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6943-2025</t>
        </is>
      </c>
      <c r="B4360" s="1" t="n">
        <v>45701</v>
      </c>
      <c r="C4360" s="1" t="n">
        <v>46145</v>
      </c>
      <c r="D4360" t="inlineStr">
        <is>
          <t>VÄSTERBOTTENS LÄN</t>
        </is>
      </c>
      <c r="E4360" t="inlineStr">
        <is>
          <t>LYCKSELE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60591-2024</t>
        </is>
      </c>
      <c r="B4361" s="1" t="n">
        <v>45642</v>
      </c>
      <c r="C4361" s="1" t="n">
        <v>46145</v>
      </c>
      <c r="D4361" t="inlineStr">
        <is>
          <t>VÄSTERBOTTENS LÄN</t>
        </is>
      </c>
      <c r="E4361" t="inlineStr">
        <is>
          <t>MALÅ</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60597-2024</t>
        </is>
      </c>
      <c r="B4362" s="1" t="n">
        <v>45644.36103009259</v>
      </c>
      <c r="C4362" s="1" t="n">
        <v>46145</v>
      </c>
      <c r="D4362" t="inlineStr">
        <is>
          <t>VÄSTERBOTTENS LÄN</t>
        </is>
      </c>
      <c r="E4362" t="inlineStr">
        <is>
          <t>VINDELN</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60604-2024</t>
        </is>
      </c>
      <c r="B4363" s="1" t="n">
        <v>45644.37731481482</v>
      </c>
      <c r="C4363" s="1" t="n">
        <v>46145</v>
      </c>
      <c r="D4363" t="inlineStr">
        <is>
          <t>VÄSTERBOTTENS LÄN</t>
        </is>
      </c>
      <c r="E4363" t="inlineStr">
        <is>
          <t>ROBERTSFORS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31760-2023</t>
        </is>
      </c>
      <c r="B4364" s="1" t="n">
        <v>45106</v>
      </c>
      <c r="C4364" s="1" t="n">
        <v>46145</v>
      </c>
      <c r="D4364" t="inlineStr">
        <is>
          <t>VÄSTERBOTTENS LÄN</t>
        </is>
      </c>
      <c r="E4364" t="inlineStr">
        <is>
          <t>SKELLEFTEÅ</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43973-2024</t>
        </is>
      </c>
      <c r="B4365" s="1" t="n">
        <v>45572.49059027778</v>
      </c>
      <c r="C4365" s="1" t="n">
        <v>46145</v>
      </c>
      <c r="D4365" t="inlineStr">
        <is>
          <t>VÄSTERBOTTENS LÄN</t>
        </is>
      </c>
      <c r="E4365" t="inlineStr">
        <is>
          <t>UMEÅ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41704-2025</t>
        </is>
      </c>
      <c r="B4366" s="1" t="n">
        <v>45902</v>
      </c>
      <c r="C4366" s="1" t="n">
        <v>46145</v>
      </c>
      <c r="D4366" t="inlineStr">
        <is>
          <t>VÄSTERBOTTENS LÄN</t>
        </is>
      </c>
      <c r="E4366" t="inlineStr">
        <is>
          <t>VILHELMINA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41697-2025</t>
        </is>
      </c>
      <c r="B4367" s="1" t="n">
        <v>45902.4074537037</v>
      </c>
      <c r="C4367" s="1" t="n">
        <v>46145</v>
      </c>
      <c r="D4367" t="inlineStr">
        <is>
          <t>VÄSTERBOTTENS LÄN</t>
        </is>
      </c>
      <c r="E4367" t="inlineStr">
        <is>
          <t>SKELLEFTEÅ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12256-2025</t>
        </is>
      </c>
      <c r="B4368" s="1" t="n">
        <v>45729.61527777778</v>
      </c>
      <c r="C4368" s="1" t="n">
        <v>46145</v>
      </c>
      <c r="D4368" t="inlineStr">
        <is>
          <t>VÄSTERBOTTENS LÄN</t>
        </is>
      </c>
      <c r="E4368" t="inlineStr">
        <is>
          <t>SKELLEFTEÅ</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362-2025</t>
        </is>
      </c>
      <c r="B4369" s="1" t="n">
        <v>45660.90559027778</v>
      </c>
      <c r="C4369" s="1" t="n">
        <v>46145</v>
      </c>
      <c r="D4369" t="inlineStr">
        <is>
          <t>VÄSTERBOTTENS LÄN</t>
        </is>
      </c>
      <c r="E4369" t="inlineStr">
        <is>
          <t>NORDMALING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10729-2025</t>
        </is>
      </c>
      <c r="B4370" s="1" t="n">
        <v>45722</v>
      </c>
      <c r="C4370" s="1" t="n">
        <v>46145</v>
      </c>
      <c r="D4370" t="inlineStr">
        <is>
          <t>VÄSTERBOTTENS LÄN</t>
        </is>
      </c>
      <c r="E4370" t="inlineStr">
        <is>
          <t>UMEÅ</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41218-2023</t>
        </is>
      </c>
      <c r="B4371" s="1" t="n">
        <v>45174.45435185185</v>
      </c>
      <c r="C4371" s="1" t="n">
        <v>46145</v>
      </c>
      <c r="D4371" t="inlineStr">
        <is>
          <t>VÄSTERBOTTENS LÄN</t>
        </is>
      </c>
      <c r="E4371" t="inlineStr">
        <is>
          <t>UMEÅ</t>
        </is>
      </c>
      <c r="F4371" t="inlineStr">
        <is>
          <t>Holmen skog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5575-2025</t>
        </is>
      </c>
      <c r="B4372" s="1" t="n">
        <v>45693.53200231482</v>
      </c>
      <c r="C4372" s="1" t="n">
        <v>46145</v>
      </c>
      <c r="D4372" t="inlineStr">
        <is>
          <t>VÄSTERBOTTENS LÄN</t>
        </is>
      </c>
      <c r="E4372" t="inlineStr">
        <is>
          <t>VILHELMINA</t>
        </is>
      </c>
      <c r="F4372" t="inlineStr">
        <is>
          <t>SCA</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41326-2025</t>
        </is>
      </c>
      <c r="B4373" s="1" t="n">
        <v>45899.28303240741</v>
      </c>
      <c r="C4373" s="1" t="n">
        <v>46145</v>
      </c>
      <c r="D4373" t="inlineStr">
        <is>
          <t>VÄSTERBOTTENS LÄN</t>
        </is>
      </c>
      <c r="E4373" t="inlineStr">
        <is>
          <t>SKELLEFTEÅ</t>
        </is>
      </c>
      <c r="F4373" t="inlineStr">
        <is>
          <t>Holmen skog AB</t>
        </is>
      </c>
      <c r="G4373" t="n">
        <v>21.6</v>
      </c>
      <c r="H4373" t="n">
        <v>0</v>
      </c>
      <c r="I4373" t="n">
        <v>0</v>
      </c>
      <c r="J4373" t="n">
        <v>0</v>
      </c>
      <c r="K4373" t="n">
        <v>0</v>
      </c>
      <c r="L4373" t="n">
        <v>0</v>
      </c>
      <c r="M4373" t="n">
        <v>0</v>
      </c>
      <c r="N4373" t="n">
        <v>0</v>
      </c>
      <c r="O4373" t="n">
        <v>0</v>
      </c>
      <c r="P4373" t="n">
        <v>0</v>
      </c>
      <c r="Q4373" t="n">
        <v>0</v>
      </c>
      <c r="R4373" s="2" t="inlineStr"/>
    </row>
    <row r="4374" ht="15" customHeight="1">
      <c r="A4374" t="inlineStr">
        <is>
          <t>A 41461-2025</t>
        </is>
      </c>
      <c r="B4374" s="1" t="n">
        <v>45901.44844907407</v>
      </c>
      <c r="C4374" s="1" t="n">
        <v>46145</v>
      </c>
      <c r="D4374" t="inlineStr">
        <is>
          <t>VÄSTERBOTTENS LÄN</t>
        </is>
      </c>
      <c r="E4374" t="inlineStr">
        <is>
          <t>MALÅ</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37946-2024</t>
        </is>
      </c>
      <c r="B4375" s="1" t="n">
        <v>45544.50325231482</v>
      </c>
      <c r="C4375" s="1" t="n">
        <v>46145</v>
      </c>
      <c r="D4375" t="inlineStr">
        <is>
          <t>VÄSTERBOTTENS LÄN</t>
        </is>
      </c>
      <c r="E4375" t="inlineStr">
        <is>
          <t>SKELLEFTEÅ</t>
        </is>
      </c>
      <c r="F4375" t="inlineStr">
        <is>
          <t>Holmen skog AB</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28573-2025</t>
        </is>
      </c>
      <c r="B4376" s="1" t="n">
        <v>45819</v>
      </c>
      <c r="C4376" s="1" t="n">
        <v>46145</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12141-2025</t>
        </is>
      </c>
      <c r="B4377" s="1" t="n">
        <v>45729.40373842593</v>
      </c>
      <c r="C4377" s="1" t="n">
        <v>46145</v>
      </c>
      <c r="D4377" t="inlineStr">
        <is>
          <t>VÄSTERBOTTENS LÄN</t>
        </is>
      </c>
      <c r="E4377" t="inlineStr">
        <is>
          <t>UMEÅ</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11956-2025</t>
        </is>
      </c>
      <c r="B4378" s="1" t="n">
        <v>45728.56809027777</v>
      </c>
      <c r="C4378" s="1" t="n">
        <v>46145</v>
      </c>
      <c r="D4378" t="inlineStr">
        <is>
          <t>VÄSTERBOTTENS LÄN</t>
        </is>
      </c>
      <c r="E4378" t="inlineStr">
        <is>
          <t>SKELLEFTEÅ</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41507-2025</t>
        </is>
      </c>
      <c r="B4379" s="1" t="n">
        <v>45901.52850694444</v>
      </c>
      <c r="C4379" s="1" t="n">
        <v>46145</v>
      </c>
      <c r="D4379" t="inlineStr">
        <is>
          <t>VÄSTERBOTTENS LÄN</t>
        </is>
      </c>
      <c r="E4379" t="inlineStr">
        <is>
          <t>SKELLEFTEÅ</t>
        </is>
      </c>
      <c r="F4379" t="inlineStr">
        <is>
          <t>Holmen skog AB</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14016-2025</t>
        </is>
      </c>
      <c r="B4380" s="1" t="n">
        <v>45740.31862268518</v>
      </c>
      <c r="C4380" s="1" t="n">
        <v>46145</v>
      </c>
      <c r="D4380" t="inlineStr">
        <is>
          <t>VÄSTERBOTTENS LÄN</t>
        </is>
      </c>
      <c r="E4380" t="inlineStr">
        <is>
          <t>SKELLEFTEÅ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41534-2025</t>
        </is>
      </c>
      <c r="B4381" s="1" t="n">
        <v>45901.56</v>
      </c>
      <c r="C4381" s="1" t="n">
        <v>46145</v>
      </c>
      <c r="D4381" t="inlineStr">
        <is>
          <t>VÄSTERBOTTENS LÄN</t>
        </is>
      </c>
      <c r="E4381" t="inlineStr">
        <is>
          <t>SKELLEFTEÅ</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41525-2025</t>
        </is>
      </c>
      <c r="B4382" s="1" t="n">
        <v>45901.55268518518</v>
      </c>
      <c r="C4382" s="1" t="n">
        <v>46145</v>
      </c>
      <c r="D4382" t="inlineStr">
        <is>
          <t>VÄSTERBOTTENS LÄN</t>
        </is>
      </c>
      <c r="E4382" t="inlineStr">
        <is>
          <t>ÅSELE</t>
        </is>
      </c>
      <c r="F4382" t="inlineStr">
        <is>
          <t>SCA</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41532-2025</t>
        </is>
      </c>
      <c r="B4383" s="1" t="n">
        <v>45901.55744212963</v>
      </c>
      <c r="C4383" s="1" t="n">
        <v>46145</v>
      </c>
      <c r="D4383" t="inlineStr">
        <is>
          <t>VÄSTERBOTTENS LÄN</t>
        </is>
      </c>
      <c r="E4383" t="inlineStr">
        <is>
          <t>SKELLEFTEÅ</t>
        </is>
      </c>
      <c r="F4383" t="inlineStr">
        <is>
          <t>Holmen skog AB</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61678-2022</t>
        </is>
      </c>
      <c r="B4384" s="1" t="n">
        <v>44917</v>
      </c>
      <c r="C4384" s="1" t="n">
        <v>46145</v>
      </c>
      <c r="D4384" t="inlineStr">
        <is>
          <t>VÄSTERBOTTENS LÄN</t>
        </is>
      </c>
      <c r="E4384" t="inlineStr">
        <is>
          <t>SORSELE</t>
        </is>
      </c>
      <c r="F4384" t="inlineStr">
        <is>
          <t>Sveaskog</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61992-2024</t>
        </is>
      </c>
      <c r="B4385" s="1" t="n">
        <v>45646</v>
      </c>
      <c r="C4385" s="1" t="n">
        <v>46145</v>
      </c>
      <c r="D4385" t="inlineStr">
        <is>
          <t>VÄSTERBOTTENS LÄN</t>
        </is>
      </c>
      <c r="E4385" t="inlineStr">
        <is>
          <t>MALÅ</t>
        </is>
      </c>
      <c r="F4385" t="inlineStr">
        <is>
          <t>Sveaskog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41604-2025</t>
        </is>
      </c>
      <c r="B4386" s="1" t="n">
        <v>45901.66380787037</v>
      </c>
      <c r="C4386" s="1" t="n">
        <v>46145</v>
      </c>
      <c r="D4386" t="inlineStr">
        <is>
          <t>VÄSTERBOTTENS LÄN</t>
        </is>
      </c>
      <c r="E4386" t="inlineStr">
        <is>
          <t>LYCKSELE</t>
        </is>
      </c>
      <c r="G4386" t="n">
        <v>16.6</v>
      </c>
      <c r="H4386" t="n">
        <v>0</v>
      </c>
      <c r="I4386" t="n">
        <v>0</v>
      </c>
      <c r="J4386" t="n">
        <v>0</v>
      </c>
      <c r="K4386" t="n">
        <v>0</v>
      </c>
      <c r="L4386" t="n">
        <v>0</v>
      </c>
      <c r="M4386" t="n">
        <v>0</v>
      </c>
      <c r="N4386" t="n">
        <v>0</v>
      </c>
      <c r="O4386" t="n">
        <v>0</v>
      </c>
      <c r="P4386" t="n">
        <v>0</v>
      </c>
      <c r="Q4386" t="n">
        <v>0</v>
      </c>
      <c r="R4386" s="2" t="inlineStr"/>
    </row>
    <row r="4387" ht="15" customHeight="1">
      <c r="A4387" t="inlineStr">
        <is>
          <t>A 32312-2025</t>
        </is>
      </c>
      <c r="B4387" s="1" t="n">
        <v>45835.83712962963</v>
      </c>
      <c r="C4387" s="1" t="n">
        <v>46145</v>
      </c>
      <c r="D4387" t="inlineStr">
        <is>
          <t>VÄSTERBOTTENS LÄN</t>
        </is>
      </c>
      <c r="E4387" t="inlineStr">
        <is>
          <t>NORDMALING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36124-2023</t>
        </is>
      </c>
      <c r="B4388" s="1" t="n">
        <v>45149</v>
      </c>
      <c r="C4388" s="1" t="n">
        <v>46145</v>
      </c>
      <c r="D4388" t="inlineStr">
        <is>
          <t>VÄSTERBOTTENS LÄN</t>
        </is>
      </c>
      <c r="E4388" t="inlineStr">
        <is>
          <t>MALÅ</t>
        </is>
      </c>
      <c r="G4388" t="n">
        <v>26.9</v>
      </c>
      <c r="H4388" t="n">
        <v>0</v>
      </c>
      <c r="I4388" t="n">
        <v>0</v>
      </c>
      <c r="J4388" t="n">
        <v>0</v>
      </c>
      <c r="K4388" t="n">
        <v>0</v>
      </c>
      <c r="L4388" t="n">
        <v>0</v>
      </c>
      <c r="M4388" t="n">
        <v>0</v>
      </c>
      <c r="N4388" t="n">
        <v>0</v>
      </c>
      <c r="O4388" t="n">
        <v>0</v>
      </c>
      <c r="P4388" t="n">
        <v>0</v>
      </c>
      <c r="Q4388" t="n">
        <v>0</v>
      </c>
      <c r="R4388" s="2" t="inlineStr"/>
    </row>
    <row r="4389" ht="15" customHeight="1">
      <c r="A4389" t="inlineStr">
        <is>
          <t>A 36132-2023</t>
        </is>
      </c>
      <c r="B4389" s="1" t="n">
        <v>45149</v>
      </c>
      <c r="C4389" s="1" t="n">
        <v>46145</v>
      </c>
      <c r="D4389" t="inlineStr">
        <is>
          <t>VÄSTERBOTTENS LÄN</t>
        </is>
      </c>
      <c r="E4389" t="inlineStr">
        <is>
          <t>LYCKSELE</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36137-2023</t>
        </is>
      </c>
      <c r="B4390" s="1" t="n">
        <v>45149</v>
      </c>
      <c r="C4390" s="1" t="n">
        <v>46145</v>
      </c>
      <c r="D4390" t="inlineStr">
        <is>
          <t>VÄSTERBOTTENS LÄN</t>
        </is>
      </c>
      <c r="E4390" t="inlineStr">
        <is>
          <t>DOROTEA</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31240-2022</t>
        </is>
      </c>
      <c r="B4391" s="1" t="n">
        <v>44771</v>
      </c>
      <c r="C4391" s="1" t="n">
        <v>46145</v>
      </c>
      <c r="D4391" t="inlineStr">
        <is>
          <t>VÄSTERBOTTENS LÄN</t>
        </is>
      </c>
      <c r="E4391" t="inlineStr">
        <is>
          <t>VINDELN</t>
        </is>
      </c>
      <c r="F4391" t="inlineStr">
        <is>
          <t>Holmen skog AB</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41364-2025</t>
        </is>
      </c>
      <c r="B4392" s="1" t="n">
        <v>45900.49313657408</v>
      </c>
      <c r="C4392" s="1" t="n">
        <v>46145</v>
      </c>
      <c r="D4392" t="inlineStr">
        <is>
          <t>VÄSTERBOTTENS LÄN</t>
        </is>
      </c>
      <c r="E4392" t="inlineStr">
        <is>
          <t>NORDMALING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11246-2025</t>
        </is>
      </c>
      <c r="B4393" s="1" t="n">
        <v>45726.38585648148</v>
      </c>
      <c r="C4393" s="1" t="n">
        <v>46145</v>
      </c>
      <c r="D4393" t="inlineStr">
        <is>
          <t>VÄSTERBOTTENS LÄN</t>
        </is>
      </c>
      <c r="E4393" t="inlineStr">
        <is>
          <t>STORUMAN</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41465-2025</t>
        </is>
      </c>
      <c r="B4394" s="1" t="n">
        <v>45899</v>
      </c>
      <c r="C4394" s="1" t="n">
        <v>46145</v>
      </c>
      <c r="D4394" t="inlineStr">
        <is>
          <t>VÄSTERBOTTENS LÄN</t>
        </is>
      </c>
      <c r="E4394" t="inlineStr">
        <is>
          <t>SORSELE</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41475-2025</t>
        </is>
      </c>
      <c r="B4395" s="1" t="n">
        <v>45901.46976851852</v>
      </c>
      <c r="C4395" s="1" t="n">
        <v>46145</v>
      </c>
      <c r="D4395" t="inlineStr">
        <is>
          <t>VÄSTERBOTTENS LÄN</t>
        </is>
      </c>
      <c r="E4395" t="inlineStr">
        <is>
          <t>MALÅ</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40943-2025</t>
        </is>
      </c>
      <c r="B4396" s="1" t="n">
        <v>45897</v>
      </c>
      <c r="C4396" s="1" t="n">
        <v>46145</v>
      </c>
      <c r="D4396" t="inlineStr">
        <is>
          <t>VÄSTERBOTTENS LÄN</t>
        </is>
      </c>
      <c r="E4396" t="inlineStr">
        <is>
          <t>MALÅ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32200-2022</t>
        </is>
      </c>
      <c r="B4397" s="1" t="n">
        <v>44781</v>
      </c>
      <c r="C4397" s="1" t="n">
        <v>46145</v>
      </c>
      <c r="D4397" t="inlineStr">
        <is>
          <t>VÄSTERBOTTENS LÄN</t>
        </is>
      </c>
      <c r="E4397" t="inlineStr">
        <is>
          <t>SKELLEFTEÅ</t>
        </is>
      </c>
      <c r="F4397" t="inlineStr">
        <is>
          <t>Kommuner</t>
        </is>
      </c>
      <c r="G4397" t="n">
        <v>20.6</v>
      </c>
      <c r="H4397" t="n">
        <v>0</v>
      </c>
      <c r="I4397" t="n">
        <v>0</v>
      </c>
      <c r="J4397" t="n">
        <v>0</v>
      </c>
      <c r="K4397" t="n">
        <v>0</v>
      </c>
      <c r="L4397" t="n">
        <v>0</v>
      </c>
      <c r="M4397" t="n">
        <v>0</v>
      </c>
      <c r="N4397" t="n">
        <v>0</v>
      </c>
      <c r="O4397" t="n">
        <v>0</v>
      </c>
      <c r="P4397" t="n">
        <v>0</v>
      </c>
      <c r="Q4397" t="n">
        <v>0</v>
      </c>
      <c r="R4397" s="2" t="inlineStr"/>
    </row>
    <row r="4398" ht="15" customHeight="1">
      <c r="A4398" t="inlineStr">
        <is>
          <t>A 41820-2025</t>
        </is>
      </c>
      <c r="B4398" s="1" t="n">
        <v>45902.66180555556</v>
      </c>
      <c r="C4398" s="1" t="n">
        <v>46145</v>
      </c>
      <c r="D4398" t="inlineStr">
        <is>
          <t>VÄSTERBOTTENS LÄN</t>
        </is>
      </c>
      <c r="E4398" t="inlineStr">
        <is>
          <t>NORDMALING</t>
        </is>
      </c>
      <c r="F4398" t="inlineStr">
        <is>
          <t>Holmen skog AB</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25182-2025</t>
        </is>
      </c>
      <c r="B4399" s="1" t="n">
        <v>45800.44905092593</v>
      </c>
      <c r="C4399" s="1" t="n">
        <v>46145</v>
      </c>
      <c r="D4399" t="inlineStr">
        <is>
          <t>VÄSTERBOTTENS LÄN</t>
        </is>
      </c>
      <c r="E4399" t="inlineStr">
        <is>
          <t>SKELLEFTEÅ</t>
        </is>
      </c>
      <c r="G4399" t="n">
        <v>19.3</v>
      </c>
      <c r="H4399" t="n">
        <v>0</v>
      </c>
      <c r="I4399" t="n">
        <v>0</v>
      </c>
      <c r="J4399" t="n">
        <v>0</v>
      </c>
      <c r="K4399" t="n">
        <v>0</v>
      </c>
      <c r="L4399" t="n">
        <v>0</v>
      </c>
      <c r="M4399" t="n">
        <v>0</v>
      </c>
      <c r="N4399" t="n">
        <v>0</v>
      </c>
      <c r="O4399" t="n">
        <v>0</v>
      </c>
      <c r="P4399" t="n">
        <v>0</v>
      </c>
      <c r="Q4399" t="n">
        <v>0</v>
      </c>
      <c r="R4399" s="2" t="inlineStr"/>
    </row>
    <row r="4400" ht="15" customHeight="1">
      <c r="A4400" t="inlineStr">
        <is>
          <t>A 31669-2025</t>
        </is>
      </c>
      <c r="B4400" s="1" t="n">
        <v>45834.36547453704</v>
      </c>
      <c r="C4400" s="1" t="n">
        <v>46145</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31355-2025</t>
        </is>
      </c>
      <c r="B4401" s="1" t="n">
        <v>45833.43050925926</v>
      </c>
      <c r="C4401" s="1" t="n">
        <v>46145</v>
      </c>
      <c r="D4401" t="inlineStr">
        <is>
          <t>VÄSTERBOTTENS LÄN</t>
        </is>
      </c>
      <c r="E4401" t="inlineStr">
        <is>
          <t>SKELLEFTEÅ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28308-2025</t>
        </is>
      </c>
      <c r="B4402" s="1" t="n">
        <v>45818.61790509259</v>
      </c>
      <c r="C4402" s="1" t="n">
        <v>46145</v>
      </c>
      <c r="D4402" t="inlineStr">
        <is>
          <t>VÄSTERBOTTENS LÄN</t>
        </is>
      </c>
      <c r="E4402" t="inlineStr">
        <is>
          <t>NORDMALING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41529-2025</t>
        </is>
      </c>
      <c r="B4403" s="1" t="n">
        <v>45901</v>
      </c>
      <c r="C4403" s="1" t="n">
        <v>46145</v>
      </c>
      <c r="D4403" t="inlineStr">
        <is>
          <t>VÄSTERBOTTENS LÄN</t>
        </is>
      </c>
      <c r="E4403" t="inlineStr">
        <is>
          <t>ROBERTSFORS</t>
        </is>
      </c>
      <c r="F4403" t="inlineStr">
        <is>
          <t>Holmen skog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41670-2025</t>
        </is>
      </c>
      <c r="B4404" s="1" t="n">
        <v>45902.361875</v>
      </c>
      <c r="C4404" s="1" t="n">
        <v>46145</v>
      </c>
      <c r="D4404" t="inlineStr">
        <is>
          <t>VÄSTERBOTTENS LÄN</t>
        </is>
      </c>
      <c r="E4404" t="inlineStr">
        <is>
          <t>SKELLEFTEÅ</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41672-2025</t>
        </is>
      </c>
      <c r="B4405" s="1" t="n">
        <v>45902.36494212963</v>
      </c>
      <c r="C4405" s="1" t="n">
        <v>46145</v>
      </c>
      <c r="D4405" t="inlineStr">
        <is>
          <t>VÄSTERBOTTENS LÄN</t>
        </is>
      </c>
      <c r="E4405" t="inlineStr">
        <is>
          <t>MALÅ</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569-2025</t>
        </is>
      </c>
      <c r="B4406" s="1" t="n">
        <v>45660</v>
      </c>
      <c r="C4406" s="1" t="n">
        <v>46145</v>
      </c>
      <c r="D4406" t="inlineStr">
        <is>
          <t>VÄSTERBOTTENS LÄN</t>
        </is>
      </c>
      <c r="E4406" t="inlineStr">
        <is>
          <t>SORSELE</t>
        </is>
      </c>
      <c r="G4406" t="n">
        <v>20.6</v>
      </c>
      <c r="H4406" t="n">
        <v>0</v>
      </c>
      <c r="I4406" t="n">
        <v>0</v>
      </c>
      <c r="J4406" t="n">
        <v>0</v>
      </c>
      <c r="K4406" t="n">
        <v>0</v>
      </c>
      <c r="L4406" t="n">
        <v>0</v>
      </c>
      <c r="M4406" t="n">
        <v>0</v>
      </c>
      <c r="N4406" t="n">
        <v>0</v>
      </c>
      <c r="O4406" t="n">
        <v>0</v>
      </c>
      <c r="P4406" t="n">
        <v>0</v>
      </c>
      <c r="Q4406" t="n">
        <v>0</v>
      </c>
      <c r="R4406" s="2" t="inlineStr"/>
    </row>
    <row r="4407" ht="15" customHeight="1">
      <c r="A4407" t="inlineStr">
        <is>
          <t>A 35591-2024</t>
        </is>
      </c>
      <c r="B4407" s="1" t="n">
        <v>45531.6533912037</v>
      </c>
      <c r="C4407" s="1" t="n">
        <v>46145</v>
      </c>
      <c r="D4407" t="inlineStr">
        <is>
          <t>VÄSTERBOTTENS LÄN</t>
        </is>
      </c>
      <c r="E4407" t="inlineStr">
        <is>
          <t>VINDELN</t>
        </is>
      </c>
      <c r="F4407" t="inlineStr">
        <is>
          <t>Holmen skog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14394-2025</t>
        </is>
      </c>
      <c r="B4408" s="1" t="n">
        <v>45741</v>
      </c>
      <c r="C4408" s="1" t="n">
        <v>46145</v>
      </c>
      <c r="D4408" t="inlineStr">
        <is>
          <t>VÄSTERBOTTENS LÄN</t>
        </is>
      </c>
      <c r="E4408" t="inlineStr">
        <is>
          <t>SKELLEFTEÅ</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15376-2025</t>
        </is>
      </c>
      <c r="B4409" s="1" t="n">
        <v>45747.40657407408</v>
      </c>
      <c r="C4409" s="1" t="n">
        <v>46145</v>
      </c>
      <c r="D4409" t="inlineStr">
        <is>
          <t>VÄSTERBOTTENS LÄN</t>
        </is>
      </c>
      <c r="E4409" t="inlineStr">
        <is>
          <t>UMEÅ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41559-2025</t>
        </is>
      </c>
      <c r="B4410" s="1" t="n">
        <v>45901.59436342592</v>
      </c>
      <c r="C4410" s="1" t="n">
        <v>46145</v>
      </c>
      <c r="D4410" t="inlineStr">
        <is>
          <t>VÄSTERBOTTENS LÄN</t>
        </is>
      </c>
      <c r="E4410" t="inlineStr">
        <is>
          <t>MALÅ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27698-2021</t>
        </is>
      </c>
      <c r="B4411" s="1" t="n">
        <v>44354.44306712963</v>
      </c>
      <c r="C4411" s="1" t="n">
        <v>46145</v>
      </c>
      <c r="D4411" t="inlineStr">
        <is>
          <t>VÄSTERBOTTENS LÄN</t>
        </is>
      </c>
      <c r="E4411" t="inlineStr">
        <is>
          <t>SKELLEFTEÅ</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25689-2025</t>
        </is>
      </c>
      <c r="B4412" s="1" t="n">
        <v>45803.66111111111</v>
      </c>
      <c r="C4412" s="1" t="n">
        <v>46145</v>
      </c>
      <c r="D4412" t="inlineStr">
        <is>
          <t>VÄSTERBOTTENS LÄN</t>
        </is>
      </c>
      <c r="E4412" t="inlineStr">
        <is>
          <t>UMEÅ</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17015-2025</t>
        </is>
      </c>
      <c r="B4413" s="1" t="n">
        <v>45755.55318287037</v>
      </c>
      <c r="C4413" s="1" t="n">
        <v>46145</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39686-2025</t>
        </is>
      </c>
      <c r="B4414" s="1" t="n">
        <v>45890</v>
      </c>
      <c r="C4414" s="1" t="n">
        <v>46145</v>
      </c>
      <c r="D4414" t="inlineStr">
        <is>
          <t>VÄSTERBOTTENS LÄN</t>
        </is>
      </c>
      <c r="E4414" t="inlineStr">
        <is>
          <t>DOROTEA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47799-2023</t>
        </is>
      </c>
      <c r="B4415" s="1" t="n">
        <v>45203</v>
      </c>
      <c r="C4415" s="1" t="n">
        <v>46145</v>
      </c>
      <c r="D4415" t="inlineStr">
        <is>
          <t>VÄSTERBOTTENS LÄN</t>
        </is>
      </c>
      <c r="E4415" t="inlineStr">
        <is>
          <t>MALÅ</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42068-2025</t>
        </is>
      </c>
      <c r="B4416" s="1" t="n">
        <v>45903</v>
      </c>
      <c r="C4416" s="1" t="n">
        <v>46145</v>
      </c>
      <c r="D4416" t="inlineStr">
        <is>
          <t>VÄSTERBOTTENS LÄN</t>
        </is>
      </c>
      <c r="E4416" t="inlineStr">
        <is>
          <t>ÅSELE</t>
        </is>
      </c>
      <c r="F4416" t="inlineStr">
        <is>
          <t>SCA</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23823-2024</t>
        </is>
      </c>
      <c r="B4417" s="1" t="n">
        <v>45455</v>
      </c>
      <c r="C4417" s="1" t="n">
        <v>46145</v>
      </c>
      <c r="D4417" t="inlineStr">
        <is>
          <t>VÄSTERBOTTENS LÄN</t>
        </is>
      </c>
      <c r="E4417" t="inlineStr">
        <is>
          <t>SKELLEFTEÅ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33753-2021</t>
        </is>
      </c>
      <c r="B4418" s="1" t="n">
        <v>44378.49517361111</v>
      </c>
      <c r="C4418" s="1" t="n">
        <v>46145</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12043-2025</t>
        </is>
      </c>
      <c r="B4419" s="1" t="n">
        <v>45728.65733796296</v>
      </c>
      <c r="C4419" s="1" t="n">
        <v>46145</v>
      </c>
      <c r="D4419" t="inlineStr">
        <is>
          <t>VÄSTERBOTTENS LÄN</t>
        </is>
      </c>
      <c r="E4419" t="inlineStr">
        <is>
          <t>SORSELE</t>
        </is>
      </c>
      <c r="F4419" t="inlineStr">
        <is>
          <t>SCA</t>
        </is>
      </c>
      <c r="G4419" t="n">
        <v>13.2</v>
      </c>
      <c r="H4419" t="n">
        <v>0</v>
      </c>
      <c r="I4419" t="n">
        <v>0</v>
      </c>
      <c r="J4419" t="n">
        <v>0</v>
      </c>
      <c r="K4419" t="n">
        <v>0</v>
      </c>
      <c r="L4419" t="n">
        <v>0</v>
      </c>
      <c r="M4419" t="n">
        <v>0</v>
      </c>
      <c r="N4419" t="n">
        <v>0</v>
      </c>
      <c r="O4419" t="n">
        <v>0</v>
      </c>
      <c r="P4419" t="n">
        <v>0</v>
      </c>
      <c r="Q4419" t="n">
        <v>0</v>
      </c>
      <c r="R4419" s="2" t="inlineStr"/>
    </row>
    <row r="4420" ht="15" customHeight="1">
      <c r="A4420" t="inlineStr">
        <is>
          <t>A 42086-2025</t>
        </is>
      </c>
      <c r="B4420" s="1" t="n">
        <v>45903.69359953704</v>
      </c>
      <c r="C4420" s="1" t="n">
        <v>46145</v>
      </c>
      <c r="D4420" t="inlineStr">
        <is>
          <t>VÄSTERBOTTENS LÄN</t>
        </is>
      </c>
      <c r="E4420" t="inlineStr">
        <is>
          <t>SKELLEFTEÅ</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42107-2025</t>
        </is>
      </c>
      <c r="B4421" s="1" t="n">
        <v>45903.90503472222</v>
      </c>
      <c r="C4421" s="1" t="n">
        <v>46145</v>
      </c>
      <c r="D4421" t="inlineStr">
        <is>
          <t>VÄSTERBOTTENS LÄN</t>
        </is>
      </c>
      <c r="E4421" t="inlineStr">
        <is>
          <t>SKELLEFTEÅ</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42051-2025</t>
        </is>
      </c>
      <c r="B4422" s="1" t="n">
        <v>45903.63274305555</v>
      </c>
      <c r="C4422" s="1" t="n">
        <v>46145</v>
      </c>
      <c r="D4422" t="inlineStr">
        <is>
          <t>VÄSTERBOTTENS LÄN</t>
        </is>
      </c>
      <c r="E4422" t="inlineStr">
        <is>
          <t>LYCKSELE</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12090-2025</t>
        </is>
      </c>
      <c r="B4423" s="1" t="n">
        <v>45729.30722222223</v>
      </c>
      <c r="C4423" s="1" t="n">
        <v>46145</v>
      </c>
      <c r="D4423" t="inlineStr">
        <is>
          <t>VÄSTERBOTTENS LÄN</t>
        </is>
      </c>
      <c r="E4423" t="inlineStr">
        <is>
          <t>SKELLEFTEÅ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23126-2022</t>
        </is>
      </c>
      <c r="B4424" s="1" t="n">
        <v>44719</v>
      </c>
      <c r="C4424" s="1" t="n">
        <v>46145</v>
      </c>
      <c r="D4424" t="inlineStr">
        <is>
          <t>VÄSTERBOTTENS LÄN</t>
        </is>
      </c>
      <c r="E4424" t="inlineStr">
        <is>
          <t>SORSELE</t>
        </is>
      </c>
      <c r="G4424" t="n">
        <v>20.7</v>
      </c>
      <c r="H4424" t="n">
        <v>0</v>
      </c>
      <c r="I4424" t="n">
        <v>0</v>
      </c>
      <c r="J4424" t="n">
        <v>0</v>
      </c>
      <c r="K4424" t="n">
        <v>0</v>
      </c>
      <c r="L4424" t="n">
        <v>0</v>
      </c>
      <c r="M4424" t="n">
        <v>0</v>
      </c>
      <c r="N4424" t="n">
        <v>0</v>
      </c>
      <c r="O4424" t="n">
        <v>0</v>
      </c>
      <c r="P4424" t="n">
        <v>0</v>
      </c>
      <c r="Q4424" t="n">
        <v>0</v>
      </c>
      <c r="R4424" s="2" t="inlineStr"/>
    </row>
    <row r="4425" ht="15" customHeight="1">
      <c r="A4425" t="inlineStr">
        <is>
          <t>A 29655-2024</t>
        </is>
      </c>
      <c r="B4425" s="1" t="n">
        <v>45484</v>
      </c>
      <c r="C4425" s="1" t="n">
        <v>46145</v>
      </c>
      <c r="D4425" t="inlineStr">
        <is>
          <t>VÄSTERBOTTENS LÄN</t>
        </is>
      </c>
      <c r="E4425" t="inlineStr">
        <is>
          <t>UMEÅ</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41907-2025</t>
        </is>
      </c>
      <c r="B4426" s="1" t="n">
        <v>45903.40694444445</v>
      </c>
      <c r="C4426" s="1" t="n">
        <v>46145</v>
      </c>
      <c r="D4426" t="inlineStr">
        <is>
          <t>VÄSTERBOTTENS LÄN</t>
        </is>
      </c>
      <c r="E4426" t="inlineStr">
        <is>
          <t>DOROTEA</t>
        </is>
      </c>
      <c r="F4426" t="inlineStr">
        <is>
          <t>Övriga Aktiebolag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41910-2025</t>
        </is>
      </c>
      <c r="B4427" s="1" t="n">
        <v>45903.40789351852</v>
      </c>
      <c r="C4427" s="1" t="n">
        <v>46145</v>
      </c>
      <c r="D4427" t="inlineStr">
        <is>
          <t>VÄSTERBOTTENS LÄN</t>
        </is>
      </c>
      <c r="E4427" t="inlineStr">
        <is>
          <t>SKELLEFTEÅ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42276-2025</t>
        </is>
      </c>
      <c r="B4428" s="1" t="n">
        <v>45904.61506944444</v>
      </c>
      <c r="C4428" s="1" t="n">
        <v>46145</v>
      </c>
      <c r="D4428" t="inlineStr">
        <is>
          <t>VÄSTERBOTTENS LÄN</t>
        </is>
      </c>
      <c r="E4428" t="inlineStr">
        <is>
          <t>ÅSELE</t>
        </is>
      </c>
      <c r="F4428" t="inlineStr">
        <is>
          <t>SCA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5678-2025</t>
        </is>
      </c>
      <c r="B4429" s="1" t="n">
        <v>45694</v>
      </c>
      <c r="C4429" s="1" t="n">
        <v>46145</v>
      </c>
      <c r="D4429" t="inlineStr">
        <is>
          <t>VÄSTERBOTTENS LÄN</t>
        </is>
      </c>
      <c r="E4429" t="inlineStr">
        <is>
          <t>UMEÅ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42302-2025</t>
        </is>
      </c>
      <c r="B4430" s="1" t="n">
        <v>45904.64270833333</v>
      </c>
      <c r="C4430" s="1" t="n">
        <v>46145</v>
      </c>
      <c r="D4430" t="inlineStr">
        <is>
          <t>VÄSTERBOTTENS LÄN</t>
        </is>
      </c>
      <c r="E4430" t="inlineStr">
        <is>
          <t>ROBERTSFORS</t>
        </is>
      </c>
      <c r="F4430" t="inlineStr">
        <is>
          <t>Holmen skog AB</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42248-2025</t>
        </is>
      </c>
      <c r="B4431" s="1" t="n">
        <v>45903</v>
      </c>
      <c r="C4431" s="1" t="n">
        <v>46145</v>
      </c>
      <c r="D4431" t="inlineStr">
        <is>
          <t>VÄSTERBOTTENS LÄN</t>
        </is>
      </c>
      <c r="E4431" t="inlineStr">
        <is>
          <t>SKELLEFTEÅ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42204-2025</t>
        </is>
      </c>
      <c r="B4432" s="1" t="n">
        <v>45904.49043981481</v>
      </c>
      <c r="C4432" s="1" t="n">
        <v>46145</v>
      </c>
      <c r="D4432" t="inlineStr">
        <is>
          <t>VÄSTERBOTTENS LÄN</t>
        </is>
      </c>
      <c r="E4432" t="inlineStr">
        <is>
          <t>UMEÅ</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37819-2022</t>
        </is>
      </c>
      <c r="B4433" s="1" t="n">
        <v>44810</v>
      </c>
      <c r="C4433" s="1" t="n">
        <v>46145</v>
      </c>
      <c r="D4433" t="inlineStr">
        <is>
          <t>VÄSTERBOTTENS LÄN</t>
        </is>
      </c>
      <c r="E4433" t="inlineStr">
        <is>
          <t>SKELLEFTEÅ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41898-2025</t>
        </is>
      </c>
      <c r="B4434" s="1" t="n">
        <v>45903</v>
      </c>
      <c r="C4434" s="1" t="n">
        <v>46145</v>
      </c>
      <c r="D4434" t="inlineStr">
        <is>
          <t>VÄSTERBOTTENS LÄN</t>
        </is>
      </c>
      <c r="E4434" t="inlineStr">
        <is>
          <t>ROBERTSFORS</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8887-2025</t>
        </is>
      </c>
      <c r="B4435" s="1" t="n">
        <v>45713.39284722223</v>
      </c>
      <c r="C4435" s="1" t="n">
        <v>46145</v>
      </c>
      <c r="D4435" t="inlineStr">
        <is>
          <t>VÄSTERBOTTENS LÄN</t>
        </is>
      </c>
      <c r="E4435" t="inlineStr">
        <is>
          <t>SKELLEFTEÅ</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41906-2025</t>
        </is>
      </c>
      <c r="B4436" s="1" t="n">
        <v>45903.40400462963</v>
      </c>
      <c r="C4436" s="1" t="n">
        <v>46145</v>
      </c>
      <c r="D4436" t="inlineStr">
        <is>
          <t>VÄSTERBOTTENS LÄN</t>
        </is>
      </c>
      <c r="E4436" t="inlineStr">
        <is>
          <t>LYCKSELE</t>
        </is>
      </c>
      <c r="F4436" t="inlineStr">
        <is>
          <t>Sveaskog</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41917-2025</t>
        </is>
      </c>
      <c r="B4437" s="1" t="n">
        <v>45903.42202546296</v>
      </c>
      <c r="C4437" s="1" t="n">
        <v>46145</v>
      </c>
      <c r="D4437" t="inlineStr">
        <is>
          <t>VÄSTERBOTTENS LÄN</t>
        </is>
      </c>
      <c r="E4437" t="inlineStr">
        <is>
          <t>SKELLEFTEÅ</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8927-2025</t>
        </is>
      </c>
      <c r="B4438" s="1" t="n">
        <v>45713.44215277778</v>
      </c>
      <c r="C4438" s="1" t="n">
        <v>46145</v>
      </c>
      <c r="D4438" t="inlineStr">
        <is>
          <t>VÄSTERBOTTENS LÄN</t>
        </is>
      </c>
      <c r="E4438" t="inlineStr">
        <is>
          <t>SKELLEFTEÅ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8935-2025</t>
        </is>
      </c>
      <c r="B4439" s="1" t="n">
        <v>45713.44832175926</v>
      </c>
      <c r="C4439" s="1" t="n">
        <v>46145</v>
      </c>
      <c r="D4439" t="inlineStr">
        <is>
          <t>VÄSTERBOTTENS LÄN</t>
        </is>
      </c>
      <c r="E4439" t="inlineStr">
        <is>
          <t>VÄNNÄS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60757-2024</t>
        </is>
      </c>
      <c r="B4440" s="1" t="n">
        <v>45642</v>
      </c>
      <c r="C4440" s="1" t="n">
        <v>46145</v>
      </c>
      <c r="D4440" t="inlineStr">
        <is>
          <t>VÄSTERBOTTENS LÄN</t>
        </is>
      </c>
      <c r="E4440" t="inlineStr">
        <is>
          <t>DOROTEA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21066-2021</t>
        </is>
      </c>
      <c r="B4441" s="1" t="n">
        <v>44319</v>
      </c>
      <c r="C4441" s="1" t="n">
        <v>46145</v>
      </c>
      <c r="D4441" t="inlineStr">
        <is>
          <t>VÄSTERBOTTENS LÄN</t>
        </is>
      </c>
      <c r="E4441" t="inlineStr">
        <is>
          <t>SKELLEFTEÅ</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42360-2025</t>
        </is>
      </c>
      <c r="B4442" s="1" t="n">
        <v>45904</v>
      </c>
      <c r="C4442" s="1" t="n">
        <v>46145</v>
      </c>
      <c r="D4442" t="inlineStr">
        <is>
          <t>VÄSTERBOTTENS LÄN</t>
        </is>
      </c>
      <c r="E4442" t="inlineStr">
        <is>
          <t>VILHELMINA</t>
        </is>
      </c>
      <c r="F4442" t="inlineStr">
        <is>
          <t>Övriga Aktiebolag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42242-2025</t>
        </is>
      </c>
      <c r="B4443" s="1" t="n">
        <v>45904.57342592593</v>
      </c>
      <c r="C4443" s="1" t="n">
        <v>46145</v>
      </c>
      <c r="D4443" t="inlineStr">
        <is>
          <t>VÄSTERBOTTENS LÄN</t>
        </is>
      </c>
      <c r="E4443" t="inlineStr">
        <is>
          <t>SORSELE</t>
        </is>
      </c>
      <c r="F4443" t="inlineStr">
        <is>
          <t>SCA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57471-2024</t>
        </is>
      </c>
      <c r="B4444" s="1" t="n">
        <v>45630.34428240741</v>
      </c>
      <c r="C4444" s="1" t="n">
        <v>46145</v>
      </c>
      <c r="D4444" t="inlineStr">
        <is>
          <t>VÄSTERBOTTENS LÄN</t>
        </is>
      </c>
      <c r="E4444" t="inlineStr">
        <is>
          <t>LYCKSELE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41955-2025</t>
        </is>
      </c>
      <c r="B4445" s="1" t="n">
        <v>45903</v>
      </c>
      <c r="C4445" s="1" t="n">
        <v>46145</v>
      </c>
      <c r="D4445" t="inlineStr">
        <is>
          <t>VÄSTERBOTTENS LÄN</t>
        </is>
      </c>
      <c r="E4445" t="inlineStr">
        <is>
          <t>ROBERTSFORS</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41864-2025</t>
        </is>
      </c>
      <c r="B4446" s="1" t="n">
        <v>45903.33118055556</v>
      </c>
      <c r="C4446" s="1" t="n">
        <v>46145</v>
      </c>
      <c r="D4446" t="inlineStr">
        <is>
          <t>VÄSTERBOTTENS LÄN</t>
        </is>
      </c>
      <c r="E4446" t="inlineStr">
        <is>
          <t>STORUMAN</t>
        </is>
      </c>
      <c r="F4446" t="inlineStr">
        <is>
          <t>Allmännings- och besparingsskogar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42116-2025</t>
        </is>
      </c>
      <c r="B4447" s="1" t="n">
        <v>45904.33420138889</v>
      </c>
      <c r="C4447" s="1" t="n">
        <v>46145</v>
      </c>
      <c r="D4447" t="inlineStr">
        <is>
          <t>VÄSTERBOTTENS LÄN</t>
        </is>
      </c>
      <c r="E4447" t="inlineStr">
        <is>
          <t>SKELLEFTEÅ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42121-2025</t>
        </is>
      </c>
      <c r="B4448" s="1" t="n">
        <v>45904.34252314815</v>
      </c>
      <c r="C4448" s="1" t="n">
        <v>46145</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42125-2025</t>
        </is>
      </c>
      <c r="B4449" s="1" t="n">
        <v>45904.34472222222</v>
      </c>
      <c r="C4449" s="1" t="n">
        <v>46145</v>
      </c>
      <c r="D4449" t="inlineStr">
        <is>
          <t>VÄSTERBOTTENS LÄN</t>
        </is>
      </c>
      <c r="E4449" t="inlineStr">
        <is>
          <t>DOROTEA</t>
        </is>
      </c>
      <c r="F4449" t="inlineStr">
        <is>
          <t>Övriga Aktiebolag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40434-2023</t>
        </is>
      </c>
      <c r="B4450" s="1" t="n">
        <v>45169.94084490741</v>
      </c>
      <c r="C4450" s="1" t="n">
        <v>46145</v>
      </c>
      <c r="D4450" t="inlineStr">
        <is>
          <t>VÄSTERBOTTENS LÄN</t>
        </is>
      </c>
      <c r="E4450" t="inlineStr">
        <is>
          <t>DOROTEA</t>
        </is>
      </c>
      <c r="F4450" t="inlineStr">
        <is>
          <t>SCA</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41871-2025</t>
        </is>
      </c>
      <c r="B4451" s="1" t="n">
        <v>45903.34480324074</v>
      </c>
      <c r="C4451" s="1" t="n">
        <v>46145</v>
      </c>
      <c r="D4451" t="inlineStr">
        <is>
          <t>VÄSTERBOTTENS LÄN</t>
        </is>
      </c>
      <c r="E4451" t="inlineStr">
        <is>
          <t>DOROTEA</t>
        </is>
      </c>
      <c r="F4451" t="inlineStr">
        <is>
          <t>SCA</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24457-2024</t>
        </is>
      </c>
      <c r="B4452" s="1" t="n">
        <v>45457.96708333334</v>
      </c>
      <c r="C4452" s="1" t="n">
        <v>46145</v>
      </c>
      <c r="D4452" t="inlineStr">
        <is>
          <t>VÄSTERBOTTENS LÄN</t>
        </is>
      </c>
      <c r="E4452" t="inlineStr">
        <is>
          <t>VILHELMINA</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40493-2023</t>
        </is>
      </c>
      <c r="B4453" s="1" t="n">
        <v>45170</v>
      </c>
      <c r="C4453" s="1" t="n">
        <v>46145</v>
      </c>
      <c r="D4453" t="inlineStr">
        <is>
          <t>VÄSTERBOTTENS LÄN</t>
        </is>
      </c>
      <c r="E4453" t="inlineStr">
        <is>
          <t>NORSJÖ</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24467-2024</t>
        </is>
      </c>
      <c r="B4454" s="1" t="n">
        <v>45458.29769675926</v>
      </c>
      <c r="C4454" s="1" t="n">
        <v>46145</v>
      </c>
      <c r="D4454" t="inlineStr">
        <is>
          <t>VÄSTERBOTTENS LÄN</t>
        </is>
      </c>
      <c r="E4454" t="inlineStr">
        <is>
          <t>ROBERTSFORS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13313-2023</t>
        </is>
      </c>
      <c r="B4455" s="1" t="n">
        <v>45005</v>
      </c>
      <c r="C4455" s="1" t="n">
        <v>46145</v>
      </c>
      <c r="D4455" t="inlineStr">
        <is>
          <t>VÄSTERBOTTENS LÄN</t>
        </is>
      </c>
      <c r="E4455" t="inlineStr">
        <is>
          <t>VINDELN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41882-2025</t>
        </is>
      </c>
      <c r="B4456" s="1" t="n">
        <v>45903.36497685185</v>
      </c>
      <c r="C4456" s="1" t="n">
        <v>46145</v>
      </c>
      <c r="D4456" t="inlineStr">
        <is>
          <t>VÄSTERBOTTENS LÄN</t>
        </is>
      </c>
      <c r="E4456" t="inlineStr">
        <is>
          <t>DOROTEA</t>
        </is>
      </c>
      <c r="F4456" t="inlineStr">
        <is>
          <t>SCA</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41885-2025</t>
        </is>
      </c>
      <c r="B4457" s="1" t="n">
        <v>45903.36555555555</v>
      </c>
      <c r="C4457" s="1" t="n">
        <v>46145</v>
      </c>
      <c r="D4457" t="inlineStr">
        <is>
          <t>VÄSTERBOTTENS LÄN</t>
        </is>
      </c>
      <c r="E4457" t="inlineStr">
        <is>
          <t>DOROTEA</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10496-2025</t>
        </is>
      </c>
      <c r="B4458" s="1" t="n">
        <v>45721.36486111111</v>
      </c>
      <c r="C4458" s="1" t="n">
        <v>46145</v>
      </c>
      <c r="D4458" t="inlineStr">
        <is>
          <t>VÄSTERBOTTENS LÄN</t>
        </is>
      </c>
      <c r="E4458" t="inlineStr">
        <is>
          <t>DOROTEA</t>
        </is>
      </c>
      <c r="F4458" t="inlineStr">
        <is>
          <t>SCA</t>
        </is>
      </c>
      <c r="G4458" t="n">
        <v>9.5</v>
      </c>
      <c r="H4458" t="n">
        <v>0</v>
      </c>
      <c r="I4458" t="n">
        <v>0</v>
      </c>
      <c r="J4458" t="n">
        <v>0</v>
      </c>
      <c r="K4458" t="n">
        <v>0</v>
      </c>
      <c r="L4458" t="n">
        <v>0</v>
      </c>
      <c r="M4458" t="n">
        <v>0</v>
      </c>
      <c r="N4458" t="n">
        <v>0</v>
      </c>
      <c r="O4458" t="n">
        <v>0</v>
      </c>
      <c r="P4458" t="n">
        <v>0</v>
      </c>
      <c r="Q4458" t="n">
        <v>0</v>
      </c>
      <c r="R4458" s="2" t="inlineStr"/>
    </row>
    <row r="4459" ht="15" customHeight="1">
      <c r="A4459" t="inlineStr">
        <is>
          <t>A 42278-2025</t>
        </is>
      </c>
      <c r="B4459" s="1" t="n">
        <v>45904.61540509259</v>
      </c>
      <c r="C4459" s="1" t="n">
        <v>46145</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22672-2021</t>
        </is>
      </c>
      <c r="B4460" s="1" t="n">
        <v>44322</v>
      </c>
      <c r="C4460" s="1" t="n">
        <v>46145</v>
      </c>
      <c r="D4460" t="inlineStr">
        <is>
          <t>VÄSTERBOTTENS LÄN</t>
        </is>
      </c>
      <c r="E4460" t="inlineStr">
        <is>
          <t>SORSELE</t>
        </is>
      </c>
      <c r="F4460" t="inlineStr">
        <is>
          <t>Allmännings- och besparingsskogar</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41911-2025</t>
        </is>
      </c>
      <c r="B4461" s="1" t="n">
        <v>45903.40899305556</v>
      </c>
      <c r="C4461" s="1" t="n">
        <v>46145</v>
      </c>
      <c r="D4461" t="inlineStr">
        <is>
          <t>VÄSTERBOTTENS LÄN</t>
        </is>
      </c>
      <c r="E4461" t="inlineStr">
        <is>
          <t>LYCKSELE</t>
        </is>
      </c>
      <c r="F4461" t="inlineStr">
        <is>
          <t>Sveaskog</t>
        </is>
      </c>
      <c r="G4461" t="n">
        <v>9.4</v>
      </c>
      <c r="H4461" t="n">
        <v>0</v>
      </c>
      <c r="I4461" t="n">
        <v>0</v>
      </c>
      <c r="J4461" t="n">
        <v>0</v>
      </c>
      <c r="K4461" t="n">
        <v>0</v>
      </c>
      <c r="L4461" t="n">
        <v>0</v>
      </c>
      <c r="M4461" t="n">
        <v>0</v>
      </c>
      <c r="N4461" t="n">
        <v>0</v>
      </c>
      <c r="O4461" t="n">
        <v>0</v>
      </c>
      <c r="P4461" t="n">
        <v>0</v>
      </c>
      <c r="Q4461" t="n">
        <v>0</v>
      </c>
      <c r="R4461" s="2" t="inlineStr"/>
    </row>
    <row r="4462" ht="15" customHeight="1">
      <c r="A4462" t="inlineStr">
        <is>
          <t>A 41924-2025</t>
        </is>
      </c>
      <c r="B4462" s="1" t="n">
        <v>45903.42737268518</v>
      </c>
      <c r="C4462" s="1" t="n">
        <v>46145</v>
      </c>
      <c r="D4462" t="inlineStr">
        <is>
          <t>VÄSTERBOTTENS LÄN</t>
        </is>
      </c>
      <c r="E4462" t="inlineStr">
        <is>
          <t>NORSJÖ</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42331-2021</t>
        </is>
      </c>
      <c r="B4463" s="1" t="n">
        <v>44427</v>
      </c>
      <c r="C4463" s="1" t="n">
        <v>46145</v>
      </c>
      <c r="D4463" t="inlineStr">
        <is>
          <t>VÄSTERBOTTENS LÄN</t>
        </is>
      </c>
      <c r="E4463" t="inlineStr">
        <is>
          <t>STORUMAN</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42352-2021</t>
        </is>
      </c>
      <c r="B4464" s="1" t="n">
        <v>44427</v>
      </c>
      <c r="C4464" s="1" t="n">
        <v>46145</v>
      </c>
      <c r="D4464" t="inlineStr">
        <is>
          <t>VÄSTERBOTTENS LÄN</t>
        </is>
      </c>
      <c r="E4464" t="inlineStr">
        <is>
          <t>UMEÅ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11437-2025</t>
        </is>
      </c>
      <c r="B4465" s="1" t="n">
        <v>45726.61538194444</v>
      </c>
      <c r="C4465" s="1" t="n">
        <v>46145</v>
      </c>
      <c r="D4465" t="inlineStr">
        <is>
          <t>VÄSTERBOTTENS LÄN</t>
        </is>
      </c>
      <c r="E4465" t="inlineStr">
        <is>
          <t>BJURHOLM</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42012-2025</t>
        </is>
      </c>
      <c r="B4466" s="1" t="n">
        <v>45903.57320601852</v>
      </c>
      <c r="C4466" s="1" t="n">
        <v>46145</v>
      </c>
      <c r="D4466" t="inlineStr">
        <is>
          <t>VÄSTERBOTTENS LÄN</t>
        </is>
      </c>
      <c r="E4466" t="inlineStr">
        <is>
          <t>STORUMAN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16570-2023</t>
        </is>
      </c>
      <c r="B4467" s="1" t="n">
        <v>45029.94212962963</v>
      </c>
      <c r="C4467" s="1" t="n">
        <v>46145</v>
      </c>
      <c r="D4467" t="inlineStr">
        <is>
          <t>VÄSTERBOTTENS LÄN</t>
        </is>
      </c>
      <c r="E4467" t="inlineStr">
        <is>
          <t>ÅSELE</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42198-2025</t>
        </is>
      </c>
      <c r="B4468" s="1" t="n">
        <v>45904.48623842592</v>
      </c>
      <c r="C4468" s="1" t="n">
        <v>46145</v>
      </c>
      <c r="D4468" t="inlineStr">
        <is>
          <t>VÄSTERBOTTENS LÄN</t>
        </is>
      </c>
      <c r="E4468" t="inlineStr">
        <is>
          <t>UMEÅ</t>
        </is>
      </c>
      <c r="F4468" t="inlineStr">
        <is>
          <t>Holmen skog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40409-2025</t>
        </is>
      </c>
      <c r="B4469" s="1" t="n">
        <v>45895</v>
      </c>
      <c r="C4469" s="1" t="n">
        <v>46145</v>
      </c>
      <c r="D4469" t="inlineStr">
        <is>
          <t>VÄSTERBOTTENS LÄN</t>
        </is>
      </c>
      <c r="E4469" t="inlineStr">
        <is>
          <t>SKELLEFTEÅ</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42382-2025</t>
        </is>
      </c>
      <c r="B4470" s="1" t="n">
        <v>45904</v>
      </c>
      <c r="C4470" s="1" t="n">
        <v>46145</v>
      </c>
      <c r="D4470" t="inlineStr">
        <is>
          <t>VÄSTERBOTTENS LÄN</t>
        </is>
      </c>
      <c r="E4470" t="inlineStr">
        <is>
          <t>VILHELMINA</t>
        </is>
      </c>
      <c r="F4470" t="inlineStr">
        <is>
          <t>Övriga Aktiebolag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42476-2025</t>
        </is>
      </c>
      <c r="B4471" s="1" t="n">
        <v>45904</v>
      </c>
      <c r="C4471" s="1" t="n">
        <v>46145</v>
      </c>
      <c r="D4471" t="inlineStr">
        <is>
          <t>VÄSTERBOTTENS LÄN</t>
        </is>
      </c>
      <c r="E4471" t="inlineStr">
        <is>
          <t>UMEÅ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42241-2025</t>
        </is>
      </c>
      <c r="B4472" s="1" t="n">
        <v>45903</v>
      </c>
      <c r="C4472" s="1" t="n">
        <v>46145</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9740-2023</t>
        </is>
      </c>
      <c r="B4473" s="1" t="n">
        <v>44978</v>
      </c>
      <c r="C4473" s="1" t="n">
        <v>46145</v>
      </c>
      <c r="D4473" t="inlineStr">
        <is>
          <t>VÄSTERBOTTENS LÄN</t>
        </is>
      </c>
      <c r="E4473" t="inlineStr">
        <is>
          <t>SKELLEFTEÅ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41973-2025</t>
        </is>
      </c>
      <c r="B4474" s="1" t="n">
        <v>45903.49407407407</v>
      </c>
      <c r="C4474" s="1" t="n">
        <v>46145</v>
      </c>
      <c r="D4474" t="inlineStr">
        <is>
          <t>VÄSTERBOTTENS LÄN</t>
        </is>
      </c>
      <c r="E4474" t="inlineStr">
        <is>
          <t>SKELLEFTEÅ</t>
        </is>
      </c>
      <c r="F4474" t="inlineStr">
        <is>
          <t>Holmen skog AB</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41992-2025</t>
        </is>
      </c>
      <c r="B4475" s="1" t="n">
        <v>45903</v>
      </c>
      <c r="C4475" s="1" t="n">
        <v>46145</v>
      </c>
      <c r="D4475" t="inlineStr">
        <is>
          <t>VÄSTERBOTTENS LÄN</t>
        </is>
      </c>
      <c r="E4475" t="inlineStr">
        <is>
          <t>SKELLEFTEÅ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22852-2023</t>
        </is>
      </c>
      <c r="B4476" s="1" t="n">
        <v>45072.47021990741</v>
      </c>
      <c r="C4476" s="1" t="n">
        <v>46145</v>
      </c>
      <c r="D4476" t="inlineStr">
        <is>
          <t>VÄSTERBOTTENS LÄN</t>
        </is>
      </c>
      <c r="E4476" t="inlineStr">
        <is>
          <t>BJURHOLM</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33049-2025</t>
        </is>
      </c>
      <c r="B4477" s="1" t="n">
        <v>45840.42099537037</v>
      </c>
      <c r="C4477" s="1" t="n">
        <v>46145</v>
      </c>
      <c r="D4477" t="inlineStr">
        <is>
          <t>VÄSTERBOTTENS LÄN</t>
        </is>
      </c>
      <c r="E4477" t="inlineStr">
        <is>
          <t>UMEÅ</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31129-2025</t>
        </is>
      </c>
      <c r="B4478" s="1" t="n">
        <v>45831</v>
      </c>
      <c r="C4478" s="1" t="n">
        <v>46145</v>
      </c>
      <c r="D4478" t="inlineStr">
        <is>
          <t>VÄSTERBOTTENS LÄN</t>
        </is>
      </c>
      <c r="E4478" t="inlineStr">
        <is>
          <t>SORSELE</t>
        </is>
      </c>
      <c r="G4478" t="n">
        <v>47.3</v>
      </c>
      <c r="H4478" t="n">
        <v>0</v>
      </c>
      <c r="I4478" t="n">
        <v>0</v>
      </c>
      <c r="J4478" t="n">
        <v>0</v>
      </c>
      <c r="K4478" t="n">
        <v>0</v>
      </c>
      <c r="L4478" t="n">
        <v>0</v>
      </c>
      <c r="M4478" t="n">
        <v>0</v>
      </c>
      <c r="N4478" t="n">
        <v>0</v>
      </c>
      <c r="O4478" t="n">
        <v>0</v>
      </c>
      <c r="P4478" t="n">
        <v>0</v>
      </c>
      <c r="Q4478" t="n">
        <v>0</v>
      </c>
      <c r="R4478" s="2" t="inlineStr"/>
    </row>
    <row r="4479" ht="15" customHeight="1">
      <c r="A4479" t="inlineStr">
        <is>
          <t>A 31805-2025</t>
        </is>
      </c>
      <c r="B4479" s="1" t="n">
        <v>45834.55314814814</v>
      </c>
      <c r="C4479" s="1" t="n">
        <v>46145</v>
      </c>
      <c r="D4479" t="inlineStr">
        <is>
          <t>VÄSTERBOTTENS LÄN</t>
        </is>
      </c>
      <c r="E4479" t="inlineStr">
        <is>
          <t>UMEÅ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42114-2025</t>
        </is>
      </c>
      <c r="B4480" s="1" t="n">
        <v>45904.33050925926</v>
      </c>
      <c r="C4480" s="1" t="n">
        <v>46145</v>
      </c>
      <c r="D4480" t="inlineStr">
        <is>
          <t>VÄSTERBOTTENS LÄN</t>
        </is>
      </c>
      <c r="E4480" t="inlineStr">
        <is>
          <t>SKELLEFTEÅ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42234-2025</t>
        </is>
      </c>
      <c r="B4481" s="1" t="n">
        <v>45903</v>
      </c>
      <c r="C4481" s="1" t="n">
        <v>46145</v>
      </c>
      <c r="D4481" t="inlineStr">
        <is>
          <t>VÄSTERBOTTENS LÄN</t>
        </is>
      </c>
      <c r="E4481" t="inlineStr">
        <is>
          <t>SKELLEFTEÅ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27504-2022</t>
        </is>
      </c>
      <c r="B4482" s="1" t="n">
        <v>44742</v>
      </c>
      <c r="C4482" s="1" t="n">
        <v>46145</v>
      </c>
      <c r="D4482" t="inlineStr">
        <is>
          <t>VÄSTERBOTTENS LÄN</t>
        </is>
      </c>
      <c r="E4482" t="inlineStr">
        <is>
          <t>NORDMALING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27555-2022</t>
        </is>
      </c>
      <c r="B4483" s="1" t="n">
        <v>44742.92666666667</v>
      </c>
      <c r="C4483" s="1" t="n">
        <v>46145</v>
      </c>
      <c r="D4483" t="inlineStr">
        <is>
          <t>VÄSTERBOTTENS LÄN</t>
        </is>
      </c>
      <c r="E4483" t="inlineStr">
        <is>
          <t>SKELLEFTEÅ</t>
        </is>
      </c>
      <c r="F4483" t="inlineStr">
        <is>
          <t>Kommuner</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42054-2025</t>
        </is>
      </c>
      <c r="B4484" s="1" t="n">
        <v>45903</v>
      </c>
      <c r="C4484" s="1" t="n">
        <v>46145</v>
      </c>
      <c r="D4484" t="inlineStr">
        <is>
          <t>VÄSTERBOTTENS LÄN</t>
        </is>
      </c>
      <c r="E4484" t="inlineStr">
        <is>
          <t>NORDMALING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42059-2025</t>
        </is>
      </c>
      <c r="B4485" s="1" t="n">
        <v>45903</v>
      </c>
      <c r="C4485" s="1" t="n">
        <v>46145</v>
      </c>
      <c r="D4485" t="inlineStr">
        <is>
          <t>VÄSTERBOTTENS LÄN</t>
        </is>
      </c>
      <c r="E4485" t="inlineStr">
        <is>
          <t>SKELLEFTEÅ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60702-2024</t>
        </is>
      </c>
      <c r="B4486" s="1" t="n">
        <v>45642</v>
      </c>
      <c r="C4486" s="1" t="n">
        <v>46145</v>
      </c>
      <c r="D4486" t="inlineStr">
        <is>
          <t>VÄSTERBOTTENS LÄN</t>
        </is>
      </c>
      <c r="E4486" t="inlineStr">
        <is>
          <t>MALÅ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36214-2023</t>
        </is>
      </c>
      <c r="B4487" s="1" t="n">
        <v>45149.95256944445</v>
      </c>
      <c r="C4487" s="1" t="n">
        <v>46145</v>
      </c>
      <c r="D4487" t="inlineStr">
        <is>
          <t>VÄSTERBOTTENS LÄN</t>
        </is>
      </c>
      <c r="E4487" t="inlineStr">
        <is>
          <t>VILHELMINA</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42137-2025</t>
        </is>
      </c>
      <c r="B4488" s="1" t="n">
        <v>45904.35496527778</v>
      </c>
      <c r="C4488" s="1" t="n">
        <v>46145</v>
      </c>
      <c r="D4488" t="inlineStr">
        <is>
          <t>VÄSTERBOTTENS LÄN</t>
        </is>
      </c>
      <c r="E4488" t="inlineStr">
        <is>
          <t>SKELLEFTEÅ</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41123-2025</t>
        </is>
      </c>
      <c r="B4489" s="1" t="n">
        <v>45898</v>
      </c>
      <c r="C4489" s="1" t="n">
        <v>46145</v>
      </c>
      <c r="D4489" t="inlineStr">
        <is>
          <t>VÄSTERBOTTENS LÄN</t>
        </is>
      </c>
      <c r="E4489" t="inlineStr">
        <is>
          <t>NORSJÖ</t>
        </is>
      </c>
      <c r="G4489" t="n">
        <v>24.2</v>
      </c>
      <c r="H4489" t="n">
        <v>0</v>
      </c>
      <c r="I4489" t="n">
        <v>0</v>
      </c>
      <c r="J4489" t="n">
        <v>0</v>
      </c>
      <c r="K4489" t="n">
        <v>0</v>
      </c>
      <c r="L4489" t="n">
        <v>0</v>
      </c>
      <c r="M4489" t="n">
        <v>0</v>
      </c>
      <c r="N4489" t="n">
        <v>0</v>
      </c>
      <c r="O4489" t="n">
        <v>0</v>
      </c>
      <c r="P4489" t="n">
        <v>0</v>
      </c>
      <c r="Q4489" t="n">
        <v>0</v>
      </c>
      <c r="R4489" s="2" t="inlineStr"/>
    </row>
    <row r="4490" ht="15" customHeight="1">
      <c r="A4490" t="inlineStr">
        <is>
          <t>A 41961-2025</t>
        </is>
      </c>
      <c r="B4490" s="1" t="n">
        <v>45903</v>
      </c>
      <c r="C4490" s="1" t="n">
        <v>46145</v>
      </c>
      <c r="D4490" t="inlineStr">
        <is>
          <t>VÄSTERBOTTENS LÄN</t>
        </is>
      </c>
      <c r="E4490" t="inlineStr">
        <is>
          <t>ÅSELE</t>
        </is>
      </c>
      <c r="F4490" t="inlineStr">
        <is>
          <t>SCA</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41983-2025</t>
        </is>
      </c>
      <c r="B4491" s="1" t="n">
        <v>45903.53185185185</v>
      </c>
      <c r="C4491" s="1" t="n">
        <v>46145</v>
      </c>
      <c r="D4491" t="inlineStr">
        <is>
          <t>VÄSTERBOTTENS LÄN</t>
        </is>
      </c>
      <c r="E4491" t="inlineStr">
        <is>
          <t>NORDMALING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46818-2023</t>
        </is>
      </c>
      <c r="B4492" s="1" t="n">
        <v>45198</v>
      </c>
      <c r="C4492" s="1" t="n">
        <v>46145</v>
      </c>
      <c r="D4492" t="inlineStr">
        <is>
          <t>VÄSTERBOTTENS LÄN</t>
        </is>
      </c>
      <c r="E4492" t="inlineStr">
        <is>
          <t>DOROTEA</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46826-2023</t>
        </is>
      </c>
      <c r="B4493" s="1" t="n">
        <v>45198.93778935185</v>
      </c>
      <c r="C4493" s="1" t="n">
        <v>46145</v>
      </c>
      <c r="D4493" t="inlineStr">
        <is>
          <t>VÄSTERBOTTENS LÄN</t>
        </is>
      </c>
      <c r="E4493" t="inlineStr">
        <is>
          <t>LYCKSELE</t>
        </is>
      </c>
      <c r="F4493" t="inlineStr">
        <is>
          <t>SCA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42007-2025</t>
        </is>
      </c>
      <c r="B4494" s="1" t="n">
        <v>45903.55988425926</v>
      </c>
      <c r="C4494" s="1" t="n">
        <v>46145</v>
      </c>
      <c r="D4494" t="inlineStr">
        <is>
          <t>VÄSTERBOTTENS LÄN</t>
        </is>
      </c>
      <c r="E4494" t="inlineStr">
        <is>
          <t>SKELLEFTEÅ</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42019-2025</t>
        </is>
      </c>
      <c r="B4495" s="1" t="n">
        <v>45903.58563657408</v>
      </c>
      <c r="C4495" s="1" t="n">
        <v>46145</v>
      </c>
      <c r="D4495" t="inlineStr">
        <is>
          <t>VÄSTERBOTTENS LÄN</t>
        </is>
      </c>
      <c r="E4495" t="inlineStr">
        <is>
          <t>LYCKSELE</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42118-2025</t>
        </is>
      </c>
      <c r="B4496" s="1" t="n">
        <v>45904.33653935185</v>
      </c>
      <c r="C4496" s="1" t="n">
        <v>46145</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42176-2025</t>
        </is>
      </c>
      <c r="B4497" s="1" t="n">
        <v>45904.44513888889</v>
      </c>
      <c r="C4497" s="1" t="n">
        <v>46145</v>
      </c>
      <c r="D4497" t="inlineStr">
        <is>
          <t>VÄSTERBOTTENS LÄN</t>
        </is>
      </c>
      <c r="E4497" t="inlineStr">
        <is>
          <t>UMEÅ</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15116-2025</t>
        </is>
      </c>
      <c r="B4498" s="1" t="n">
        <v>45744.36479166667</v>
      </c>
      <c r="C4498" s="1" t="n">
        <v>46145</v>
      </c>
      <c r="D4498" t="inlineStr">
        <is>
          <t>VÄSTERBOTTENS LÄN</t>
        </is>
      </c>
      <c r="E4498" t="inlineStr">
        <is>
          <t>SKELLEFTEÅ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42028-2025</t>
        </is>
      </c>
      <c r="B4499" s="1" t="n">
        <v>45903.59854166667</v>
      </c>
      <c r="C4499" s="1" t="n">
        <v>46145</v>
      </c>
      <c r="D4499" t="inlineStr">
        <is>
          <t>VÄSTERBOTTENS LÄN</t>
        </is>
      </c>
      <c r="E4499" t="inlineStr">
        <is>
          <t>LYCKSELE</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31402-2023</t>
        </is>
      </c>
      <c r="B4500" s="1" t="n">
        <v>45114</v>
      </c>
      <c r="C4500" s="1" t="n">
        <v>46145</v>
      </c>
      <c r="D4500" t="inlineStr">
        <is>
          <t>VÄSTERBOTTENS LÄN</t>
        </is>
      </c>
      <c r="E4500" t="inlineStr">
        <is>
          <t>VINDELN</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31413-2023</t>
        </is>
      </c>
      <c r="B4501" s="1" t="n">
        <v>45114.58961805556</v>
      </c>
      <c r="C4501" s="1" t="n">
        <v>46145</v>
      </c>
      <c r="D4501" t="inlineStr">
        <is>
          <t>VÄSTERBOTTENS LÄN</t>
        </is>
      </c>
      <c r="E4501" t="inlineStr">
        <is>
          <t>LYCKSELE</t>
        </is>
      </c>
      <c r="F4501" t="inlineStr">
        <is>
          <t>Sveaskog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42279-2025</t>
        </is>
      </c>
      <c r="B4502" s="1" t="n">
        <v>45904.61569444444</v>
      </c>
      <c r="C4502" s="1" t="n">
        <v>46145</v>
      </c>
      <c r="D4502" t="inlineStr">
        <is>
          <t>VÄSTERBOTTENS LÄN</t>
        </is>
      </c>
      <c r="E4502" t="inlineStr">
        <is>
          <t>DOROTEA</t>
        </is>
      </c>
      <c r="F4502" t="inlineStr">
        <is>
          <t>SCA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36149-2025</t>
        </is>
      </c>
      <c r="B4503" s="1" t="n">
        <v>45866</v>
      </c>
      <c r="C4503" s="1" t="n">
        <v>46145</v>
      </c>
      <c r="D4503" t="inlineStr">
        <is>
          <t>VÄSTERBOTTENS LÄN</t>
        </is>
      </c>
      <c r="E4503" t="inlineStr">
        <is>
          <t>SKELLEFTEÅ</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42066-2025</t>
        </is>
      </c>
      <c r="B4504" s="1" t="n">
        <v>45903.65673611111</v>
      </c>
      <c r="C4504" s="1" t="n">
        <v>46145</v>
      </c>
      <c r="D4504" t="inlineStr">
        <is>
          <t>VÄSTERBOTTENS LÄN</t>
        </is>
      </c>
      <c r="E4504" t="inlineStr">
        <is>
          <t>ÅSELE</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31421-2023</t>
        </is>
      </c>
      <c r="B4505" s="1" t="n">
        <v>45114.60027777778</v>
      </c>
      <c r="C4505" s="1" t="n">
        <v>46145</v>
      </c>
      <c r="D4505" t="inlineStr">
        <is>
          <t>VÄSTERBOTTENS LÄN</t>
        </is>
      </c>
      <c r="E4505" t="inlineStr">
        <is>
          <t>VÄNNÄS</t>
        </is>
      </c>
      <c r="F4505" t="inlineStr">
        <is>
          <t>Holmen skog AB</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40368-2024</t>
        </is>
      </c>
      <c r="B4506" s="1" t="n">
        <v>45555.39041666667</v>
      </c>
      <c r="C4506" s="1" t="n">
        <v>46145</v>
      </c>
      <c r="D4506" t="inlineStr">
        <is>
          <t>VÄSTERBOTTENS LÄN</t>
        </is>
      </c>
      <c r="E4506" t="inlineStr">
        <is>
          <t>STORUMAN</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42265-2025</t>
        </is>
      </c>
      <c r="B4507" s="1" t="n">
        <v>45904.59950231481</v>
      </c>
      <c r="C4507" s="1" t="n">
        <v>46145</v>
      </c>
      <c r="D4507" t="inlineStr">
        <is>
          <t>VÄSTERBOTTENS LÄN</t>
        </is>
      </c>
      <c r="E4507" t="inlineStr">
        <is>
          <t>ROBERTSFORS</t>
        </is>
      </c>
      <c r="F4507" t="inlineStr">
        <is>
          <t>Holmen skog AB</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41100-2023</t>
        </is>
      </c>
      <c r="B4508" s="1" t="n">
        <v>45173.69394675926</v>
      </c>
      <c r="C4508" s="1" t="n">
        <v>46145</v>
      </c>
      <c r="D4508" t="inlineStr">
        <is>
          <t>VÄSTERBOTTENS LÄN</t>
        </is>
      </c>
      <c r="E4508" t="inlineStr">
        <is>
          <t>NORSJÖ</t>
        </is>
      </c>
      <c r="F4508" t="inlineStr">
        <is>
          <t>Holmen skog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41104-2023</t>
        </is>
      </c>
      <c r="B4509" s="1" t="n">
        <v>45170</v>
      </c>
      <c r="C4509" s="1" t="n">
        <v>46145</v>
      </c>
      <c r="D4509" t="inlineStr">
        <is>
          <t>VÄSTERBOTTENS LÄN</t>
        </is>
      </c>
      <c r="E4509" t="inlineStr">
        <is>
          <t>DOROTEA</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41108-2023</t>
        </is>
      </c>
      <c r="B4510" s="1" t="n">
        <v>45170</v>
      </c>
      <c r="C4510" s="1" t="n">
        <v>46145</v>
      </c>
      <c r="D4510" t="inlineStr">
        <is>
          <t>VÄSTERBOTTENS LÄN</t>
        </is>
      </c>
      <c r="E4510" t="inlineStr">
        <is>
          <t>STORUMAN</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42133-2025</t>
        </is>
      </c>
      <c r="B4511" s="1" t="n">
        <v>45904.34597222223</v>
      </c>
      <c r="C4511" s="1" t="n">
        <v>46145</v>
      </c>
      <c r="D4511" t="inlineStr">
        <is>
          <t>VÄSTERBOTTENS LÄN</t>
        </is>
      </c>
      <c r="E4511" t="inlineStr">
        <is>
          <t>SKELLEFTEÅ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41908-2025</t>
        </is>
      </c>
      <c r="B4512" s="1" t="n">
        <v>45903.40730324074</v>
      </c>
      <c r="C4512" s="1" t="n">
        <v>46145</v>
      </c>
      <c r="D4512" t="inlineStr">
        <is>
          <t>VÄSTERBOTTENS LÄN</t>
        </is>
      </c>
      <c r="E4512" t="inlineStr">
        <is>
          <t>SKELLEFTEÅ</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42057-2025</t>
        </is>
      </c>
      <c r="B4513" s="1" t="n">
        <v>45903.64262731482</v>
      </c>
      <c r="C4513" s="1" t="n">
        <v>46145</v>
      </c>
      <c r="D4513" t="inlineStr">
        <is>
          <t>VÄSTERBOTTENS LÄN</t>
        </is>
      </c>
      <c r="E4513" t="inlineStr">
        <is>
          <t>LYCKSELE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41909-2025</t>
        </is>
      </c>
      <c r="B4514" s="1" t="n">
        <v>45903.4078125</v>
      </c>
      <c r="C4514" s="1" t="n">
        <v>46145</v>
      </c>
      <c r="D4514" t="inlineStr">
        <is>
          <t>VÄSTERBOTTENS LÄN</t>
        </is>
      </c>
      <c r="E4514" t="inlineStr">
        <is>
          <t>SKELLEFTEÅ</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60145-2021</t>
        </is>
      </c>
      <c r="B4515" s="1" t="n">
        <v>44494</v>
      </c>
      <c r="C4515" s="1" t="n">
        <v>46145</v>
      </c>
      <c r="D4515" t="inlineStr">
        <is>
          <t>VÄSTERBOTTENS LÄN</t>
        </is>
      </c>
      <c r="E4515" t="inlineStr">
        <is>
          <t>DOROTEA</t>
        </is>
      </c>
      <c r="G4515" t="n">
        <v>13.3</v>
      </c>
      <c r="H4515" t="n">
        <v>0</v>
      </c>
      <c r="I4515" t="n">
        <v>0</v>
      </c>
      <c r="J4515" t="n">
        <v>0</v>
      </c>
      <c r="K4515" t="n">
        <v>0</v>
      </c>
      <c r="L4515" t="n">
        <v>0</v>
      </c>
      <c r="M4515" t="n">
        <v>0</v>
      </c>
      <c r="N4515" t="n">
        <v>0</v>
      </c>
      <c r="O4515" t="n">
        <v>0</v>
      </c>
      <c r="P4515" t="n">
        <v>0</v>
      </c>
      <c r="Q4515" t="n">
        <v>0</v>
      </c>
      <c r="R4515" s="2" t="inlineStr"/>
    </row>
    <row r="4516" ht="15" customHeight="1">
      <c r="A4516" t="inlineStr">
        <is>
          <t>A 34684-2023</t>
        </is>
      </c>
      <c r="B4516" s="1" t="n">
        <v>45140</v>
      </c>
      <c r="C4516" s="1" t="n">
        <v>46145</v>
      </c>
      <c r="D4516" t="inlineStr">
        <is>
          <t>VÄSTERBOTTENS LÄN</t>
        </is>
      </c>
      <c r="E4516" t="inlineStr">
        <is>
          <t>ÅSELE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42020-2025</t>
        </is>
      </c>
      <c r="B4517" s="1" t="n">
        <v>45903.58728009259</v>
      </c>
      <c r="C4517" s="1" t="n">
        <v>46145</v>
      </c>
      <c r="D4517" t="inlineStr">
        <is>
          <t>VÄSTERBOTTENS LÄN</t>
        </is>
      </c>
      <c r="E4517" t="inlineStr">
        <is>
          <t>SKELLEFTEÅ</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17059-2025</t>
        </is>
      </c>
      <c r="B4518" s="1" t="n">
        <v>45755.60673611111</v>
      </c>
      <c r="C4518" s="1" t="n">
        <v>46145</v>
      </c>
      <c r="D4518" t="inlineStr">
        <is>
          <t>VÄSTERBOTTENS LÄN</t>
        </is>
      </c>
      <c r="E4518" t="inlineStr">
        <is>
          <t>VINDELN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61778-2023</t>
        </is>
      </c>
      <c r="B4519" s="1" t="n">
        <v>45265.95667824074</v>
      </c>
      <c r="C4519" s="1" t="n">
        <v>46145</v>
      </c>
      <c r="D4519" t="inlineStr">
        <is>
          <t>VÄSTERBOTTENS LÄN</t>
        </is>
      </c>
      <c r="E4519" t="inlineStr">
        <is>
          <t>VILHELMINA</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42250-2025</t>
        </is>
      </c>
      <c r="B4520" s="1" t="n">
        <v>45903</v>
      </c>
      <c r="C4520" s="1" t="n">
        <v>46145</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43435-2023</t>
        </is>
      </c>
      <c r="B4521" s="1" t="n">
        <v>45184.32165509259</v>
      </c>
      <c r="C4521" s="1" t="n">
        <v>46145</v>
      </c>
      <c r="D4521" t="inlineStr">
        <is>
          <t>VÄSTERBOTTENS LÄN</t>
        </is>
      </c>
      <c r="E4521" t="inlineStr">
        <is>
          <t>SKELLEFTEÅ</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27157-2025</t>
        </is>
      </c>
      <c r="B4522" s="1" t="n">
        <v>45812.33298611111</v>
      </c>
      <c r="C4522" s="1" t="n">
        <v>46145</v>
      </c>
      <c r="D4522" t="inlineStr">
        <is>
          <t>VÄSTERBOTTENS LÄN</t>
        </is>
      </c>
      <c r="E4522" t="inlineStr">
        <is>
          <t>SKELLEFTEÅ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42205-2025</t>
        </is>
      </c>
      <c r="B4523" s="1" t="n">
        <v>45904.49059027778</v>
      </c>
      <c r="C4523" s="1" t="n">
        <v>46145</v>
      </c>
      <c r="D4523" t="inlineStr">
        <is>
          <t>VÄSTERBOTTENS LÄN</t>
        </is>
      </c>
      <c r="E4523" t="inlineStr">
        <is>
          <t>MALÅ</t>
        </is>
      </c>
      <c r="G4523" t="n">
        <v>16.1</v>
      </c>
      <c r="H4523" t="n">
        <v>0</v>
      </c>
      <c r="I4523" t="n">
        <v>0</v>
      </c>
      <c r="J4523" t="n">
        <v>0</v>
      </c>
      <c r="K4523" t="n">
        <v>0</v>
      </c>
      <c r="L4523" t="n">
        <v>0</v>
      </c>
      <c r="M4523" t="n">
        <v>0</v>
      </c>
      <c r="N4523" t="n">
        <v>0</v>
      </c>
      <c r="O4523" t="n">
        <v>0</v>
      </c>
      <c r="P4523" t="n">
        <v>0</v>
      </c>
      <c r="Q4523" t="n">
        <v>0</v>
      </c>
      <c r="R4523" s="2" t="inlineStr"/>
    </row>
    <row r="4524" ht="15" customHeight="1">
      <c r="A4524" t="inlineStr">
        <is>
          <t>A 37109-2025</t>
        </is>
      </c>
      <c r="B4524" s="1" t="n">
        <v>45875.49266203704</v>
      </c>
      <c r="C4524" s="1" t="n">
        <v>46145</v>
      </c>
      <c r="D4524" t="inlineStr">
        <is>
          <t>VÄSTERBOTTENS LÄN</t>
        </is>
      </c>
      <c r="E4524" t="inlineStr">
        <is>
          <t>VINDELN</t>
        </is>
      </c>
      <c r="F4524" t="inlineStr">
        <is>
          <t>Sveaskog</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42500-2025</t>
        </is>
      </c>
      <c r="B4525" s="1" t="n">
        <v>45905.52245370371</v>
      </c>
      <c r="C4525" s="1" t="n">
        <v>46145</v>
      </c>
      <c r="D4525" t="inlineStr">
        <is>
          <t>VÄSTERBOTTENS LÄN</t>
        </is>
      </c>
      <c r="E4525" t="inlineStr">
        <is>
          <t>LYCKSELE</t>
        </is>
      </c>
      <c r="F4525" t="inlineStr">
        <is>
          <t>Sveaskog</t>
        </is>
      </c>
      <c r="G4525" t="n">
        <v>24.3</v>
      </c>
      <c r="H4525" t="n">
        <v>0</v>
      </c>
      <c r="I4525" t="n">
        <v>0</v>
      </c>
      <c r="J4525" t="n">
        <v>0</v>
      </c>
      <c r="K4525" t="n">
        <v>0</v>
      </c>
      <c r="L4525" t="n">
        <v>0</v>
      </c>
      <c r="M4525" t="n">
        <v>0</v>
      </c>
      <c r="N4525" t="n">
        <v>0</v>
      </c>
      <c r="O4525" t="n">
        <v>0</v>
      </c>
      <c r="P4525" t="n">
        <v>0</v>
      </c>
      <c r="Q4525" t="n">
        <v>0</v>
      </c>
      <c r="R4525" s="2" t="inlineStr"/>
    </row>
    <row r="4526" ht="15" customHeight="1">
      <c r="A4526" t="inlineStr">
        <is>
          <t>A 42535-2025</t>
        </is>
      </c>
      <c r="B4526" s="1" t="n">
        <v>45905.56924768518</v>
      </c>
      <c r="C4526" s="1" t="n">
        <v>46145</v>
      </c>
      <c r="D4526" t="inlineStr">
        <is>
          <t>VÄSTERBOTTENS LÄN</t>
        </is>
      </c>
      <c r="E4526" t="inlineStr">
        <is>
          <t>NORSJÖ</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42553-2025</t>
        </is>
      </c>
      <c r="B4527" s="1" t="n">
        <v>45905.59423611111</v>
      </c>
      <c r="C4527" s="1" t="n">
        <v>46145</v>
      </c>
      <c r="D4527" t="inlineStr">
        <is>
          <t>VÄSTERBOTTENS LÄN</t>
        </is>
      </c>
      <c r="E4527" t="inlineStr">
        <is>
          <t>DOROTEA</t>
        </is>
      </c>
      <c r="F4527" t="inlineStr">
        <is>
          <t>SCA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42902-2025</t>
        </is>
      </c>
      <c r="B4528" s="1" t="n">
        <v>45908.67744212963</v>
      </c>
      <c r="C4528" s="1" t="n">
        <v>46145</v>
      </c>
      <c r="D4528" t="inlineStr">
        <is>
          <t>VÄSTERBOTTENS LÄN</t>
        </is>
      </c>
      <c r="E4528" t="inlineStr">
        <is>
          <t>VÄNNÄS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11090-2025</t>
        </is>
      </c>
      <c r="B4529" s="1" t="n">
        <v>45723.57395833333</v>
      </c>
      <c r="C4529" s="1" t="n">
        <v>46145</v>
      </c>
      <c r="D4529" t="inlineStr">
        <is>
          <t>VÄSTERBOTTENS LÄN</t>
        </is>
      </c>
      <c r="E4529" t="inlineStr">
        <is>
          <t>LYCKSELE</t>
        </is>
      </c>
      <c r="F4529" t="inlineStr">
        <is>
          <t>SCA</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48252-2023</t>
        </is>
      </c>
      <c r="B4530" s="1" t="n">
        <v>45205.5255787037</v>
      </c>
      <c r="C4530" s="1" t="n">
        <v>46145</v>
      </c>
      <c r="D4530" t="inlineStr">
        <is>
          <t>VÄSTERBOTTENS LÄN</t>
        </is>
      </c>
      <c r="E4530" t="inlineStr">
        <is>
          <t>ROBERTSFORS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24988-2025</t>
        </is>
      </c>
      <c r="B4531" s="1" t="n">
        <v>45799</v>
      </c>
      <c r="C4531" s="1" t="n">
        <v>46145</v>
      </c>
      <c r="D4531" t="inlineStr">
        <is>
          <t>VÄSTERBOTTENS LÄN</t>
        </is>
      </c>
      <c r="E4531" t="inlineStr">
        <is>
          <t>VILHELMINA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48322-2023</t>
        </is>
      </c>
      <c r="B4532" s="1" t="n">
        <v>45201</v>
      </c>
      <c r="C4532" s="1" t="n">
        <v>46145</v>
      </c>
      <c r="D4532" t="inlineStr">
        <is>
          <t>VÄSTERBOTTENS LÄN</t>
        </is>
      </c>
      <c r="E4532" t="inlineStr">
        <is>
          <t>MALÅ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32479-2024</t>
        </is>
      </c>
      <c r="B4533" s="1" t="n">
        <v>45513</v>
      </c>
      <c r="C4533" s="1" t="n">
        <v>46145</v>
      </c>
      <c r="D4533" t="inlineStr">
        <is>
          <t>VÄSTERBOTTENS LÄN</t>
        </is>
      </c>
      <c r="E4533" t="inlineStr">
        <is>
          <t>VINDELN</t>
        </is>
      </c>
      <c r="F4533" t="inlineStr">
        <is>
          <t>Holmen skog AB</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33132-2023</t>
        </is>
      </c>
      <c r="B4534" s="1" t="n">
        <v>45114</v>
      </c>
      <c r="C4534" s="1" t="n">
        <v>46145</v>
      </c>
      <c r="D4534" t="inlineStr">
        <is>
          <t>VÄSTERBOTTENS LÄN</t>
        </is>
      </c>
      <c r="E4534" t="inlineStr">
        <is>
          <t>VINDELN</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42426-2025</t>
        </is>
      </c>
      <c r="B4535" s="1" t="n">
        <v>45904</v>
      </c>
      <c r="C4535" s="1" t="n">
        <v>46145</v>
      </c>
      <c r="D4535" t="inlineStr">
        <is>
          <t>VÄSTERBOTTENS LÄN</t>
        </is>
      </c>
      <c r="E4535" t="inlineStr">
        <is>
          <t>MALÅ</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42401-2025</t>
        </is>
      </c>
      <c r="B4536" s="1" t="n">
        <v>45905.37298611111</v>
      </c>
      <c r="C4536" s="1" t="n">
        <v>46145</v>
      </c>
      <c r="D4536" t="inlineStr">
        <is>
          <t>VÄSTERBOTTENS LÄN</t>
        </is>
      </c>
      <c r="E4536" t="inlineStr">
        <is>
          <t>SKELLEFTEÅ</t>
        </is>
      </c>
      <c r="F4536" t="inlineStr">
        <is>
          <t>Holmen skog AB</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6769-2025</t>
        </is>
      </c>
      <c r="B4537" s="1" t="n">
        <v>45700.63939814815</v>
      </c>
      <c r="C4537" s="1" t="n">
        <v>46145</v>
      </c>
      <c r="D4537" t="inlineStr">
        <is>
          <t>VÄSTERBOTTENS LÄN</t>
        </is>
      </c>
      <c r="E4537" t="inlineStr">
        <is>
          <t>LYCKSELE</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33866-2025</t>
        </is>
      </c>
      <c r="B4538" s="1" t="n">
        <v>45842.53322916666</v>
      </c>
      <c r="C4538" s="1" t="n">
        <v>46145</v>
      </c>
      <c r="D4538" t="inlineStr">
        <is>
          <t>VÄSTERBOTTENS LÄN</t>
        </is>
      </c>
      <c r="E4538" t="inlineStr">
        <is>
          <t>VINDELN</t>
        </is>
      </c>
      <c r="F4538" t="inlineStr">
        <is>
          <t>Sveaskog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42376-2025</t>
        </is>
      </c>
      <c r="B4539" s="1" t="n">
        <v>45905.33974537037</v>
      </c>
      <c r="C4539" s="1" t="n">
        <v>46145</v>
      </c>
      <c r="D4539" t="inlineStr">
        <is>
          <t>VÄSTERBOTTENS LÄN</t>
        </is>
      </c>
      <c r="E4539" t="inlineStr">
        <is>
          <t>NORSJÖ</t>
        </is>
      </c>
      <c r="F4539" t="inlineStr">
        <is>
          <t>Holmen skog AB</t>
        </is>
      </c>
      <c r="G4539" t="n">
        <v>8.699999999999999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25565-2025</t>
        </is>
      </c>
      <c r="B4540" s="1" t="n">
        <v>45803.45731481481</v>
      </c>
      <c r="C4540" s="1" t="n">
        <v>46145</v>
      </c>
      <c r="D4540" t="inlineStr">
        <is>
          <t>VÄSTERBOTTENS LÄN</t>
        </is>
      </c>
      <c r="E4540" t="inlineStr">
        <is>
          <t>LYCKSELE</t>
        </is>
      </c>
      <c r="G4540" t="n">
        <v>21.9</v>
      </c>
      <c r="H4540" t="n">
        <v>0</v>
      </c>
      <c r="I4540" t="n">
        <v>0</v>
      </c>
      <c r="J4540" t="n">
        <v>0</v>
      </c>
      <c r="K4540" t="n">
        <v>0</v>
      </c>
      <c r="L4540" t="n">
        <v>0</v>
      </c>
      <c r="M4540" t="n">
        <v>0</v>
      </c>
      <c r="N4540" t="n">
        <v>0</v>
      </c>
      <c r="O4540" t="n">
        <v>0</v>
      </c>
      <c r="P4540" t="n">
        <v>0</v>
      </c>
      <c r="Q4540" t="n">
        <v>0</v>
      </c>
      <c r="R4540" s="2" t="inlineStr"/>
    </row>
    <row r="4541" ht="15" customHeight="1">
      <c r="A4541" t="inlineStr">
        <is>
          <t>A 32969-2021</t>
        </is>
      </c>
      <c r="B4541" s="1" t="n">
        <v>44376</v>
      </c>
      <c r="C4541" s="1" t="n">
        <v>46145</v>
      </c>
      <c r="D4541" t="inlineStr">
        <is>
          <t>VÄSTERBOTTENS LÄN</t>
        </is>
      </c>
      <c r="E4541" t="inlineStr">
        <is>
          <t>VINDELN</t>
        </is>
      </c>
      <c r="G4541" t="n">
        <v>14.4</v>
      </c>
      <c r="H4541" t="n">
        <v>0</v>
      </c>
      <c r="I4541" t="n">
        <v>0</v>
      </c>
      <c r="J4541" t="n">
        <v>0</v>
      </c>
      <c r="K4541" t="n">
        <v>0</v>
      </c>
      <c r="L4541" t="n">
        <v>0</v>
      </c>
      <c r="M4541" t="n">
        <v>0</v>
      </c>
      <c r="N4541" t="n">
        <v>0</v>
      </c>
      <c r="O4541" t="n">
        <v>0</v>
      </c>
      <c r="P4541" t="n">
        <v>0</v>
      </c>
      <c r="Q4541" t="n">
        <v>0</v>
      </c>
      <c r="R4541" s="2" t="inlineStr"/>
    </row>
    <row r="4542" ht="15" customHeight="1">
      <c r="A4542" t="inlineStr">
        <is>
          <t>A 42774-2025</t>
        </is>
      </c>
      <c r="B4542" s="1" t="n">
        <v>45908</v>
      </c>
      <c r="C4542" s="1" t="n">
        <v>46145</v>
      </c>
      <c r="D4542" t="inlineStr">
        <is>
          <t>VÄSTERBOTTENS LÄN</t>
        </is>
      </c>
      <c r="E4542" t="inlineStr">
        <is>
          <t>NORDMALING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21044-2025</t>
        </is>
      </c>
      <c r="B4543" s="1" t="n">
        <v>45777.55259259259</v>
      </c>
      <c r="C4543" s="1" t="n">
        <v>46145</v>
      </c>
      <c r="D4543" t="inlineStr">
        <is>
          <t>VÄSTERBOTTENS LÄN</t>
        </is>
      </c>
      <c r="E4543" t="inlineStr">
        <is>
          <t>ÅSELE</t>
        </is>
      </c>
      <c r="F4543" t="inlineStr">
        <is>
          <t>SCA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32739-2021</t>
        </is>
      </c>
      <c r="B4544" s="1" t="n">
        <v>44375</v>
      </c>
      <c r="C4544" s="1" t="n">
        <v>46145</v>
      </c>
      <c r="D4544" t="inlineStr">
        <is>
          <t>VÄSTERBOTTENS LÄN</t>
        </is>
      </c>
      <c r="E4544" t="inlineStr">
        <is>
          <t>VÄNNÄS</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43973-2023</t>
        </is>
      </c>
      <c r="B4545" s="1" t="n">
        <v>45187</v>
      </c>
      <c r="C4545" s="1" t="n">
        <v>46145</v>
      </c>
      <c r="D4545" t="inlineStr">
        <is>
          <t>VÄSTERBOTTENS LÄN</t>
        </is>
      </c>
      <c r="E4545" t="inlineStr">
        <is>
          <t>LYCKSELE</t>
        </is>
      </c>
      <c r="F4545" t="inlineStr">
        <is>
          <t>SCA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23448-2024</t>
        </is>
      </c>
      <c r="B4546" s="1" t="n">
        <v>45453</v>
      </c>
      <c r="C4546" s="1" t="n">
        <v>46145</v>
      </c>
      <c r="D4546" t="inlineStr">
        <is>
          <t>VÄSTERBOTTENS LÄN</t>
        </is>
      </c>
      <c r="E4546" t="inlineStr">
        <is>
          <t>VINDELN</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30023-2024</t>
        </is>
      </c>
      <c r="B4547" s="1" t="n">
        <v>45485</v>
      </c>
      <c r="C4547" s="1" t="n">
        <v>46145</v>
      </c>
      <c r="D4547" t="inlineStr">
        <is>
          <t>VÄSTERBOTTENS LÄN</t>
        </is>
      </c>
      <c r="E4547" t="inlineStr">
        <is>
          <t>NORSJÖ</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15847-2023</t>
        </is>
      </c>
      <c r="B4548" s="1" t="n">
        <v>45022</v>
      </c>
      <c r="C4548" s="1" t="n">
        <v>46145</v>
      </c>
      <c r="D4548" t="inlineStr">
        <is>
          <t>VÄSTERBOTTENS LÄN</t>
        </is>
      </c>
      <c r="E4548" t="inlineStr">
        <is>
          <t>MALÅ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15850-2023</t>
        </is>
      </c>
      <c r="B4549" s="1" t="n">
        <v>45022</v>
      </c>
      <c r="C4549" s="1" t="n">
        <v>46145</v>
      </c>
      <c r="D4549" t="inlineStr">
        <is>
          <t>VÄSTERBOTTENS LÄN</t>
        </is>
      </c>
      <c r="E4549" t="inlineStr">
        <is>
          <t>MALÅ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33711-2023</t>
        </is>
      </c>
      <c r="B4550" s="1" t="n">
        <v>45132</v>
      </c>
      <c r="C4550" s="1" t="n">
        <v>46145</v>
      </c>
      <c r="D4550" t="inlineStr">
        <is>
          <t>VÄSTERBOTTENS LÄN</t>
        </is>
      </c>
      <c r="E4550" t="inlineStr">
        <is>
          <t>BJURHOLM</t>
        </is>
      </c>
      <c r="F4550" t="inlineStr">
        <is>
          <t>SCA</t>
        </is>
      </c>
      <c r="G4550" t="n">
        <v>70.09999999999999</v>
      </c>
      <c r="H4550" t="n">
        <v>0</v>
      </c>
      <c r="I4550" t="n">
        <v>0</v>
      </c>
      <c r="J4550" t="n">
        <v>0</v>
      </c>
      <c r="K4550" t="n">
        <v>0</v>
      </c>
      <c r="L4550" t="n">
        <v>0</v>
      </c>
      <c r="M4550" t="n">
        <v>0</v>
      </c>
      <c r="N4550" t="n">
        <v>0</v>
      </c>
      <c r="O4550" t="n">
        <v>0</v>
      </c>
      <c r="P4550" t="n">
        <v>0</v>
      </c>
      <c r="Q4550" t="n">
        <v>0</v>
      </c>
      <c r="R4550" s="2" t="inlineStr"/>
    </row>
    <row r="4551" ht="15" customHeight="1">
      <c r="A4551" t="inlineStr">
        <is>
          <t>A 16494-2023</t>
        </is>
      </c>
      <c r="B4551" s="1" t="n">
        <v>45029.60325231482</v>
      </c>
      <c r="C4551" s="1" t="n">
        <v>46145</v>
      </c>
      <c r="D4551" t="inlineStr">
        <is>
          <t>VÄSTERBOTTENS LÄN</t>
        </is>
      </c>
      <c r="E4551" t="inlineStr">
        <is>
          <t>SKELLEFTEÅ</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21666-2024</t>
        </is>
      </c>
      <c r="B4552" s="1" t="n">
        <v>45441.85204861111</v>
      </c>
      <c r="C4552" s="1" t="n">
        <v>46145</v>
      </c>
      <c r="D4552" t="inlineStr">
        <is>
          <t>VÄSTERBOTTENS LÄN</t>
        </is>
      </c>
      <c r="E4552" t="inlineStr">
        <is>
          <t>LYCKSELE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28724-2023</t>
        </is>
      </c>
      <c r="B4553" s="1" t="n">
        <v>45103</v>
      </c>
      <c r="C4553" s="1" t="n">
        <v>46145</v>
      </c>
      <c r="D4553" t="inlineStr">
        <is>
          <t>VÄSTERBOTTENS LÄN</t>
        </is>
      </c>
      <c r="E4553" t="inlineStr">
        <is>
          <t>ÅSELE</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28739-2023</t>
        </is>
      </c>
      <c r="B4554" s="1" t="n">
        <v>45103</v>
      </c>
      <c r="C4554" s="1" t="n">
        <v>46145</v>
      </c>
      <c r="D4554" t="inlineStr">
        <is>
          <t>VÄSTERBOTTENS LÄN</t>
        </is>
      </c>
      <c r="E4554" t="inlineStr">
        <is>
          <t>VINDELN</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28781-2023</t>
        </is>
      </c>
      <c r="B4555" s="1" t="n">
        <v>45104</v>
      </c>
      <c r="C4555" s="1" t="n">
        <v>46145</v>
      </c>
      <c r="D4555" t="inlineStr">
        <is>
          <t>VÄSTERBOTTENS LÄN</t>
        </is>
      </c>
      <c r="E4555" t="inlineStr">
        <is>
          <t>VINDELN</t>
        </is>
      </c>
      <c r="F4555" t="inlineStr">
        <is>
          <t>Holmen skog AB</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39561-2022</t>
        </is>
      </c>
      <c r="B4556" s="1" t="n">
        <v>44818.57295138889</v>
      </c>
      <c r="C4556" s="1" t="n">
        <v>46145</v>
      </c>
      <c r="D4556" t="inlineStr">
        <is>
          <t>VÄSTERBOTTENS LÄN</t>
        </is>
      </c>
      <c r="E4556" t="inlineStr">
        <is>
          <t>UMEÅ</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42616-2025</t>
        </is>
      </c>
      <c r="B4557" s="1" t="n">
        <v>45905.71912037037</v>
      </c>
      <c r="C4557" s="1" t="n">
        <v>46145</v>
      </c>
      <c r="D4557" t="inlineStr">
        <is>
          <t>VÄSTERBOTTENS LÄN</t>
        </is>
      </c>
      <c r="E4557" t="inlineStr">
        <is>
          <t>LYCKSELE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42617-2025</t>
        </is>
      </c>
      <c r="B4558" s="1" t="n">
        <v>45905.71921296296</v>
      </c>
      <c r="C4558" s="1" t="n">
        <v>46145</v>
      </c>
      <c r="D4558" t="inlineStr">
        <is>
          <t>VÄSTERBOTTENS LÄN</t>
        </is>
      </c>
      <c r="E4558" t="inlineStr">
        <is>
          <t>UMEÅ</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42883-2025</t>
        </is>
      </c>
      <c r="B4559" s="1" t="n">
        <v>45908.6425</v>
      </c>
      <c r="C4559" s="1" t="n">
        <v>46145</v>
      </c>
      <c r="D4559" t="inlineStr">
        <is>
          <t>VÄSTERBOTTENS LÄN</t>
        </is>
      </c>
      <c r="E4559" t="inlineStr">
        <is>
          <t>ÅSELE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22617-2025</t>
        </is>
      </c>
      <c r="B4560" s="1" t="n">
        <v>45789</v>
      </c>
      <c r="C4560" s="1" t="n">
        <v>46145</v>
      </c>
      <c r="D4560" t="inlineStr">
        <is>
          <t>VÄSTERBOTTENS LÄN</t>
        </is>
      </c>
      <c r="E4560" t="inlineStr">
        <is>
          <t>VILHELMINA</t>
        </is>
      </c>
      <c r="F4560" t="inlineStr">
        <is>
          <t>SCA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62094-2023</t>
        </is>
      </c>
      <c r="B4561" s="1" t="n">
        <v>45266</v>
      </c>
      <c r="C4561" s="1" t="n">
        <v>46145</v>
      </c>
      <c r="D4561" t="inlineStr">
        <is>
          <t>VÄSTERBOTTENS LÄN</t>
        </is>
      </c>
      <c r="E4561" t="inlineStr">
        <is>
          <t>LYCKSELE</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62056-2024</t>
        </is>
      </c>
      <c r="B4562" s="1" t="n">
        <v>45656.37664351852</v>
      </c>
      <c r="C4562" s="1" t="n">
        <v>46145</v>
      </c>
      <c r="D4562" t="inlineStr">
        <is>
          <t>VÄSTERBOTTENS LÄN</t>
        </is>
      </c>
      <c r="E4562" t="inlineStr">
        <is>
          <t>SKELLEFTEÅ</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470-2023</t>
        </is>
      </c>
      <c r="B4563" s="1" t="n">
        <v>44929.92520833333</v>
      </c>
      <c r="C4563" s="1" t="n">
        <v>46145</v>
      </c>
      <c r="D4563" t="inlineStr">
        <is>
          <t>VÄSTERBOTTENS LÄN</t>
        </is>
      </c>
      <c r="E4563" t="inlineStr">
        <is>
          <t>NORSJÖ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56515-2024</t>
        </is>
      </c>
      <c r="B4564" s="1" t="n">
        <v>45625.53189814815</v>
      </c>
      <c r="C4564" s="1" t="n">
        <v>46145</v>
      </c>
      <c r="D4564" t="inlineStr">
        <is>
          <t>VÄSTERBOTTENS LÄN</t>
        </is>
      </c>
      <c r="E4564" t="inlineStr">
        <is>
          <t>SORSELE</t>
        </is>
      </c>
      <c r="F4564" t="inlineStr">
        <is>
          <t>SCA</t>
        </is>
      </c>
      <c r="G4564" t="n">
        <v>20.4</v>
      </c>
      <c r="H4564" t="n">
        <v>0</v>
      </c>
      <c r="I4564" t="n">
        <v>0</v>
      </c>
      <c r="J4564" t="n">
        <v>0</v>
      </c>
      <c r="K4564" t="n">
        <v>0</v>
      </c>
      <c r="L4564" t="n">
        <v>0</v>
      </c>
      <c r="M4564" t="n">
        <v>0</v>
      </c>
      <c r="N4564" t="n">
        <v>0</v>
      </c>
      <c r="O4564" t="n">
        <v>0</v>
      </c>
      <c r="P4564" t="n">
        <v>0</v>
      </c>
      <c r="Q4564" t="n">
        <v>0</v>
      </c>
      <c r="R4564" s="2" t="inlineStr"/>
    </row>
    <row r="4565" ht="15" customHeight="1">
      <c r="A4565" t="inlineStr">
        <is>
          <t>A 42796-2025</t>
        </is>
      </c>
      <c r="B4565" s="1" t="n">
        <v>45908.52939814814</v>
      </c>
      <c r="C4565" s="1" t="n">
        <v>46145</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21143-2025</t>
        </is>
      </c>
      <c r="B4566" s="1" t="n">
        <v>45779</v>
      </c>
      <c r="C4566" s="1" t="n">
        <v>46145</v>
      </c>
      <c r="D4566" t="inlineStr">
        <is>
          <t>VÄSTERBOTTENS LÄN</t>
        </is>
      </c>
      <c r="E4566" t="inlineStr">
        <is>
          <t>ROBERTSFORS</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56529-2024</t>
        </is>
      </c>
      <c r="B4567" s="1" t="n">
        <v>45625.5534837963</v>
      </c>
      <c r="C4567" s="1" t="n">
        <v>46145</v>
      </c>
      <c r="D4567" t="inlineStr">
        <is>
          <t>VÄSTERBOTTENS LÄN</t>
        </is>
      </c>
      <c r="E4567" t="inlineStr">
        <is>
          <t>SKELLEFTEÅ</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56530-2024</t>
        </is>
      </c>
      <c r="B4568" s="1" t="n">
        <v>45625</v>
      </c>
      <c r="C4568" s="1" t="n">
        <v>46145</v>
      </c>
      <c r="D4568" t="inlineStr">
        <is>
          <t>VÄSTERBOTTENS LÄN</t>
        </is>
      </c>
      <c r="E4568" t="inlineStr">
        <is>
          <t>SKELLEFTEÅ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56590-2024</t>
        </is>
      </c>
      <c r="B4569" s="1" t="n">
        <v>45625.62136574074</v>
      </c>
      <c r="C4569" s="1" t="n">
        <v>46145</v>
      </c>
      <c r="D4569" t="inlineStr">
        <is>
          <t>VÄSTERBOTTENS LÄN</t>
        </is>
      </c>
      <c r="E4569" t="inlineStr">
        <is>
          <t>DOROTEA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10795-2023</t>
        </is>
      </c>
      <c r="B4570" s="1" t="n">
        <v>44989.42253472222</v>
      </c>
      <c r="C4570" s="1" t="n">
        <v>46145</v>
      </c>
      <c r="D4570" t="inlineStr">
        <is>
          <t>VÄSTERBOTTENS LÄN</t>
        </is>
      </c>
      <c r="E4570" t="inlineStr">
        <is>
          <t>SORSELE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28170-2025</t>
        </is>
      </c>
      <c r="B4571" s="1" t="n">
        <v>45818.37524305555</v>
      </c>
      <c r="C4571" s="1" t="n">
        <v>46145</v>
      </c>
      <c r="D4571" t="inlineStr">
        <is>
          <t>VÄSTERBOTTENS LÄN</t>
        </is>
      </c>
      <c r="E4571" t="inlineStr">
        <is>
          <t>LYCKSELE</t>
        </is>
      </c>
      <c r="F4571" t="inlineStr">
        <is>
          <t>Sveaskog</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42855-2025</t>
        </is>
      </c>
      <c r="B4572" s="1" t="n">
        <v>45908</v>
      </c>
      <c r="C4572" s="1" t="n">
        <v>46145</v>
      </c>
      <c r="D4572" t="inlineStr">
        <is>
          <t>VÄSTERBOTTENS LÄN</t>
        </is>
      </c>
      <c r="E4572" t="inlineStr">
        <is>
          <t>UMEÅ</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42761-2025</t>
        </is>
      </c>
      <c r="B4573" s="1" t="n">
        <v>45908.46253472222</v>
      </c>
      <c r="C4573" s="1" t="n">
        <v>46145</v>
      </c>
      <c r="D4573" t="inlineStr">
        <is>
          <t>VÄSTERBOTTENS LÄN</t>
        </is>
      </c>
      <c r="E4573" t="inlineStr">
        <is>
          <t>NORSJÖ</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42779-2025</t>
        </is>
      </c>
      <c r="B4574" s="1" t="n">
        <v>45908.49655092593</v>
      </c>
      <c r="C4574" s="1" t="n">
        <v>46145</v>
      </c>
      <c r="D4574" t="inlineStr">
        <is>
          <t>VÄSTERBOTTENS LÄN</t>
        </is>
      </c>
      <c r="E4574" t="inlineStr">
        <is>
          <t>BJURHOLM</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32585-2024</t>
        </is>
      </c>
      <c r="B4575" s="1" t="n">
        <v>45513.58017361111</v>
      </c>
      <c r="C4575" s="1" t="n">
        <v>46145</v>
      </c>
      <c r="D4575" t="inlineStr">
        <is>
          <t>VÄSTERBOTTENS LÄN</t>
        </is>
      </c>
      <c r="E4575" t="inlineStr">
        <is>
          <t>LYCKSELE</t>
        </is>
      </c>
      <c r="F4575" t="inlineStr">
        <is>
          <t>Naturvårdsverket</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53679-2024</t>
        </is>
      </c>
      <c r="B4576" s="1" t="n">
        <v>45615</v>
      </c>
      <c r="C4576" s="1" t="n">
        <v>46145</v>
      </c>
      <c r="D4576" t="inlineStr">
        <is>
          <t>VÄSTERBOTTENS LÄN</t>
        </is>
      </c>
      <c r="E4576" t="inlineStr">
        <is>
          <t>ÅSELE</t>
        </is>
      </c>
      <c r="F4576" t="inlineStr">
        <is>
          <t>SCA</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57082-2024</t>
        </is>
      </c>
      <c r="B4577" s="1" t="n">
        <v>45629.3558449074</v>
      </c>
      <c r="C4577" s="1" t="n">
        <v>46145</v>
      </c>
      <c r="D4577" t="inlineStr">
        <is>
          <t>VÄSTERBOTTENS LÄN</t>
        </is>
      </c>
      <c r="E4577" t="inlineStr">
        <is>
          <t>DOROTEA</t>
        </is>
      </c>
      <c r="F4577" t="inlineStr">
        <is>
          <t>SCA</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62064-2024</t>
        </is>
      </c>
      <c r="B4578" s="1" t="n">
        <v>45656</v>
      </c>
      <c r="C4578" s="1" t="n">
        <v>46145</v>
      </c>
      <c r="D4578" t="inlineStr">
        <is>
          <t>VÄSTERBOTTENS LÄN</t>
        </is>
      </c>
      <c r="E4578" t="inlineStr">
        <is>
          <t>SKELLEFTEÅ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42660-2025</t>
        </is>
      </c>
      <c r="B4579" s="1" t="n">
        <v>45907.58118055556</v>
      </c>
      <c r="C4579" s="1" t="n">
        <v>46145</v>
      </c>
      <c r="D4579" t="inlineStr">
        <is>
          <t>VÄSTERBOTTENS LÄN</t>
        </is>
      </c>
      <c r="E4579" t="inlineStr">
        <is>
          <t>NORDMALING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15792-2025</t>
        </is>
      </c>
      <c r="B4580" s="1" t="n">
        <v>45748.63356481482</v>
      </c>
      <c r="C4580" s="1" t="n">
        <v>46145</v>
      </c>
      <c r="D4580" t="inlineStr">
        <is>
          <t>VÄSTERBOTTENS LÄN</t>
        </is>
      </c>
      <c r="E4580" t="inlineStr">
        <is>
          <t>VILHELMINA</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22436-2025</t>
        </is>
      </c>
      <c r="B4581" s="1" t="n">
        <v>45786.5847337963</v>
      </c>
      <c r="C4581" s="1" t="n">
        <v>46145</v>
      </c>
      <c r="D4581" t="inlineStr">
        <is>
          <t>VÄSTERBOTTENS LÄN</t>
        </is>
      </c>
      <c r="E4581" t="inlineStr">
        <is>
          <t>VINDELN</t>
        </is>
      </c>
      <c r="F4581" t="inlineStr">
        <is>
          <t>Holmen skog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42394-2025</t>
        </is>
      </c>
      <c r="B4582" s="1" t="n">
        <v>45904</v>
      </c>
      <c r="C4582" s="1" t="n">
        <v>46145</v>
      </c>
      <c r="D4582" t="inlineStr">
        <is>
          <t>VÄSTERBOTTENS LÄN</t>
        </is>
      </c>
      <c r="E4582" t="inlineStr">
        <is>
          <t>MALÅ</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11499-2025</t>
        </is>
      </c>
      <c r="B4583" s="1" t="n">
        <v>45726.77245370371</v>
      </c>
      <c r="C4583" s="1" t="n">
        <v>46145</v>
      </c>
      <c r="D4583" t="inlineStr">
        <is>
          <t>VÄSTERBOTTENS LÄN</t>
        </is>
      </c>
      <c r="E4583" t="inlineStr">
        <is>
          <t>SORSELE</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39353-2023</t>
        </is>
      </c>
      <c r="B4584" s="1" t="n">
        <v>45166</v>
      </c>
      <c r="C4584" s="1" t="n">
        <v>46145</v>
      </c>
      <c r="D4584" t="inlineStr">
        <is>
          <t>VÄSTERBOTTENS LÄN</t>
        </is>
      </c>
      <c r="E4584" t="inlineStr">
        <is>
          <t>NORSJÖ</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42854-2025</t>
        </is>
      </c>
      <c r="B4585" s="1" t="n">
        <v>45908.60465277778</v>
      </c>
      <c r="C4585" s="1" t="n">
        <v>46145</v>
      </c>
      <c r="D4585" t="inlineStr">
        <is>
          <t>VÄSTERBOTTENS LÄN</t>
        </is>
      </c>
      <c r="E4585" t="inlineStr">
        <is>
          <t>UMEÅ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42560-2025</t>
        </is>
      </c>
      <c r="B4586" s="1" t="n">
        <v>45905.59663194444</v>
      </c>
      <c r="C4586" s="1" t="n">
        <v>46145</v>
      </c>
      <c r="D4586" t="inlineStr">
        <is>
          <t>VÄSTERBOTTENS LÄN</t>
        </is>
      </c>
      <c r="E4586" t="inlineStr">
        <is>
          <t>ÅSELE</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29823-2025</t>
        </is>
      </c>
      <c r="B4587" s="1" t="n">
        <v>45825.85599537037</v>
      </c>
      <c r="C4587" s="1" t="n">
        <v>46145</v>
      </c>
      <c r="D4587" t="inlineStr">
        <is>
          <t>VÄSTERBOTTENS LÄN</t>
        </is>
      </c>
      <c r="E4587" t="inlineStr">
        <is>
          <t>VÄNNÄS</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23596-2024</t>
        </is>
      </c>
      <c r="B4588" s="1" t="n">
        <v>45454.38533564815</v>
      </c>
      <c r="C4588" s="1" t="n">
        <v>46145</v>
      </c>
      <c r="D4588" t="inlineStr">
        <is>
          <t>VÄSTERBOTTENS LÄN</t>
        </is>
      </c>
      <c r="E4588" t="inlineStr">
        <is>
          <t>LYCKSELE</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47011-2024</t>
        </is>
      </c>
      <c r="B4589" s="1" t="n">
        <v>45586.38592592593</v>
      </c>
      <c r="C4589" s="1" t="n">
        <v>46145</v>
      </c>
      <c r="D4589" t="inlineStr">
        <is>
          <t>VÄSTERBOTTENS LÄN</t>
        </is>
      </c>
      <c r="E4589" t="inlineStr">
        <is>
          <t>VILHELMINA</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8141-2025</t>
        </is>
      </c>
      <c r="B4590" s="1" t="n">
        <v>45708.27729166667</v>
      </c>
      <c r="C4590" s="1" t="n">
        <v>46145</v>
      </c>
      <c r="D4590" t="inlineStr">
        <is>
          <t>VÄSTERBOTTENS LÄN</t>
        </is>
      </c>
      <c r="E4590" t="inlineStr">
        <is>
          <t>SKELLEFTEÅ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54456-2022</t>
        </is>
      </c>
      <c r="B4591" s="1" t="n">
        <v>44880</v>
      </c>
      <c r="C4591" s="1" t="n">
        <v>46145</v>
      </c>
      <c r="D4591" t="inlineStr">
        <is>
          <t>VÄSTERBOTTENS LÄN</t>
        </is>
      </c>
      <c r="E4591" t="inlineStr">
        <is>
          <t>SKELLEFTEÅ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42763-2025</t>
        </is>
      </c>
      <c r="B4592" s="1" t="n">
        <v>45908.46921296296</v>
      </c>
      <c r="C4592" s="1" t="n">
        <v>46145</v>
      </c>
      <c r="D4592" t="inlineStr">
        <is>
          <t>VÄSTERBOTTENS LÄN</t>
        </is>
      </c>
      <c r="E4592" t="inlineStr">
        <is>
          <t>STORUMAN</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60549-2022</t>
        </is>
      </c>
      <c r="B4593" s="1" t="n">
        <v>44911.51318287037</v>
      </c>
      <c r="C4593" s="1" t="n">
        <v>46145</v>
      </c>
      <c r="D4593" t="inlineStr">
        <is>
          <t>VÄSTERBOTTENS LÄN</t>
        </is>
      </c>
      <c r="E4593" t="inlineStr">
        <is>
          <t>VILHELMINA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42800-2025</t>
        </is>
      </c>
      <c r="B4594" s="1" t="n">
        <v>45908.53167824074</v>
      </c>
      <c r="C4594" s="1" t="n">
        <v>46145</v>
      </c>
      <c r="D4594" t="inlineStr">
        <is>
          <t>VÄSTERBOTTENS LÄN</t>
        </is>
      </c>
      <c r="E4594" t="inlineStr">
        <is>
          <t>DOROTEA</t>
        </is>
      </c>
      <c r="F4594" t="inlineStr">
        <is>
          <t>SCA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42367-2021</t>
        </is>
      </c>
      <c r="B4595" s="1" t="n">
        <v>44427</v>
      </c>
      <c r="C4595" s="1" t="n">
        <v>46145</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37482-2024</t>
        </is>
      </c>
      <c r="B4596" s="1" t="n">
        <v>45541.33385416667</v>
      </c>
      <c r="C4596" s="1" t="n">
        <v>46145</v>
      </c>
      <c r="D4596" t="inlineStr">
        <is>
          <t>VÄSTERBOTTENS LÄN</t>
        </is>
      </c>
      <c r="E4596" t="inlineStr">
        <is>
          <t>ROBERTSFORS</t>
        </is>
      </c>
      <c r="F4596" t="inlineStr">
        <is>
          <t>Holmen skog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18549-2023</t>
        </is>
      </c>
      <c r="B4597" s="1" t="n">
        <v>45042.92578703703</v>
      </c>
      <c r="C4597" s="1" t="n">
        <v>46145</v>
      </c>
      <c r="D4597" t="inlineStr">
        <is>
          <t>VÄSTERBOTTENS LÄN</t>
        </is>
      </c>
      <c r="E4597" t="inlineStr">
        <is>
          <t>VINDELN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3611-2025</t>
        </is>
      </c>
      <c r="B4598" s="1" t="n">
        <v>45681.36076388889</v>
      </c>
      <c r="C4598" s="1" t="n">
        <v>46145</v>
      </c>
      <c r="D4598" t="inlineStr">
        <is>
          <t>VÄSTERBOTTENS LÄN</t>
        </is>
      </c>
      <c r="E4598" t="inlineStr">
        <is>
          <t>SKELLEFTEÅ</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5251-2025</t>
        </is>
      </c>
      <c r="B4599" s="1" t="n">
        <v>45692.34487268519</v>
      </c>
      <c r="C4599" s="1" t="n">
        <v>46145</v>
      </c>
      <c r="D4599" t="inlineStr">
        <is>
          <t>VÄSTERBOTTENS LÄN</t>
        </is>
      </c>
      <c r="E4599" t="inlineStr">
        <is>
          <t>ROBERTSFORS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5374-2025</t>
        </is>
      </c>
      <c r="B4600" s="1" t="n">
        <v>45692</v>
      </c>
      <c r="C4600" s="1" t="n">
        <v>46145</v>
      </c>
      <c r="D4600" t="inlineStr">
        <is>
          <t>VÄSTERBOTTENS LÄN</t>
        </is>
      </c>
      <c r="E4600" t="inlineStr">
        <is>
          <t>SKELLEFTEÅ</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42564-2025</t>
        </is>
      </c>
      <c r="B4601" s="1" t="n">
        <v>45905</v>
      </c>
      <c r="C4601" s="1" t="n">
        <v>46145</v>
      </c>
      <c r="D4601" t="inlineStr">
        <is>
          <t>VÄSTERBOTTENS LÄN</t>
        </is>
      </c>
      <c r="E4601" t="inlineStr">
        <is>
          <t>VINDELN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42584-2025</t>
        </is>
      </c>
      <c r="B4602" s="1" t="n">
        <v>45905.62662037037</v>
      </c>
      <c r="C4602" s="1" t="n">
        <v>46145</v>
      </c>
      <c r="D4602" t="inlineStr">
        <is>
          <t>VÄSTERBOTTENS LÄN</t>
        </is>
      </c>
      <c r="E4602" t="inlineStr">
        <is>
          <t>VÄNNÄS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41409-2023</t>
        </is>
      </c>
      <c r="B4603" s="1" t="n">
        <v>45174.93927083333</v>
      </c>
      <c r="C4603" s="1" t="n">
        <v>46145</v>
      </c>
      <c r="D4603" t="inlineStr">
        <is>
          <t>VÄSTERBOTTENS LÄN</t>
        </is>
      </c>
      <c r="E4603" t="inlineStr">
        <is>
          <t>ÅSELE</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62540-2022</t>
        </is>
      </c>
      <c r="B4604" s="1" t="n">
        <v>44917</v>
      </c>
      <c r="C4604" s="1" t="n">
        <v>46145</v>
      </c>
      <c r="D4604" t="inlineStr">
        <is>
          <t>VÄSTERBOTTENS LÄN</t>
        </is>
      </c>
      <c r="E4604" t="inlineStr">
        <is>
          <t>UMEÅ</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42752-2025</t>
        </is>
      </c>
      <c r="B4605" s="1" t="n">
        <v>45908.44136574074</v>
      </c>
      <c r="C4605" s="1" t="n">
        <v>46145</v>
      </c>
      <c r="D4605" t="inlineStr">
        <is>
          <t>VÄSTERBOTTENS LÄN</t>
        </is>
      </c>
      <c r="E4605" t="inlineStr">
        <is>
          <t>NORSJÖ</t>
        </is>
      </c>
      <c r="F4605" t="inlineStr">
        <is>
          <t>Holmen skog AB</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21669-2024</t>
        </is>
      </c>
      <c r="B4606" s="1" t="n">
        <v>45442</v>
      </c>
      <c r="C4606" s="1" t="n">
        <v>46145</v>
      </c>
      <c r="D4606" t="inlineStr">
        <is>
          <t>VÄSTERBOTTENS LÄN</t>
        </is>
      </c>
      <c r="E4606" t="inlineStr">
        <is>
          <t>VINDELN</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42661-2025</t>
        </is>
      </c>
      <c r="B4607" s="1" t="n">
        <v>45907.60118055555</v>
      </c>
      <c r="C4607" s="1" t="n">
        <v>46145</v>
      </c>
      <c r="D4607" t="inlineStr">
        <is>
          <t>VÄSTERBOTTENS LÄN</t>
        </is>
      </c>
      <c r="E4607" t="inlineStr">
        <is>
          <t>SKELLEFTEÅ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17196-2025</t>
        </is>
      </c>
      <c r="B4608" s="1" t="n">
        <v>45756.4102199074</v>
      </c>
      <c r="C4608" s="1" t="n">
        <v>46145</v>
      </c>
      <c r="D4608" t="inlineStr">
        <is>
          <t>VÄSTERBOTTENS LÄN</t>
        </is>
      </c>
      <c r="E4608" t="inlineStr">
        <is>
          <t>BJURHOLM</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22908-2025</t>
        </is>
      </c>
      <c r="B4609" s="1" t="n">
        <v>45790</v>
      </c>
      <c r="C4609" s="1" t="n">
        <v>46145</v>
      </c>
      <c r="D4609" t="inlineStr">
        <is>
          <t>VÄSTERBOTTENS LÄN</t>
        </is>
      </c>
      <c r="E4609" t="inlineStr">
        <is>
          <t>ÅSELE</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12944-2025</t>
        </is>
      </c>
      <c r="B4610" s="1" t="n">
        <v>45734</v>
      </c>
      <c r="C4610" s="1" t="n">
        <v>46145</v>
      </c>
      <c r="D4610" t="inlineStr">
        <is>
          <t>VÄSTERBOTTENS LÄN</t>
        </is>
      </c>
      <c r="E4610" t="inlineStr">
        <is>
          <t>NORSJÖ</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29301-2025</t>
        </is>
      </c>
      <c r="B4611" s="1" t="n">
        <v>45824.45652777778</v>
      </c>
      <c r="C4611" s="1" t="n">
        <v>46145</v>
      </c>
      <c r="D4611" t="inlineStr">
        <is>
          <t>VÄSTERBOTTENS LÄN</t>
        </is>
      </c>
      <c r="E4611" t="inlineStr">
        <is>
          <t>BJURHOLM</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41172-2024</t>
        </is>
      </c>
      <c r="B4612" s="1" t="n">
        <v>45559.48717592593</v>
      </c>
      <c r="C4612" s="1" t="n">
        <v>46145</v>
      </c>
      <c r="D4612" t="inlineStr">
        <is>
          <t>VÄSTERBOTTENS LÄN</t>
        </is>
      </c>
      <c r="E4612" t="inlineStr">
        <is>
          <t>VINDELN</t>
        </is>
      </c>
      <c r="F4612" t="inlineStr">
        <is>
          <t>Sveaskog</t>
        </is>
      </c>
      <c r="G4612" t="n">
        <v>10</v>
      </c>
      <c r="H4612" t="n">
        <v>0</v>
      </c>
      <c r="I4612" t="n">
        <v>0</v>
      </c>
      <c r="J4612" t="n">
        <v>0</v>
      </c>
      <c r="K4612" t="n">
        <v>0</v>
      </c>
      <c r="L4612" t="n">
        <v>0</v>
      </c>
      <c r="M4612" t="n">
        <v>0</v>
      </c>
      <c r="N4612" t="n">
        <v>0</v>
      </c>
      <c r="O4612" t="n">
        <v>0</v>
      </c>
      <c r="P4612" t="n">
        <v>0</v>
      </c>
      <c r="Q4612" t="n">
        <v>0</v>
      </c>
      <c r="R4612" s="2" t="inlineStr"/>
    </row>
    <row r="4613" ht="15" customHeight="1">
      <c r="A4613" t="inlineStr">
        <is>
          <t>A 52686-2023</t>
        </is>
      </c>
      <c r="B4613" s="1" t="n">
        <v>45225.73399305555</v>
      </c>
      <c r="C4613" s="1" t="n">
        <v>46145</v>
      </c>
      <c r="D4613" t="inlineStr">
        <is>
          <t>VÄSTERBOTTENS LÄN</t>
        </is>
      </c>
      <c r="E4613" t="inlineStr">
        <is>
          <t>SKELLEFTEÅ</t>
        </is>
      </c>
      <c r="F4613" t="inlineStr">
        <is>
          <t>Sveaskog</t>
        </is>
      </c>
      <c r="G4613" t="n">
        <v>18.1</v>
      </c>
      <c r="H4613" t="n">
        <v>0</v>
      </c>
      <c r="I4613" t="n">
        <v>0</v>
      </c>
      <c r="J4613" t="n">
        <v>0</v>
      </c>
      <c r="K4613" t="n">
        <v>0</v>
      </c>
      <c r="L4613" t="n">
        <v>0</v>
      </c>
      <c r="M4613" t="n">
        <v>0</v>
      </c>
      <c r="N4613" t="n">
        <v>0</v>
      </c>
      <c r="O4613" t="n">
        <v>0</v>
      </c>
      <c r="P4613" t="n">
        <v>0</v>
      </c>
      <c r="Q4613" t="n">
        <v>0</v>
      </c>
      <c r="R4613" s="2" t="inlineStr"/>
    </row>
    <row r="4614" ht="15" customHeight="1">
      <c r="A4614" t="inlineStr">
        <is>
          <t>A 38178-2022</t>
        </is>
      </c>
      <c r="B4614" s="1" t="n">
        <v>44812</v>
      </c>
      <c r="C4614" s="1" t="n">
        <v>46145</v>
      </c>
      <c r="D4614" t="inlineStr">
        <is>
          <t>VÄSTERBOTTENS LÄN</t>
        </is>
      </c>
      <c r="E4614" t="inlineStr">
        <is>
          <t>LYCKSELE</t>
        </is>
      </c>
      <c r="F4614" t="inlineStr">
        <is>
          <t>Holmen skog AB</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46691-2023</t>
        </is>
      </c>
      <c r="B4615" s="1" t="n">
        <v>45198.52241898148</v>
      </c>
      <c r="C4615" s="1" t="n">
        <v>46145</v>
      </c>
      <c r="D4615" t="inlineStr">
        <is>
          <t>VÄSTERBOTTENS LÄN</t>
        </is>
      </c>
      <c r="E4615" t="inlineStr">
        <is>
          <t>ÅSELE</t>
        </is>
      </c>
      <c r="F4615" t="inlineStr">
        <is>
          <t>Sveaskog</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37357-2024</t>
        </is>
      </c>
      <c r="B4616" s="1" t="n">
        <v>45540.54907407407</v>
      </c>
      <c r="C4616" s="1" t="n">
        <v>46145</v>
      </c>
      <c r="D4616" t="inlineStr">
        <is>
          <t>VÄSTERBOTTENS LÄN</t>
        </is>
      </c>
      <c r="E4616" t="inlineStr">
        <is>
          <t>ROBERTSFORS</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43027-2023</t>
        </is>
      </c>
      <c r="B4617" s="1" t="n">
        <v>45182.65770833333</v>
      </c>
      <c r="C4617" s="1" t="n">
        <v>46145</v>
      </c>
      <c r="D4617" t="inlineStr">
        <is>
          <t>VÄSTERBOTTENS LÄN</t>
        </is>
      </c>
      <c r="E4617" t="inlineStr">
        <is>
          <t>ROBERTSFORS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42405-2025</t>
        </is>
      </c>
      <c r="B4618" s="1" t="n">
        <v>45905.37756944444</v>
      </c>
      <c r="C4618" s="1" t="n">
        <v>46145</v>
      </c>
      <c r="D4618" t="inlineStr">
        <is>
          <t>VÄSTERBOTTENS LÄN</t>
        </is>
      </c>
      <c r="E4618" t="inlineStr">
        <is>
          <t>LYCKSELE</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62534-2021</t>
        </is>
      </c>
      <c r="B4619" s="1" t="n">
        <v>44503</v>
      </c>
      <c r="C4619" s="1" t="n">
        <v>46145</v>
      </c>
      <c r="D4619" t="inlineStr">
        <is>
          <t>VÄSTERBOTTENS LÄN</t>
        </is>
      </c>
      <c r="E4619" t="inlineStr">
        <is>
          <t>ÅSELE</t>
        </is>
      </c>
      <c r="F4619" t="inlineStr">
        <is>
          <t>Holmen skog AB</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33872-2025</t>
        </is>
      </c>
      <c r="B4620" s="1" t="n">
        <v>45842.54907407407</v>
      </c>
      <c r="C4620" s="1" t="n">
        <v>46145</v>
      </c>
      <c r="D4620" t="inlineStr">
        <is>
          <t>VÄSTERBOTTENS LÄN</t>
        </is>
      </c>
      <c r="E4620" t="inlineStr">
        <is>
          <t>VINDELN</t>
        </is>
      </c>
      <c r="F4620" t="inlineStr">
        <is>
          <t>Sveaskog</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8241-2025</t>
        </is>
      </c>
      <c r="B4621" s="1" t="n">
        <v>45708.48162037037</v>
      </c>
      <c r="C4621" s="1" t="n">
        <v>46145</v>
      </c>
      <c r="D4621" t="inlineStr">
        <is>
          <t>VÄSTERBOTTENS LÄN</t>
        </is>
      </c>
      <c r="E4621" t="inlineStr">
        <is>
          <t>SKELLEFTEÅ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30746-2025</t>
        </is>
      </c>
      <c r="B4622" s="1" t="n">
        <v>45831.58256944444</v>
      </c>
      <c r="C4622" s="1" t="n">
        <v>46145</v>
      </c>
      <c r="D4622" t="inlineStr">
        <is>
          <t>VÄSTERBOTTENS LÄN</t>
        </is>
      </c>
      <c r="E4622" t="inlineStr">
        <is>
          <t>VILHELMINA</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22451-2025</t>
        </is>
      </c>
      <c r="B4623" s="1" t="n">
        <v>45786.60166666667</v>
      </c>
      <c r="C4623" s="1" t="n">
        <v>46145</v>
      </c>
      <c r="D4623" t="inlineStr">
        <is>
          <t>VÄSTERBOTTENS LÄN</t>
        </is>
      </c>
      <c r="E4623" t="inlineStr">
        <is>
          <t>VINDELN</t>
        </is>
      </c>
      <c r="F4623" t="inlineStr">
        <is>
          <t>Holmen skog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42517-2025</t>
        </is>
      </c>
      <c r="B4624" s="1" t="n">
        <v>45905.54627314815</v>
      </c>
      <c r="C4624" s="1" t="n">
        <v>46145</v>
      </c>
      <c r="D4624" t="inlineStr">
        <is>
          <t>VÄSTERBOTTENS LÄN</t>
        </is>
      </c>
      <c r="E4624" t="inlineStr">
        <is>
          <t>NORSJÖ</t>
        </is>
      </c>
      <c r="F4624" t="inlineStr">
        <is>
          <t>Sveaskog</t>
        </is>
      </c>
      <c r="G4624" t="n">
        <v>8.300000000000001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46331-2023</t>
        </is>
      </c>
      <c r="B4625" s="1" t="n">
        <v>45197.38826388889</v>
      </c>
      <c r="C4625" s="1" t="n">
        <v>46145</v>
      </c>
      <c r="D4625" t="inlineStr">
        <is>
          <t>VÄSTERBOTTENS LÄN</t>
        </is>
      </c>
      <c r="E4625" t="inlineStr">
        <is>
          <t>ROBERTSFORS</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20384-2025</t>
        </is>
      </c>
      <c r="B4626" s="1" t="n">
        <v>45775.44128472222</v>
      </c>
      <c r="C4626" s="1" t="n">
        <v>46145</v>
      </c>
      <c r="D4626" t="inlineStr">
        <is>
          <t>VÄSTERBOTTENS LÄN</t>
        </is>
      </c>
      <c r="E4626" t="inlineStr">
        <is>
          <t>ÅSELE</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30719-2021</t>
        </is>
      </c>
      <c r="B4627" s="1" t="n">
        <v>44365.43997685185</v>
      </c>
      <c r="C4627" s="1" t="n">
        <v>46145</v>
      </c>
      <c r="D4627" t="inlineStr">
        <is>
          <t>VÄSTERBOTTENS LÄN</t>
        </is>
      </c>
      <c r="E4627" t="inlineStr">
        <is>
          <t>SKELLEFTEÅ</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42990-2025</t>
        </is>
      </c>
      <c r="B4628" s="1" t="n">
        <v>45909.45178240741</v>
      </c>
      <c r="C4628" s="1" t="n">
        <v>46145</v>
      </c>
      <c r="D4628" t="inlineStr">
        <is>
          <t>VÄSTERBOTTENS LÄN</t>
        </is>
      </c>
      <c r="E4628" t="inlineStr">
        <is>
          <t>VÄNNÄS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43016-2025</t>
        </is>
      </c>
      <c r="B4629" s="1" t="n">
        <v>45909.49864583334</v>
      </c>
      <c r="C4629" s="1" t="n">
        <v>46145</v>
      </c>
      <c r="D4629" t="inlineStr">
        <is>
          <t>VÄSTERBOTTENS LÄN</t>
        </is>
      </c>
      <c r="E4629" t="inlineStr">
        <is>
          <t>UMEÅ</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42984-2025</t>
        </is>
      </c>
      <c r="B4630" s="1" t="n">
        <v>45909.44195601852</v>
      </c>
      <c r="C4630" s="1" t="n">
        <v>46145</v>
      </c>
      <c r="D4630" t="inlineStr">
        <is>
          <t>VÄSTERBOTTENS LÄN</t>
        </is>
      </c>
      <c r="E4630" t="inlineStr">
        <is>
          <t>LYCKSELE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42987-2025</t>
        </is>
      </c>
      <c r="B4631" s="1" t="n">
        <v>45909</v>
      </c>
      <c r="C4631" s="1" t="n">
        <v>46145</v>
      </c>
      <c r="D4631" t="inlineStr">
        <is>
          <t>VÄSTERBOTTENS LÄN</t>
        </is>
      </c>
      <c r="E4631" t="inlineStr">
        <is>
          <t>UMEÅ</t>
        </is>
      </c>
      <c r="F4631" t="inlineStr">
        <is>
          <t>Holmen skog AB</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7364-2023</t>
        </is>
      </c>
      <c r="B4632" s="1" t="n">
        <v>44971</v>
      </c>
      <c r="C4632" s="1" t="n">
        <v>46145</v>
      </c>
      <c r="D4632" t="inlineStr">
        <is>
          <t>VÄSTERBOTTENS LÄN</t>
        </is>
      </c>
      <c r="E4632" t="inlineStr">
        <is>
          <t>SKELLEFTEÅ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7076-2025</t>
        </is>
      </c>
      <c r="B4633" s="1" t="n">
        <v>45701.68518518518</v>
      </c>
      <c r="C4633" s="1" t="n">
        <v>46145</v>
      </c>
      <c r="D4633" t="inlineStr">
        <is>
          <t>VÄSTERBOTTENS LÄN</t>
        </is>
      </c>
      <c r="E4633" t="inlineStr">
        <is>
          <t>ROBERTSFORS</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12593-2022</t>
        </is>
      </c>
      <c r="B4634" s="1" t="n">
        <v>44640</v>
      </c>
      <c r="C4634" s="1" t="n">
        <v>46145</v>
      </c>
      <c r="D4634" t="inlineStr">
        <is>
          <t>VÄSTERBOTTENS LÄN</t>
        </is>
      </c>
      <c r="E4634" t="inlineStr">
        <is>
          <t>VILHELMINA</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43334-2025</t>
        </is>
      </c>
      <c r="B4635" s="1" t="n">
        <v>45910.71481481481</v>
      </c>
      <c r="C4635" s="1" t="n">
        <v>46145</v>
      </c>
      <c r="D4635" t="inlineStr">
        <is>
          <t>VÄSTERBOTTENS LÄN</t>
        </is>
      </c>
      <c r="E4635" t="inlineStr">
        <is>
          <t>ÅSELE</t>
        </is>
      </c>
      <c r="F4635" t="inlineStr">
        <is>
          <t>Holmen skog AB</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425-2022</t>
        </is>
      </c>
      <c r="B4636" s="1" t="n">
        <v>44565.92798611111</v>
      </c>
      <c r="C4636" s="1" t="n">
        <v>46145</v>
      </c>
      <c r="D4636" t="inlineStr">
        <is>
          <t>VÄSTERBOTTENS LÄN</t>
        </is>
      </c>
      <c r="E4636" t="inlineStr">
        <is>
          <t>VINDELN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58960-2024</t>
        </is>
      </c>
      <c r="B4637" s="1" t="n">
        <v>45635</v>
      </c>
      <c r="C4637" s="1" t="n">
        <v>46145</v>
      </c>
      <c r="D4637" t="inlineStr">
        <is>
          <t>VÄSTERBOTTENS LÄN</t>
        </is>
      </c>
      <c r="E4637" t="inlineStr">
        <is>
          <t>SKELLEFTEÅ</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43289-2025</t>
        </is>
      </c>
      <c r="B4638" s="1" t="n">
        <v>45910</v>
      </c>
      <c r="C4638" s="1" t="n">
        <v>46145</v>
      </c>
      <c r="D4638" t="inlineStr">
        <is>
          <t>VÄSTERBOTTENS LÄN</t>
        </is>
      </c>
      <c r="E4638" t="inlineStr">
        <is>
          <t>ÅSELE</t>
        </is>
      </c>
      <c r="F4638" t="inlineStr">
        <is>
          <t>Kyrkan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43312-2025</t>
        </is>
      </c>
      <c r="B4639" s="1" t="n">
        <v>45910.65115740741</v>
      </c>
      <c r="C4639" s="1" t="n">
        <v>46145</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59007-2024</t>
        </is>
      </c>
      <c r="B4640" s="1" t="n">
        <v>45636</v>
      </c>
      <c r="C4640" s="1" t="n">
        <v>46145</v>
      </c>
      <c r="D4640" t="inlineStr">
        <is>
          <t>VÄSTERBOTTENS LÄN</t>
        </is>
      </c>
      <c r="E4640" t="inlineStr">
        <is>
          <t>DOROTEA</t>
        </is>
      </c>
      <c r="F4640" t="inlineStr">
        <is>
          <t>SCA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8510-2025</t>
        </is>
      </c>
      <c r="B4641" s="1" t="n">
        <v>45709.53822916667</v>
      </c>
      <c r="C4641" s="1" t="n">
        <v>46145</v>
      </c>
      <c r="D4641" t="inlineStr">
        <is>
          <t>VÄSTERBOTTENS LÄN</t>
        </is>
      </c>
      <c r="E4641" t="inlineStr">
        <is>
          <t>VINDELN</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43325-2025</t>
        </is>
      </c>
      <c r="B4642" s="1" t="n">
        <v>45910.66576388889</v>
      </c>
      <c r="C4642" s="1" t="n">
        <v>46145</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42939-2025</t>
        </is>
      </c>
      <c r="B4643" s="1" t="n">
        <v>45909</v>
      </c>
      <c r="C4643" s="1" t="n">
        <v>46145</v>
      </c>
      <c r="D4643" t="inlineStr">
        <is>
          <t>VÄSTERBOTTENS LÄN</t>
        </is>
      </c>
      <c r="E4643" t="inlineStr">
        <is>
          <t>UMEÅ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55278-2024</t>
        </is>
      </c>
      <c r="B4644" s="1" t="n">
        <v>45621.62319444444</v>
      </c>
      <c r="C4644" s="1" t="n">
        <v>46145</v>
      </c>
      <c r="D4644" t="inlineStr">
        <is>
          <t>VÄSTERBOTTENS LÄN</t>
        </is>
      </c>
      <c r="E4644" t="inlineStr">
        <is>
          <t>LYCKSELE</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43307-2025</t>
        </is>
      </c>
      <c r="B4645" s="1" t="n">
        <v>45910.64238425926</v>
      </c>
      <c r="C4645" s="1" t="n">
        <v>46145</v>
      </c>
      <c r="D4645" t="inlineStr">
        <is>
          <t>VÄSTERBOTTENS LÄN</t>
        </is>
      </c>
      <c r="E4645" t="inlineStr">
        <is>
          <t>SKELLEFTEÅ</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43309-2025</t>
        </is>
      </c>
      <c r="B4646" s="1" t="n">
        <v>45910.64689814814</v>
      </c>
      <c r="C4646" s="1" t="n">
        <v>46145</v>
      </c>
      <c r="D4646" t="inlineStr">
        <is>
          <t>VÄSTERBOTTENS LÄN</t>
        </is>
      </c>
      <c r="E4646" t="inlineStr">
        <is>
          <t>SKELLEFTEÅ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43080-2025</t>
        </is>
      </c>
      <c r="B4647" s="1" t="n">
        <v>45909</v>
      </c>
      <c r="C4647" s="1" t="n">
        <v>46145</v>
      </c>
      <c r="D4647" t="inlineStr">
        <is>
          <t>VÄSTERBOTTENS LÄN</t>
        </is>
      </c>
      <c r="E4647" t="inlineStr">
        <is>
          <t>VINDELN</t>
        </is>
      </c>
      <c r="F4647" t="inlineStr">
        <is>
          <t>Holmen skog AB</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9189-2025</t>
        </is>
      </c>
      <c r="B4648" s="1" t="n">
        <v>45714.45583333333</v>
      </c>
      <c r="C4648" s="1" t="n">
        <v>46145</v>
      </c>
      <c r="D4648" t="inlineStr">
        <is>
          <t>VÄSTERBOTTENS LÄN</t>
        </is>
      </c>
      <c r="E4648" t="inlineStr">
        <is>
          <t>MALÅ</t>
        </is>
      </c>
      <c r="F4648" t="inlineStr">
        <is>
          <t>Sveaskog</t>
        </is>
      </c>
      <c r="G4648" t="n">
        <v>14.2</v>
      </c>
      <c r="H4648" t="n">
        <v>0</v>
      </c>
      <c r="I4648" t="n">
        <v>0</v>
      </c>
      <c r="J4648" t="n">
        <v>0</v>
      </c>
      <c r="K4648" t="n">
        <v>0</v>
      </c>
      <c r="L4648" t="n">
        <v>0</v>
      </c>
      <c r="M4648" t="n">
        <v>0</v>
      </c>
      <c r="N4648" t="n">
        <v>0</v>
      </c>
      <c r="O4648" t="n">
        <v>0</v>
      </c>
      <c r="P4648" t="n">
        <v>0</v>
      </c>
      <c r="Q4648" t="n">
        <v>0</v>
      </c>
      <c r="R4648" s="2" t="inlineStr"/>
    </row>
    <row r="4649" ht="15" customHeight="1">
      <c r="A4649" t="inlineStr">
        <is>
          <t>A 35226-2024</t>
        </is>
      </c>
      <c r="B4649" s="1" t="n">
        <v>45530</v>
      </c>
      <c r="C4649" s="1" t="n">
        <v>46145</v>
      </c>
      <c r="D4649" t="inlineStr">
        <is>
          <t>VÄSTERBOTTENS LÄN</t>
        </is>
      </c>
      <c r="E4649" t="inlineStr">
        <is>
          <t>UMEÅ</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51957-2023</t>
        </is>
      </c>
      <c r="B4650" s="1" t="n">
        <v>45223</v>
      </c>
      <c r="C4650" s="1" t="n">
        <v>46145</v>
      </c>
      <c r="D4650" t="inlineStr">
        <is>
          <t>VÄSTERBOTTENS LÄN</t>
        </is>
      </c>
      <c r="E4650" t="inlineStr">
        <is>
          <t>LYCKSELE</t>
        </is>
      </c>
      <c r="F4650" t="inlineStr">
        <is>
          <t>Sveaskog</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37912-2025</t>
        </is>
      </c>
      <c r="B4651" s="1" t="n">
        <v>45880</v>
      </c>
      <c r="C4651" s="1" t="n">
        <v>46145</v>
      </c>
      <c r="D4651" t="inlineStr">
        <is>
          <t>VÄSTERBOTTENS LÄN</t>
        </is>
      </c>
      <c r="E4651" t="inlineStr">
        <is>
          <t>VILHELMINA</t>
        </is>
      </c>
      <c r="F4651" t="inlineStr">
        <is>
          <t>SCA</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14742-2025</t>
        </is>
      </c>
      <c r="B4652" s="1" t="n">
        <v>45742</v>
      </c>
      <c r="C4652" s="1" t="n">
        <v>46145</v>
      </c>
      <c r="D4652" t="inlineStr">
        <is>
          <t>VÄSTERBOTTENS LÄN</t>
        </is>
      </c>
      <c r="E4652" t="inlineStr">
        <is>
          <t>NORSJÖ</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43030-2025</t>
        </is>
      </c>
      <c r="B4653" s="1" t="n">
        <v>45909</v>
      </c>
      <c r="C4653" s="1" t="n">
        <v>46145</v>
      </c>
      <c r="D4653" t="inlineStr">
        <is>
          <t>VÄSTERBOTTENS LÄN</t>
        </is>
      </c>
      <c r="E4653" t="inlineStr">
        <is>
          <t>VÄNNÄS</t>
        </is>
      </c>
      <c r="F4653" t="inlineStr">
        <is>
          <t>Holmen skog AB</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35738-2021</t>
        </is>
      </c>
      <c r="B4654" s="1" t="n">
        <v>44386.55082175926</v>
      </c>
      <c r="C4654" s="1" t="n">
        <v>46145</v>
      </c>
      <c r="D4654" t="inlineStr">
        <is>
          <t>VÄSTERBOTTENS LÄN</t>
        </is>
      </c>
      <c r="E4654" t="inlineStr">
        <is>
          <t>UMEÅ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43111-2025</t>
        </is>
      </c>
      <c r="B4655" s="1" t="n">
        <v>45909.66037037037</v>
      </c>
      <c r="C4655" s="1" t="n">
        <v>46145</v>
      </c>
      <c r="D4655" t="inlineStr">
        <is>
          <t>VÄSTERBOTTENS LÄN</t>
        </is>
      </c>
      <c r="E4655" t="inlineStr">
        <is>
          <t>UMEÅ</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42968-2025</t>
        </is>
      </c>
      <c r="B4656" s="1" t="n">
        <v>45909</v>
      </c>
      <c r="C4656" s="1" t="n">
        <v>46145</v>
      </c>
      <c r="D4656" t="inlineStr">
        <is>
          <t>VÄSTERBOTTENS LÄN</t>
        </is>
      </c>
      <c r="E4656" t="inlineStr">
        <is>
          <t>VINDELN</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42979-2025</t>
        </is>
      </c>
      <c r="B4657" s="1" t="n">
        <v>45909</v>
      </c>
      <c r="C4657" s="1" t="n">
        <v>46145</v>
      </c>
      <c r="D4657" t="inlineStr">
        <is>
          <t>VÄSTERBOTTENS LÄN</t>
        </is>
      </c>
      <c r="E4657" t="inlineStr">
        <is>
          <t>VINDELN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43218-2025</t>
        </is>
      </c>
      <c r="B4658" s="1" t="n">
        <v>45910.47071759259</v>
      </c>
      <c r="C4658" s="1" t="n">
        <v>46145</v>
      </c>
      <c r="D4658" t="inlineStr">
        <is>
          <t>VÄSTERBOTTENS LÄN</t>
        </is>
      </c>
      <c r="E4658" t="inlineStr">
        <is>
          <t>NORDMALING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43241-2025</t>
        </is>
      </c>
      <c r="B4659" s="1" t="n">
        <v>45910.53175925926</v>
      </c>
      <c r="C4659" s="1" t="n">
        <v>46145</v>
      </c>
      <c r="D4659" t="inlineStr">
        <is>
          <t>VÄSTERBOTTENS LÄN</t>
        </is>
      </c>
      <c r="E4659" t="inlineStr">
        <is>
          <t>STORUMAN</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42941-2025</t>
        </is>
      </c>
      <c r="B4660" s="1" t="n">
        <v>45909.33482638889</v>
      </c>
      <c r="C4660" s="1" t="n">
        <v>46145</v>
      </c>
      <c r="D4660" t="inlineStr">
        <is>
          <t>VÄSTERBOTTENS LÄN</t>
        </is>
      </c>
      <c r="E4660" t="inlineStr">
        <is>
          <t>VINDELN</t>
        </is>
      </c>
      <c r="F4660" t="inlineStr">
        <is>
          <t>Holmen skog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33519-2021</t>
        </is>
      </c>
      <c r="B4661" s="1" t="n">
        <v>44377.75302083333</v>
      </c>
      <c r="C4661" s="1" t="n">
        <v>46145</v>
      </c>
      <c r="D4661" t="inlineStr">
        <is>
          <t>VÄSTERBOTTENS LÄN</t>
        </is>
      </c>
      <c r="E4661" t="inlineStr">
        <is>
          <t>SKELLEFTEÅ</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42986-2025</t>
        </is>
      </c>
      <c r="B4662" s="1" t="n">
        <v>45909.44497685185</v>
      </c>
      <c r="C4662" s="1" t="n">
        <v>46145</v>
      </c>
      <c r="D4662" t="inlineStr">
        <is>
          <t>VÄSTERBOTTENS LÄN</t>
        </is>
      </c>
      <c r="E4662" t="inlineStr">
        <is>
          <t>LYCKSELE</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43268-2025</t>
        </is>
      </c>
      <c r="B4663" s="1" t="n">
        <v>45910.57907407408</v>
      </c>
      <c r="C4663" s="1" t="n">
        <v>46145</v>
      </c>
      <c r="D4663" t="inlineStr">
        <is>
          <t>VÄSTERBOTTENS LÄN</t>
        </is>
      </c>
      <c r="E4663" t="inlineStr">
        <is>
          <t>ROBERTSFORS</t>
        </is>
      </c>
      <c r="F4663" t="inlineStr">
        <is>
          <t>Holmen skog AB</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43285-2025</t>
        </is>
      </c>
      <c r="B4664" s="1" t="n">
        <v>45910.60444444444</v>
      </c>
      <c r="C4664" s="1" t="n">
        <v>46145</v>
      </c>
      <c r="D4664" t="inlineStr">
        <is>
          <t>VÄSTERBOTTENS LÄN</t>
        </is>
      </c>
      <c r="E4664" t="inlineStr">
        <is>
          <t>ROBERTSFORS</t>
        </is>
      </c>
      <c r="F4664" t="inlineStr">
        <is>
          <t>Holmen skog AB</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26056-2023</t>
        </is>
      </c>
      <c r="B4665" s="1" t="n">
        <v>45086</v>
      </c>
      <c r="C4665" s="1" t="n">
        <v>46145</v>
      </c>
      <c r="D4665" t="inlineStr">
        <is>
          <t>VÄSTERBOTTENS LÄN</t>
        </is>
      </c>
      <c r="E4665" t="inlineStr">
        <is>
          <t>SORSELE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43318-2025</t>
        </is>
      </c>
      <c r="B4666" s="1" t="n">
        <v>45910</v>
      </c>
      <c r="C4666" s="1" t="n">
        <v>46145</v>
      </c>
      <c r="D4666" t="inlineStr">
        <is>
          <t>VÄSTERBOTTENS LÄN</t>
        </is>
      </c>
      <c r="E4666" t="inlineStr">
        <is>
          <t>SKELLEFTEÅ</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43327-2025</t>
        </is>
      </c>
      <c r="B4667" s="1" t="n">
        <v>45910.67043981481</v>
      </c>
      <c r="C4667" s="1" t="n">
        <v>46145</v>
      </c>
      <c r="D4667" t="inlineStr">
        <is>
          <t>VÄSTERBOTTENS LÄN</t>
        </is>
      </c>
      <c r="E4667" t="inlineStr">
        <is>
          <t>SKELLEFTEÅ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44942-2023</t>
        </is>
      </c>
      <c r="B4668" s="1" t="n">
        <v>45187</v>
      </c>
      <c r="C4668" s="1" t="n">
        <v>46145</v>
      </c>
      <c r="D4668" t="inlineStr">
        <is>
          <t>VÄSTERBOTTENS LÄN</t>
        </is>
      </c>
      <c r="E4668" t="inlineStr">
        <is>
          <t>NORDMALING</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16660-2025</t>
        </is>
      </c>
      <c r="B4669" s="1" t="n">
        <v>45754.4134837963</v>
      </c>
      <c r="C4669" s="1" t="n">
        <v>46145</v>
      </c>
      <c r="D4669" t="inlineStr">
        <is>
          <t>VÄSTERBOTTENS LÄN</t>
        </is>
      </c>
      <c r="E4669" t="inlineStr">
        <is>
          <t>NORSJÖ</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42935-2025</t>
        </is>
      </c>
      <c r="B4670" s="1" t="n">
        <v>45909.32541666667</v>
      </c>
      <c r="C4670" s="1" t="n">
        <v>46145</v>
      </c>
      <c r="D4670" t="inlineStr">
        <is>
          <t>VÄSTERBOTTENS LÄN</t>
        </is>
      </c>
      <c r="E4670" t="inlineStr">
        <is>
          <t>ÅSELE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60640-2024</t>
        </is>
      </c>
      <c r="B4671" s="1" t="n">
        <v>45644.42787037037</v>
      </c>
      <c r="C4671" s="1" t="n">
        <v>46145</v>
      </c>
      <c r="D4671" t="inlineStr">
        <is>
          <t>VÄSTERBOTTENS LÄN</t>
        </is>
      </c>
      <c r="E4671" t="inlineStr">
        <is>
          <t>VÄNNÄS</t>
        </is>
      </c>
      <c r="F4671" t="inlineStr">
        <is>
          <t>Holmen skog AB</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7536-2025</t>
        </is>
      </c>
      <c r="B4672" s="1" t="n">
        <v>45705.56554398148</v>
      </c>
      <c r="C4672" s="1" t="n">
        <v>46145</v>
      </c>
      <c r="D4672" t="inlineStr">
        <is>
          <t>VÄSTERBOTTENS LÄN</t>
        </is>
      </c>
      <c r="E4672" t="inlineStr">
        <is>
          <t>MALÅ</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9249-2025</t>
        </is>
      </c>
      <c r="B4673" s="1" t="n">
        <v>45714.58974537037</v>
      </c>
      <c r="C4673" s="1" t="n">
        <v>46145</v>
      </c>
      <c r="D4673" t="inlineStr">
        <is>
          <t>VÄSTERBOTTENS LÄN</t>
        </is>
      </c>
      <c r="E4673" t="inlineStr">
        <is>
          <t>VINDELN</t>
        </is>
      </c>
      <c r="F4673" t="inlineStr">
        <is>
          <t>Holmen skog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10570-2023</t>
        </is>
      </c>
      <c r="B4674" s="1" t="n">
        <v>44981</v>
      </c>
      <c r="C4674" s="1" t="n">
        <v>46145</v>
      </c>
      <c r="D4674" t="inlineStr">
        <is>
          <t>VÄSTERBOTTENS LÄN</t>
        </is>
      </c>
      <c r="E4674" t="inlineStr">
        <is>
          <t>SKELLEFTEÅ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43048-2025</t>
        </is>
      </c>
      <c r="B4675" s="1" t="n">
        <v>45909.56289351852</v>
      </c>
      <c r="C4675" s="1" t="n">
        <v>46145</v>
      </c>
      <c r="D4675" t="inlineStr">
        <is>
          <t>VÄSTERBOTTENS LÄN</t>
        </is>
      </c>
      <c r="E4675" t="inlineStr">
        <is>
          <t>ROBERTSFORS</t>
        </is>
      </c>
      <c r="G4675" t="n">
        <v>12.7</v>
      </c>
      <c r="H4675" t="n">
        <v>0</v>
      </c>
      <c r="I4675" t="n">
        <v>0</v>
      </c>
      <c r="J4675" t="n">
        <v>0</v>
      </c>
      <c r="K4675" t="n">
        <v>0</v>
      </c>
      <c r="L4675" t="n">
        <v>0</v>
      </c>
      <c r="M4675" t="n">
        <v>0</v>
      </c>
      <c r="N4675" t="n">
        <v>0</v>
      </c>
      <c r="O4675" t="n">
        <v>0</v>
      </c>
      <c r="P4675" t="n">
        <v>0</v>
      </c>
      <c r="Q4675" t="n">
        <v>0</v>
      </c>
      <c r="R4675" s="2" t="inlineStr"/>
    </row>
    <row r="4676" ht="15" customHeight="1">
      <c r="A4676" t="inlineStr">
        <is>
          <t>A 47976-2022</t>
        </is>
      </c>
      <c r="B4676" s="1" t="n">
        <v>44853</v>
      </c>
      <c r="C4676" s="1" t="n">
        <v>46145</v>
      </c>
      <c r="D4676" t="inlineStr">
        <is>
          <t>VÄSTERBOTTENS LÄN</t>
        </is>
      </c>
      <c r="E4676" t="inlineStr">
        <is>
          <t>VÄNNÄS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15639-2024</t>
        </is>
      </c>
      <c r="B4677" s="1" t="n">
        <v>45403</v>
      </c>
      <c r="C4677" s="1" t="n">
        <v>46145</v>
      </c>
      <c r="D4677" t="inlineStr">
        <is>
          <t>VÄSTERBOTTENS LÄN</t>
        </is>
      </c>
      <c r="E4677" t="inlineStr">
        <is>
          <t>VILHELMINA</t>
        </is>
      </c>
      <c r="G4677" t="n">
        <v>81.90000000000001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37870-2024</t>
        </is>
      </c>
      <c r="B4678" s="1" t="n">
        <v>45544</v>
      </c>
      <c r="C4678" s="1" t="n">
        <v>46145</v>
      </c>
      <c r="D4678" t="inlineStr">
        <is>
          <t>VÄSTERBOTTENS LÄN</t>
        </is>
      </c>
      <c r="E4678" t="inlineStr">
        <is>
          <t>UMEÅ</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28695-2024</t>
        </is>
      </c>
      <c r="B4679" s="1" t="n">
        <v>45478</v>
      </c>
      <c r="C4679" s="1" t="n">
        <v>46145</v>
      </c>
      <c r="D4679" t="inlineStr">
        <is>
          <t>VÄSTERBOTTENS LÄN</t>
        </is>
      </c>
      <c r="E4679" t="inlineStr">
        <is>
          <t>VILHELMINA</t>
        </is>
      </c>
      <c r="F4679" t="inlineStr">
        <is>
          <t>Allmännings- och besparingsskogar</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15756-2023</t>
        </is>
      </c>
      <c r="B4680" s="1" t="n">
        <v>45021.62100694444</v>
      </c>
      <c r="C4680" s="1" t="n">
        <v>46145</v>
      </c>
      <c r="D4680" t="inlineStr">
        <is>
          <t>VÄSTERBOTTENS LÄN</t>
        </is>
      </c>
      <c r="E4680" t="inlineStr">
        <is>
          <t>NORDMALING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61531-2024</t>
        </is>
      </c>
      <c r="B4681" s="1" t="n">
        <v>45646.58731481482</v>
      </c>
      <c r="C4681" s="1" t="n">
        <v>46145</v>
      </c>
      <c r="D4681" t="inlineStr">
        <is>
          <t>VÄSTERBOTTENS LÄN</t>
        </is>
      </c>
      <c r="E4681" t="inlineStr">
        <is>
          <t>ROBERTSFORS</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61584-2024</t>
        </is>
      </c>
      <c r="B4682" s="1" t="n">
        <v>45646.62739583333</v>
      </c>
      <c r="C4682" s="1" t="n">
        <v>46145</v>
      </c>
      <c r="D4682" t="inlineStr">
        <is>
          <t>VÄSTERBOTTENS LÄN</t>
        </is>
      </c>
      <c r="E4682" t="inlineStr">
        <is>
          <t>SKELLEFTEÅ</t>
        </is>
      </c>
      <c r="F4682" t="inlineStr">
        <is>
          <t>Sveaskog</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61591-2024</t>
        </is>
      </c>
      <c r="B4683" s="1" t="n">
        <v>45646.63126157408</v>
      </c>
      <c r="C4683" s="1" t="n">
        <v>46145</v>
      </c>
      <c r="D4683" t="inlineStr">
        <is>
          <t>VÄSTERBOTTENS LÄN</t>
        </is>
      </c>
      <c r="E4683" t="inlineStr">
        <is>
          <t>VINDELN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61621-2024</t>
        </is>
      </c>
      <c r="B4684" s="1" t="n">
        <v>45646.65800925926</v>
      </c>
      <c r="C4684" s="1" t="n">
        <v>46145</v>
      </c>
      <c r="D4684" t="inlineStr">
        <is>
          <t>VÄSTERBOTTENS LÄN</t>
        </is>
      </c>
      <c r="E4684" t="inlineStr">
        <is>
          <t>UMEÅ</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8301-2025</t>
        </is>
      </c>
      <c r="B4685" s="1" t="n">
        <v>45708</v>
      </c>
      <c r="C4685" s="1" t="n">
        <v>46145</v>
      </c>
      <c r="D4685" t="inlineStr">
        <is>
          <t>VÄSTERBOTTENS LÄN</t>
        </is>
      </c>
      <c r="E4685" t="inlineStr">
        <is>
          <t>SKELLEFTEÅ</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10400-2025</t>
        </is>
      </c>
      <c r="B4686" s="1" t="n">
        <v>45720.61486111111</v>
      </c>
      <c r="C4686" s="1" t="n">
        <v>46145</v>
      </c>
      <c r="D4686" t="inlineStr">
        <is>
          <t>VÄSTERBOTTENS LÄN</t>
        </is>
      </c>
      <c r="E4686" t="inlineStr">
        <is>
          <t>DOROTEA</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43176-2025</t>
        </is>
      </c>
      <c r="B4687" s="1" t="n">
        <v>45910.4053125</v>
      </c>
      <c r="C4687" s="1" t="n">
        <v>46145</v>
      </c>
      <c r="D4687" t="inlineStr">
        <is>
          <t>VÄSTERBOTTENS LÄN</t>
        </is>
      </c>
      <c r="E4687" t="inlineStr">
        <is>
          <t>VINDELN</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43317-2025</t>
        </is>
      </c>
      <c r="B4688" s="1" t="n">
        <v>45910.65524305555</v>
      </c>
      <c r="C4688" s="1" t="n">
        <v>46145</v>
      </c>
      <c r="D4688" t="inlineStr">
        <is>
          <t>VÄSTERBOTTENS LÄN</t>
        </is>
      </c>
      <c r="E4688" t="inlineStr">
        <is>
          <t>SKELLEFTEÅ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987-2025</t>
        </is>
      </c>
      <c r="B4689" s="1" t="n">
        <v>45666</v>
      </c>
      <c r="C4689" s="1" t="n">
        <v>46145</v>
      </c>
      <c r="D4689" t="inlineStr">
        <is>
          <t>VÄSTERBOTTENS LÄN</t>
        </is>
      </c>
      <c r="E4689" t="inlineStr">
        <is>
          <t>LYCKSELE</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9019-2025</t>
        </is>
      </c>
      <c r="B4690" s="1" t="n">
        <v>45713.59445601852</v>
      </c>
      <c r="C4690" s="1" t="n">
        <v>46145</v>
      </c>
      <c r="D4690" t="inlineStr">
        <is>
          <t>VÄSTERBOTTENS LÄN</t>
        </is>
      </c>
      <c r="E4690" t="inlineStr">
        <is>
          <t>LYCKSELE</t>
        </is>
      </c>
      <c r="F4690" t="inlineStr">
        <is>
          <t>SCA</t>
        </is>
      </c>
      <c r="G4690" t="n">
        <v>17.4</v>
      </c>
      <c r="H4690" t="n">
        <v>0</v>
      </c>
      <c r="I4690" t="n">
        <v>0</v>
      </c>
      <c r="J4690" t="n">
        <v>0</v>
      </c>
      <c r="K4690" t="n">
        <v>0</v>
      </c>
      <c r="L4690" t="n">
        <v>0</v>
      </c>
      <c r="M4690" t="n">
        <v>0</v>
      </c>
      <c r="N4690" t="n">
        <v>0</v>
      </c>
      <c r="O4690" t="n">
        <v>0</v>
      </c>
      <c r="P4690" t="n">
        <v>0</v>
      </c>
      <c r="Q4690" t="n">
        <v>0</v>
      </c>
      <c r="R4690" s="2" t="inlineStr"/>
    </row>
    <row r="4691" ht="15" customHeight="1">
      <c r="A4691" t="inlineStr">
        <is>
          <t>A 43427-2025</t>
        </is>
      </c>
      <c r="B4691" s="1" t="n">
        <v>45911.419375</v>
      </c>
      <c r="C4691" s="1" t="n">
        <v>46145</v>
      </c>
      <c r="D4691" t="inlineStr">
        <is>
          <t>VÄSTERBOTTENS LÄN</t>
        </is>
      </c>
      <c r="E4691" t="inlineStr">
        <is>
          <t>SKELLEFTEÅ</t>
        </is>
      </c>
      <c r="G4691" t="n">
        <v>9.800000000000001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43540-2025</t>
        </is>
      </c>
      <c r="B4692" s="1" t="n">
        <v>45911.60609953704</v>
      </c>
      <c r="C4692" s="1" t="n">
        <v>46145</v>
      </c>
      <c r="D4692" t="inlineStr">
        <is>
          <t>VÄSTERBOTTENS LÄN</t>
        </is>
      </c>
      <c r="E4692" t="inlineStr">
        <is>
          <t>ÅSELE</t>
        </is>
      </c>
      <c r="F4692" t="inlineStr">
        <is>
          <t>Holmen skog AB</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27909-2024</t>
        </is>
      </c>
      <c r="B4693" s="1" t="n">
        <v>45475</v>
      </c>
      <c r="C4693" s="1" t="n">
        <v>46145</v>
      </c>
      <c r="D4693" t="inlineStr">
        <is>
          <t>VÄSTERBOTTENS LÄN</t>
        </is>
      </c>
      <c r="E4693" t="inlineStr">
        <is>
          <t>DOROTEA</t>
        </is>
      </c>
      <c r="F4693" t="inlineStr">
        <is>
          <t>SCA</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43583-2025</t>
        </is>
      </c>
      <c r="B4694" s="1" t="n">
        <v>45911.6499537037</v>
      </c>
      <c r="C4694" s="1" t="n">
        <v>46145</v>
      </c>
      <c r="D4694" t="inlineStr">
        <is>
          <t>VÄSTERBOTTENS LÄN</t>
        </is>
      </c>
      <c r="E4694" t="inlineStr">
        <is>
          <t>LYCKSELE</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43596-2025</t>
        </is>
      </c>
      <c r="B4695" s="1" t="n">
        <v>45911.66240740741</v>
      </c>
      <c r="C4695" s="1" t="n">
        <v>46145</v>
      </c>
      <c r="D4695" t="inlineStr">
        <is>
          <t>VÄSTERBOTTENS LÄN</t>
        </is>
      </c>
      <c r="E4695" t="inlineStr">
        <is>
          <t>SKELLEFTEÅ</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31975-2024</t>
        </is>
      </c>
      <c r="B4696" s="1" t="n">
        <v>45510.56052083334</v>
      </c>
      <c r="C4696" s="1" t="n">
        <v>46145</v>
      </c>
      <c r="D4696" t="inlineStr">
        <is>
          <t>VÄSTERBOTTENS LÄN</t>
        </is>
      </c>
      <c r="E4696" t="inlineStr">
        <is>
          <t>SKELLEFTEÅ</t>
        </is>
      </c>
      <c r="F4696" t="inlineStr">
        <is>
          <t>Holmen skog AB</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43390-2025</t>
        </is>
      </c>
      <c r="B4697" s="1" t="n">
        <v>45911.36674768518</v>
      </c>
      <c r="C4697" s="1" t="n">
        <v>46145</v>
      </c>
      <c r="D4697" t="inlineStr">
        <is>
          <t>VÄSTERBOTTENS LÄN</t>
        </is>
      </c>
      <c r="E4697" t="inlineStr">
        <is>
          <t>VINDELN</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4162-2025</t>
        </is>
      </c>
      <c r="B4698" s="1" t="n">
        <v>45685.40097222223</v>
      </c>
      <c r="C4698" s="1" t="n">
        <v>46145</v>
      </c>
      <c r="D4698" t="inlineStr">
        <is>
          <t>VÄSTERBOTTENS LÄN</t>
        </is>
      </c>
      <c r="E4698" t="inlineStr">
        <is>
          <t>VINDELN</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4163-2025</t>
        </is>
      </c>
      <c r="B4699" s="1" t="n">
        <v>45685.40736111111</v>
      </c>
      <c r="C4699" s="1" t="n">
        <v>46145</v>
      </c>
      <c r="D4699" t="inlineStr">
        <is>
          <t>VÄSTERBOTTENS LÄN</t>
        </is>
      </c>
      <c r="E4699" t="inlineStr">
        <is>
          <t>VINDELN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38270-2024</t>
        </is>
      </c>
      <c r="B4700" s="1" t="n">
        <v>45545.60266203704</v>
      </c>
      <c r="C4700" s="1" t="n">
        <v>46145</v>
      </c>
      <c r="D4700" t="inlineStr">
        <is>
          <t>VÄSTERBOTTENS LÄN</t>
        </is>
      </c>
      <c r="E4700" t="inlineStr">
        <is>
          <t>SORSELE</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43538-2025</t>
        </is>
      </c>
      <c r="B4701" s="1" t="n">
        <v>45911.60041666667</v>
      </c>
      <c r="C4701" s="1" t="n">
        <v>46145</v>
      </c>
      <c r="D4701" t="inlineStr">
        <is>
          <t>VÄSTERBOTTENS LÄN</t>
        </is>
      </c>
      <c r="E4701" t="inlineStr">
        <is>
          <t>NORDMALING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43547-2025</t>
        </is>
      </c>
      <c r="B4702" s="1" t="n">
        <v>45911.61565972222</v>
      </c>
      <c r="C4702" s="1" t="n">
        <v>46145</v>
      </c>
      <c r="D4702" t="inlineStr">
        <is>
          <t>VÄSTERBOTTENS LÄN</t>
        </is>
      </c>
      <c r="E4702" t="inlineStr">
        <is>
          <t>ÅSELE</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43600-2025</t>
        </is>
      </c>
      <c r="B4703" s="1" t="n">
        <v>45911.66473379629</v>
      </c>
      <c r="C4703" s="1" t="n">
        <v>46145</v>
      </c>
      <c r="D4703" t="inlineStr">
        <is>
          <t>VÄSTERBOTTENS LÄN</t>
        </is>
      </c>
      <c r="E4703" t="inlineStr">
        <is>
          <t>SKELLEFTEÅ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43823-2025</t>
        </is>
      </c>
      <c r="B4704" s="1" t="n">
        <v>45912.61074074074</v>
      </c>
      <c r="C4704" s="1" t="n">
        <v>46145</v>
      </c>
      <c r="D4704" t="inlineStr">
        <is>
          <t>VÄSTERBOTTENS LÄN</t>
        </is>
      </c>
      <c r="E4704" t="inlineStr">
        <is>
          <t>NORSJÖ</t>
        </is>
      </c>
      <c r="F4704" t="inlineStr">
        <is>
          <t>Sveaskog</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4281-2025</t>
        </is>
      </c>
      <c r="B4705" s="1" t="n">
        <v>45685.64454861111</v>
      </c>
      <c r="C4705" s="1" t="n">
        <v>46145</v>
      </c>
      <c r="D4705" t="inlineStr">
        <is>
          <t>VÄSTERBOTTENS LÄN</t>
        </is>
      </c>
      <c r="E4705" t="inlineStr">
        <is>
          <t>MALÅ</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40963-2025</t>
        </is>
      </c>
      <c r="B4706" s="1" t="n">
        <v>45897</v>
      </c>
      <c r="C4706" s="1" t="n">
        <v>46145</v>
      </c>
      <c r="D4706" t="inlineStr">
        <is>
          <t>VÄSTERBOTTENS LÄN</t>
        </is>
      </c>
      <c r="E4706" t="inlineStr">
        <is>
          <t>DOROTEA</t>
        </is>
      </c>
      <c r="G4706" t="n">
        <v>29.5</v>
      </c>
      <c r="H4706" t="n">
        <v>0</v>
      </c>
      <c r="I4706" t="n">
        <v>0</v>
      </c>
      <c r="J4706" t="n">
        <v>0</v>
      </c>
      <c r="K4706" t="n">
        <v>0</v>
      </c>
      <c r="L4706" t="n">
        <v>0</v>
      </c>
      <c r="M4706" t="n">
        <v>0</v>
      </c>
      <c r="N4706" t="n">
        <v>0</v>
      </c>
      <c r="O4706" t="n">
        <v>0</v>
      </c>
      <c r="P4706" t="n">
        <v>0</v>
      </c>
      <c r="Q4706" t="n">
        <v>0</v>
      </c>
      <c r="R4706" s="2" t="inlineStr"/>
    </row>
    <row r="4707" ht="15" customHeight="1">
      <c r="A4707" t="inlineStr">
        <is>
          <t>A 43687-2025</t>
        </is>
      </c>
      <c r="B4707" s="1" t="n">
        <v>45912</v>
      </c>
      <c r="C4707" s="1" t="n">
        <v>46145</v>
      </c>
      <c r="D4707" t="inlineStr">
        <is>
          <t>VÄSTERBOTTENS LÄN</t>
        </is>
      </c>
      <c r="E4707" t="inlineStr">
        <is>
          <t>UMEÅ</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37984-2021</t>
        </is>
      </c>
      <c r="B4708" s="1" t="n">
        <v>44403</v>
      </c>
      <c r="C4708" s="1" t="n">
        <v>46145</v>
      </c>
      <c r="D4708" t="inlineStr">
        <is>
          <t>VÄSTERBOTTENS LÄN</t>
        </is>
      </c>
      <c r="E4708" t="inlineStr">
        <is>
          <t>LYCKSELE</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43697-2025</t>
        </is>
      </c>
      <c r="B4709" s="1" t="n">
        <v>45912.39591435185</v>
      </c>
      <c r="C4709" s="1" t="n">
        <v>46145</v>
      </c>
      <c r="D4709" t="inlineStr">
        <is>
          <t>VÄSTERBOTTENS LÄN</t>
        </is>
      </c>
      <c r="E4709" t="inlineStr">
        <is>
          <t>UMEÅ</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43518-2025</t>
        </is>
      </c>
      <c r="B4710" s="1" t="n">
        <v>45911.57329861111</v>
      </c>
      <c r="C4710" s="1" t="n">
        <v>46145</v>
      </c>
      <c r="D4710" t="inlineStr">
        <is>
          <t>VÄSTERBOTTENS LÄN</t>
        </is>
      </c>
      <c r="E4710" t="inlineStr">
        <is>
          <t>ÅSELE</t>
        </is>
      </c>
      <c r="F4710" t="inlineStr">
        <is>
          <t>SCA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15037-2025</t>
        </is>
      </c>
      <c r="B4711" s="1" t="n">
        <v>45743.68226851852</v>
      </c>
      <c r="C4711" s="1" t="n">
        <v>46145</v>
      </c>
      <c r="D4711" t="inlineStr">
        <is>
          <t>VÄSTERBOTTENS LÄN</t>
        </is>
      </c>
      <c r="E4711" t="inlineStr">
        <is>
          <t>LYCKSELE</t>
        </is>
      </c>
      <c r="G4711" t="n">
        <v>12.1</v>
      </c>
      <c r="H4711" t="n">
        <v>0</v>
      </c>
      <c r="I4711" t="n">
        <v>0</v>
      </c>
      <c r="J4711" t="n">
        <v>0</v>
      </c>
      <c r="K4711" t="n">
        <v>0</v>
      </c>
      <c r="L4711" t="n">
        <v>0</v>
      </c>
      <c r="M4711" t="n">
        <v>0</v>
      </c>
      <c r="N4711" t="n">
        <v>0</v>
      </c>
      <c r="O4711" t="n">
        <v>0</v>
      </c>
      <c r="P4711" t="n">
        <v>0</v>
      </c>
      <c r="Q4711" t="n">
        <v>0</v>
      </c>
      <c r="R4711" s="2" t="inlineStr"/>
    </row>
    <row r="4712" ht="15" customHeight="1">
      <c r="A4712" t="inlineStr">
        <is>
          <t>A 43660-2025</t>
        </is>
      </c>
      <c r="B4712" s="1" t="n">
        <v>45912</v>
      </c>
      <c r="C4712" s="1" t="n">
        <v>46145</v>
      </c>
      <c r="D4712" t="inlineStr">
        <is>
          <t>VÄSTERBOTTENS LÄN</t>
        </is>
      </c>
      <c r="E4712" t="inlineStr">
        <is>
          <t>LYCKSELE</t>
        </is>
      </c>
      <c r="F4712" t="inlineStr">
        <is>
          <t>Sveaskog</t>
        </is>
      </c>
      <c r="G4712" t="n">
        <v>40</v>
      </c>
      <c r="H4712" t="n">
        <v>0</v>
      </c>
      <c r="I4712" t="n">
        <v>0</v>
      </c>
      <c r="J4712" t="n">
        <v>0</v>
      </c>
      <c r="K4712" t="n">
        <v>0</v>
      </c>
      <c r="L4712" t="n">
        <v>0</v>
      </c>
      <c r="M4712" t="n">
        <v>0</v>
      </c>
      <c r="N4712" t="n">
        <v>0</v>
      </c>
      <c r="O4712" t="n">
        <v>0</v>
      </c>
      <c r="P4712" t="n">
        <v>0</v>
      </c>
      <c r="Q4712" t="n">
        <v>0</v>
      </c>
      <c r="R4712" s="2" t="inlineStr"/>
    </row>
    <row r="4713" ht="15" customHeight="1">
      <c r="A4713" t="inlineStr">
        <is>
          <t>A 43685-2025</t>
        </is>
      </c>
      <c r="B4713" s="1" t="n">
        <v>45912.38184027778</v>
      </c>
      <c r="C4713" s="1" t="n">
        <v>46145</v>
      </c>
      <c r="D4713" t="inlineStr">
        <is>
          <t>VÄSTERBOTTENS LÄN</t>
        </is>
      </c>
      <c r="E4713" t="inlineStr">
        <is>
          <t>VÄNNÄS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68251-2021</t>
        </is>
      </c>
      <c r="B4714" s="1" t="n">
        <v>44525</v>
      </c>
      <c r="C4714" s="1" t="n">
        <v>46145</v>
      </c>
      <c r="D4714" t="inlineStr">
        <is>
          <t>VÄSTERBOTTENS LÄN</t>
        </is>
      </c>
      <c r="E4714" t="inlineStr">
        <is>
          <t>SKELLEFTEÅ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43743-2025</t>
        </is>
      </c>
      <c r="B4715" s="1" t="n">
        <v>45912.45751157407</v>
      </c>
      <c r="C4715" s="1" t="n">
        <v>46145</v>
      </c>
      <c r="D4715" t="inlineStr">
        <is>
          <t>VÄSTERBOTTENS LÄN</t>
        </is>
      </c>
      <c r="E4715" t="inlineStr">
        <is>
          <t>VINDELN</t>
        </is>
      </c>
      <c r="F4715" t="inlineStr">
        <is>
          <t>Holmen skog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43890-2025</t>
        </is>
      </c>
      <c r="B4716" s="1" t="n">
        <v>45912.7069675926</v>
      </c>
      <c r="C4716" s="1" t="n">
        <v>46145</v>
      </c>
      <c r="D4716" t="inlineStr">
        <is>
          <t>VÄSTERBOTTENS LÄN</t>
        </is>
      </c>
      <c r="E4716" t="inlineStr">
        <is>
          <t>VINDELN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43708-2025</t>
        </is>
      </c>
      <c r="B4717" s="1" t="n">
        <v>45912.40680555555</v>
      </c>
      <c r="C4717" s="1" t="n">
        <v>46145</v>
      </c>
      <c r="D4717" t="inlineStr">
        <is>
          <t>VÄSTERBOTTENS LÄN</t>
        </is>
      </c>
      <c r="E4717" t="inlineStr">
        <is>
          <t>UMEÅ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43720-2025</t>
        </is>
      </c>
      <c r="B4718" s="1" t="n">
        <v>45912.42776620371</v>
      </c>
      <c r="C4718" s="1" t="n">
        <v>46145</v>
      </c>
      <c r="D4718" t="inlineStr">
        <is>
          <t>VÄSTERBOTTENS LÄN</t>
        </is>
      </c>
      <c r="E4718" t="inlineStr">
        <is>
          <t>DOROTEA</t>
        </is>
      </c>
      <c r="F4718" t="inlineStr">
        <is>
          <t>SCA</t>
        </is>
      </c>
      <c r="G4718" t="n">
        <v>11.1</v>
      </c>
      <c r="H4718" t="n">
        <v>0</v>
      </c>
      <c r="I4718" t="n">
        <v>0</v>
      </c>
      <c r="J4718" t="n">
        <v>0</v>
      </c>
      <c r="K4718" t="n">
        <v>0</v>
      </c>
      <c r="L4718" t="n">
        <v>0</v>
      </c>
      <c r="M4718" t="n">
        <v>0</v>
      </c>
      <c r="N4718" t="n">
        <v>0</v>
      </c>
      <c r="O4718" t="n">
        <v>0</v>
      </c>
      <c r="P4718" t="n">
        <v>0</v>
      </c>
      <c r="Q4718" t="n">
        <v>0</v>
      </c>
      <c r="R4718" s="2" t="inlineStr"/>
    </row>
    <row r="4719" ht="15" customHeight="1">
      <c r="A4719" t="inlineStr">
        <is>
          <t>A 43725-2025</t>
        </is>
      </c>
      <c r="B4719" s="1" t="n">
        <v>45912.42880787037</v>
      </c>
      <c r="C4719" s="1" t="n">
        <v>46145</v>
      </c>
      <c r="D4719" t="inlineStr">
        <is>
          <t>VÄSTERBOTTENS LÄN</t>
        </is>
      </c>
      <c r="E4719" t="inlineStr">
        <is>
          <t>MALÅ</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43727-2025</t>
        </is>
      </c>
      <c r="B4720" s="1" t="n">
        <v>45912.42981481482</v>
      </c>
      <c r="C4720" s="1" t="n">
        <v>46145</v>
      </c>
      <c r="D4720" t="inlineStr">
        <is>
          <t>VÄSTERBOTTENS LÄN</t>
        </is>
      </c>
      <c r="E4720" t="inlineStr">
        <is>
          <t>SKELLEFTEÅ</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43734-2025</t>
        </is>
      </c>
      <c r="B4721" s="1" t="n">
        <v>45912.44119212963</v>
      </c>
      <c r="C4721" s="1" t="n">
        <v>46145</v>
      </c>
      <c r="D4721" t="inlineStr">
        <is>
          <t>VÄSTERBOTTENS LÄN</t>
        </is>
      </c>
      <c r="E4721" t="inlineStr">
        <is>
          <t>VINDELN</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43463-2025</t>
        </is>
      </c>
      <c r="B4722" s="1" t="n">
        <v>45911.46953703704</v>
      </c>
      <c r="C4722" s="1" t="n">
        <v>46145</v>
      </c>
      <c r="D4722" t="inlineStr">
        <is>
          <t>VÄSTERBOTTENS LÄN</t>
        </is>
      </c>
      <c r="E4722" t="inlineStr">
        <is>
          <t>SKELLEFTEÅ</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63981-2021</t>
        </is>
      </c>
      <c r="B4723" s="1" t="n">
        <v>44509</v>
      </c>
      <c r="C4723" s="1" t="n">
        <v>46145</v>
      </c>
      <c r="D4723" t="inlineStr">
        <is>
          <t>VÄSTERBOTTENS LÄN</t>
        </is>
      </c>
      <c r="E4723" t="inlineStr">
        <is>
          <t>VÄNNÄS</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46319-2023</t>
        </is>
      </c>
      <c r="B4724" s="1" t="n">
        <v>45191</v>
      </c>
      <c r="C4724" s="1" t="n">
        <v>46145</v>
      </c>
      <c r="D4724" t="inlineStr">
        <is>
          <t>VÄSTERBOTTENS LÄN</t>
        </is>
      </c>
      <c r="E4724" t="inlineStr">
        <is>
          <t>SORSELE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15777-2025</t>
        </is>
      </c>
      <c r="B4725" s="1" t="n">
        <v>45748</v>
      </c>
      <c r="C4725" s="1" t="n">
        <v>46145</v>
      </c>
      <c r="D4725" t="inlineStr">
        <is>
          <t>VÄSTERBOTTENS LÄN</t>
        </is>
      </c>
      <c r="E4725" t="inlineStr">
        <is>
          <t>ÅSELE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15782-2025</t>
        </is>
      </c>
      <c r="B4726" s="1" t="n">
        <v>45748</v>
      </c>
      <c r="C4726" s="1" t="n">
        <v>46145</v>
      </c>
      <c r="D4726" t="inlineStr">
        <is>
          <t>VÄSTERBOTTENS LÄN</t>
        </is>
      </c>
      <c r="E4726" t="inlineStr">
        <is>
          <t>VILHELMINA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43791-2025</t>
        </is>
      </c>
      <c r="B4727" s="1" t="n">
        <v>45912.54636574074</v>
      </c>
      <c r="C4727" s="1" t="n">
        <v>46145</v>
      </c>
      <c r="D4727" t="inlineStr">
        <is>
          <t>VÄSTERBOTTENS LÄN</t>
        </is>
      </c>
      <c r="E4727" t="inlineStr">
        <is>
          <t>SKELLEFTEÅ</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43793-2025</t>
        </is>
      </c>
      <c r="B4728" s="1" t="n">
        <v>45912</v>
      </c>
      <c r="C4728" s="1" t="n">
        <v>46145</v>
      </c>
      <c r="D4728" t="inlineStr">
        <is>
          <t>VÄSTERBOTTENS LÄN</t>
        </is>
      </c>
      <c r="E4728" t="inlineStr">
        <is>
          <t>LYCKSELE</t>
        </is>
      </c>
      <c r="F4728" t="inlineStr">
        <is>
          <t>Holmen skog AB</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43840-2025</t>
        </is>
      </c>
      <c r="B4729" s="1" t="n">
        <v>45912.63535879629</v>
      </c>
      <c r="C4729" s="1" t="n">
        <v>46145</v>
      </c>
      <c r="D4729" t="inlineStr">
        <is>
          <t>VÄSTERBOTTENS LÄN</t>
        </is>
      </c>
      <c r="E4729" t="inlineStr">
        <is>
          <t>UMEÅ</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43372-2025</t>
        </is>
      </c>
      <c r="B4730" s="1" t="n">
        <v>45911.35015046296</v>
      </c>
      <c r="C4730" s="1" t="n">
        <v>46145</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43846-2025</t>
        </is>
      </c>
      <c r="B4731" s="1" t="n">
        <v>45912.63753472222</v>
      </c>
      <c r="C4731" s="1" t="n">
        <v>46145</v>
      </c>
      <c r="D4731" t="inlineStr">
        <is>
          <t>VÄSTERBOTTENS LÄN</t>
        </is>
      </c>
      <c r="E4731" t="inlineStr">
        <is>
          <t>VINDELN</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43861-2025</t>
        </is>
      </c>
      <c r="B4732" s="1" t="n">
        <v>45912.65596064815</v>
      </c>
      <c r="C4732" s="1" t="n">
        <v>46145</v>
      </c>
      <c r="D4732" t="inlineStr">
        <is>
          <t>VÄSTERBOTTENS LÄN</t>
        </is>
      </c>
      <c r="E4732" t="inlineStr">
        <is>
          <t>SKELLEFTEÅ</t>
        </is>
      </c>
      <c r="F4732" t="inlineStr">
        <is>
          <t>Sveaskog</t>
        </is>
      </c>
      <c r="G4732" t="n">
        <v>15.6</v>
      </c>
      <c r="H4732" t="n">
        <v>0</v>
      </c>
      <c r="I4732" t="n">
        <v>0</v>
      </c>
      <c r="J4732" t="n">
        <v>0</v>
      </c>
      <c r="K4732" t="n">
        <v>0</v>
      </c>
      <c r="L4732" t="n">
        <v>0</v>
      </c>
      <c r="M4732" t="n">
        <v>0</v>
      </c>
      <c r="N4732" t="n">
        <v>0</v>
      </c>
      <c r="O4732" t="n">
        <v>0</v>
      </c>
      <c r="P4732" t="n">
        <v>0</v>
      </c>
      <c r="Q4732" t="n">
        <v>0</v>
      </c>
      <c r="R4732" s="2" t="inlineStr"/>
    </row>
    <row r="4733" ht="15" customHeight="1">
      <c r="A4733" t="inlineStr">
        <is>
          <t>A 43870-2025</t>
        </is>
      </c>
      <c r="B4733" s="1" t="n">
        <v>45912.66537037037</v>
      </c>
      <c r="C4733" s="1" t="n">
        <v>46145</v>
      </c>
      <c r="D4733" t="inlineStr">
        <is>
          <t>VÄSTERBOTTENS LÄN</t>
        </is>
      </c>
      <c r="E4733" t="inlineStr">
        <is>
          <t>VINDELN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43748-2025</t>
        </is>
      </c>
      <c r="B4734" s="1" t="n">
        <v>45912.46197916667</v>
      </c>
      <c r="C4734" s="1" t="n">
        <v>46145</v>
      </c>
      <c r="D4734" t="inlineStr">
        <is>
          <t>VÄSTERBOTTENS LÄN</t>
        </is>
      </c>
      <c r="E4734" t="inlineStr">
        <is>
          <t>NORSJÖ</t>
        </is>
      </c>
      <c r="F4734" t="inlineStr">
        <is>
          <t>Sveaskog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43657-2025</t>
        </is>
      </c>
      <c r="B4735" s="1" t="n">
        <v>45912.34260416667</v>
      </c>
      <c r="C4735" s="1" t="n">
        <v>46145</v>
      </c>
      <c r="D4735" t="inlineStr">
        <is>
          <t>VÄSTERBOTTENS LÄN</t>
        </is>
      </c>
      <c r="E4735" t="inlineStr">
        <is>
          <t>ÅSELE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43677-2025</t>
        </is>
      </c>
      <c r="B4736" s="1" t="n">
        <v>45912.3656712963</v>
      </c>
      <c r="C4736" s="1" t="n">
        <v>46145</v>
      </c>
      <c r="D4736" t="inlineStr">
        <is>
          <t>VÄSTERBOTTENS LÄN</t>
        </is>
      </c>
      <c r="E4736" t="inlineStr">
        <is>
          <t>SKELLEFTEÅ</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43683-2025</t>
        </is>
      </c>
      <c r="B4737" s="1" t="n">
        <v>45912.37668981482</v>
      </c>
      <c r="C4737" s="1" t="n">
        <v>46145</v>
      </c>
      <c r="D4737" t="inlineStr">
        <is>
          <t>VÄSTERBOTTENS LÄN</t>
        </is>
      </c>
      <c r="E4737" t="inlineStr">
        <is>
          <t>SKELLEFTEÅ</t>
        </is>
      </c>
      <c r="F4737" t="inlineStr">
        <is>
          <t>Holmen skog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43695-2025</t>
        </is>
      </c>
      <c r="B4738" s="1" t="n">
        <v>45912.39425925926</v>
      </c>
      <c r="C4738" s="1" t="n">
        <v>46145</v>
      </c>
      <c r="D4738" t="inlineStr">
        <is>
          <t>VÄSTERBOTTENS LÄN</t>
        </is>
      </c>
      <c r="E4738" t="inlineStr">
        <is>
          <t>BJURHOLM</t>
        </is>
      </c>
      <c r="F4738" t="inlineStr">
        <is>
          <t>Holmen skog AB</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43841-2025</t>
        </is>
      </c>
      <c r="B4739" s="1" t="n">
        <v>45912.63537037037</v>
      </c>
      <c r="C4739" s="1" t="n">
        <v>46145</v>
      </c>
      <c r="D4739" t="inlineStr">
        <is>
          <t>VÄSTERBOTTENS LÄN</t>
        </is>
      </c>
      <c r="E4739" t="inlineStr">
        <is>
          <t>ROBERTSFORS</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29599-2024</t>
        </is>
      </c>
      <c r="B4740" s="1" t="n">
        <v>45484.59297453704</v>
      </c>
      <c r="C4740" s="1" t="n">
        <v>46145</v>
      </c>
      <c r="D4740" t="inlineStr">
        <is>
          <t>VÄSTERBOTTENS LÄN</t>
        </is>
      </c>
      <c r="E4740" t="inlineStr">
        <is>
          <t>ÅSELE</t>
        </is>
      </c>
      <c r="F4740" t="inlineStr">
        <is>
          <t>Sveaskog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43876-2025</t>
        </is>
      </c>
      <c r="B4741" s="1" t="n">
        <v>45912.67747685185</v>
      </c>
      <c r="C4741" s="1" t="n">
        <v>46145</v>
      </c>
      <c r="D4741" t="inlineStr">
        <is>
          <t>VÄSTERBOTTENS LÄN</t>
        </is>
      </c>
      <c r="E4741" t="inlineStr">
        <is>
          <t>DOROTEA</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43940-2025</t>
        </is>
      </c>
      <c r="B4742" s="1" t="n">
        <v>45912</v>
      </c>
      <c r="C4742" s="1" t="n">
        <v>46145</v>
      </c>
      <c r="D4742" t="inlineStr">
        <is>
          <t>VÄSTERBOTTENS LÄN</t>
        </is>
      </c>
      <c r="E4742" t="inlineStr">
        <is>
          <t>NORDMALING</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18143-2023</t>
        </is>
      </c>
      <c r="B4743" s="1" t="n">
        <v>45040</v>
      </c>
      <c r="C4743" s="1" t="n">
        <v>46145</v>
      </c>
      <c r="D4743" t="inlineStr">
        <is>
          <t>VÄSTERBOTTENS LÄN</t>
        </is>
      </c>
      <c r="E4743" t="inlineStr">
        <is>
          <t>ROBERTSFORS</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40262-2022</t>
        </is>
      </c>
      <c r="B4744" s="1" t="n">
        <v>44820</v>
      </c>
      <c r="C4744" s="1" t="n">
        <v>46145</v>
      </c>
      <c r="D4744" t="inlineStr">
        <is>
          <t>VÄSTERBOTTENS LÄN</t>
        </is>
      </c>
      <c r="E4744" t="inlineStr">
        <is>
          <t>LYCKSELE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43889-2025</t>
        </is>
      </c>
      <c r="B4745" s="1" t="n">
        <v>45912.6982175926</v>
      </c>
      <c r="C4745" s="1" t="n">
        <v>46145</v>
      </c>
      <c r="D4745" t="inlineStr">
        <is>
          <t>VÄSTERBOTTENS LÄN</t>
        </is>
      </c>
      <c r="E4745" t="inlineStr">
        <is>
          <t>UMEÅ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43894-2025</t>
        </is>
      </c>
      <c r="B4746" s="1" t="n">
        <v>45912.73649305556</v>
      </c>
      <c r="C4746" s="1" t="n">
        <v>46145</v>
      </c>
      <c r="D4746" t="inlineStr">
        <is>
          <t>VÄSTERBOTTENS LÄN</t>
        </is>
      </c>
      <c r="E4746" t="inlineStr">
        <is>
          <t>SKELLEFTEÅ</t>
        </is>
      </c>
      <c r="F4746" t="inlineStr">
        <is>
          <t>Sveaskog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23372-2021</t>
        </is>
      </c>
      <c r="B4747" s="1" t="n">
        <v>44333.58960648148</v>
      </c>
      <c r="C4747" s="1" t="n">
        <v>46145</v>
      </c>
      <c r="D4747" t="inlineStr">
        <is>
          <t>VÄSTERBOTTENS LÄN</t>
        </is>
      </c>
      <c r="E4747" t="inlineStr">
        <is>
          <t>UMEÅ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23543-2024</t>
        </is>
      </c>
      <c r="B4748" s="1" t="n">
        <v>45453</v>
      </c>
      <c r="C4748" s="1" t="n">
        <v>46145</v>
      </c>
      <c r="D4748" t="inlineStr">
        <is>
          <t>VÄSTERBOTTENS LÄN</t>
        </is>
      </c>
      <c r="E4748" t="inlineStr">
        <is>
          <t>VILHELMINA</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35301-2024</t>
        </is>
      </c>
      <c r="B4749" s="1" t="n">
        <v>45530</v>
      </c>
      <c r="C4749" s="1" t="n">
        <v>46145</v>
      </c>
      <c r="D4749" t="inlineStr">
        <is>
          <t>VÄSTERBOTTENS LÄN</t>
        </is>
      </c>
      <c r="E4749" t="inlineStr">
        <is>
          <t>VINDELN</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40781-2023</t>
        </is>
      </c>
      <c r="B4750" s="1" t="n">
        <v>45170.95747685185</v>
      </c>
      <c r="C4750" s="1" t="n">
        <v>46145</v>
      </c>
      <c r="D4750" t="inlineStr">
        <is>
          <t>VÄSTERBOTTENS LÄN</t>
        </is>
      </c>
      <c r="E4750" t="inlineStr">
        <is>
          <t>VILHELMINA</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43895-2025</t>
        </is>
      </c>
      <c r="B4751" s="1" t="n">
        <v>45912.73758101852</v>
      </c>
      <c r="C4751" s="1" t="n">
        <v>46145</v>
      </c>
      <c r="D4751" t="inlineStr">
        <is>
          <t>VÄSTERBOTTENS LÄN</t>
        </is>
      </c>
      <c r="E4751" t="inlineStr">
        <is>
          <t>SKELLEFTEÅ</t>
        </is>
      </c>
      <c r="F4751" t="inlineStr">
        <is>
          <t>Sveaskog</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21662-2025</t>
        </is>
      </c>
      <c r="B4752" s="1" t="n">
        <v>45783</v>
      </c>
      <c r="C4752" s="1" t="n">
        <v>46145</v>
      </c>
      <c r="D4752" t="inlineStr">
        <is>
          <t>VÄSTERBOTTENS LÄN</t>
        </is>
      </c>
      <c r="E4752" t="inlineStr">
        <is>
          <t>STORUMAN</t>
        </is>
      </c>
      <c r="G4752" t="n">
        <v>47.2</v>
      </c>
      <c r="H4752" t="n">
        <v>0</v>
      </c>
      <c r="I4752" t="n">
        <v>0</v>
      </c>
      <c r="J4752" t="n">
        <v>0</v>
      </c>
      <c r="K4752" t="n">
        <v>0</v>
      </c>
      <c r="L4752" t="n">
        <v>0</v>
      </c>
      <c r="M4752" t="n">
        <v>0</v>
      </c>
      <c r="N4752" t="n">
        <v>0</v>
      </c>
      <c r="O4752" t="n">
        <v>0</v>
      </c>
      <c r="P4752" t="n">
        <v>0</v>
      </c>
      <c r="Q4752" t="n">
        <v>0</v>
      </c>
      <c r="R4752" s="2" t="inlineStr"/>
    </row>
    <row r="4753" ht="15" customHeight="1">
      <c r="A4753" t="inlineStr">
        <is>
          <t>A 43788-2025</t>
        </is>
      </c>
      <c r="B4753" s="1" t="n">
        <v>45912</v>
      </c>
      <c r="C4753" s="1" t="n">
        <v>46145</v>
      </c>
      <c r="D4753" t="inlineStr">
        <is>
          <t>VÄSTERBOTTENS LÄN</t>
        </is>
      </c>
      <c r="E4753" t="inlineStr">
        <is>
          <t>LYCKSELE</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43835-2025</t>
        </is>
      </c>
      <c r="B4754" s="1" t="n">
        <v>45912.63228009259</v>
      </c>
      <c r="C4754" s="1" t="n">
        <v>46145</v>
      </c>
      <c r="D4754" t="inlineStr">
        <is>
          <t>VÄSTERBOTTENS LÄN</t>
        </is>
      </c>
      <c r="E4754" t="inlineStr">
        <is>
          <t>NORSJÖ</t>
        </is>
      </c>
      <c r="F4754" t="inlineStr">
        <is>
          <t>Sveaskog</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43866-2025</t>
        </is>
      </c>
      <c r="B4755" s="1" t="n">
        <v>45912.65726851852</v>
      </c>
      <c r="C4755" s="1" t="n">
        <v>46145</v>
      </c>
      <c r="D4755" t="inlineStr">
        <is>
          <t>VÄSTERBOTTENS LÄN</t>
        </is>
      </c>
      <c r="E4755" t="inlineStr">
        <is>
          <t>DOROTEA</t>
        </is>
      </c>
      <c r="F4755" t="inlineStr">
        <is>
          <t>SCA</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2894-2025</t>
        </is>
      </c>
      <c r="B4756" s="1" t="n">
        <v>45677</v>
      </c>
      <c r="C4756" s="1" t="n">
        <v>46145</v>
      </c>
      <c r="D4756" t="inlineStr">
        <is>
          <t>VÄSTERBOTTENS LÄN</t>
        </is>
      </c>
      <c r="E4756" t="inlineStr">
        <is>
          <t>ÅSELE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18649-2025</t>
        </is>
      </c>
      <c r="B4757" s="1" t="n">
        <v>45763.57402777778</v>
      </c>
      <c r="C4757" s="1" t="n">
        <v>46145</v>
      </c>
      <c r="D4757" t="inlineStr">
        <is>
          <t>VÄSTERBOTTENS LÄN</t>
        </is>
      </c>
      <c r="E4757" t="inlineStr">
        <is>
          <t>NORDMALING</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43724-2025</t>
        </is>
      </c>
      <c r="B4758" s="1" t="n">
        <v>45912.42877314815</v>
      </c>
      <c r="C4758" s="1" t="n">
        <v>46145</v>
      </c>
      <c r="D4758" t="inlineStr">
        <is>
          <t>VÄSTERBOTTENS LÄN</t>
        </is>
      </c>
      <c r="E4758" t="inlineStr">
        <is>
          <t>MALÅ</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5083-2025</t>
        </is>
      </c>
      <c r="B4759" s="1" t="n">
        <v>45691</v>
      </c>
      <c r="C4759" s="1" t="n">
        <v>46145</v>
      </c>
      <c r="D4759" t="inlineStr">
        <is>
          <t>VÄSTERBOTTENS LÄN</t>
        </is>
      </c>
      <c r="E4759" t="inlineStr">
        <is>
          <t>NORDMALING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44319-2023</t>
        </is>
      </c>
      <c r="B4760" s="1" t="n">
        <v>45183</v>
      </c>
      <c r="C4760" s="1" t="n">
        <v>46145</v>
      </c>
      <c r="D4760" t="inlineStr">
        <is>
          <t>VÄSTERBOTTENS LÄN</t>
        </is>
      </c>
      <c r="E4760" t="inlineStr">
        <is>
          <t>VÄNNÄS</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43489-2025</t>
        </is>
      </c>
      <c r="B4761" s="1" t="n">
        <v>45911.51107638889</v>
      </c>
      <c r="C4761" s="1" t="n">
        <v>46145</v>
      </c>
      <c r="D4761" t="inlineStr">
        <is>
          <t>VÄSTERBOTTENS LÄN</t>
        </is>
      </c>
      <c r="E4761" t="inlineStr">
        <is>
          <t>ÅSELE</t>
        </is>
      </c>
      <c r="F4761" t="inlineStr">
        <is>
          <t>SCA</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43374-2025</t>
        </is>
      </c>
      <c r="B4762" s="1" t="n">
        <v>45911.35045138889</v>
      </c>
      <c r="C4762" s="1" t="n">
        <v>46145</v>
      </c>
      <c r="D4762" t="inlineStr">
        <is>
          <t>VÄSTERBOTTENS LÄN</t>
        </is>
      </c>
      <c r="E4762" t="inlineStr">
        <is>
          <t>NORDMALING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52280-2023</t>
        </is>
      </c>
      <c r="B4763" s="1" t="n">
        <v>45224.57511574074</v>
      </c>
      <c r="C4763" s="1" t="n">
        <v>46145</v>
      </c>
      <c r="D4763" t="inlineStr">
        <is>
          <t>VÄSTERBOTTENS LÄN</t>
        </is>
      </c>
      <c r="E4763" t="inlineStr">
        <is>
          <t>ÅSELE</t>
        </is>
      </c>
      <c r="F4763" t="inlineStr">
        <is>
          <t>Holmen skog AB</t>
        </is>
      </c>
      <c r="G4763" t="n">
        <v>15.4</v>
      </c>
      <c r="H4763" t="n">
        <v>0</v>
      </c>
      <c r="I4763" t="n">
        <v>0</v>
      </c>
      <c r="J4763" t="n">
        <v>0</v>
      </c>
      <c r="K4763" t="n">
        <v>0</v>
      </c>
      <c r="L4763" t="n">
        <v>0</v>
      </c>
      <c r="M4763" t="n">
        <v>0</v>
      </c>
      <c r="N4763" t="n">
        <v>0</v>
      </c>
      <c r="O4763" t="n">
        <v>0</v>
      </c>
      <c r="P4763" t="n">
        <v>0</v>
      </c>
      <c r="Q4763" t="n">
        <v>0</v>
      </c>
      <c r="R4763" s="2" t="inlineStr"/>
    </row>
    <row r="4764" ht="15" customHeight="1">
      <c r="A4764" t="inlineStr">
        <is>
          <t>A 43783-2025</t>
        </is>
      </c>
      <c r="B4764" s="1" t="n">
        <v>45912.52703703703</v>
      </c>
      <c r="C4764" s="1" t="n">
        <v>46145</v>
      </c>
      <c r="D4764" t="inlineStr">
        <is>
          <t>VÄSTERBOTTENS LÄN</t>
        </is>
      </c>
      <c r="E4764" t="inlineStr">
        <is>
          <t>VINDELN</t>
        </is>
      </c>
      <c r="F4764" t="inlineStr">
        <is>
          <t>Holmen skog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43789-2025</t>
        </is>
      </c>
      <c r="B4765" s="1" t="n">
        <v>45912.53976851852</v>
      </c>
      <c r="C4765" s="1" t="n">
        <v>46145</v>
      </c>
      <c r="D4765" t="inlineStr">
        <is>
          <t>VÄSTERBOTTENS LÄN</t>
        </is>
      </c>
      <c r="E4765" t="inlineStr">
        <is>
          <t>UMEÅ</t>
        </is>
      </c>
      <c r="F4765" t="inlineStr">
        <is>
          <t>Holmen skog AB</t>
        </is>
      </c>
      <c r="G4765" t="n">
        <v>21.1</v>
      </c>
      <c r="H4765" t="n">
        <v>0</v>
      </c>
      <c r="I4765" t="n">
        <v>0</v>
      </c>
      <c r="J4765" t="n">
        <v>0</v>
      </c>
      <c r="K4765" t="n">
        <v>0</v>
      </c>
      <c r="L4765" t="n">
        <v>0</v>
      </c>
      <c r="M4765" t="n">
        <v>0</v>
      </c>
      <c r="N4765" t="n">
        <v>0</v>
      </c>
      <c r="O4765" t="n">
        <v>0</v>
      </c>
      <c r="P4765" t="n">
        <v>0</v>
      </c>
      <c r="Q4765" t="n">
        <v>0</v>
      </c>
      <c r="R4765" s="2" t="inlineStr"/>
    </row>
    <row r="4766" ht="15" customHeight="1">
      <c r="A4766" t="inlineStr">
        <is>
          <t>A 43800-2025</t>
        </is>
      </c>
      <c r="B4766" s="1" t="n">
        <v>45912.57226851852</v>
      </c>
      <c r="C4766" s="1" t="n">
        <v>46145</v>
      </c>
      <c r="D4766" t="inlineStr">
        <is>
          <t>VÄSTERBOTTENS LÄN</t>
        </is>
      </c>
      <c r="E4766" t="inlineStr">
        <is>
          <t>SKELLEFTEÅ</t>
        </is>
      </c>
      <c r="F4766" t="inlineStr">
        <is>
          <t>Sveaskog</t>
        </is>
      </c>
      <c r="G4766" t="n">
        <v>25.3</v>
      </c>
      <c r="H4766" t="n">
        <v>0</v>
      </c>
      <c r="I4766" t="n">
        <v>0</v>
      </c>
      <c r="J4766" t="n">
        <v>0</v>
      </c>
      <c r="K4766" t="n">
        <v>0</v>
      </c>
      <c r="L4766" t="n">
        <v>0</v>
      </c>
      <c r="M4766" t="n">
        <v>0</v>
      </c>
      <c r="N4766" t="n">
        <v>0</v>
      </c>
      <c r="O4766" t="n">
        <v>0</v>
      </c>
      <c r="P4766" t="n">
        <v>0</v>
      </c>
      <c r="Q4766" t="n">
        <v>0</v>
      </c>
      <c r="R4766" s="2" t="inlineStr"/>
    </row>
    <row r="4767" ht="15" customHeight="1">
      <c r="A4767" t="inlineStr">
        <is>
          <t>A 15910-2025</t>
        </is>
      </c>
      <c r="B4767" s="1" t="n">
        <v>45749.44096064815</v>
      </c>
      <c r="C4767" s="1" t="n">
        <v>46145</v>
      </c>
      <c r="D4767" t="inlineStr">
        <is>
          <t>VÄSTERBOTTENS LÄN</t>
        </is>
      </c>
      <c r="E4767" t="inlineStr">
        <is>
          <t>BJURHOLM</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37948-2023</t>
        </is>
      </c>
      <c r="B4768" s="1" t="n">
        <v>45159</v>
      </c>
      <c r="C4768" s="1" t="n">
        <v>46145</v>
      </c>
      <c r="D4768" t="inlineStr">
        <is>
          <t>VÄSTERBOTTENS LÄN</t>
        </is>
      </c>
      <c r="E4768" t="inlineStr">
        <is>
          <t>VINDELN</t>
        </is>
      </c>
      <c r="G4768" t="n">
        <v>1</v>
      </c>
      <c r="H4768" t="n">
        <v>0</v>
      </c>
      <c r="I4768" t="n">
        <v>0</v>
      </c>
      <c r="J4768" t="n">
        <v>0</v>
      </c>
      <c r="K4768" t="n">
        <v>0</v>
      </c>
      <c r="L4768" t="n">
        <v>0</v>
      </c>
      <c r="M4768" t="n">
        <v>0</v>
      </c>
      <c r="N4768" t="n">
        <v>0</v>
      </c>
      <c r="O4768" t="n">
        <v>0</v>
      </c>
      <c r="P4768" t="n">
        <v>0</v>
      </c>
      <c r="Q4768" t="n">
        <v>0</v>
      </c>
      <c r="R4768" s="2" t="inlineStr"/>
      <c r="U4768">
        <f>HYPERLINK("https://klasma.github.io/Logging_2404/knärot/A 37948-2023 karta knärot.png", "A 37948-2023")</f>
        <v/>
      </c>
      <c r="V4768">
        <f>HYPERLINK("https://klasma.github.io/Logging_2404/klagomål/A 37948-2023 FSC-klagomål.docx", "A 37948-2023")</f>
        <v/>
      </c>
      <c r="W4768">
        <f>HYPERLINK("https://klasma.github.io/Logging_2404/klagomålsmail/A 37948-2023 FSC-klagomål mail.docx", "A 37948-2023")</f>
        <v/>
      </c>
      <c r="X4768">
        <f>HYPERLINK("https://klasma.github.io/Logging_2404/tillsyn/A 37948-2023 tillsynsbegäran.docx", "A 37948-2023")</f>
        <v/>
      </c>
      <c r="Y4768">
        <f>HYPERLINK("https://klasma.github.io/Logging_2404/tillsynsmail/A 37948-2023 tillsynsbegäran mail.docx", "A 37948-2023")</f>
        <v/>
      </c>
    </row>
    <row r="4769" ht="15" customHeight="1">
      <c r="A4769" t="inlineStr">
        <is>
          <t>A 37960-2023</t>
        </is>
      </c>
      <c r="B4769" s="1" t="n">
        <v>45160</v>
      </c>
      <c r="C4769" s="1" t="n">
        <v>46145</v>
      </c>
      <c r="D4769" t="inlineStr">
        <is>
          <t>VÄSTERBOTTENS LÄN</t>
        </is>
      </c>
      <c r="E4769" t="inlineStr">
        <is>
          <t>MALÅ</t>
        </is>
      </c>
      <c r="F4769" t="inlineStr">
        <is>
          <t>Sveaskog</t>
        </is>
      </c>
      <c r="G4769" t="n">
        <v>21.8</v>
      </c>
      <c r="H4769" t="n">
        <v>0</v>
      </c>
      <c r="I4769" t="n">
        <v>0</v>
      </c>
      <c r="J4769" t="n">
        <v>0</v>
      </c>
      <c r="K4769" t="n">
        <v>0</v>
      </c>
      <c r="L4769" t="n">
        <v>0</v>
      </c>
      <c r="M4769" t="n">
        <v>0</v>
      </c>
      <c r="N4769" t="n">
        <v>0</v>
      </c>
      <c r="O4769" t="n">
        <v>0</v>
      </c>
      <c r="P4769" t="n">
        <v>0</v>
      </c>
      <c r="Q4769" t="n">
        <v>0</v>
      </c>
      <c r="R4769" s="2" t="inlineStr"/>
    </row>
    <row r="4770" ht="15" customHeight="1">
      <c r="A4770" t="inlineStr">
        <is>
          <t>A 30986-2024</t>
        </is>
      </c>
      <c r="B4770" s="1" t="n">
        <v>45499.52881944444</v>
      </c>
      <c r="C4770" s="1" t="n">
        <v>46145</v>
      </c>
      <c r="D4770" t="inlineStr">
        <is>
          <t>VÄSTERBOTTENS LÄN</t>
        </is>
      </c>
      <c r="E4770" t="inlineStr">
        <is>
          <t>SKELLEFTEÅ</t>
        </is>
      </c>
      <c r="F4770" t="inlineStr">
        <is>
          <t>Sveaskog</t>
        </is>
      </c>
      <c r="G4770" t="n">
        <v>13.9</v>
      </c>
      <c r="H4770" t="n">
        <v>0</v>
      </c>
      <c r="I4770" t="n">
        <v>0</v>
      </c>
      <c r="J4770" t="n">
        <v>0</v>
      </c>
      <c r="K4770" t="n">
        <v>0</v>
      </c>
      <c r="L4770" t="n">
        <v>0</v>
      </c>
      <c r="M4770" t="n">
        <v>0</v>
      </c>
      <c r="N4770" t="n">
        <v>0</v>
      </c>
      <c r="O4770" t="n">
        <v>0</v>
      </c>
      <c r="P4770" t="n">
        <v>0</v>
      </c>
      <c r="Q4770" t="n">
        <v>0</v>
      </c>
      <c r="R4770" s="2" t="inlineStr"/>
    </row>
    <row r="4771" ht="15" customHeight="1">
      <c r="A4771" t="inlineStr">
        <is>
          <t>A 43797-2025</t>
        </is>
      </c>
      <c r="B4771" s="1" t="n">
        <v>45912.5659837963</v>
      </c>
      <c r="C4771" s="1" t="n">
        <v>46145</v>
      </c>
      <c r="D4771" t="inlineStr">
        <is>
          <t>VÄSTERBOTTENS LÄN</t>
        </is>
      </c>
      <c r="E4771" t="inlineStr">
        <is>
          <t>SKELLEFTEÅ</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3584-2025</t>
        </is>
      </c>
      <c r="B4772" s="1" t="n">
        <v>45680.78527777778</v>
      </c>
      <c r="C4772" s="1" t="n">
        <v>46145</v>
      </c>
      <c r="D4772" t="inlineStr">
        <is>
          <t>VÄSTERBOTTENS LÄN</t>
        </is>
      </c>
      <c r="E4772" t="inlineStr">
        <is>
          <t>VÄNNÄS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43799-2025</t>
        </is>
      </c>
      <c r="B4773" s="1" t="n">
        <v>45912</v>
      </c>
      <c r="C4773" s="1" t="n">
        <v>46145</v>
      </c>
      <c r="D4773" t="inlineStr">
        <is>
          <t>VÄSTERBOTTENS LÄN</t>
        </is>
      </c>
      <c r="E4773" t="inlineStr">
        <is>
          <t>ROBERTSFORS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43828-2025</t>
        </is>
      </c>
      <c r="B4774" s="1" t="n">
        <v>45912.62778935185</v>
      </c>
      <c r="C4774" s="1" t="n">
        <v>46145</v>
      </c>
      <c r="D4774" t="inlineStr">
        <is>
          <t>VÄSTERBOTTENS LÄN</t>
        </is>
      </c>
      <c r="E4774" t="inlineStr">
        <is>
          <t>VINDELN</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43392-2025</t>
        </is>
      </c>
      <c r="B4775" s="1" t="n">
        <v>45911.36961805556</v>
      </c>
      <c r="C4775" s="1" t="n">
        <v>46145</v>
      </c>
      <c r="D4775" t="inlineStr">
        <is>
          <t>VÄSTERBOTTENS LÄN</t>
        </is>
      </c>
      <c r="E4775" t="inlineStr">
        <is>
          <t>VINDELN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43409-2025</t>
        </is>
      </c>
      <c r="B4776" s="1" t="n">
        <v>45911.39513888889</v>
      </c>
      <c r="C4776" s="1" t="n">
        <v>46145</v>
      </c>
      <c r="D4776" t="inlineStr">
        <is>
          <t>VÄSTERBOTTENS LÄN</t>
        </is>
      </c>
      <c r="E4776" t="inlineStr">
        <is>
          <t>LYCKSELE</t>
        </is>
      </c>
      <c r="F4776" t="inlineStr">
        <is>
          <t>Holmen skog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43825-2025</t>
        </is>
      </c>
      <c r="B4777" s="1" t="n">
        <v>45912.61891203704</v>
      </c>
      <c r="C4777" s="1" t="n">
        <v>46145</v>
      </c>
      <c r="D4777" t="inlineStr">
        <is>
          <t>VÄSTERBOTTENS LÄN</t>
        </is>
      </c>
      <c r="E4777" t="inlineStr">
        <is>
          <t>SKELLEFTEÅ</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43826-2025</t>
        </is>
      </c>
      <c r="B4778" s="1" t="n">
        <v>45912.62055555556</v>
      </c>
      <c r="C4778" s="1" t="n">
        <v>46145</v>
      </c>
      <c r="D4778" t="inlineStr">
        <is>
          <t>VÄSTERBOTTENS LÄN</t>
        </is>
      </c>
      <c r="E4778" t="inlineStr">
        <is>
          <t>ROBERTSFORS</t>
        </is>
      </c>
      <c r="F4778" t="inlineStr">
        <is>
          <t>Holmen skog AB</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43845-2025</t>
        </is>
      </c>
      <c r="B4779" s="1" t="n">
        <v>45912.63668981481</v>
      </c>
      <c r="C4779" s="1" t="n">
        <v>46145</v>
      </c>
      <c r="D4779" t="inlineStr">
        <is>
          <t>VÄSTERBOTTENS LÄN</t>
        </is>
      </c>
      <c r="E4779" t="inlineStr">
        <is>
          <t>NORSJÖ</t>
        </is>
      </c>
      <c r="F4779" t="inlineStr">
        <is>
          <t>Sveaskog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43729-2025</t>
        </is>
      </c>
      <c r="B4780" s="1" t="n">
        <v>45912.43429398148</v>
      </c>
      <c r="C4780" s="1" t="n">
        <v>46145</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46359-2023</t>
        </is>
      </c>
      <c r="B4781" s="1" t="n">
        <v>45193</v>
      </c>
      <c r="C4781" s="1" t="n">
        <v>46145</v>
      </c>
      <c r="D4781" t="inlineStr">
        <is>
          <t>VÄSTERBOTTENS LÄN</t>
        </is>
      </c>
      <c r="E4781" t="inlineStr">
        <is>
          <t>MALÅ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59653-2022</t>
        </is>
      </c>
      <c r="B4782" s="1" t="n">
        <v>44907</v>
      </c>
      <c r="C4782" s="1" t="n">
        <v>46145</v>
      </c>
      <c r="D4782" t="inlineStr">
        <is>
          <t>VÄSTERBOTTENS LÄN</t>
        </is>
      </c>
      <c r="E4782" t="inlineStr">
        <is>
          <t>LYCKSELE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44279-2025</t>
        </is>
      </c>
      <c r="B4783" s="1" t="n">
        <v>45916.34494212963</v>
      </c>
      <c r="C4783" s="1" t="n">
        <v>46145</v>
      </c>
      <c r="D4783" t="inlineStr">
        <is>
          <t>VÄSTERBOTTENS LÄN</t>
        </is>
      </c>
      <c r="E4783" t="inlineStr">
        <is>
          <t>ÅSELE</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44282-2025</t>
        </is>
      </c>
      <c r="B4784" s="1" t="n">
        <v>45916.34527777778</v>
      </c>
      <c r="C4784" s="1" t="n">
        <v>46145</v>
      </c>
      <c r="D4784" t="inlineStr">
        <is>
          <t>VÄSTERBOTTENS LÄN</t>
        </is>
      </c>
      <c r="E4784" t="inlineStr">
        <is>
          <t>DOROTEA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44322-2025</t>
        </is>
      </c>
      <c r="B4785" s="1" t="n">
        <v>45915</v>
      </c>
      <c r="C4785" s="1" t="n">
        <v>46145</v>
      </c>
      <c r="D4785" t="inlineStr">
        <is>
          <t>VÄSTERBOTTENS LÄN</t>
        </is>
      </c>
      <c r="E4785" t="inlineStr">
        <is>
          <t>DOROTEA</t>
        </is>
      </c>
      <c r="G4785" t="n">
        <v>14.1</v>
      </c>
      <c r="H4785" t="n">
        <v>0</v>
      </c>
      <c r="I4785" t="n">
        <v>0</v>
      </c>
      <c r="J4785" t="n">
        <v>0</v>
      </c>
      <c r="K4785" t="n">
        <v>0</v>
      </c>
      <c r="L4785" t="n">
        <v>0</v>
      </c>
      <c r="M4785" t="n">
        <v>0</v>
      </c>
      <c r="N4785" t="n">
        <v>0</v>
      </c>
      <c r="O4785" t="n">
        <v>0</v>
      </c>
      <c r="P4785" t="n">
        <v>0</v>
      </c>
      <c r="Q4785" t="n">
        <v>0</v>
      </c>
      <c r="R4785" s="2" t="inlineStr"/>
    </row>
    <row r="4786" ht="15" customHeight="1">
      <c r="A4786" t="inlineStr">
        <is>
          <t>A 44340-2025</t>
        </is>
      </c>
      <c r="B4786" s="1" t="n">
        <v>45916.43275462963</v>
      </c>
      <c r="C4786" s="1" t="n">
        <v>46145</v>
      </c>
      <c r="D4786" t="inlineStr">
        <is>
          <t>VÄSTERBOTTENS LÄN</t>
        </is>
      </c>
      <c r="E4786" t="inlineStr">
        <is>
          <t>LYCKSELE</t>
        </is>
      </c>
      <c r="F4786" t="inlineStr">
        <is>
          <t>Sveaskog</t>
        </is>
      </c>
      <c r="G4786" t="n">
        <v>19.6</v>
      </c>
      <c r="H4786" t="n">
        <v>0</v>
      </c>
      <c r="I4786" t="n">
        <v>0</v>
      </c>
      <c r="J4786" t="n">
        <v>0</v>
      </c>
      <c r="K4786" t="n">
        <v>0</v>
      </c>
      <c r="L4786" t="n">
        <v>0</v>
      </c>
      <c r="M4786" t="n">
        <v>0</v>
      </c>
      <c r="N4786" t="n">
        <v>0</v>
      </c>
      <c r="O4786" t="n">
        <v>0</v>
      </c>
      <c r="P4786" t="n">
        <v>0</v>
      </c>
      <c r="Q4786" t="n">
        <v>0</v>
      </c>
      <c r="R4786" s="2" t="inlineStr"/>
    </row>
    <row r="4787" ht="15" customHeight="1">
      <c r="A4787" t="inlineStr">
        <is>
          <t>A 44061-2025</t>
        </is>
      </c>
      <c r="B4787" s="1" t="n">
        <v>45915.53731481481</v>
      </c>
      <c r="C4787" s="1" t="n">
        <v>46145</v>
      </c>
      <c r="D4787" t="inlineStr">
        <is>
          <t>VÄSTERBOTTENS LÄN</t>
        </is>
      </c>
      <c r="E4787" t="inlineStr">
        <is>
          <t>SKELLEFTEÅ</t>
        </is>
      </c>
      <c r="F4787" t="inlineStr">
        <is>
          <t>Sveaskog</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15807-2025</t>
        </is>
      </c>
      <c r="B4788" s="1" t="n">
        <v>45748.65944444444</v>
      </c>
      <c r="C4788" s="1" t="n">
        <v>46145</v>
      </c>
      <c r="D4788" t="inlineStr">
        <is>
          <t>VÄSTERBOTTENS LÄN</t>
        </is>
      </c>
      <c r="E4788" t="inlineStr">
        <is>
          <t>NORSJÖ</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44208-2025</t>
        </is>
      </c>
      <c r="B4789" s="1" t="n">
        <v>45915.62952546297</v>
      </c>
      <c r="C4789" s="1" t="n">
        <v>46145</v>
      </c>
      <c r="D4789" t="inlineStr">
        <is>
          <t>VÄSTERBOTTENS LÄN</t>
        </is>
      </c>
      <c r="E4789" t="inlineStr">
        <is>
          <t>ÅSELE</t>
        </is>
      </c>
      <c r="F4789" t="inlineStr">
        <is>
          <t>Naturvårdsverket</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44210-2025</t>
        </is>
      </c>
      <c r="B4790" s="1" t="n">
        <v>45915.63162037037</v>
      </c>
      <c r="C4790" s="1" t="n">
        <v>46145</v>
      </c>
      <c r="D4790" t="inlineStr">
        <is>
          <t>VÄSTERBOTTENS LÄN</t>
        </is>
      </c>
      <c r="E4790" t="inlineStr">
        <is>
          <t>ÅSELE</t>
        </is>
      </c>
      <c r="F4790" t="inlineStr">
        <is>
          <t>Holmen skog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44227-2025</t>
        </is>
      </c>
      <c r="B4791" s="1" t="n">
        <v>45915.64064814815</v>
      </c>
      <c r="C4791" s="1" t="n">
        <v>46145</v>
      </c>
      <c r="D4791" t="inlineStr">
        <is>
          <t>VÄSTERBOTTENS LÄN</t>
        </is>
      </c>
      <c r="E4791" t="inlineStr">
        <is>
          <t>VINDELN</t>
        </is>
      </c>
      <c r="F4791" t="inlineStr">
        <is>
          <t>Sveaskog</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44169-2025</t>
        </is>
      </c>
      <c r="B4792" s="1" t="n">
        <v>45915.59857638889</v>
      </c>
      <c r="C4792" s="1" t="n">
        <v>46145</v>
      </c>
      <c r="D4792" t="inlineStr">
        <is>
          <t>VÄSTERBOTTENS LÄN</t>
        </is>
      </c>
      <c r="E4792" t="inlineStr">
        <is>
          <t>VINDELN</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25634-2023</t>
        </is>
      </c>
      <c r="B4793" s="1" t="n">
        <v>45084</v>
      </c>
      <c r="C4793" s="1" t="n">
        <v>46145</v>
      </c>
      <c r="D4793" t="inlineStr">
        <is>
          <t>VÄSTERBOTTENS LÄN</t>
        </is>
      </c>
      <c r="E4793" t="inlineStr">
        <is>
          <t>SKELLEFTEÅ</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44212-2025</t>
        </is>
      </c>
      <c r="B4794" s="1" t="n">
        <v>45912</v>
      </c>
      <c r="C4794" s="1" t="n">
        <v>46145</v>
      </c>
      <c r="D4794" t="inlineStr">
        <is>
          <t>VÄSTERBOTTENS LÄN</t>
        </is>
      </c>
      <c r="E4794" t="inlineStr">
        <is>
          <t>NORDMALING</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44242-2025</t>
        </is>
      </c>
      <c r="B4795" s="1" t="n">
        <v>45915.67774305555</v>
      </c>
      <c r="C4795" s="1" t="n">
        <v>46145</v>
      </c>
      <c r="D4795" t="inlineStr">
        <is>
          <t>VÄSTERBOTTENS LÄN</t>
        </is>
      </c>
      <c r="E4795" t="inlineStr">
        <is>
          <t>ÅSELE</t>
        </is>
      </c>
      <c r="F4795" t="inlineStr">
        <is>
          <t>SCA</t>
        </is>
      </c>
      <c r="G4795" t="n">
        <v>39.9</v>
      </c>
      <c r="H4795" t="n">
        <v>0</v>
      </c>
      <c r="I4795" t="n">
        <v>0</v>
      </c>
      <c r="J4795" t="n">
        <v>0</v>
      </c>
      <c r="K4795" t="n">
        <v>0</v>
      </c>
      <c r="L4795" t="n">
        <v>0</v>
      </c>
      <c r="M4795" t="n">
        <v>0</v>
      </c>
      <c r="N4795" t="n">
        <v>0</v>
      </c>
      <c r="O4795" t="n">
        <v>0</v>
      </c>
      <c r="P4795" t="n">
        <v>0</v>
      </c>
      <c r="Q4795" t="n">
        <v>0</v>
      </c>
      <c r="R4795" s="2" t="inlineStr"/>
    </row>
    <row r="4796" ht="15" customHeight="1">
      <c r="A4796" t="inlineStr">
        <is>
          <t>A 19600-2025</t>
        </is>
      </c>
      <c r="B4796" s="1" t="n">
        <v>45770</v>
      </c>
      <c r="C4796" s="1" t="n">
        <v>46145</v>
      </c>
      <c r="D4796" t="inlineStr">
        <is>
          <t>VÄSTERBOTTENS LÄN</t>
        </is>
      </c>
      <c r="E4796" t="inlineStr">
        <is>
          <t>VILHELMINA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44414-2025</t>
        </is>
      </c>
      <c r="B4797" s="1" t="n">
        <v>45916.54280092593</v>
      </c>
      <c r="C4797" s="1" t="n">
        <v>46145</v>
      </c>
      <c r="D4797" t="inlineStr">
        <is>
          <t>VÄSTERBOTTENS LÄN</t>
        </is>
      </c>
      <c r="E4797" t="inlineStr">
        <is>
          <t>ÅSELE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41850-2023</t>
        </is>
      </c>
      <c r="B4798" s="1" t="n">
        <v>45176</v>
      </c>
      <c r="C4798" s="1" t="n">
        <v>46145</v>
      </c>
      <c r="D4798" t="inlineStr">
        <is>
          <t>VÄSTERBOTTENS LÄN</t>
        </is>
      </c>
      <c r="E4798" t="inlineStr">
        <is>
          <t>ROBERTSFORS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44186-2025</t>
        </is>
      </c>
      <c r="B4799" s="1" t="n">
        <v>45915.61269675926</v>
      </c>
      <c r="C4799" s="1" t="n">
        <v>46145</v>
      </c>
      <c r="D4799" t="inlineStr">
        <is>
          <t>VÄSTERBOTTENS LÄN</t>
        </is>
      </c>
      <c r="E4799" t="inlineStr">
        <is>
          <t>VINDELN</t>
        </is>
      </c>
      <c r="F4799" t="inlineStr">
        <is>
          <t>Sveaskog</t>
        </is>
      </c>
      <c r="G4799" t="n">
        <v>8.6</v>
      </c>
      <c r="H4799" t="n">
        <v>0</v>
      </c>
      <c r="I4799" t="n">
        <v>0</v>
      </c>
      <c r="J4799" t="n">
        <v>0</v>
      </c>
      <c r="K4799" t="n">
        <v>0</v>
      </c>
      <c r="L4799" t="n">
        <v>0</v>
      </c>
      <c r="M4799" t="n">
        <v>0</v>
      </c>
      <c r="N4799" t="n">
        <v>0</v>
      </c>
      <c r="O4799" t="n">
        <v>0</v>
      </c>
      <c r="P4799" t="n">
        <v>0</v>
      </c>
      <c r="Q4799" t="n">
        <v>0</v>
      </c>
      <c r="R4799" s="2" t="inlineStr"/>
    </row>
    <row r="4800" ht="15" customHeight="1">
      <c r="A4800" t="inlineStr">
        <is>
          <t>A 61654-2022</t>
        </is>
      </c>
      <c r="B4800" s="1" t="n">
        <v>44916.9260300926</v>
      </c>
      <c r="C4800" s="1" t="n">
        <v>46145</v>
      </c>
      <c r="D4800" t="inlineStr">
        <is>
          <t>VÄSTERBOTTENS LÄN</t>
        </is>
      </c>
      <c r="E4800" t="inlineStr">
        <is>
          <t>BJURHOLM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706-2023</t>
        </is>
      </c>
      <c r="B4801" s="1" t="n">
        <v>44930</v>
      </c>
      <c r="C4801" s="1" t="n">
        <v>46145</v>
      </c>
      <c r="D4801" t="inlineStr">
        <is>
          <t>VÄSTERBOTTENS LÄN</t>
        </is>
      </c>
      <c r="E4801" t="inlineStr">
        <is>
          <t>SKELLEFTEÅ</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31395-2021</t>
        </is>
      </c>
      <c r="B4802" s="1" t="n">
        <v>44369.31599537037</v>
      </c>
      <c r="C4802" s="1" t="n">
        <v>46145</v>
      </c>
      <c r="D4802" t="inlineStr">
        <is>
          <t>VÄSTERBOTTENS LÄN</t>
        </is>
      </c>
      <c r="E4802" t="inlineStr">
        <is>
          <t>SKELLEFTEÅ</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43985-2025</t>
        </is>
      </c>
      <c r="B4803" s="1" t="n">
        <v>45915.43275462963</v>
      </c>
      <c r="C4803" s="1" t="n">
        <v>46145</v>
      </c>
      <c r="D4803" t="inlineStr">
        <is>
          <t>VÄSTERBOTTENS LÄN</t>
        </is>
      </c>
      <c r="E4803" t="inlineStr">
        <is>
          <t>ÅSELE</t>
        </is>
      </c>
      <c r="F4803" t="inlineStr">
        <is>
          <t>Holmen skog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44120-2025</t>
        </is>
      </c>
      <c r="B4804" s="1" t="n">
        <v>45915.57791666667</v>
      </c>
      <c r="C4804" s="1" t="n">
        <v>46145</v>
      </c>
      <c r="D4804" t="inlineStr">
        <is>
          <t>VÄSTERBOTTENS LÄN</t>
        </is>
      </c>
      <c r="E4804" t="inlineStr">
        <is>
          <t>SKELLEFTEÅ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38696-2023</t>
        </is>
      </c>
      <c r="B4805" s="1" t="n">
        <v>45162.94581018519</v>
      </c>
      <c r="C4805" s="1" t="n">
        <v>46145</v>
      </c>
      <c r="D4805" t="inlineStr">
        <is>
          <t>VÄSTERBOTTENS LÄN</t>
        </is>
      </c>
      <c r="E4805" t="inlineStr">
        <is>
          <t>VINDELN</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43931-2025</t>
        </is>
      </c>
      <c r="B4806" s="1" t="n">
        <v>45915.33216435185</v>
      </c>
      <c r="C4806" s="1" t="n">
        <v>46145</v>
      </c>
      <c r="D4806" t="inlineStr">
        <is>
          <t>VÄSTERBOTTENS LÄN</t>
        </is>
      </c>
      <c r="E4806" t="inlineStr">
        <is>
          <t>LYCKSELE</t>
        </is>
      </c>
      <c r="F4806" t="inlineStr">
        <is>
          <t>Sveaskog</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44308-2025</t>
        </is>
      </c>
      <c r="B4807" s="1" t="n">
        <v>45916.38</v>
      </c>
      <c r="C4807" s="1" t="n">
        <v>46145</v>
      </c>
      <c r="D4807" t="inlineStr">
        <is>
          <t>VÄSTERBOTTENS LÄN</t>
        </is>
      </c>
      <c r="E4807" t="inlineStr">
        <is>
          <t>NORSJÖ</t>
        </is>
      </c>
      <c r="F4807" t="inlineStr">
        <is>
          <t>Holmen skog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44096-2025</t>
        </is>
      </c>
      <c r="B4808" s="1" t="n">
        <v>45915</v>
      </c>
      <c r="C4808" s="1" t="n">
        <v>46145</v>
      </c>
      <c r="D4808" t="inlineStr">
        <is>
          <t>VÄSTERBOTTENS LÄN</t>
        </is>
      </c>
      <c r="E4808" t="inlineStr">
        <is>
          <t>STORUMAN</t>
        </is>
      </c>
      <c r="F4808" t="inlineStr">
        <is>
          <t>Allmännings- och besparingsskogar</t>
        </is>
      </c>
      <c r="G4808" t="n">
        <v>50.8</v>
      </c>
      <c r="H4808" t="n">
        <v>0</v>
      </c>
      <c r="I4808" t="n">
        <v>0</v>
      </c>
      <c r="J4808" t="n">
        <v>0</v>
      </c>
      <c r="K4808" t="n">
        <v>0</v>
      </c>
      <c r="L4808" t="n">
        <v>0</v>
      </c>
      <c r="M4808" t="n">
        <v>0</v>
      </c>
      <c r="N4808" t="n">
        <v>0</v>
      </c>
      <c r="O4808" t="n">
        <v>0</v>
      </c>
      <c r="P4808" t="n">
        <v>0</v>
      </c>
      <c r="Q4808" t="n">
        <v>0</v>
      </c>
      <c r="R4808" s="2" t="inlineStr"/>
    </row>
    <row r="4809" ht="15" customHeight="1">
      <c r="A4809" t="inlineStr">
        <is>
          <t>A 38777-2023</t>
        </is>
      </c>
      <c r="B4809" s="1" t="n">
        <v>45163</v>
      </c>
      <c r="C4809" s="1" t="n">
        <v>46145</v>
      </c>
      <c r="D4809" t="inlineStr">
        <is>
          <t>VÄSTERBOTTENS LÄN</t>
        </is>
      </c>
      <c r="E4809" t="inlineStr">
        <is>
          <t>ROBERTSFORS</t>
        </is>
      </c>
      <c r="F4809" t="inlineStr">
        <is>
          <t>Holmen skog AB</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44101-2025</t>
        </is>
      </c>
      <c r="B4810" s="1" t="n">
        <v>45915.56788194444</v>
      </c>
      <c r="C4810" s="1" t="n">
        <v>46145</v>
      </c>
      <c r="D4810" t="inlineStr">
        <is>
          <t>VÄSTERBOTTENS LÄN</t>
        </is>
      </c>
      <c r="E4810" t="inlineStr">
        <is>
          <t>SKELLEFTEÅ</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44128-2025</t>
        </is>
      </c>
      <c r="B4811" s="1" t="n">
        <v>45915</v>
      </c>
      <c r="C4811" s="1" t="n">
        <v>46145</v>
      </c>
      <c r="D4811" t="inlineStr">
        <is>
          <t>VÄSTERBOTTENS LÄN</t>
        </is>
      </c>
      <c r="E4811" t="inlineStr">
        <is>
          <t>STORUMAN</t>
        </is>
      </c>
      <c r="F4811" t="inlineStr">
        <is>
          <t>Allmännings- och besparingsskogar</t>
        </is>
      </c>
      <c r="G4811" t="n">
        <v>36.5</v>
      </c>
      <c r="H4811" t="n">
        <v>0</v>
      </c>
      <c r="I4811" t="n">
        <v>0</v>
      </c>
      <c r="J4811" t="n">
        <v>0</v>
      </c>
      <c r="K4811" t="n">
        <v>0</v>
      </c>
      <c r="L4811" t="n">
        <v>0</v>
      </c>
      <c r="M4811" t="n">
        <v>0</v>
      </c>
      <c r="N4811" t="n">
        <v>0</v>
      </c>
      <c r="O4811" t="n">
        <v>0</v>
      </c>
      <c r="P4811" t="n">
        <v>0</v>
      </c>
      <c r="Q4811" t="n">
        <v>0</v>
      </c>
      <c r="R4811" s="2" t="inlineStr"/>
    </row>
    <row r="4812" ht="15" customHeight="1">
      <c r="A4812" t="inlineStr">
        <is>
          <t>A 44360-2025</t>
        </is>
      </c>
      <c r="B4812" s="1" t="n">
        <v>45916.45126157408</v>
      </c>
      <c r="C4812" s="1" t="n">
        <v>46145</v>
      </c>
      <c r="D4812" t="inlineStr">
        <is>
          <t>VÄSTERBOTTENS LÄN</t>
        </is>
      </c>
      <c r="E4812" t="inlineStr">
        <is>
          <t>LYCKSELE</t>
        </is>
      </c>
      <c r="F4812" t="inlineStr">
        <is>
          <t>Sveaskog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44408-2025</t>
        </is>
      </c>
      <c r="B4813" s="1" t="n">
        <v>45916.53047453704</v>
      </c>
      <c r="C4813" s="1" t="n">
        <v>46145</v>
      </c>
      <c r="D4813" t="inlineStr">
        <is>
          <t>VÄSTERBOTTENS LÄN</t>
        </is>
      </c>
      <c r="E4813" t="inlineStr">
        <is>
          <t>SKELLEFTEÅ</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11994-2025</t>
        </is>
      </c>
      <c r="B4814" s="1" t="n">
        <v>45728</v>
      </c>
      <c r="C4814" s="1" t="n">
        <v>46145</v>
      </c>
      <c r="D4814" t="inlineStr">
        <is>
          <t>VÄSTERBOTTENS LÄN</t>
        </is>
      </c>
      <c r="E4814" t="inlineStr">
        <is>
          <t>SKELLEFTEÅ</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44416-2025</t>
        </is>
      </c>
      <c r="B4815" s="1" t="n">
        <v>45916.54385416667</v>
      </c>
      <c r="C4815" s="1" t="n">
        <v>46145</v>
      </c>
      <c r="D4815" t="inlineStr">
        <is>
          <t>VÄSTERBOTTENS LÄN</t>
        </is>
      </c>
      <c r="E4815" t="inlineStr">
        <is>
          <t>ÅSELE</t>
        </is>
      </c>
      <c r="F4815" t="inlineStr">
        <is>
          <t>Holmen skog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713-2025</t>
        </is>
      </c>
      <c r="B4816" s="1" t="n">
        <v>45664</v>
      </c>
      <c r="C4816" s="1" t="n">
        <v>46145</v>
      </c>
      <c r="D4816" t="inlineStr">
        <is>
          <t>VÄSTERBOTTENS LÄN</t>
        </is>
      </c>
      <c r="E4816" t="inlineStr">
        <is>
          <t>SKELLEFTEÅ</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44275-2025</t>
        </is>
      </c>
      <c r="B4817" s="1" t="n">
        <v>45916.34018518519</v>
      </c>
      <c r="C4817" s="1" t="n">
        <v>46145</v>
      </c>
      <c r="D4817" t="inlineStr">
        <is>
          <t>VÄSTERBOTTENS LÄN</t>
        </is>
      </c>
      <c r="E4817" t="inlineStr">
        <is>
          <t>VINDELN</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44299-2025</t>
        </is>
      </c>
      <c r="B4818" s="1" t="n">
        <v>45916.36753472222</v>
      </c>
      <c r="C4818" s="1" t="n">
        <v>46145</v>
      </c>
      <c r="D4818" t="inlineStr">
        <is>
          <t>VÄSTERBOTTENS LÄN</t>
        </is>
      </c>
      <c r="E4818" t="inlineStr">
        <is>
          <t>LYCKSELE</t>
        </is>
      </c>
      <c r="F4818" t="inlineStr">
        <is>
          <t>Sveaskog</t>
        </is>
      </c>
      <c r="G4818" t="n">
        <v>18.1</v>
      </c>
      <c r="H4818" t="n">
        <v>0</v>
      </c>
      <c r="I4818" t="n">
        <v>0</v>
      </c>
      <c r="J4818" t="n">
        <v>0</v>
      </c>
      <c r="K4818" t="n">
        <v>0</v>
      </c>
      <c r="L4818" t="n">
        <v>0</v>
      </c>
      <c r="M4818" t="n">
        <v>0</v>
      </c>
      <c r="N4818" t="n">
        <v>0</v>
      </c>
      <c r="O4818" t="n">
        <v>0</v>
      </c>
      <c r="P4818" t="n">
        <v>0</v>
      </c>
      <c r="Q4818" t="n">
        <v>0</v>
      </c>
      <c r="R4818" s="2" t="inlineStr"/>
    </row>
    <row r="4819" ht="15" customHeight="1">
      <c r="A4819" t="inlineStr">
        <is>
          <t>A 44323-2025</t>
        </is>
      </c>
      <c r="B4819" s="1" t="n">
        <v>45916.40681712963</v>
      </c>
      <c r="C4819" s="1" t="n">
        <v>46145</v>
      </c>
      <c r="D4819" t="inlineStr">
        <is>
          <t>VÄSTERBOTTENS LÄN</t>
        </is>
      </c>
      <c r="E4819" t="inlineStr">
        <is>
          <t>DOROTEA</t>
        </is>
      </c>
      <c r="F4819" t="inlineStr">
        <is>
          <t>Övriga Aktiebolag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44336-2025</t>
        </is>
      </c>
      <c r="B4820" s="1" t="n">
        <v>45916.42311342592</v>
      </c>
      <c r="C4820" s="1" t="n">
        <v>46145</v>
      </c>
      <c r="D4820" t="inlineStr">
        <is>
          <t>VÄSTERBOTTENS LÄN</t>
        </is>
      </c>
      <c r="E4820" t="inlineStr">
        <is>
          <t>VINDELN</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44337-2025</t>
        </is>
      </c>
      <c r="B4821" s="1" t="n">
        <v>45916.42528935185</v>
      </c>
      <c r="C4821" s="1" t="n">
        <v>46145</v>
      </c>
      <c r="D4821" t="inlineStr">
        <is>
          <t>VÄSTERBOTTENS LÄN</t>
        </is>
      </c>
      <c r="E4821" t="inlineStr">
        <is>
          <t>LYCKSELE</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44345-2025</t>
        </is>
      </c>
      <c r="B4822" s="1" t="n">
        <v>45916.43665509259</v>
      </c>
      <c r="C4822" s="1" t="n">
        <v>46145</v>
      </c>
      <c r="D4822" t="inlineStr">
        <is>
          <t>VÄSTERBOTTENS LÄN</t>
        </is>
      </c>
      <c r="E4822" t="inlineStr">
        <is>
          <t>LYCKSELE</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44076-2025</t>
        </is>
      </c>
      <c r="B4823" s="1" t="n">
        <v>45915</v>
      </c>
      <c r="C4823" s="1" t="n">
        <v>46145</v>
      </c>
      <c r="D4823" t="inlineStr">
        <is>
          <t>VÄSTERBOTTENS LÄN</t>
        </is>
      </c>
      <c r="E4823" t="inlineStr">
        <is>
          <t>LYCKSELE</t>
        </is>
      </c>
      <c r="G4823" t="n">
        <v>25.1</v>
      </c>
      <c r="H4823" t="n">
        <v>0</v>
      </c>
      <c r="I4823" t="n">
        <v>0</v>
      </c>
      <c r="J4823" t="n">
        <v>0</v>
      </c>
      <c r="K4823" t="n">
        <v>0</v>
      </c>
      <c r="L4823" t="n">
        <v>0</v>
      </c>
      <c r="M4823" t="n">
        <v>0</v>
      </c>
      <c r="N4823" t="n">
        <v>0</v>
      </c>
      <c r="O4823" t="n">
        <v>0</v>
      </c>
      <c r="P4823" t="n">
        <v>0</v>
      </c>
      <c r="Q4823" t="n">
        <v>0</v>
      </c>
      <c r="R4823" s="2" t="inlineStr"/>
    </row>
    <row r="4824" ht="15" customHeight="1">
      <c r="A4824" t="inlineStr">
        <is>
          <t>A 44082-2025</t>
        </is>
      </c>
      <c r="B4824" s="1" t="n">
        <v>45915.55302083334</v>
      </c>
      <c r="C4824" s="1" t="n">
        <v>46145</v>
      </c>
      <c r="D4824" t="inlineStr">
        <is>
          <t>VÄSTERBOTTENS LÄN</t>
        </is>
      </c>
      <c r="E4824" t="inlineStr">
        <is>
          <t>SKELLEFTEÅ</t>
        </is>
      </c>
      <c r="F4824" t="inlineStr">
        <is>
          <t>Sveaskog</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748-2025</t>
        </is>
      </c>
      <c r="B4825" s="1" t="n">
        <v>45665.43998842593</v>
      </c>
      <c r="C4825" s="1" t="n">
        <v>46145</v>
      </c>
      <c r="D4825" t="inlineStr">
        <is>
          <t>VÄSTERBOTTENS LÄN</t>
        </is>
      </c>
      <c r="E4825" t="inlineStr">
        <is>
          <t>VINDELN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42004-2022</t>
        </is>
      </c>
      <c r="B4826" s="1" t="n">
        <v>44827</v>
      </c>
      <c r="C4826" s="1" t="n">
        <v>46145</v>
      </c>
      <c r="D4826" t="inlineStr">
        <is>
          <t>VÄSTERBOTTENS LÄN</t>
        </is>
      </c>
      <c r="E4826" t="inlineStr">
        <is>
          <t>BJURHOLM</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62101-2024</t>
        </is>
      </c>
      <c r="B4827" s="1" t="n">
        <v>45656.51119212963</v>
      </c>
      <c r="C4827" s="1" t="n">
        <v>46145</v>
      </c>
      <c r="D4827" t="inlineStr">
        <is>
          <t>VÄSTERBOTTENS LÄN</t>
        </is>
      </c>
      <c r="E4827" t="inlineStr">
        <is>
          <t>VILHELMINA</t>
        </is>
      </c>
      <c r="F4827" t="inlineStr">
        <is>
          <t>SCA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30021-2024</t>
        </is>
      </c>
      <c r="B4828" s="1" t="n">
        <v>45488</v>
      </c>
      <c r="C4828" s="1" t="n">
        <v>46145</v>
      </c>
      <c r="D4828" t="inlineStr">
        <is>
          <t>VÄSTERBOTTENS LÄN</t>
        </is>
      </c>
      <c r="E4828" t="inlineStr">
        <is>
          <t>UMEÅ</t>
        </is>
      </c>
      <c r="F4828" t="inlineStr">
        <is>
          <t>Holmen skog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62126-2024</t>
        </is>
      </c>
      <c r="B4829" s="1" t="n">
        <v>45646</v>
      </c>
      <c r="C4829" s="1" t="n">
        <v>46145</v>
      </c>
      <c r="D4829" t="inlineStr">
        <is>
          <t>VÄSTERBOTTENS LÄN</t>
        </is>
      </c>
      <c r="E4829" t="inlineStr">
        <is>
          <t>VINDELN</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44494-2025</t>
        </is>
      </c>
      <c r="B4830" s="1" t="n">
        <v>45916.66503472222</v>
      </c>
      <c r="C4830" s="1" t="n">
        <v>46145</v>
      </c>
      <c r="D4830" t="inlineStr">
        <is>
          <t>VÄSTERBOTTENS LÄN</t>
        </is>
      </c>
      <c r="E4830" t="inlineStr">
        <is>
          <t>UMEÅ</t>
        </is>
      </c>
      <c r="F4830" t="inlineStr">
        <is>
          <t>Kommuner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40732-2024</t>
        </is>
      </c>
      <c r="B4831" s="1" t="n">
        <v>45558</v>
      </c>
      <c r="C4831" s="1" t="n">
        <v>46145</v>
      </c>
      <c r="D4831" t="inlineStr">
        <is>
          <t>VÄSTERBOTTENS LÄN</t>
        </is>
      </c>
      <c r="E4831" t="inlineStr">
        <is>
          <t>VILHELMINA</t>
        </is>
      </c>
      <c r="F4831" t="inlineStr">
        <is>
          <t>Allmännings- och besparingsskogar</t>
        </is>
      </c>
      <c r="G4831" t="n">
        <v>90</v>
      </c>
      <c r="H4831" t="n">
        <v>0</v>
      </c>
      <c r="I4831" t="n">
        <v>0</v>
      </c>
      <c r="J4831" t="n">
        <v>0</v>
      </c>
      <c r="K4831" t="n">
        <v>0</v>
      </c>
      <c r="L4831" t="n">
        <v>0</v>
      </c>
      <c r="M4831" t="n">
        <v>0</v>
      </c>
      <c r="N4831" t="n">
        <v>0</v>
      </c>
      <c r="O4831" t="n">
        <v>0</v>
      </c>
      <c r="P4831" t="n">
        <v>0</v>
      </c>
      <c r="Q4831" t="n">
        <v>0</v>
      </c>
      <c r="R4831" s="2" t="inlineStr"/>
    </row>
    <row r="4832" ht="15" customHeight="1">
      <c r="A4832" t="inlineStr">
        <is>
          <t>A 30020-2024</t>
        </is>
      </c>
      <c r="B4832" s="1" t="n">
        <v>45488</v>
      </c>
      <c r="C4832" s="1" t="n">
        <v>46145</v>
      </c>
      <c r="D4832" t="inlineStr">
        <is>
          <t>VÄSTERBOTTENS LÄN</t>
        </is>
      </c>
      <c r="E4832" t="inlineStr">
        <is>
          <t>UMEÅ</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44015-2025</t>
        </is>
      </c>
      <c r="B4833" s="1" t="n">
        <v>45915</v>
      </c>
      <c r="C4833" s="1" t="n">
        <v>46145</v>
      </c>
      <c r="D4833" t="inlineStr">
        <is>
          <t>VÄSTERBOTTENS LÄN</t>
        </is>
      </c>
      <c r="E4833" t="inlineStr">
        <is>
          <t>VILHELMINA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3209-2025</t>
        </is>
      </c>
      <c r="B4834" s="1" t="n">
        <v>45679.45376157408</v>
      </c>
      <c r="C4834" s="1" t="n">
        <v>46145</v>
      </c>
      <c r="D4834" t="inlineStr">
        <is>
          <t>VÄSTERBOTTENS LÄN</t>
        </is>
      </c>
      <c r="E4834" t="inlineStr">
        <is>
          <t>SKELLEFTEÅ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43924-2025</t>
        </is>
      </c>
      <c r="B4835" s="1" t="n">
        <v>45915.30688657407</v>
      </c>
      <c r="C4835" s="1" t="n">
        <v>46145</v>
      </c>
      <c r="D4835" t="inlineStr">
        <is>
          <t>VÄSTERBOTTENS LÄN</t>
        </is>
      </c>
      <c r="E4835" t="inlineStr">
        <is>
          <t>LYCKSELE</t>
        </is>
      </c>
      <c r="F4835" t="inlineStr">
        <is>
          <t>Sveaskog</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43948-2025</t>
        </is>
      </c>
      <c r="B4836" s="1" t="n">
        <v>45915.37621527778</v>
      </c>
      <c r="C4836" s="1" t="n">
        <v>46145</v>
      </c>
      <c r="D4836" t="inlineStr">
        <is>
          <t>VÄSTERBOTTENS LÄN</t>
        </is>
      </c>
      <c r="E4836" t="inlineStr">
        <is>
          <t>SKELLEFTEÅ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44047-2025</t>
        </is>
      </c>
      <c r="B4837" s="1" t="n">
        <v>45915.49825231481</v>
      </c>
      <c r="C4837" s="1" t="n">
        <v>46145</v>
      </c>
      <c r="D4837" t="inlineStr">
        <is>
          <t>VÄSTERBOTTENS LÄN</t>
        </is>
      </c>
      <c r="E4837" t="inlineStr">
        <is>
          <t>VINDELN</t>
        </is>
      </c>
      <c r="F4837" t="inlineStr">
        <is>
          <t>Sveaskog</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44048-2025</t>
        </is>
      </c>
      <c r="B4838" s="1" t="n">
        <v>45915.49835648148</v>
      </c>
      <c r="C4838" s="1" t="n">
        <v>46145</v>
      </c>
      <c r="D4838" t="inlineStr">
        <is>
          <t>VÄSTERBOTTENS LÄN</t>
        </is>
      </c>
      <c r="E4838" t="inlineStr">
        <is>
          <t>VINDELN</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44478-2025</t>
        </is>
      </c>
      <c r="B4839" s="1" t="n">
        <v>45916.64693287037</v>
      </c>
      <c r="C4839" s="1" t="n">
        <v>46145</v>
      </c>
      <c r="D4839" t="inlineStr">
        <is>
          <t>VÄSTERBOTTENS LÄN</t>
        </is>
      </c>
      <c r="E4839" t="inlineStr">
        <is>
          <t>SORSELE</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44435-2025</t>
        </is>
      </c>
      <c r="B4840" s="1" t="n">
        <v>45916.58086805556</v>
      </c>
      <c r="C4840" s="1" t="n">
        <v>46145</v>
      </c>
      <c r="D4840" t="inlineStr">
        <is>
          <t>VÄSTERBOTTENS LÄN</t>
        </is>
      </c>
      <c r="E4840" t="inlineStr">
        <is>
          <t>ÅSELE</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1667-2025</t>
        </is>
      </c>
      <c r="B4841" s="1" t="n">
        <v>45670</v>
      </c>
      <c r="C4841" s="1" t="n">
        <v>46145</v>
      </c>
      <c r="D4841" t="inlineStr">
        <is>
          <t>VÄSTERBOTTENS LÄN</t>
        </is>
      </c>
      <c r="E4841" t="inlineStr">
        <is>
          <t>SKELLEFTEÅ</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44420-2025</t>
        </is>
      </c>
      <c r="B4842" s="1" t="n">
        <v>45916.54780092592</v>
      </c>
      <c r="C4842" s="1" t="n">
        <v>46145</v>
      </c>
      <c r="D4842" t="inlineStr">
        <is>
          <t>VÄSTERBOTTENS LÄN</t>
        </is>
      </c>
      <c r="E4842" t="inlineStr">
        <is>
          <t>UMEÅ</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44099-2025</t>
        </is>
      </c>
      <c r="B4843" s="1" t="n">
        <v>45915.56696759259</v>
      </c>
      <c r="C4843" s="1" t="n">
        <v>46145</v>
      </c>
      <c r="D4843" t="inlineStr">
        <is>
          <t>VÄSTERBOTTENS LÄN</t>
        </is>
      </c>
      <c r="E4843" t="inlineStr">
        <is>
          <t>VINDELN</t>
        </is>
      </c>
      <c r="F4843" t="inlineStr">
        <is>
          <t>Sveaskog</t>
        </is>
      </c>
      <c r="G4843" t="n">
        <v>18.4</v>
      </c>
      <c r="H4843" t="n">
        <v>0</v>
      </c>
      <c r="I4843" t="n">
        <v>0</v>
      </c>
      <c r="J4843" t="n">
        <v>0</v>
      </c>
      <c r="K4843" t="n">
        <v>0</v>
      </c>
      <c r="L4843" t="n">
        <v>0</v>
      </c>
      <c r="M4843" t="n">
        <v>0</v>
      </c>
      <c r="N4843" t="n">
        <v>0</v>
      </c>
      <c r="O4843" t="n">
        <v>0</v>
      </c>
      <c r="P4843" t="n">
        <v>0</v>
      </c>
      <c r="Q4843" t="n">
        <v>0</v>
      </c>
      <c r="R4843" s="2" t="inlineStr"/>
    </row>
    <row r="4844" ht="15" customHeight="1">
      <c r="A4844" t="inlineStr">
        <is>
          <t>A 44112-2025</t>
        </is>
      </c>
      <c r="B4844" s="1" t="n">
        <v>45915.574375</v>
      </c>
      <c r="C4844" s="1" t="n">
        <v>46145</v>
      </c>
      <c r="D4844" t="inlineStr">
        <is>
          <t>VÄSTERBOTTENS LÄN</t>
        </is>
      </c>
      <c r="E4844" t="inlineStr">
        <is>
          <t>BJURHOLM</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44122-2025</t>
        </is>
      </c>
      <c r="B4845" s="1" t="n">
        <v>45915.5796412037</v>
      </c>
      <c r="C4845" s="1" t="n">
        <v>46145</v>
      </c>
      <c r="D4845" t="inlineStr">
        <is>
          <t>VÄSTERBOTTENS LÄN</t>
        </is>
      </c>
      <c r="E4845" t="inlineStr">
        <is>
          <t>VINDELN</t>
        </is>
      </c>
      <c r="F4845" t="inlineStr">
        <is>
          <t>Sveaskog</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44149-2025</t>
        </is>
      </c>
      <c r="B4846" s="1" t="n">
        <v>45915</v>
      </c>
      <c r="C4846" s="1" t="n">
        <v>46145</v>
      </c>
      <c r="D4846" t="inlineStr">
        <is>
          <t>VÄSTERBOTTENS LÄN</t>
        </is>
      </c>
      <c r="E4846" t="inlineStr">
        <is>
          <t>STORUMAN</t>
        </is>
      </c>
      <c r="F4846" t="inlineStr">
        <is>
          <t>Allmännings- och besparingsskogar</t>
        </is>
      </c>
      <c r="G4846" t="n">
        <v>18.9</v>
      </c>
      <c r="H4846" t="n">
        <v>0</v>
      </c>
      <c r="I4846" t="n">
        <v>0</v>
      </c>
      <c r="J4846" t="n">
        <v>0</v>
      </c>
      <c r="K4846" t="n">
        <v>0</v>
      </c>
      <c r="L4846" t="n">
        <v>0</v>
      </c>
      <c r="M4846" t="n">
        <v>0</v>
      </c>
      <c r="N4846" t="n">
        <v>0</v>
      </c>
      <c r="O4846" t="n">
        <v>0</v>
      </c>
      <c r="P4846" t="n">
        <v>0</v>
      </c>
      <c r="Q4846" t="n">
        <v>0</v>
      </c>
      <c r="R4846" s="2" t="inlineStr"/>
    </row>
    <row r="4847" ht="15" customHeight="1">
      <c r="A4847" t="inlineStr">
        <is>
          <t>A 44157-2025</t>
        </is>
      </c>
      <c r="B4847" s="1" t="n">
        <v>45915.59598379629</v>
      </c>
      <c r="C4847" s="1" t="n">
        <v>46145</v>
      </c>
      <c r="D4847" t="inlineStr">
        <is>
          <t>VÄSTERBOTTENS LÄN</t>
        </is>
      </c>
      <c r="E4847" t="inlineStr">
        <is>
          <t>VINDELN</t>
        </is>
      </c>
      <c r="F4847" t="inlineStr">
        <is>
          <t>Sveaskog</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44176-2025</t>
        </is>
      </c>
      <c r="B4848" s="1" t="n">
        <v>45915.6065162037</v>
      </c>
      <c r="C4848" s="1" t="n">
        <v>46145</v>
      </c>
      <c r="D4848" t="inlineStr">
        <is>
          <t>VÄSTERBOTTENS LÄN</t>
        </is>
      </c>
      <c r="E4848" t="inlineStr">
        <is>
          <t>VINDELN</t>
        </is>
      </c>
      <c r="F4848" t="inlineStr">
        <is>
          <t>Sveaskog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44130-2025</t>
        </is>
      </c>
      <c r="B4849" s="1" t="n">
        <v>45915.58412037037</v>
      </c>
      <c r="C4849" s="1" t="n">
        <v>46145</v>
      </c>
      <c r="D4849" t="inlineStr">
        <is>
          <t>VÄSTERBOTTENS LÄN</t>
        </is>
      </c>
      <c r="E4849" t="inlineStr">
        <is>
          <t>ROBERTSFORS</t>
        </is>
      </c>
      <c r="F4849" t="inlineStr">
        <is>
          <t>Holmen skog AB</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8987-2025</t>
        </is>
      </c>
      <c r="B4850" s="1" t="n">
        <v>45713.53717592593</v>
      </c>
      <c r="C4850" s="1" t="n">
        <v>46145</v>
      </c>
      <c r="D4850" t="inlineStr">
        <is>
          <t>VÄSTERBOTTENS LÄN</t>
        </is>
      </c>
      <c r="E4850" t="inlineStr">
        <is>
          <t>SORSELE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44144-2025</t>
        </is>
      </c>
      <c r="B4851" s="1" t="n">
        <v>45915.58934027778</v>
      </c>
      <c r="C4851" s="1" t="n">
        <v>46145</v>
      </c>
      <c r="D4851" t="inlineStr">
        <is>
          <t>VÄSTERBOTTENS LÄN</t>
        </is>
      </c>
      <c r="E4851" t="inlineStr">
        <is>
          <t>BJURHOLM</t>
        </is>
      </c>
      <c r="F4851" t="inlineStr">
        <is>
          <t>Sveaskog</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44146-2025</t>
        </is>
      </c>
      <c r="B4852" s="1" t="n">
        <v>45915</v>
      </c>
      <c r="C4852" s="1" t="n">
        <v>46145</v>
      </c>
      <c r="D4852" t="inlineStr">
        <is>
          <t>VÄSTERBOTTENS LÄN</t>
        </is>
      </c>
      <c r="E4852" t="inlineStr">
        <is>
          <t>STORUMAN</t>
        </is>
      </c>
      <c r="F4852" t="inlineStr">
        <is>
          <t>Allmännings- och besparingsskogar</t>
        </is>
      </c>
      <c r="G4852" t="n">
        <v>18.5</v>
      </c>
      <c r="H4852" t="n">
        <v>0</v>
      </c>
      <c r="I4852" t="n">
        <v>0</v>
      </c>
      <c r="J4852" t="n">
        <v>0</v>
      </c>
      <c r="K4852" t="n">
        <v>0</v>
      </c>
      <c r="L4852" t="n">
        <v>0</v>
      </c>
      <c r="M4852" t="n">
        <v>0</v>
      </c>
      <c r="N4852" t="n">
        <v>0</v>
      </c>
      <c r="O4852" t="n">
        <v>0</v>
      </c>
      <c r="P4852" t="n">
        <v>0</v>
      </c>
      <c r="Q4852" t="n">
        <v>0</v>
      </c>
      <c r="R4852" s="2" t="inlineStr"/>
    </row>
    <row r="4853" ht="15" customHeight="1">
      <c r="A4853" t="inlineStr">
        <is>
          <t>A 44351-2025</t>
        </is>
      </c>
      <c r="B4853" s="1" t="n">
        <v>45916.44199074074</v>
      </c>
      <c r="C4853" s="1" t="n">
        <v>46145</v>
      </c>
      <c r="D4853" t="inlineStr">
        <is>
          <t>VÄSTERBOTTENS LÄN</t>
        </is>
      </c>
      <c r="E4853" t="inlineStr">
        <is>
          <t>LYCKSELE</t>
        </is>
      </c>
      <c r="F4853" t="inlineStr">
        <is>
          <t>Sveaskog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44401-2025</t>
        </is>
      </c>
      <c r="B4854" s="1" t="n">
        <v>45916.50414351852</v>
      </c>
      <c r="C4854" s="1" t="n">
        <v>46145</v>
      </c>
      <c r="D4854" t="inlineStr">
        <is>
          <t>VÄSTERBOTTENS LÄN</t>
        </is>
      </c>
      <c r="E4854" t="inlineStr">
        <is>
          <t>ÅSELE</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43928-2025</t>
        </is>
      </c>
      <c r="B4855" s="1" t="n">
        <v>45915.32159722222</v>
      </c>
      <c r="C4855" s="1" t="n">
        <v>46145</v>
      </c>
      <c r="D4855" t="inlineStr">
        <is>
          <t>VÄSTERBOTTENS LÄN</t>
        </is>
      </c>
      <c r="E4855" t="inlineStr">
        <is>
          <t>LYCKSELE</t>
        </is>
      </c>
      <c r="F4855" t="inlineStr">
        <is>
          <t>Sveaskog</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43929-2025</t>
        </is>
      </c>
      <c r="B4856" s="1" t="n">
        <v>45915.32696759259</v>
      </c>
      <c r="C4856" s="1" t="n">
        <v>46145</v>
      </c>
      <c r="D4856" t="inlineStr">
        <is>
          <t>VÄSTERBOTTENS LÄN</t>
        </is>
      </c>
      <c r="E4856" t="inlineStr">
        <is>
          <t>LYCKSELE</t>
        </is>
      </c>
      <c r="F4856" t="inlineStr">
        <is>
          <t>Sveaskog</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237-2025</t>
        </is>
      </c>
      <c r="B4857" s="1" t="n">
        <v>45660.40270833333</v>
      </c>
      <c r="C4857" s="1" t="n">
        <v>46145</v>
      </c>
      <c r="D4857" t="inlineStr">
        <is>
          <t>VÄSTERBOTTENS LÄN</t>
        </is>
      </c>
      <c r="E4857" t="inlineStr">
        <is>
          <t>VILHELMINA</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242-2025</t>
        </is>
      </c>
      <c r="B4858" s="1" t="n">
        <v>45660.41033564815</v>
      </c>
      <c r="C4858" s="1" t="n">
        <v>46145</v>
      </c>
      <c r="D4858" t="inlineStr">
        <is>
          <t>VÄSTERBOTTENS LÄN</t>
        </is>
      </c>
      <c r="E4858" t="inlineStr">
        <is>
          <t>VILHELMINA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296-2025</t>
        </is>
      </c>
      <c r="B4859" s="1" t="n">
        <v>45660.53215277778</v>
      </c>
      <c r="C4859" s="1" t="n">
        <v>46145</v>
      </c>
      <c r="D4859" t="inlineStr">
        <is>
          <t>VÄSTERBOTTENS LÄN</t>
        </is>
      </c>
      <c r="E4859" t="inlineStr">
        <is>
          <t>VILHELMINA</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44005-2025</t>
        </is>
      </c>
      <c r="B4860" s="1" t="n">
        <v>45915.45715277778</v>
      </c>
      <c r="C4860" s="1" t="n">
        <v>46145</v>
      </c>
      <c r="D4860" t="inlineStr">
        <is>
          <t>VÄSTERBOTTENS LÄN</t>
        </is>
      </c>
      <c r="E4860" t="inlineStr">
        <is>
          <t>ÅSELE</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44009-2025</t>
        </is>
      </c>
      <c r="B4861" s="1" t="n">
        <v>45915.46326388889</v>
      </c>
      <c r="C4861" s="1" t="n">
        <v>46145</v>
      </c>
      <c r="D4861" t="inlineStr">
        <is>
          <t>VÄSTERBOTTENS LÄN</t>
        </is>
      </c>
      <c r="E4861" t="inlineStr">
        <is>
          <t>SKELLEFTEÅ</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41409-2022</t>
        </is>
      </c>
      <c r="B4862" s="1" t="n">
        <v>44826.63581018519</v>
      </c>
      <c r="C4862" s="1" t="n">
        <v>46145</v>
      </c>
      <c r="D4862" t="inlineStr">
        <is>
          <t>VÄSTERBOTTENS LÄN</t>
        </is>
      </c>
      <c r="E4862" t="inlineStr">
        <is>
          <t>SKELLEFTEÅ</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41419-2022</t>
        </is>
      </c>
      <c r="B4863" s="1" t="n">
        <v>44826</v>
      </c>
      <c r="C4863" s="1" t="n">
        <v>46145</v>
      </c>
      <c r="D4863" t="inlineStr">
        <is>
          <t>VÄSTERBOTTENS LÄN</t>
        </is>
      </c>
      <c r="E4863" t="inlineStr">
        <is>
          <t>LYCKSELE</t>
        </is>
      </c>
      <c r="F4863" t="inlineStr">
        <is>
          <t>Naturvårdsverket</t>
        </is>
      </c>
      <c r="G4863" t="n">
        <v>32.1</v>
      </c>
      <c r="H4863" t="n">
        <v>0</v>
      </c>
      <c r="I4863" t="n">
        <v>0</v>
      </c>
      <c r="J4863" t="n">
        <v>0</v>
      </c>
      <c r="K4863" t="n">
        <v>0</v>
      </c>
      <c r="L4863" t="n">
        <v>0</v>
      </c>
      <c r="M4863" t="n">
        <v>0</v>
      </c>
      <c r="N4863" t="n">
        <v>0</v>
      </c>
      <c r="O4863" t="n">
        <v>0</v>
      </c>
      <c r="P4863" t="n">
        <v>0</v>
      </c>
      <c r="Q4863" t="n">
        <v>0</v>
      </c>
      <c r="R4863" s="2" t="inlineStr"/>
    </row>
    <row r="4864" ht="15" customHeight="1">
      <c r="A4864" t="inlineStr">
        <is>
          <t>A 44064-2025</t>
        </is>
      </c>
      <c r="B4864" s="1" t="n">
        <v>45915.54059027778</v>
      </c>
      <c r="C4864" s="1" t="n">
        <v>46145</v>
      </c>
      <c r="D4864" t="inlineStr">
        <is>
          <t>VÄSTERBOTTENS LÄN</t>
        </is>
      </c>
      <c r="E4864" t="inlineStr">
        <is>
          <t>UMEÅ</t>
        </is>
      </c>
      <c r="F4864" t="inlineStr">
        <is>
          <t>Holmen skog AB</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44092-2025</t>
        </is>
      </c>
      <c r="B4865" s="1" t="n">
        <v>45915</v>
      </c>
      <c r="C4865" s="1" t="n">
        <v>46145</v>
      </c>
      <c r="D4865" t="inlineStr">
        <is>
          <t>VÄSTERBOTTENS LÄN</t>
        </is>
      </c>
      <c r="E4865" t="inlineStr">
        <is>
          <t>LYCKSELE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44113-2025</t>
        </is>
      </c>
      <c r="B4866" s="1" t="n">
        <v>45915.57501157407</v>
      </c>
      <c r="C4866" s="1" t="n">
        <v>46145</v>
      </c>
      <c r="D4866" t="inlineStr">
        <is>
          <t>VÄSTERBOTTENS LÄN</t>
        </is>
      </c>
      <c r="E4866" t="inlineStr">
        <is>
          <t>SKELLEFTEÅ</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44072-2025</t>
        </is>
      </c>
      <c r="B4867" s="1" t="n">
        <v>45915.54738425926</v>
      </c>
      <c r="C4867" s="1" t="n">
        <v>46145</v>
      </c>
      <c r="D4867" t="inlineStr">
        <is>
          <t>VÄSTERBOTTENS LÄN</t>
        </is>
      </c>
      <c r="E4867" t="inlineStr">
        <is>
          <t>VINDELN</t>
        </is>
      </c>
      <c r="F4867" t="inlineStr">
        <is>
          <t>Sveaskog</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44109-2025</t>
        </is>
      </c>
      <c r="B4868" s="1" t="n">
        <v>45915.57237268519</v>
      </c>
      <c r="C4868" s="1" t="n">
        <v>46145</v>
      </c>
      <c r="D4868" t="inlineStr">
        <is>
          <t>VÄSTERBOTTENS LÄN</t>
        </is>
      </c>
      <c r="E4868" t="inlineStr">
        <is>
          <t>VINDELN</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44115-2025</t>
        </is>
      </c>
      <c r="B4869" s="1" t="n">
        <v>45915.57604166667</v>
      </c>
      <c r="C4869" s="1" t="n">
        <v>46145</v>
      </c>
      <c r="D4869" t="inlineStr">
        <is>
          <t>VÄSTERBOTTENS LÄN</t>
        </is>
      </c>
      <c r="E4869" t="inlineStr">
        <is>
          <t>VINDELN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20133-2023</t>
        </is>
      </c>
      <c r="B4870" s="1" t="n">
        <v>45051</v>
      </c>
      <c r="C4870" s="1" t="n">
        <v>46145</v>
      </c>
      <c r="D4870" t="inlineStr">
        <is>
          <t>VÄSTERBOTTENS LÄN</t>
        </is>
      </c>
      <c r="E4870" t="inlineStr">
        <is>
          <t>NORDMALING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59031-2024</t>
        </is>
      </c>
      <c r="B4871" s="1" t="n">
        <v>45636</v>
      </c>
      <c r="C4871" s="1" t="n">
        <v>46145</v>
      </c>
      <c r="D4871" t="inlineStr">
        <is>
          <t>VÄSTERBOTTENS LÄN</t>
        </is>
      </c>
      <c r="E4871" t="inlineStr">
        <is>
          <t>VILHELMINA</t>
        </is>
      </c>
      <c r="G4871" t="n">
        <v>40</v>
      </c>
      <c r="H4871" t="n">
        <v>0</v>
      </c>
      <c r="I4871" t="n">
        <v>0</v>
      </c>
      <c r="J4871" t="n">
        <v>0</v>
      </c>
      <c r="K4871" t="n">
        <v>0</v>
      </c>
      <c r="L4871" t="n">
        <v>0</v>
      </c>
      <c r="M4871" t="n">
        <v>0</v>
      </c>
      <c r="N4871" t="n">
        <v>0</v>
      </c>
      <c r="O4871" t="n">
        <v>0</v>
      </c>
      <c r="P4871" t="n">
        <v>0</v>
      </c>
      <c r="Q4871" t="n">
        <v>0</v>
      </c>
      <c r="R4871" s="2" t="inlineStr"/>
    </row>
    <row r="4872" ht="15" customHeight="1">
      <c r="A4872" t="inlineStr">
        <is>
          <t>A 44050-2025</t>
        </is>
      </c>
      <c r="B4872" s="1" t="n">
        <v>45915.50104166667</v>
      </c>
      <c r="C4872" s="1" t="n">
        <v>46145</v>
      </c>
      <c r="D4872" t="inlineStr">
        <is>
          <t>VÄSTERBOTTENS LÄN</t>
        </is>
      </c>
      <c r="E4872" t="inlineStr">
        <is>
          <t>VINDELN</t>
        </is>
      </c>
      <c r="F4872" t="inlineStr">
        <is>
          <t>Sveaskog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44957-2022</t>
        </is>
      </c>
      <c r="B4873" s="1" t="n">
        <v>44840</v>
      </c>
      <c r="C4873" s="1" t="n">
        <v>46145</v>
      </c>
      <c r="D4873" t="inlineStr">
        <is>
          <t>VÄSTERBOTTENS LÄN</t>
        </is>
      </c>
      <c r="E4873" t="inlineStr">
        <is>
          <t>UMEÅ</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9841-2025</t>
        </is>
      </c>
      <c r="B4874" s="1" t="n">
        <v>45716.60512731481</v>
      </c>
      <c r="C4874" s="1" t="n">
        <v>46145</v>
      </c>
      <c r="D4874" t="inlineStr">
        <is>
          <t>VÄSTERBOTTENS LÄN</t>
        </is>
      </c>
      <c r="E4874" t="inlineStr">
        <is>
          <t>SKELLEFTEÅ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44357-2025</t>
        </is>
      </c>
      <c r="B4875" s="1" t="n">
        <v>45916.44855324074</v>
      </c>
      <c r="C4875" s="1" t="n">
        <v>46145</v>
      </c>
      <c r="D4875" t="inlineStr">
        <is>
          <t>VÄSTERBOTTENS LÄN</t>
        </is>
      </c>
      <c r="E4875" t="inlineStr">
        <is>
          <t>DOROTEA</t>
        </is>
      </c>
      <c r="F4875" t="inlineStr">
        <is>
          <t>SCA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44063-2025</t>
        </is>
      </c>
      <c r="B4876" s="1" t="n">
        <v>45915.53975694445</v>
      </c>
      <c r="C4876" s="1" t="n">
        <v>46145</v>
      </c>
      <c r="D4876" t="inlineStr">
        <is>
          <t>VÄSTERBOTTENS LÄN</t>
        </is>
      </c>
      <c r="E4876" t="inlineStr">
        <is>
          <t>SKELLEFTEÅ</t>
        </is>
      </c>
      <c r="F4876" t="inlineStr">
        <is>
          <t>Sveaskog</t>
        </is>
      </c>
      <c r="G4876" t="n">
        <v>16.1</v>
      </c>
      <c r="H4876" t="n">
        <v>0</v>
      </c>
      <c r="I4876" t="n">
        <v>0</v>
      </c>
      <c r="J4876" t="n">
        <v>0</v>
      </c>
      <c r="K4876" t="n">
        <v>0</v>
      </c>
      <c r="L4876" t="n">
        <v>0</v>
      </c>
      <c r="M4876" t="n">
        <v>0</v>
      </c>
      <c r="N4876" t="n">
        <v>0</v>
      </c>
      <c r="O4876" t="n">
        <v>0</v>
      </c>
      <c r="P4876" t="n">
        <v>0</v>
      </c>
      <c r="Q4876" t="n">
        <v>0</v>
      </c>
      <c r="R4876" s="2" t="inlineStr"/>
    </row>
    <row r="4877" ht="15" customHeight="1">
      <c r="A4877" t="inlineStr">
        <is>
          <t>A 44102-2025</t>
        </is>
      </c>
      <c r="B4877" s="1" t="n">
        <v>45915</v>
      </c>
      <c r="C4877" s="1" t="n">
        <v>46145</v>
      </c>
      <c r="D4877" t="inlineStr">
        <is>
          <t>VÄSTERBOTTENS LÄN</t>
        </is>
      </c>
      <c r="E4877" t="inlineStr">
        <is>
          <t>STORUMAN</t>
        </is>
      </c>
      <c r="F4877" t="inlineStr">
        <is>
          <t>Allmännings- och besparingsskogar</t>
        </is>
      </c>
      <c r="G4877" t="n">
        <v>29.7</v>
      </c>
      <c r="H4877" t="n">
        <v>0</v>
      </c>
      <c r="I4877" t="n">
        <v>0</v>
      </c>
      <c r="J4877" t="n">
        <v>0</v>
      </c>
      <c r="K4877" t="n">
        <v>0</v>
      </c>
      <c r="L4877" t="n">
        <v>0</v>
      </c>
      <c r="M4877" t="n">
        <v>0</v>
      </c>
      <c r="N4877" t="n">
        <v>0</v>
      </c>
      <c r="O4877" t="n">
        <v>0</v>
      </c>
      <c r="P4877" t="n">
        <v>0</v>
      </c>
      <c r="Q4877" t="n">
        <v>0</v>
      </c>
      <c r="R4877" s="2" t="inlineStr"/>
    </row>
    <row r="4878" ht="15" customHeight="1">
      <c r="A4878" t="inlineStr">
        <is>
          <t>A 9947-2025</t>
        </is>
      </c>
      <c r="B4878" s="1" t="n">
        <v>45719.31428240741</v>
      </c>
      <c r="C4878" s="1" t="n">
        <v>46145</v>
      </c>
      <c r="D4878" t="inlineStr">
        <is>
          <t>VÄSTERBOTTENS LÄN</t>
        </is>
      </c>
      <c r="E4878" t="inlineStr">
        <is>
          <t>MALÅ</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29714-2024</t>
        </is>
      </c>
      <c r="B4879" s="1" t="n">
        <v>45485.35091435185</v>
      </c>
      <c r="C4879" s="1" t="n">
        <v>46145</v>
      </c>
      <c r="D4879" t="inlineStr">
        <is>
          <t>VÄSTERBOTTENS LÄN</t>
        </is>
      </c>
      <c r="E4879" t="inlineStr">
        <is>
          <t>NORSJÖ</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44140-2025</t>
        </is>
      </c>
      <c r="B4880" s="1" t="n">
        <v>45915</v>
      </c>
      <c r="C4880" s="1" t="n">
        <v>46145</v>
      </c>
      <c r="D4880" t="inlineStr">
        <is>
          <t>VÄSTERBOTTENS LÄN</t>
        </is>
      </c>
      <c r="E4880" t="inlineStr">
        <is>
          <t>STORUMAN</t>
        </is>
      </c>
      <c r="F4880" t="inlineStr">
        <is>
          <t>Allmännings- och besparingsskogar</t>
        </is>
      </c>
      <c r="G4880" t="n">
        <v>16.2</v>
      </c>
      <c r="H4880" t="n">
        <v>0</v>
      </c>
      <c r="I4880" t="n">
        <v>0</v>
      </c>
      <c r="J4880" t="n">
        <v>0</v>
      </c>
      <c r="K4880" t="n">
        <v>0</v>
      </c>
      <c r="L4880" t="n">
        <v>0</v>
      </c>
      <c r="M4880" t="n">
        <v>0</v>
      </c>
      <c r="N4880" t="n">
        <v>0</v>
      </c>
      <c r="O4880" t="n">
        <v>0</v>
      </c>
      <c r="P4880" t="n">
        <v>0</v>
      </c>
      <c r="Q4880" t="n">
        <v>0</v>
      </c>
      <c r="R4880" s="2" t="inlineStr"/>
    </row>
    <row r="4881" ht="15" customHeight="1">
      <c r="A4881" t="inlineStr">
        <is>
          <t>A 44147-2025</t>
        </is>
      </c>
      <c r="B4881" s="1" t="n">
        <v>45915.59162037037</v>
      </c>
      <c r="C4881" s="1" t="n">
        <v>46145</v>
      </c>
      <c r="D4881" t="inlineStr">
        <is>
          <t>VÄSTERBOTTENS LÄN</t>
        </is>
      </c>
      <c r="E4881" t="inlineStr">
        <is>
          <t>VINDELN</t>
        </is>
      </c>
      <c r="F4881" t="inlineStr">
        <is>
          <t>Sveaskog</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44194-2025</t>
        </is>
      </c>
      <c r="B4882" s="1" t="n">
        <v>45915.61606481481</v>
      </c>
      <c r="C4882" s="1" t="n">
        <v>46145</v>
      </c>
      <c r="D4882" t="inlineStr">
        <is>
          <t>VÄSTERBOTTENS LÄN</t>
        </is>
      </c>
      <c r="E4882" t="inlineStr">
        <is>
          <t>DOROTEA</t>
        </is>
      </c>
      <c r="F4882" t="inlineStr">
        <is>
          <t>SCA</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44267-2025</t>
        </is>
      </c>
      <c r="B4883" s="1" t="n">
        <v>45916.3115625</v>
      </c>
      <c r="C4883" s="1" t="n">
        <v>46145</v>
      </c>
      <c r="D4883" t="inlineStr">
        <is>
          <t>VÄSTERBOTTENS LÄN</t>
        </is>
      </c>
      <c r="E4883" t="inlineStr">
        <is>
          <t>VINDELN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28889-2021</t>
        </is>
      </c>
      <c r="B4884" s="1" t="n">
        <v>44357.9190162037</v>
      </c>
      <c r="C4884" s="1" t="n">
        <v>46145</v>
      </c>
      <c r="D4884" t="inlineStr">
        <is>
          <t>VÄSTERBOTTENS LÄN</t>
        </is>
      </c>
      <c r="E4884" t="inlineStr">
        <is>
          <t>NORSJÖ</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44182-2025</t>
        </is>
      </c>
      <c r="B4885" s="1" t="n">
        <v>45915.60943287037</v>
      </c>
      <c r="C4885" s="1" t="n">
        <v>46145</v>
      </c>
      <c r="D4885" t="inlineStr">
        <is>
          <t>VÄSTERBOTTENS LÄN</t>
        </is>
      </c>
      <c r="E4885" t="inlineStr">
        <is>
          <t>SKELLEFTEÅ</t>
        </is>
      </c>
      <c r="F4885" t="inlineStr">
        <is>
          <t>Sveaskog</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44190-2025</t>
        </is>
      </c>
      <c r="B4886" s="1" t="n">
        <v>45915.61515046296</v>
      </c>
      <c r="C4886" s="1" t="n">
        <v>46145</v>
      </c>
      <c r="D4886" t="inlineStr">
        <is>
          <t>VÄSTERBOTTENS LÄN</t>
        </is>
      </c>
      <c r="E4886" t="inlineStr">
        <is>
          <t>DOROTEA</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44395-2025</t>
        </is>
      </c>
      <c r="B4887" s="1" t="n">
        <v>45916.49549768519</v>
      </c>
      <c r="C4887" s="1" t="n">
        <v>46145</v>
      </c>
      <c r="D4887" t="inlineStr">
        <is>
          <t>VÄSTERBOTTENS LÄN</t>
        </is>
      </c>
      <c r="E4887" t="inlineStr">
        <is>
          <t>DOROTEA</t>
        </is>
      </c>
      <c r="F4887" t="inlineStr">
        <is>
          <t>Övriga statliga verk och myndigheter</t>
        </is>
      </c>
      <c r="G4887" t="n">
        <v>15.2</v>
      </c>
      <c r="H4887" t="n">
        <v>0</v>
      </c>
      <c r="I4887" t="n">
        <v>0</v>
      </c>
      <c r="J4887" t="n">
        <v>0</v>
      </c>
      <c r="K4887" t="n">
        <v>0</v>
      </c>
      <c r="L4887" t="n">
        <v>0</v>
      </c>
      <c r="M4887" t="n">
        <v>0</v>
      </c>
      <c r="N4887" t="n">
        <v>0</v>
      </c>
      <c r="O4887" t="n">
        <v>0</v>
      </c>
      <c r="P4887" t="n">
        <v>0</v>
      </c>
      <c r="Q4887" t="n">
        <v>0</v>
      </c>
      <c r="R4887" s="2" t="inlineStr"/>
    </row>
    <row r="4888" ht="15" customHeight="1">
      <c r="A4888" t="inlineStr">
        <is>
          <t>A 29649-2021</t>
        </is>
      </c>
      <c r="B4888" s="1" t="n">
        <v>44362</v>
      </c>
      <c r="C4888" s="1" t="n">
        <v>46145</v>
      </c>
      <c r="D4888" t="inlineStr">
        <is>
          <t>VÄSTERBOTTENS LÄN</t>
        </is>
      </c>
      <c r="E4888" t="inlineStr">
        <is>
          <t>SKELLEFTEÅ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44017-2025</t>
        </is>
      </c>
      <c r="B4889" s="1" t="n">
        <v>45915</v>
      </c>
      <c r="C4889" s="1" t="n">
        <v>46145</v>
      </c>
      <c r="D4889" t="inlineStr">
        <is>
          <t>VÄSTERBOTTENS LÄN</t>
        </is>
      </c>
      <c r="E4889" t="inlineStr">
        <is>
          <t>VILHELMINA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44166-2025</t>
        </is>
      </c>
      <c r="B4890" s="1" t="n">
        <v>45915</v>
      </c>
      <c r="C4890" s="1" t="n">
        <v>46145</v>
      </c>
      <c r="D4890" t="inlineStr">
        <is>
          <t>VÄSTERBOTTENS LÄN</t>
        </is>
      </c>
      <c r="E4890" t="inlineStr">
        <is>
          <t>STORUMAN</t>
        </is>
      </c>
      <c r="F4890" t="inlineStr">
        <is>
          <t>Allmännings- och besparingsskogar</t>
        </is>
      </c>
      <c r="G4890" t="n">
        <v>36.3</v>
      </c>
      <c r="H4890" t="n">
        <v>0</v>
      </c>
      <c r="I4890" t="n">
        <v>0</v>
      </c>
      <c r="J4890" t="n">
        <v>0</v>
      </c>
      <c r="K4890" t="n">
        <v>0</v>
      </c>
      <c r="L4890" t="n">
        <v>0</v>
      </c>
      <c r="M4890" t="n">
        <v>0</v>
      </c>
      <c r="N4890" t="n">
        <v>0</v>
      </c>
      <c r="O4890" t="n">
        <v>0</v>
      </c>
      <c r="P4890" t="n">
        <v>0</v>
      </c>
      <c r="Q4890" t="n">
        <v>0</v>
      </c>
      <c r="R4890" s="2" t="inlineStr"/>
    </row>
    <row r="4891" ht="15" customHeight="1">
      <c r="A4891" t="inlineStr">
        <is>
          <t>A 44168-2025</t>
        </is>
      </c>
      <c r="B4891" s="1" t="n">
        <v>45915.59853009259</v>
      </c>
      <c r="C4891" s="1" t="n">
        <v>46145</v>
      </c>
      <c r="D4891" t="inlineStr">
        <is>
          <t>VÄSTERBOTTENS LÄN</t>
        </is>
      </c>
      <c r="E4891" t="inlineStr">
        <is>
          <t>UMEÅ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44339-2025</t>
        </is>
      </c>
      <c r="B4892" s="1" t="n">
        <v>45916.42990740741</v>
      </c>
      <c r="C4892" s="1" t="n">
        <v>46145</v>
      </c>
      <c r="D4892" t="inlineStr">
        <is>
          <t>VÄSTERBOTTENS LÄN</t>
        </is>
      </c>
      <c r="E4892" t="inlineStr">
        <is>
          <t>VINDELN</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44342-2025</t>
        </is>
      </c>
      <c r="B4893" s="1" t="n">
        <v>45916.43309027778</v>
      </c>
      <c r="C4893" s="1" t="n">
        <v>46145</v>
      </c>
      <c r="D4893" t="inlineStr">
        <is>
          <t>VÄSTERBOTTENS LÄN</t>
        </is>
      </c>
      <c r="E4893" t="inlineStr">
        <is>
          <t>LYCKSELE</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44346-2025</t>
        </is>
      </c>
      <c r="B4894" s="1" t="n">
        <v>45916.43722222222</v>
      </c>
      <c r="C4894" s="1" t="n">
        <v>46145</v>
      </c>
      <c r="D4894" t="inlineStr">
        <is>
          <t>VÄSTERBOTTENS LÄN</t>
        </is>
      </c>
      <c r="E4894" t="inlineStr">
        <is>
          <t>LYCKSELE</t>
        </is>
      </c>
      <c r="F4894" t="inlineStr">
        <is>
          <t>Sveaskog</t>
        </is>
      </c>
      <c r="G4894" t="n">
        <v>18.4</v>
      </c>
      <c r="H4894" t="n">
        <v>0</v>
      </c>
      <c r="I4894" t="n">
        <v>0</v>
      </c>
      <c r="J4894" t="n">
        <v>0</v>
      </c>
      <c r="K4894" t="n">
        <v>0</v>
      </c>
      <c r="L4894" t="n">
        <v>0</v>
      </c>
      <c r="M4894" t="n">
        <v>0</v>
      </c>
      <c r="N4894" t="n">
        <v>0</v>
      </c>
      <c r="O4894" t="n">
        <v>0</v>
      </c>
      <c r="P4894" t="n">
        <v>0</v>
      </c>
      <c r="Q4894" t="n">
        <v>0</v>
      </c>
      <c r="R4894" s="2" t="inlineStr"/>
    </row>
    <row r="4895" ht="15" customHeight="1">
      <c r="A4895" t="inlineStr">
        <is>
          <t>A 44081-2025</t>
        </is>
      </c>
      <c r="B4895" s="1" t="n">
        <v>45915.55290509259</v>
      </c>
      <c r="C4895" s="1" t="n">
        <v>46145</v>
      </c>
      <c r="D4895" t="inlineStr">
        <is>
          <t>VÄSTERBOTTENS LÄN</t>
        </is>
      </c>
      <c r="E4895" t="inlineStr">
        <is>
          <t>UMEÅ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41703-2023</t>
        </is>
      </c>
      <c r="B4896" s="1" t="n">
        <v>45176</v>
      </c>
      <c r="C4896" s="1" t="n">
        <v>46145</v>
      </c>
      <c r="D4896" t="inlineStr">
        <is>
          <t>VÄSTERBOTTENS LÄN</t>
        </is>
      </c>
      <c r="E4896" t="inlineStr">
        <is>
          <t>LYCKSELE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44098-2025</t>
        </is>
      </c>
      <c r="B4897" s="1" t="n">
        <v>45915</v>
      </c>
      <c r="C4897" s="1" t="n">
        <v>46145</v>
      </c>
      <c r="D4897" t="inlineStr">
        <is>
          <t>VÄSTERBOTTENS LÄN</t>
        </is>
      </c>
      <c r="E4897" t="inlineStr">
        <is>
          <t>LYCKSELE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44487-2025</t>
        </is>
      </c>
      <c r="B4898" s="1" t="n">
        <v>45916.65663194445</v>
      </c>
      <c r="C4898" s="1" t="n">
        <v>46145</v>
      </c>
      <c r="D4898" t="inlineStr">
        <is>
          <t>VÄSTERBOTTENS LÄN</t>
        </is>
      </c>
      <c r="E4898" t="inlineStr">
        <is>
          <t>BJURHOLM</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44488-2025</t>
        </is>
      </c>
      <c r="B4899" s="1" t="n">
        <v>45916.65673611111</v>
      </c>
      <c r="C4899" s="1" t="n">
        <v>46145</v>
      </c>
      <c r="D4899" t="inlineStr">
        <is>
          <t>VÄSTERBOTTENS LÄN</t>
        </is>
      </c>
      <c r="E4899" t="inlineStr">
        <is>
          <t>ÅSELE</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41767-2023</t>
        </is>
      </c>
      <c r="B4900" s="1" t="n">
        <v>45176</v>
      </c>
      <c r="C4900" s="1" t="n">
        <v>46145</v>
      </c>
      <c r="D4900" t="inlineStr">
        <is>
          <t>VÄSTERBOTTENS LÄN</t>
        </is>
      </c>
      <c r="E4900" t="inlineStr">
        <is>
          <t>ROBERTSFORS</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44106-2025</t>
        </is>
      </c>
      <c r="B4901" s="1" t="n">
        <v>45915.57119212963</v>
      </c>
      <c r="C4901" s="1" t="n">
        <v>46145</v>
      </c>
      <c r="D4901" t="inlineStr">
        <is>
          <t>VÄSTERBOTTENS LÄN</t>
        </is>
      </c>
      <c r="E4901" t="inlineStr">
        <is>
          <t>SKELLEFTEÅ</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468-2024</t>
        </is>
      </c>
      <c r="B4902" s="1" t="n">
        <v>45297</v>
      </c>
      <c r="C4902" s="1" t="n">
        <v>46145</v>
      </c>
      <c r="D4902" t="inlineStr">
        <is>
          <t>VÄSTERBOTTENS LÄN</t>
        </is>
      </c>
      <c r="E4902" t="inlineStr">
        <is>
          <t>VILHELMINA</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44134-2025</t>
        </is>
      </c>
      <c r="B4903" s="1" t="n">
        <v>45915</v>
      </c>
      <c r="C4903" s="1" t="n">
        <v>46145</v>
      </c>
      <c r="D4903" t="inlineStr">
        <is>
          <t>VÄSTERBOTTENS LÄN</t>
        </is>
      </c>
      <c r="E4903" t="inlineStr">
        <is>
          <t>STORUMAN</t>
        </is>
      </c>
      <c r="F4903" t="inlineStr">
        <is>
          <t>Allmännings- och besparingsskogar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44353-2025</t>
        </is>
      </c>
      <c r="B4904" s="1" t="n">
        <v>45916.44612268519</v>
      </c>
      <c r="C4904" s="1" t="n">
        <v>46145</v>
      </c>
      <c r="D4904" t="inlineStr">
        <is>
          <t>VÄSTERBOTTENS LÄN</t>
        </is>
      </c>
      <c r="E4904" t="inlineStr">
        <is>
          <t>SKELLEFTEÅ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44087-2025</t>
        </is>
      </c>
      <c r="B4905" s="1" t="n">
        <v>45915</v>
      </c>
      <c r="C4905" s="1" t="n">
        <v>46145</v>
      </c>
      <c r="D4905" t="inlineStr">
        <is>
          <t>VÄSTERBOTTENS LÄN</t>
        </is>
      </c>
      <c r="E4905" t="inlineStr">
        <is>
          <t>LYCKSELE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43960-2025</t>
        </is>
      </c>
      <c r="B4906" s="1" t="n">
        <v>45915.39046296296</v>
      </c>
      <c r="C4906" s="1" t="n">
        <v>46145</v>
      </c>
      <c r="D4906" t="inlineStr">
        <is>
          <t>VÄSTERBOTTENS LÄN</t>
        </is>
      </c>
      <c r="E4906" t="inlineStr">
        <is>
          <t>ÅSELE</t>
        </is>
      </c>
      <c r="F4906" t="inlineStr">
        <is>
          <t>Kyrkan</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44070-2025</t>
        </is>
      </c>
      <c r="B4907" s="1" t="n">
        <v>45915.54528935185</v>
      </c>
      <c r="C4907" s="1" t="n">
        <v>46145</v>
      </c>
      <c r="D4907" t="inlineStr">
        <is>
          <t>VÄSTERBOTTENS LÄN</t>
        </is>
      </c>
      <c r="E4907" t="inlineStr">
        <is>
          <t>SKELLEFTEÅ</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44726-2025</t>
        </is>
      </c>
      <c r="B4908" s="1" t="n">
        <v>45917.64392361111</v>
      </c>
      <c r="C4908" s="1" t="n">
        <v>46145</v>
      </c>
      <c r="D4908" t="inlineStr">
        <is>
          <t>VÄSTERBOTTENS LÄN</t>
        </is>
      </c>
      <c r="E4908" t="inlineStr">
        <is>
          <t>SKELLEFTEÅ</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44730-2025</t>
        </is>
      </c>
      <c r="B4909" s="1" t="n">
        <v>45917.65262731481</v>
      </c>
      <c r="C4909" s="1" t="n">
        <v>46145</v>
      </c>
      <c r="D4909" t="inlineStr">
        <is>
          <t>VÄSTERBOTTENS LÄN</t>
        </is>
      </c>
      <c r="E4909" t="inlineStr">
        <is>
          <t>UMEÅ</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20304-2025</t>
        </is>
      </c>
      <c r="B4910" s="1" t="n">
        <v>45774</v>
      </c>
      <c r="C4910" s="1" t="n">
        <v>46145</v>
      </c>
      <c r="D4910" t="inlineStr">
        <is>
          <t>VÄSTERBOTTENS LÄN</t>
        </is>
      </c>
      <c r="E4910" t="inlineStr">
        <is>
          <t>ÅSELE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44731-2025</t>
        </is>
      </c>
      <c r="B4911" s="1" t="n">
        <v>45917.653125</v>
      </c>
      <c r="C4911" s="1" t="n">
        <v>46145</v>
      </c>
      <c r="D4911" t="inlineStr">
        <is>
          <t>VÄSTERBOTTENS LÄN</t>
        </is>
      </c>
      <c r="E4911" t="inlineStr">
        <is>
          <t>ROBERTSFORS</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44637-2025</t>
        </is>
      </c>
      <c r="B4912" s="1" t="n">
        <v>45917.50743055555</v>
      </c>
      <c r="C4912" s="1" t="n">
        <v>46145</v>
      </c>
      <c r="D4912" t="inlineStr">
        <is>
          <t>VÄSTERBOTTENS LÄN</t>
        </is>
      </c>
      <c r="E4912" t="inlineStr">
        <is>
          <t>SKELLEFTEÅ</t>
        </is>
      </c>
      <c r="F4912" t="inlineStr">
        <is>
          <t>Holmen skog AB</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44639-2025</t>
        </is>
      </c>
      <c r="B4913" s="1" t="n">
        <v>45917.51179398148</v>
      </c>
      <c r="C4913" s="1" t="n">
        <v>46145</v>
      </c>
      <c r="D4913" t="inlineStr">
        <is>
          <t>VÄSTERBOTTENS LÄN</t>
        </is>
      </c>
      <c r="E4913" t="inlineStr">
        <is>
          <t>NORDMALING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44921-2025</t>
        </is>
      </c>
      <c r="B4914" s="1" t="n">
        <v>45918.55270833334</v>
      </c>
      <c r="C4914" s="1" t="n">
        <v>46145</v>
      </c>
      <c r="D4914" t="inlineStr">
        <is>
          <t>VÄSTERBOTTENS LÄN</t>
        </is>
      </c>
      <c r="E4914" t="inlineStr">
        <is>
          <t>SKELLEFTEÅ</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44920-2025</t>
        </is>
      </c>
      <c r="B4915" s="1" t="n">
        <v>45918.55259259259</v>
      </c>
      <c r="C4915" s="1" t="n">
        <v>46145</v>
      </c>
      <c r="D4915" t="inlineStr">
        <is>
          <t>VÄSTERBOTTENS LÄN</t>
        </is>
      </c>
      <c r="E4915" t="inlineStr">
        <is>
          <t>SKELLEFTEÅ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4611-2025</t>
        </is>
      </c>
      <c r="B4916" s="1" t="n">
        <v>45687</v>
      </c>
      <c r="C4916" s="1" t="n">
        <v>46145</v>
      </c>
      <c r="D4916" t="inlineStr">
        <is>
          <t>VÄSTERBOTTENS LÄN</t>
        </is>
      </c>
      <c r="E4916" t="inlineStr">
        <is>
          <t>ROBERTSFORS</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44838-2025</t>
        </is>
      </c>
      <c r="B4917" s="1" t="n">
        <v>45918.42427083333</v>
      </c>
      <c r="C4917" s="1" t="n">
        <v>46145</v>
      </c>
      <c r="D4917" t="inlineStr">
        <is>
          <t>VÄSTERBOTTENS LÄN</t>
        </is>
      </c>
      <c r="E4917" t="inlineStr">
        <is>
          <t>UMEÅ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44908-2025</t>
        </is>
      </c>
      <c r="B4918" s="1" t="n">
        <v>45918.53197916667</v>
      </c>
      <c r="C4918" s="1" t="n">
        <v>46145</v>
      </c>
      <c r="D4918" t="inlineStr">
        <is>
          <t>VÄSTERBOTTENS LÄN</t>
        </is>
      </c>
      <c r="E4918" t="inlineStr">
        <is>
          <t>SKELLEFTEÅ</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4645-2025</t>
        </is>
      </c>
      <c r="B4919" s="1" t="n">
        <v>45687</v>
      </c>
      <c r="C4919" s="1" t="n">
        <v>46145</v>
      </c>
      <c r="D4919" t="inlineStr">
        <is>
          <t>VÄSTERBOTTENS LÄN</t>
        </is>
      </c>
      <c r="E4919" t="inlineStr">
        <is>
          <t>SKELLEFTEÅ</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44596-2025</t>
        </is>
      </c>
      <c r="B4920" s="1" t="n">
        <v>45917.42873842592</v>
      </c>
      <c r="C4920" s="1" t="n">
        <v>46145</v>
      </c>
      <c r="D4920" t="inlineStr">
        <is>
          <t>VÄSTERBOTTENS LÄN</t>
        </is>
      </c>
      <c r="E4920" t="inlineStr">
        <is>
          <t>LYCKSELE</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44626-2025</t>
        </is>
      </c>
      <c r="B4921" s="1" t="n">
        <v>45917</v>
      </c>
      <c r="C4921" s="1" t="n">
        <v>46145</v>
      </c>
      <c r="D4921" t="inlineStr">
        <is>
          <t>VÄSTERBOTTENS LÄN</t>
        </is>
      </c>
      <c r="E4921" t="inlineStr">
        <is>
          <t>VILHELMINA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44636-2025</t>
        </is>
      </c>
      <c r="B4922" s="1" t="n">
        <v>45917.50638888889</v>
      </c>
      <c r="C4922" s="1" t="n">
        <v>46145</v>
      </c>
      <c r="D4922" t="inlineStr">
        <is>
          <t>VÄSTERBOTTENS LÄN</t>
        </is>
      </c>
      <c r="E4922" t="inlineStr">
        <is>
          <t>NORDMALING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44824-2025</t>
        </is>
      </c>
      <c r="B4923" s="1" t="n">
        <v>45918.38581018519</v>
      </c>
      <c r="C4923" s="1" t="n">
        <v>46145</v>
      </c>
      <c r="D4923" t="inlineStr">
        <is>
          <t>VÄSTERBOTTENS LÄN</t>
        </is>
      </c>
      <c r="E4923" t="inlineStr">
        <is>
          <t>VINDELN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44909-2025</t>
        </is>
      </c>
      <c r="B4924" s="1" t="n">
        <v>45918.53211805555</v>
      </c>
      <c r="C4924" s="1" t="n">
        <v>46145</v>
      </c>
      <c r="D4924" t="inlineStr">
        <is>
          <t>VÄSTERBOTTENS LÄN</t>
        </is>
      </c>
      <c r="E4924" t="inlineStr">
        <is>
          <t>SKELLEFTEÅ</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44910-2025</t>
        </is>
      </c>
      <c r="B4925" s="1" t="n">
        <v>45918.5321412037</v>
      </c>
      <c r="C4925" s="1" t="n">
        <v>46145</v>
      </c>
      <c r="D4925" t="inlineStr">
        <is>
          <t>VÄSTERBOTTENS LÄN</t>
        </is>
      </c>
      <c r="E4925" t="inlineStr">
        <is>
          <t>SKELLEFTEÅ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44942-2025</t>
        </is>
      </c>
      <c r="B4926" s="1" t="n">
        <v>45918</v>
      </c>
      <c r="C4926" s="1" t="n">
        <v>46145</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5856-2025</t>
        </is>
      </c>
      <c r="B4927" s="1" t="n">
        <v>45695.34431712963</v>
      </c>
      <c r="C4927" s="1" t="n">
        <v>46145</v>
      </c>
      <c r="D4927" t="inlineStr">
        <is>
          <t>VÄSTERBOTTENS LÄN</t>
        </is>
      </c>
      <c r="E4927" t="inlineStr">
        <is>
          <t>LYCKSELE</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44802-2025</t>
        </is>
      </c>
      <c r="B4928" s="1" t="n">
        <v>45918.35710648148</v>
      </c>
      <c r="C4928" s="1" t="n">
        <v>46145</v>
      </c>
      <c r="D4928" t="inlineStr">
        <is>
          <t>VÄSTERBOTTENS LÄN</t>
        </is>
      </c>
      <c r="E4928" t="inlineStr">
        <is>
          <t>MALÅ</t>
        </is>
      </c>
      <c r="F4928" t="inlineStr">
        <is>
          <t>Sveaskog</t>
        </is>
      </c>
      <c r="G4928" t="n">
        <v>27.5</v>
      </c>
      <c r="H4928" t="n">
        <v>0</v>
      </c>
      <c r="I4928" t="n">
        <v>0</v>
      </c>
      <c r="J4928" t="n">
        <v>0</v>
      </c>
      <c r="K4928" t="n">
        <v>0</v>
      </c>
      <c r="L4928" t="n">
        <v>0</v>
      </c>
      <c r="M4928" t="n">
        <v>0</v>
      </c>
      <c r="N4928" t="n">
        <v>0</v>
      </c>
      <c r="O4928" t="n">
        <v>0</v>
      </c>
      <c r="P4928" t="n">
        <v>0</v>
      </c>
      <c r="Q4928" t="n">
        <v>0</v>
      </c>
      <c r="R4928" s="2" t="inlineStr"/>
    </row>
    <row r="4929" ht="15" customHeight="1">
      <c r="A4929" t="inlineStr">
        <is>
          <t>A 44823-2025</t>
        </is>
      </c>
      <c r="B4929" s="1" t="n">
        <v>45918.38574074074</v>
      </c>
      <c r="C4929" s="1" t="n">
        <v>46145</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45027-2025</t>
        </is>
      </c>
      <c r="B4930" s="1" t="n">
        <v>45918</v>
      </c>
      <c r="C4930" s="1" t="n">
        <v>46145</v>
      </c>
      <c r="D4930" t="inlineStr">
        <is>
          <t>VÄSTERBOTTENS LÄN</t>
        </is>
      </c>
      <c r="E4930" t="inlineStr">
        <is>
          <t>VILHELMINA</t>
        </is>
      </c>
      <c r="G4930" t="n">
        <v>14.3</v>
      </c>
      <c r="H4930" t="n">
        <v>0</v>
      </c>
      <c r="I4930" t="n">
        <v>0</v>
      </c>
      <c r="J4930" t="n">
        <v>0</v>
      </c>
      <c r="K4930" t="n">
        <v>0</v>
      </c>
      <c r="L4930" t="n">
        <v>0</v>
      </c>
      <c r="M4930" t="n">
        <v>0</v>
      </c>
      <c r="N4930" t="n">
        <v>0</v>
      </c>
      <c r="O4930" t="n">
        <v>0</v>
      </c>
      <c r="P4930" t="n">
        <v>0</v>
      </c>
      <c r="Q4930" t="n">
        <v>0</v>
      </c>
      <c r="R4930" s="2" t="inlineStr"/>
    </row>
    <row r="4931" ht="15" customHeight="1">
      <c r="A4931" t="inlineStr">
        <is>
          <t>A 62584-2022</t>
        </is>
      </c>
      <c r="B4931" s="1" t="n">
        <v>44924</v>
      </c>
      <c r="C4931" s="1" t="n">
        <v>46145</v>
      </c>
      <c r="D4931" t="inlineStr">
        <is>
          <t>VÄSTERBOTTENS LÄN</t>
        </is>
      </c>
      <c r="E4931" t="inlineStr">
        <is>
          <t>LYCKSELE</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33965-2024</t>
        </is>
      </c>
      <c r="B4932" s="1" t="n">
        <v>45523.49219907408</v>
      </c>
      <c r="C4932" s="1" t="n">
        <v>46145</v>
      </c>
      <c r="D4932" t="inlineStr">
        <is>
          <t>VÄSTERBOTTENS LÄN</t>
        </is>
      </c>
      <c r="E4932" t="inlineStr">
        <is>
          <t>VINDELN</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44107-2025</t>
        </is>
      </c>
      <c r="B4933" s="1" t="n">
        <v>45915</v>
      </c>
      <c r="C4933" s="1" t="n">
        <v>46145</v>
      </c>
      <c r="D4933" t="inlineStr">
        <is>
          <t>VÄSTERBOTTENS LÄN</t>
        </is>
      </c>
      <c r="E4933" t="inlineStr">
        <is>
          <t>LYCKSELE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60572-2024</t>
        </is>
      </c>
      <c r="B4934" s="1" t="n">
        <v>45644.32913194445</v>
      </c>
      <c r="C4934" s="1" t="n">
        <v>46145</v>
      </c>
      <c r="D4934" t="inlineStr">
        <is>
          <t>VÄSTERBOTTENS LÄN</t>
        </is>
      </c>
      <c r="E4934" t="inlineStr">
        <is>
          <t>VINDELN</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44594-2025</t>
        </is>
      </c>
      <c r="B4935" s="1" t="n">
        <v>45917.42766203704</v>
      </c>
      <c r="C4935" s="1" t="n">
        <v>46145</v>
      </c>
      <c r="D4935" t="inlineStr">
        <is>
          <t>VÄSTERBOTTENS LÄN</t>
        </is>
      </c>
      <c r="E4935" t="inlineStr">
        <is>
          <t>DOROTEA</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44889-2025</t>
        </is>
      </c>
      <c r="B4936" s="1" t="n">
        <v>45918.49681712963</v>
      </c>
      <c r="C4936" s="1" t="n">
        <v>46145</v>
      </c>
      <c r="D4936" t="inlineStr">
        <is>
          <t>VÄSTERBOTTENS LÄN</t>
        </is>
      </c>
      <c r="E4936" t="inlineStr">
        <is>
          <t>VÄNNÄS</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44602-2025</t>
        </is>
      </c>
      <c r="B4937" s="1" t="n">
        <v>45917.43920138889</v>
      </c>
      <c r="C4937" s="1" t="n">
        <v>46145</v>
      </c>
      <c r="D4937" t="inlineStr">
        <is>
          <t>VÄSTERBOTTENS LÄN</t>
        </is>
      </c>
      <c r="E4937" t="inlineStr">
        <is>
          <t>SKELLEFTEÅ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52548-2022</t>
        </is>
      </c>
      <c r="B4938" s="1" t="n">
        <v>44874</v>
      </c>
      <c r="C4938" s="1" t="n">
        <v>46145</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44725-2025</t>
        </is>
      </c>
      <c r="B4939" s="1" t="n">
        <v>45917.64240740741</v>
      </c>
      <c r="C4939" s="1" t="n">
        <v>46145</v>
      </c>
      <c r="D4939" t="inlineStr">
        <is>
          <t>VÄSTERBOTTENS LÄN</t>
        </is>
      </c>
      <c r="E4939" t="inlineStr">
        <is>
          <t>UMEÅ</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54376-2022</t>
        </is>
      </c>
      <c r="B4940" s="1" t="n">
        <v>44879</v>
      </c>
      <c r="C4940" s="1" t="n">
        <v>46145</v>
      </c>
      <c r="D4940" t="inlineStr">
        <is>
          <t>VÄSTERBOTTENS LÄN</t>
        </is>
      </c>
      <c r="E4940" t="inlineStr">
        <is>
          <t>SORSELE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44623-2025</t>
        </is>
      </c>
      <c r="B4941" s="1" t="n">
        <v>45917.47033564815</v>
      </c>
      <c r="C4941" s="1" t="n">
        <v>46145</v>
      </c>
      <c r="D4941" t="inlineStr">
        <is>
          <t>VÄSTERBOTTENS LÄN</t>
        </is>
      </c>
      <c r="E4941" t="inlineStr">
        <is>
          <t>NORSJÖ</t>
        </is>
      </c>
      <c r="F4941" t="inlineStr">
        <is>
          <t>Holmen skog AB</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64346-2023</t>
        </is>
      </c>
      <c r="B4942" s="1" t="n">
        <v>45279</v>
      </c>
      <c r="C4942" s="1" t="n">
        <v>46145</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33218-2021</t>
        </is>
      </c>
      <c r="B4943" s="1" t="n">
        <v>44376.93447916667</v>
      </c>
      <c r="C4943" s="1" t="n">
        <v>46145</v>
      </c>
      <c r="D4943" t="inlineStr">
        <is>
          <t>VÄSTERBOTTENS LÄN</t>
        </is>
      </c>
      <c r="E4943" t="inlineStr">
        <is>
          <t>DOROTEA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44751-2025</t>
        </is>
      </c>
      <c r="B4944" s="1" t="n">
        <v>45917.68104166666</v>
      </c>
      <c r="C4944" s="1" t="n">
        <v>46145</v>
      </c>
      <c r="D4944" t="inlineStr">
        <is>
          <t>VÄSTERBOTTENS LÄN</t>
        </is>
      </c>
      <c r="E4944" t="inlineStr">
        <is>
          <t>UMEÅ</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44805-2025</t>
        </is>
      </c>
      <c r="B4945" s="1" t="n">
        <v>45918.36143518519</v>
      </c>
      <c r="C4945" s="1" t="n">
        <v>46145</v>
      </c>
      <c r="D4945" t="inlineStr">
        <is>
          <t>VÄSTERBOTTENS LÄN</t>
        </is>
      </c>
      <c r="E4945" t="inlineStr">
        <is>
          <t>MALÅ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33219-2021</t>
        </is>
      </c>
      <c r="B4946" s="1" t="n">
        <v>44376.93453703704</v>
      </c>
      <c r="C4946" s="1" t="n">
        <v>46145</v>
      </c>
      <c r="D4946" t="inlineStr">
        <is>
          <t>VÄSTERBOTTENS LÄN</t>
        </is>
      </c>
      <c r="E4946" t="inlineStr">
        <is>
          <t>ÅSELE</t>
        </is>
      </c>
      <c r="F4946" t="inlineStr">
        <is>
          <t>SCA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33226-2021</t>
        </is>
      </c>
      <c r="B4947" s="1" t="n">
        <v>44376</v>
      </c>
      <c r="C4947" s="1" t="n">
        <v>46145</v>
      </c>
      <c r="D4947" t="inlineStr">
        <is>
          <t>VÄSTERBOTTENS LÄN</t>
        </is>
      </c>
      <c r="E4947" t="inlineStr">
        <is>
          <t>VÄNNÄS</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44832-2025</t>
        </is>
      </c>
      <c r="B4948" s="1" t="n">
        <v>45918.406875</v>
      </c>
      <c r="C4948" s="1" t="n">
        <v>46145</v>
      </c>
      <c r="D4948" t="inlineStr">
        <is>
          <t>VÄSTERBOTTENS LÄN</t>
        </is>
      </c>
      <c r="E4948" t="inlineStr">
        <is>
          <t>VÄNNÄS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44833-2025</t>
        </is>
      </c>
      <c r="B4949" s="1" t="n">
        <v>45918.40694444445</v>
      </c>
      <c r="C4949" s="1" t="n">
        <v>46145</v>
      </c>
      <c r="D4949" t="inlineStr">
        <is>
          <t>VÄSTERBOTTENS LÄN</t>
        </is>
      </c>
      <c r="E4949" t="inlineStr">
        <is>
          <t>VINDELN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3756-2025</t>
        </is>
      </c>
      <c r="B4950" s="1" t="n">
        <v>45681</v>
      </c>
      <c r="C4950" s="1" t="n">
        <v>46145</v>
      </c>
      <c r="D4950" t="inlineStr">
        <is>
          <t>VÄSTERBOTTENS LÄN</t>
        </is>
      </c>
      <c r="E4950" t="inlineStr">
        <is>
          <t>SORSELE</t>
        </is>
      </c>
      <c r="F4950" t="inlineStr">
        <is>
          <t>Sveaskog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44979-2025</t>
        </is>
      </c>
      <c r="B4951" s="1" t="n">
        <v>45918.64709490741</v>
      </c>
      <c r="C4951" s="1" t="n">
        <v>46145</v>
      </c>
      <c r="D4951" t="inlineStr">
        <is>
          <t>VÄSTERBOTTENS LÄN</t>
        </is>
      </c>
      <c r="E4951" t="inlineStr">
        <is>
          <t>ROBERTSFORS</t>
        </is>
      </c>
      <c r="F4951" t="inlineStr">
        <is>
          <t>Holmen skog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44625-2025</t>
        </is>
      </c>
      <c r="B4952" s="1" t="n">
        <v>45917.47184027778</v>
      </c>
      <c r="C4952" s="1" t="n">
        <v>46145</v>
      </c>
      <c r="D4952" t="inlineStr">
        <is>
          <t>VÄSTERBOTTENS LÄN</t>
        </is>
      </c>
      <c r="E4952" t="inlineStr">
        <is>
          <t>ÅSELE</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32645-2024</t>
        </is>
      </c>
      <c r="B4953" s="1" t="n">
        <v>45513.96297453704</v>
      </c>
      <c r="C4953" s="1" t="n">
        <v>46145</v>
      </c>
      <c r="D4953" t="inlineStr">
        <is>
          <t>VÄSTERBOTTENS LÄN</t>
        </is>
      </c>
      <c r="E4953" t="inlineStr">
        <is>
          <t>VINDELN</t>
        </is>
      </c>
      <c r="F4953" t="inlineStr">
        <is>
          <t>SCA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16201-2025</t>
        </is>
      </c>
      <c r="B4954" s="1" t="n">
        <v>45750</v>
      </c>
      <c r="C4954" s="1" t="n">
        <v>46145</v>
      </c>
      <c r="D4954" t="inlineStr">
        <is>
          <t>VÄSTERBOTTENS LÄN</t>
        </is>
      </c>
      <c r="E4954" t="inlineStr">
        <is>
          <t>SKELLEFTEÅ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44593-2025</t>
        </is>
      </c>
      <c r="B4955" s="1" t="n">
        <v>45917.42748842593</v>
      </c>
      <c r="C4955" s="1" t="n">
        <v>46145</v>
      </c>
      <c r="D4955" t="inlineStr">
        <is>
          <t>VÄSTERBOTTENS LÄN</t>
        </is>
      </c>
      <c r="E4955" t="inlineStr">
        <is>
          <t>DOROTEA</t>
        </is>
      </c>
      <c r="F4955" t="inlineStr">
        <is>
          <t>SCA</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28094-2021</t>
        </is>
      </c>
      <c r="B4956" s="1" t="n">
        <v>44355</v>
      </c>
      <c r="C4956" s="1" t="n">
        <v>46145</v>
      </c>
      <c r="D4956" t="inlineStr">
        <is>
          <t>VÄSTERBOTTENS LÄN</t>
        </is>
      </c>
      <c r="E4956" t="inlineStr">
        <is>
          <t>SORSELE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44998-2025</t>
        </is>
      </c>
      <c r="B4957" s="1" t="n">
        <v>45918.65956018519</v>
      </c>
      <c r="C4957" s="1" t="n">
        <v>46145</v>
      </c>
      <c r="D4957" t="inlineStr">
        <is>
          <t>VÄSTERBOTTENS LÄN</t>
        </is>
      </c>
      <c r="E4957" t="inlineStr">
        <is>
          <t>LYCKSELE</t>
        </is>
      </c>
      <c r="F4957" t="inlineStr">
        <is>
          <t>Holmen skog AB</t>
        </is>
      </c>
      <c r="G4957" t="n">
        <v>14.4</v>
      </c>
      <c r="H4957" t="n">
        <v>0</v>
      </c>
      <c r="I4957" t="n">
        <v>0</v>
      </c>
      <c r="J4957" t="n">
        <v>0</v>
      </c>
      <c r="K4957" t="n">
        <v>0</v>
      </c>
      <c r="L4957" t="n">
        <v>0</v>
      </c>
      <c r="M4957" t="n">
        <v>0</v>
      </c>
      <c r="N4957" t="n">
        <v>0</v>
      </c>
      <c r="O4957" t="n">
        <v>0</v>
      </c>
      <c r="P4957" t="n">
        <v>0</v>
      </c>
      <c r="Q4957" t="n">
        <v>0</v>
      </c>
      <c r="R4957" s="2" t="inlineStr"/>
    </row>
    <row r="4958" ht="15" customHeight="1">
      <c r="A4958" t="inlineStr">
        <is>
          <t>A 44970-2025</t>
        </is>
      </c>
      <c r="B4958" s="1" t="n">
        <v>45918.63601851852</v>
      </c>
      <c r="C4958" s="1" t="n">
        <v>46145</v>
      </c>
      <c r="D4958" t="inlineStr">
        <is>
          <t>VÄSTERBOTTENS LÄN</t>
        </is>
      </c>
      <c r="E4958" t="inlineStr">
        <is>
          <t>STORUMAN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44669-2025</t>
        </is>
      </c>
      <c r="B4959" s="1" t="n">
        <v>45917.56386574074</v>
      </c>
      <c r="C4959" s="1" t="n">
        <v>46145</v>
      </c>
      <c r="D4959" t="inlineStr">
        <is>
          <t>VÄSTERBOTTENS LÄN</t>
        </is>
      </c>
      <c r="E4959" t="inlineStr">
        <is>
          <t>ÅSELE</t>
        </is>
      </c>
      <c r="F4959" t="inlineStr">
        <is>
          <t>Holmen skog AB</t>
        </is>
      </c>
      <c r="G4959" t="n">
        <v>8.9</v>
      </c>
      <c r="H4959" t="n">
        <v>0</v>
      </c>
      <c r="I4959" t="n">
        <v>0</v>
      </c>
      <c r="J4959" t="n">
        <v>0</v>
      </c>
      <c r="K4959" t="n">
        <v>0</v>
      </c>
      <c r="L4959" t="n">
        <v>0</v>
      </c>
      <c r="M4959" t="n">
        <v>0</v>
      </c>
      <c r="N4959" t="n">
        <v>0</v>
      </c>
      <c r="O4959" t="n">
        <v>0</v>
      </c>
      <c r="P4959" t="n">
        <v>0</v>
      </c>
      <c r="Q4959" t="n">
        <v>0</v>
      </c>
      <c r="R4959" s="2" t="inlineStr"/>
    </row>
    <row r="4960" ht="15" customHeight="1">
      <c r="A4960" t="inlineStr">
        <is>
          <t>A 33460-2022</t>
        </is>
      </c>
      <c r="B4960" s="1" t="n">
        <v>44788.6674537037</v>
      </c>
      <c r="C4960" s="1" t="n">
        <v>46145</v>
      </c>
      <c r="D4960" t="inlineStr">
        <is>
          <t>VÄSTERBOTTENS LÄN</t>
        </is>
      </c>
      <c r="E4960" t="inlineStr">
        <is>
          <t>BJURHOLM</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44772-2025</t>
        </is>
      </c>
      <c r="B4961" s="1" t="n">
        <v>45917.81572916666</v>
      </c>
      <c r="C4961" s="1" t="n">
        <v>46145</v>
      </c>
      <c r="D4961" t="inlineStr">
        <is>
          <t>VÄSTERBOTTENS LÄN</t>
        </is>
      </c>
      <c r="E4961" t="inlineStr">
        <is>
          <t>NORDMALING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44773-2025</t>
        </is>
      </c>
      <c r="B4962" s="1" t="n">
        <v>45917.82435185185</v>
      </c>
      <c r="C4962" s="1" t="n">
        <v>46145</v>
      </c>
      <c r="D4962" t="inlineStr">
        <is>
          <t>VÄSTERBOTTENS LÄN</t>
        </is>
      </c>
      <c r="E4962" t="inlineStr">
        <is>
          <t>NORDMALING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52370-2022</t>
        </is>
      </c>
      <c r="B4963" s="1" t="n">
        <v>44874</v>
      </c>
      <c r="C4963" s="1" t="n">
        <v>46145</v>
      </c>
      <c r="D4963" t="inlineStr">
        <is>
          <t>VÄSTERBOTTENS LÄN</t>
        </is>
      </c>
      <c r="E4963" t="inlineStr">
        <is>
          <t>LYCKSELE</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44965-2025</t>
        </is>
      </c>
      <c r="B4964" s="1" t="n">
        <v>45918.62368055555</v>
      </c>
      <c r="C4964" s="1" t="n">
        <v>46145</v>
      </c>
      <c r="D4964" t="inlineStr">
        <is>
          <t>VÄSTERBOTTENS LÄN</t>
        </is>
      </c>
      <c r="E4964" t="inlineStr">
        <is>
          <t>ROBERTSFORS</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44975-2025</t>
        </is>
      </c>
      <c r="B4965" s="1" t="n">
        <v>45918.64300925926</v>
      </c>
      <c r="C4965" s="1" t="n">
        <v>46145</v>
      </c>
      <c r="D4965" t="inlineStr">
        <is>
          <t>VÄSTERBOTTENS LÄN</t>
        </is>
      </c>
      <c r="E4965" t="inlineStr">
        <is>
          <t>VÄNNÄS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44992-2025</t>
        </is>
      </c>
      <c r="B4966" s="1" t="n">
        <v>45918.65660879629</v>
      </c>
      <c r="C4966" s="1" t="n">
        <v>46145</v>
      </c>
      <c r="D4966" t="inlineStr">
        <is>
          <t>VÄSTERBOTTENS LÄN</t>
        </is>
      </c>
      <c r="E4966" t="inlineStr">
        <is>
          <t>ÅSELE</t>
        </is>
      </c>
      <c r="F4966" t="inlineStr">
        <is>
          <t>SCA</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39590-2021</t>
        </is>
      </c>
      <c r="B4967" s="1" t="n">
        <v>44413</v>
      </c>
      <c r="C4967" s="1" t="n">
        <v>46145</v>
      </c>
      <c r="D4967" t="inlineStr">
        <is>
          <t>VÄSTERBOTTENS LÄN</t>
        </is>
      </c>
      <c r="E4967" t="inlineStr">
        <is>
          <t>SKELLEFTEÅ</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1419-2023</t>
        </is>
      </c>
      <c r="B4968" s="1" t="n">
        <v>44936</v>
      </c>
      <c r="C4968" s="1" t="n">
        <v>46145</v>
      </c>
      <c r="D4968" t="inlineStr">
        <is>
          <t>VÄSTERBOTTENS LÄN</t>
        </is>
      </c>
      <c r="E4968" t="inlineStr">
        <is>
          <t>SKELLEFTEÅ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59180-2021</t>
        </is>
      </c>
      <c r="B4969" s="1" t="n">
        <v>44489</v>
      </c>
      <c r="C4969" s="1" t="n">
        <v>46145</v>
      </c>
      <c r="D4969" t="inlineStr">
        <is>
          <t>VÄSTERBOTTENS LÄN</t>
        </is>
      </c>
      <c r="E4969" t="inlineStr">
        <is>
          <t>SKELLEFTEÅ</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44826-2025</t>
        </is>
      </c>
      <c r="B4970" s="1" t="n">
        <v>45918.38855324074</v>
      </c>
      <c r="C4970" s="1" t="n">
        <v>46145</v>
      </c>
      <c r="D4970" t="inlineStr">
        <is>
          <t>VÄSTERBOTTENS LÄN</t>
        </is>
      </c>
      <c r="E4970" t="inlineStr">
        <is>
          <t>SKELLEFTEÅ</t>
        </is>
      </c>
      <c r="F4970" t="inlineStr">
        <is>
          <t>Holmen skog AB</t>
        </is>
      </c>
      <c r="G4970" t="n">
        <v>11.8</v>
      </c>
      <c r="H4970" t="n">
        <v>0</v>
      </c>
      <c r="I4970" t="n">
        <v>0</v>
      </c>
      <c r="J4970" t="n">
        <v>0</v>
      </c>
      <c r="K4970" t="n">
        <v>0</v>
      </c>
      <c r="L4970" t="n">
        <v>0</v>
      </c>
      <c r="M4970" t="n">
        <v>0</v>
      </c>
      <c r="N4970" t="n">
        <v>0</v>
      </c>
      <c r="O4970" t="n">
        <v>0</v>
      </c>
      <c r="P4970" t="n">
        <v>0</v>
      </c>
      <c r="Q4970" t="n">
        <v>0</v>
      </c>
      <c r="R4970" s="2" t="inlineStr"/>
    </row>
    <row r="4971" ht="15" customHeight="1">
      <c r="A4971" t="inlineStr">
        <is>
          <t>A 13533-2023</t>
        </is>
      </c>
      <c r="B4971" s="1" t="n">
        <v>45005</v>
      </c>
      <c r="C4971" s="1" t="n">
        <v>46145</v>
      </c>
      <c r="D4971" t="inlineStr">
        <is>
          <t>VÄSTERBOTTENS LÄN</t>
        </is>
      </c>
      <c r="E4971" t="inlineStr">
        <is>
          <t>ROBERTSFORS</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7112-2023</t>
        </is>
      </c>
      <c r="B4972" s="1" t="n">
        <v>44965</v>
      </c>
      <c r="C4972" s="1" t="n">
        <v>46145</v>
      </c>
      <c r="D4972" t="inlineStr">
        <is>
          <t>VÄSTERBOTTENS LÄN</t>
        </is>
      </c>
      <c r="E4972" t="inlineStr">
        <is>
          <t>VINDELN</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44911-2025</t>
        </is>
      </c>
      <c r="B4973" s="1" t="n">
        <v>45918.53216435185</v>
      </c>
      <c r="C4973" s="1" t="n">
        <v>46145</v>
      </c>
      <c r="D4973" t="inlineStr">
        <is>
          <t>VÄSTERBOTTENS LÄN</t>
        </is>
      </c>
      <c r="E4973" t="inlineStr">
        <is>
          <t>SKELLEFTEÅ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44922-2025</t>
        </is>
      </c>
      <c r="B4974" s="1" t="n">
        <v>45918.55274305555</v>
      </c>
      <c r="C4974" s="1" t="n">
        <v>46145</v>
      </c>
      <c r="D4974" t="inlineStr">
        <is>
          <t>VÄSTERBOTTENS LÄN</t>
        </is>
      </c>
      <c r="E4974" t="inlineStr">
        <is>
          <t>SKELLEFTEÅ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18291-2025</t>
        </is>
      </c>
      <c r="B4975" s="1" t="n">
        <v>45762.41027777778</v>
      </c>
      <c r="C4975" s="1" t="n">
        <v>46145</v>
      </c>
      <c r="D4975" t="inlineStr">
        <is>
          <t>VÄSTERBOTTENS LÄN</t>
        </is>
      </c>
      <c r="E4975" t="inlineStr">
        <is>
          <t>SKELLEFTEÅ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44784-2025</t>
        </is>
      </c>
      <c r="B4976" s="1" t="n">
        <v>45917.92033564814</v>
      </c>
      <c r="C4976" s="1" t="n">
        <v>46145</v>
      </c>
      <c r="D4976" t="inlineStr">
        <is>
          <t>VÄSTERBOTTENS LÄN</t>
        </is>
      </c>
      <c r="E4976" t="inlineStr">
        <is>
          <t>DOROTEA</t>
        </is>
      </c>
      <c r="F4976" t="inlineStr">
        <is>
          <t>SCA</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44895-2025</t>
        </is>
      </c>
      <c r="B4977" s="1" t="n">
        <v>45918.50277777778</v>
      </c>
      <c r="C4977" s="1" t="n">
        <v>46145</v>
      </c>
      <c r="D4977" t="inlineStr">
        <is>
          <t>VÄSTERBOTTENS LÄN</t>
        </is>
      </c>
      <c r="E4977" t="inlineStr">
        <is>
          <t>VÄNNÄS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39615-2024</t>
        </is>
      </c>
      <c r="B4978" s="1" t="n">
        <v>45552</v>
      </c>
      <c r="C4978" s="1" t="n">
        <v>46145</v>
      </c>
      <c r="D4978" t="inlineStr">
        <is>
          <t>VÄSTERBOTTENS LÄN</t>
        </is>
      </c>
      <c r="E4978" t="inlineStr">
        <is>
          <t>UMEÅ</t>
        </is>
      </c>
      <c r="F4978" t="inlineStr">
        <is>
          <t>Holmen skog AB</t>
        </is>
      </c>
      <c r="G4978" t="n">
        <v>9.4</v>
      </c>
      <c r="H4978" t="n">
        <v>0</v>
      </c>
      <c r="I4978" t="n">
        <v>0</v>
      </c>
      <c r="J4978" t="n">
        <v>0</v>
      </c>
      <c r="K4978" t="n">
        <v>0</v>
      </c>
      <c r="L4978" t="n">
        <v>0</v>
      </c>
      <c r="M4978" t="n">
        <v>0</v>
      </c>
      <c r="N4978" t="n">
        <v>0</v>
      </c>
      <c r="O4978" t="n">
        <v>0</v>
      </c>
      <c r="P4978" t="n">
        <v>0</v>
      </c>
      <c r="Q4978" t="n">
        <v>0</v>
      </c>
      <c r="R4978" s="2" t="inlineStr"/>
    </row>
    <row r="4979" ht="15" customHeight="1">
      <c r="A4979" t="inlineStr">
        <is>
          <t>A 33379-2021</t>
        </is>
      </c>
      <c r="B4979" s="1" t="n">
        <v>44377</v>
      </c>
      <c r="C4979" s="1" t="n">
        <v>46145</v>
      </c>
      <c r="D4979" t="inlineStr">
        <is>
          <t>VÄSTERBOTTENS LÄN</t>
        </is>
      </c>
      <c r="E4979" t="inlineStr">
        <is>
          <t>ROBERTSFORS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45008-2025</t>
        </is>
      </c>
      <c r="B4980" s="1" t="n">
        <v>45918.66846064815</v>
      </c>
      <c r="C4980" s="1" t="n">
        <v>46145</v>
      </c>
      <c r="D4980" t="inlineStr">
        <is>
          <t>VÄSTERBOTTENS LÄN</t>
        </is>
      </c>
      <c r="E4980" t="inlineStr">
        <is>
          <t>SORSELE</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44094-2025</t>
        </is>
      </c>
      <c r="B4981" s="1" t="n">
        <v>45915</v>
      </c>
      <c r="C4981" s="1" t="n">
        <v>46145</v>
      </c>
      <c r="D4981" t="inlineStr">
        <is>
          <t>VÄSTERBOTTENS LÄN</t>
        </is>
      </c>
      <c r="E4981" t="inlineStr">
        <is>
          <t>LYCKSELE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19915-2025</t>
        </is>
      </c>
      <c r="B4982" s="1" t="n">
        <v>45771</v>
      </c>
      <c r="C4982" s="1" t="n">
        <v>46145</v>
      </c>
      <c r="D4982" t="inlineStr">
        <is>
          <t>VÄSTERBOTTENS LÄN</t>
        </is>
      </c>
      <c r="E4982" t="inlineStr">
        <is>
          <t>DOROTEA</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44547-2025</t>
        </is>
      </c>
      <c r="B4983" s="1" t="n">
        <v>45917.3320949074</v>
      </c>
      <c r="C4983" s="1" t="n">
        <v>46145</v>
      </c>
      <c r="D4983" t="inlineStr">
        <is>
          <t>VÄSTERBOTTENS LÄN</t>
        </is>
      </c>
      <c r="E4983" t="inlineStr">
        <is>
          <t>LYCKSELE</t>
        </is>
      </c>
      <c r="F4983" t="inlineStr">
        <is>
          <t>Sveaskog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11299-2025</t>
        </is>
      </c>
      <c r="B4984" s="1" t="n">
        <v>45726.44050925926</v>
      </c>
      <c r="C4984" s="1" t="n">
        <v>46145</v>
      </c>
      <c r="D4984" t="inlineStr">
        <is>
          <t>VÄSTERBOTTENS LÄN</t>
        </is>
      </c>
      <c r="E4984" t="inlineStr">
        <is>
          <t>MALÅ</t>
        </is>
      </c>
      <c r="F4984" t="inlineStr">
        <is>
          <t>Sveaskog</t>
        </is>
      </c>
      <c r="G4984" t="n">
        <v>37.2</v>
      </c>
      <c r="H4984" t="n">
        <v>0</v>
      </c>
      <c r="I4984" t="n">
        <v>0</v>
      </c>
      <c r="J4984" t="n">
        <v>0</v>
      </c>
      <c r="K4984" t="n">
        <v>0</v>
      </c>
      <c r="L4984" t="n">
        <v>0</v>
      </c>
      <c r="M4984" t="n">
        <v>0</v>
      </c>
      <c r="N4984" t="n">
        <v>0</v>
      </c>
      <c r="O4984" t="n">
        <v>0</v>
      </c>
      <c r="P4984" t="n">
        <v>0</v>
      </c>
      <c r="Q4984" t="n">
        <v>0</v>
      </c>
      <c r="R4984" s="2" t="inlineStr"/>
    </row>
    <row r="4985" ht="15" customHeight="1">
      <c r="A4985" t="inlineStr">
        <is>
          <t>A 44714-2025</t>
        </is>
      </c>
      <c r="B4985" s="1" t="n">
        <v>45917.62650462963</v>
      </c>
      <c r="C4985" s="1" t="n">
        <v>46145</v>
      </c>
      <c r="D4985" t="inlineStr">
        <is>
          <t>VÄSTERBOTTENS LÄN</t>
        </is>
      </c>
      <c r="E4985" t="inlineStr">
        <is>
          <t>SKELLEFTEÅ</t>
        </is>
      </c>
      <c r="F4985" t="inlineStr">
        <is>
          <t>Sveaskog</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44729-2025</t>
        </is>
      </c>
      <c r="B4986" s="1" t="n">
        <v>45917.64934027778</v>
      </c>
      <c r="C4986" s="1" t="n">
        <v>46145</v>
      </c>
      <c r="D4986" t="inlineStr">
        <is>
          <t>VÄSTERBOTTENS LÄN</t>
        </is>
      </c>
      <c r="E4986" t="inlineStr">
        <is>
          <t>SKELLEFTEÅ</t>
        </is>
      </c>
      <c r="F4986" t="inlineStr">
        <is>
          <t>Sveaskog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44739-2025</t>
        </is>
      </c>
      <c r="B4987" s="1" t="n">
        <v>45917.66063657407</v>
      </c>
      <c r="C4987" s="1" t="n">
        <v>46145</v>
      </c>
      <c r="D4987" t="inlineStr">
        <is>
          <t>VÄSTERBOTTENS LÄN</t>
        </is>
      </c>
      <c r="E4987" t="inlineStr">
        <is>
          <t>SKELLEFTEÅ</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44681-2025</t>
        </is>
      </c>
      <c r="B4988" s="1" t="n">
        <v>45917.57884259259</v>
      </c>
      <c r="C4988" s="1" t="n">
        <v>46145</v>
      </c>
      <c r="D4988" t="inlineStr">
        <is>
          <t>VÄSTERBOTTENS LÄN</t>
        </is>
      </c>
      <c r="E4988" t="inlineStr">
        <is>
          <t>STORUMAN</t>
        </is>
      </c>
      <c r="F4988" t="inlineStr">
        <is>
          <t>Holmen skog AB</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40794-2025</t>
        </is>
      </c>
      <c r="B4989" s="1" t="n">
        <v>45897</v>
      </c>
      <c r="C4989" s="1" t="n">
        <v>46145</v>
      </c>
      <c r="D4989" t="inlineStr">
        <is>
          <t>VÄSTERBOTTENS LÄN</t>
        </is>
      </c>
      <c r="E4989" t="inlineStr">
        <is>
          <t>SKELLEFTEÅ</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7700-2025</t>
        </is>
      </c>
      <c r="B4990" s="1" t="n">
        <v>45706</v>
      </c>
      <c r="C4990" s="1" t="n">
        <v>46145</v>
      </c>
      <c r="D4990" t="inlineStr">
        <is>
          <t>VÄSTERBOTTENS LÄN</t>
        </is>
      </c>
      <c r="E4990" t="inlineStr">
        <is>
          <t>VINDELN</t>
        </is>
      </c>
      <c r="G4990" t="n">
        <v>8.5</v>
      </c>
      <c r="H4990" t="n">
        <v>0</v>
      </c>
      <c r="I4990" t="n">
        <v>0</v>
      </c>
      <c r="J4990" t="n">
        <v>0</v>
      </c>
      <c r="K4990" t="n">
        <v>0</v>
      </c>
      <c r="L4990" t="n">
        <v>0</v>
      </c>
      <c r="M4990" t="n">
        <v>0</v>
      </c>
      <c r="N4990" t="n">
        <v>0</v>
      </c>
      <c r="O4990" t="n">
        <v>0</v>
      </c>
      <c r="P4990" t="n">
        <v>0</v>
      </c>
      <c r="Q4990" t="n">
        <v>0</v>
      </c>
      <c r="R4990" s="2" t="inlineStr"/>
    </row>
    <row r="4991" ht="15" customHeight="1">
      <c r="A4991" t="inlineStr">
        <is>
          <t>A 20508-2025</t>
        </is>
      </c>
      <c r="B4991" s="1" t="n">
        <v>45775</v>
      </c>
      <c r="C4991" s="1" t="n">
        <v>46145</v>
      </c>
      <c r="D4991" t="inlineStr">
        <is>
          <t>VÄSTERBOTTENS LÄN</t>
        </is>
      </c>
      <c r="E4991" t="inlineStr">
        <is>
          <t>LYCKSELE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26645-2023</t>
        </is>
      </c>
      <c r="B4992" s="1" t="n">
        <v>45092.92415509259</v>
      </c>
      <c r="C4992" s="1" t="n">
        <v>46145</v>
      </c>
      <c r="D4992" t="inlineStr">
        <is>
          <t>VÄSTERBOTTENS LÄN</t>
        </is>
      </c>
      <c r="E4992" t="inlineStr">
        <is>
          <t>SKELLEFTEÅ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26677-2023</t>
        </is>
      </c>
      <c r="B4993" s="1" t="n">
        <v>45093.31925925926</v>
      </c>
      <c r="C4993" s="1" t="n">
        <v>46145</v>
      </c>
      <c r="D4993" t="inlineStr">
        <is>
          <t>VÄSTERBOTTENS LÄN</t>
        </is>
      </c>
      <c r="E4993" t="inlineStr">
        <is>
          <t>ÅSELE</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32489-2024</t>
        </is>
      </c>
      <c r="B4994" s="1" t="n">
        <v>45513.38631944444</v>
      </c>
      <c r="C4994" s="1" t="n">
        <v>46145</v>
      </c>
      <c r="D4994" t="inlineStr">
        <is>
          <t>VÄSTERBOTTENS LÄN</t>
        </is>
      </c>
      <c r="E4994" t="inlineStr">
        <is>
          <t>VINDELN</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2761-2025</t>
        </is>
      </c>
      <c r="B4995" s="1" t="n">
        <v>45677.48184027777</v>
      </c>
      <c r="C4995" s="1" t="n">
        <v>46145</v>
      </c>
      <c r="D4995" t="inlineStr">
        <is>
          <t>VÄSTERBOTTENS LÄN</t>
        </is>
      </c>
      <c r="E4995" t="inlineStr">
        <is>
          <t>LYCKSELE</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44774-2025</t>
        </is>
      </c>
      <c r="B4996" s="1" t="n">
        <v>45917.83175925926</v>
      </c>
      <c r="C4996" s="1" t="n">
        <v>46145</v>
      </c>
      <c r="D4996" t="inlineStr">
        <is>
          <t>VÄSTERBOTTENS LÄN</t>
        </is>
      </c>
      <c r="E4996" t="inlineStr">
        <is>
          <t>NORDMALING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45102-2023</t>
        </is>
      </c>
      <c r="B4997" s="1" t="n">
        <v>45190</v>
      </c>
      <c r="C4997" s="1" t="n">
        <v>46145</v>
      </c>
      <c r="D4997" t="inlineStr">
        <is>
          <t>VÄSTERBOTTENS LÄN</t>
        </is>
      </c>
      <c r="E4997" t="inlineStr">
        <is>
          <t>MALÅ</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2813-2025</t>
        </is>
      </c>
      <c r="B4998" s="1" t="n">
        <v>45677.59814814815</v>
      </c>
      <c r="C4998" s="1" t="n">
        <v>46145</v>
      </c>
      <c r="D4998" t="inlineStr">
        <is>
          <t>VÄSTERBOTTENS LÄN</t>
        </is>
      </c>
      <c r="E4998" t="inlineStr">
        <is>
          <t>DOROTEA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45541-2025</t>
        </is>
      </c>
      <c r="B4999" s="1" t="n">
        <v>45922.61495370371</v>
      </c>
      <c r="C4999" s="1" t="n">
        <v>46145</v>
      </c>
      <c r="D4999" t="inlineStr">
        <is>
          <t>VÄSTERBOTTENS LÄN</t>
        </is>
      </c>
      <c r="E4999" t="inlineStr">
        <is>
          <t>NORSJÖ</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45366-2025</t>
        </is>
      </c>
      <c r="B5000" s="1" t="n">
        <v>45922.38587962963</v>
      </c>
      <c r="C5000" s="1" t="n">
        <v>46145</v>
      </c>
      <c r="D5000" t="inlineStr">
        <is>
          <t>VÄSTERBOTTENS LÄN</t>
        </is>
      </c>
      <c r="E5000" t="inlineStr">
        <is>
          <t>SKELLEFTEÅ</t>
        </is>
      </c>
      <c r="G5000" t="n">
        <v>16.3</v>
      </c>
      <c r="H5000" t="n">
        <v>0</v>
      </c>
      <c r="I5000" t="n">
        <v>0</v>
      </c>
      <c r="J5000" t="n">
        <v>0</v>
      </c>
      <c r="K5000" t="n">
        <v>0</v>
      </c>
      <c r="L5000" t="n">
        <v>0</v>
      </c>
      <c r="M5000" t="n">
        <v>0</v>
      </c>
      <c r="N5000" t="n">
        <v>0</v>
      </c>
      <c r="O5000" t="n">
        <v>0</v>
      </c>
      <c r="P5000" t="n">
        <v>0</v>
      </c>
      <c r="Q5000" t="n">
        <v>0</v>
      </c>
      <c r="R5000" s="2" t="inlineStr"/>
    </row>
    <row r="5001" ht="15" customHeight="1">
      <c r="A5001" t="inlineStr">
        <is>
          <t>A 45394-2025</t>
        </is>
      </c>
      <c r="B5001" s="1" t="n">
        <v>45922.40804398148</v>
      </c>
      <c r="C5001" s="1" t="n">
        <v>46145</v>
      </c>
      <c r="D5001" t="inlineStr">
        <is>
          <t>VÄSTERBOTTENS LÄN</t>
        </is>
      </c>
      <c r="E5001" t="inlineStr">
        <is>
          <t>SKELLEFTEÅ</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45429-2025</t>
        </is>
      </c>
      <c r="B5002" s="1" t="n">
        <v>45922.45540509259</v>
      </c>
      <c r="C5002" s="1" t="n">
        <v>46145</v>
      </c>
      <c r="D5002" t="inlineStr">
        <is>
          <t>VÄSTERBOTTENS LÄN</t>
        </is>
      </c>
      <c r="E5002" t="inlineStr">
        <is>
          <t>SKELLEFTEÅ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18380-2025</t>
        </is>
      </c>
      <c r="B5003" s="1" t="n">
        <v>45762.57891203704</v>
      </c>
      <c r="C5003" s="1" t="n">
        <v>46145</v>
      </c>
      <c r="D5003" t="inlineStr">
        <is>
          <t>VÄSTERBOTTENS LÄN</t>
        </is>
      </c>
      <c r="E5003" t="inlineStr">
        <is>
          <t>VÄNNÄS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45506-2025</t>
        </is>
      </c>
      <c r="B5004" s="1" t="n">
        <v>45922.57350694444</v>
      </c>
      <c r="C5004" s="1" t="n">
        <v>46145</v>
      </c>
      <c r="D5004" t="inlineStr">
        <is>
          <t>VÄSTERBOTTENS LÄN</t>
        </is>
      </c>
      <c r="E5004" t="inlineStr">
        <is>
          <t>ÅSELE</t>
        </is>
      </c>
      <c r="G5004" t="n">
        <v>17.3</v>
      </c>
      <c r="H5004" t="n">
        <v>0</v>
      </c>
      <c r="I5004" t="n">
        <v>0</v>
      </c>
      <c r="J5004" t="n">
        <v>0</v>
      </c>
      <c r="K5004" t="n">
        <v>0</v>
      </c>
      <c r="L5004" t="n">
        <v>0</v>
      </c>
      <c r="M5004" t="n">
        <v>0</v>
      </c>
      <c r="N5004" t="n">
        <v>0</v>
      </c>
      <c r="O5004" t="n">
        <v>0</v>
      </c>
      <c r="P5004" t="n">
        <v>0</v>
      </c>
      <c r="Q5004" t="n">
        <v>0</v>
      </c>
      <c r="R5004" s="2" t="inlineStr"/>
    </row>
    <row r="5005" ht="15" customHeight="1">
      <c r="A5005" t="inlineStr">
        <is>
          <t>A 14806-2023</t>
        </is>
      </c>
      <c r="B5005" s="1" t="n">
        <v>45013</v>
      </c>
      <c r="C5005" s="1" t="n">
        <v>46145</v>
      </c>
      <c r="D5005" t="inlineStr">
        <is>
          <t>VÄSTERBOTTENS LÄN</t>
        </is>
      </c>
      <c r="E5005" t="inlineStr">
        <is>
          <t>DOROTEA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56830-2023</t>
        </is>
      </c>
      <c r="B5006" s="1" t="n">
        <v>45238</v>
      </c>
      <c r="C5006" s="1" t="n">
        <v>46145</v>
      </c>
      <c r="D5006" t="inlineStr">
        <is>
          <t>VÄSTERBOTTENS LÄN</t>
        </is>
      </c>
      <c r="E5006" t="inlineStr">
        <is>
          <t>VILHELMINA</t>
        </is>
      </c>
      <c r="F5006" t="inlineStr">
        <is>
          <t>Allmännings- och besparingsskogar</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56847-2023</t>
        </is>
      </c>
      <c r="B5007" s="1" t="n">
        <v>45238</v>
      </c>
      <c r="C5007" s="1" t="n">
        <v>46145</v>
      </c>
      <c r="D5007" t="inlineStr">
        <is>
          <t>VÄSTERBOTTENS LÄN</t>
        </is>
      </c>
      <c r="E5007" t="inlineStr">
        <is>
          <t>VILHELMINA</t>
        </is>
      </c>
      <c r="F5007" t="inlineStr">
        <is>
          <t>Allmännings- och besparingsskogar</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13756-2025</t>
        </is>
      </c>
      <c r="B5008" s="1" t="n">
        <v>45737.41623842593</v>
      </c>
      <c r="C5008" s="1" t="n">
        <v>46145</v>
      </c>
      <c r="D5008" t="inlineStr">
        <is>
          <t>VÄSTERBOTTENS LÄN</t>
        </is>
      </c>
      <c r="E5008" t="inlineStr">
        <is>
          <t>VINDELN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45146-2025</t>
        </is>
      </c>
      <c r="B5009" s="1" t="n">
        <v>45919</v>
      </c>
      <c r="C5009" s="1" t="n">
        <v>46145</v>
      </c>
      <c r="D5009" t="inlineStr">
        <is>
          <t>VÄSTERBOTTENS LÄN</t>
        </is>
      </c>
      <c r="E5009" t="inlineStr">
        <is>
          <t>NORSJÖ</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45149-2025</t>
        </is>
      </c>
      <c r="B5010" s="1" t="n">
        <v>45919.47009259259</v>
      </c>
      <c r="C5010" s="1" t="n">
        <v>46145</v>
      </c>
      <c r="D5010" t="inlineStr">
        <is>
          <t>VÄSTERBOTTENS LÄN</t>
        </is>
      </c>
      <c r="E5010" t="inlineStr">
        <is>
          <t>VINDELN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13999-2025</t>
        </is>
      </c>
      <c r="B5011" s="1" t="n">
        <v>45739</v>
      </c>
      <c r="C5011" s="1" t="n">
        <v>46145</v>
      </c>
      <c r="D5011" t="inlineStr">
        <is>
          <t>VÄSTERBOTTENS LÄN</t>
        </is>
      </c>
      <c r="E5011" t="inlineStr">
        <is>
          <t>VINDELN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45183-2025</t>
        </is>
      </c>
      <c r="B5012" s="1" t="n">
        <v>45919.53484953703</v>
      </c>
      <c r="C5012" s="1" t="n">
        <v>46145</v>
      </c>
      <c r="D5012" t="inlineStr">
        <is>
          <t>VÄSTERBOTTENS LÄN</t>
        </is>
      </c>
      <c r="E5012" t="inlineStr">
        <is>
          <t>SKELLEFTEÅ</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10112-2025</t>
        </is>
      </c>
      <c r="B5013" s="1" t="n">
        <v>45719</v>
      </c>
      <c r="C5013" s="1" t="n">
        <v>46145</v>
      </c>
      <c r="D5013" t="inlineStr">
        <is>
          <t>VÄSTERBOTTENS LÄN</t>
        </is>
      </c>
      <c r="E5013" t="inlineStr">
        <is>
          <t>NORSJÖ</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20534-2025</t>
        </is>
      </c>
      <c r="B5014" s="1" t="n">
        <v>45775.61550925926</v>
      </c>
      <c r="C5014" s="1" t="n">
        <v>46145</v>
      </c>
      <c r="D5014" t="inlineStr">
        <is>
          <t>VÄSTERBOTTENS LÄN</t>
        </is>
      </c>
      <c r="E5014" t="inlineStr">
        <is>
          <t>VILHELMINA</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45267-2025</t>
        </is>
      </c>
      <c r="B5015" s="1" t="n">
        <v>45919.66621527778</v>
      </c>
      <c r="C5015" s="1" t="n">
        <v>46145</v>
      </c>
      <c r="D5015" t="inlineStr">
        <is>
          <t>VÄSTERBOTTENS LÄN</t>
        </is>
      </c>
      <c r="E5015" t="inlineStr">
        <is>
          <t>ROBERTSFORS</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45257-2025</t>
        </is>
      </c>
      <c r="B5016" s="1" t="n">
        <v>45919.62422453704</v>
      </c>
      <c r="C5016" s="1" t="n">
        <v>46145</v>
      </c>
      <c r="D5016" t="inlineStr">
        <is>
          <t>VÄSTERBOTTENS LÄN</t>
        </is>
      </c>
      <c r="E5016" t="inlineStr">
        <is>
          <t>ÅSELE</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46302-2023</t>
        </is>
      </c>
      <c r="B5017" s="1" t="n">
        <v>45191</v>
      </c>
      <c r="C5017" s="1" t="n">
        <v>46145</v>
      </c>
      <c r="D5017" t="inlineStr">
        <is>
          <t>VÄSTERBOTTENS LÄN</t>
        </is>
      </c>
      <c r="E5017" t="inlineStr">
        <is>
          <t>SKELLEFTEÅ</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30286-2023</t>
        </is>
      </c>
      <c r="B5018" s="1" t="n">
        <v>45110</v>
      </c>
      <c r="C5018" s="1" t="n">
        <v>46145</v>
      </c>
      <c r="D5018" t="inlineStr">
        <is>
          <t>VÄSTERBOTTENS LÄN</t>
        </is>
      </c>
      <c r="E5018" t="inlineStr">
        <is>
          <t>DOROTEA</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45255-2025</t>
        </is>
      </c>
      <c r="B5019" s="1" t="n">
        <v>45919.61527777778</v>
      </c>
      <c r="C5019" s="1" t="n">
        <v>46145</v>
      </c>
      <c r="D5019" t="inlineStr">
        <is>
          <t>VÄSTERBOTTENS LÄN</t>
        </is>
      </c>
      <c r="E5019" t="inlineStr">
        <is>
          <t>STORUMAN</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15160-2025</t>
        </is>
      </c>
      <c r="B5020" s="1" t="n">
        <v>45744</v>
      </c>
      <c r="C5020" s="1" t="n">
        <v>46145</v>
      </c>
      <c r="D5020" t="inlineStr">
        <is>
          <t>VÄSTERBOTTENS LÄN</t>
        </is>
      </c>
      <c r="E5020" t="inlineStr">
        <is>
          <t>UMEÅ</t>
        </is>
      </c>
      <c r="F5020" t="inlineStr">
        <is>
          <t>Kommuner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15161-2025</t>
        </is>
      </c>
      <c r="B5021" s="1" t="n">
        <v>45744</v>
      </c>
      <c r="C5021" s="1" t="n">
        <v>46145</v>
      </c>
      <c r="D5021" t="inlineStr">
        <is>
          <t>VÄSTERBOTTENS LÄN</t>
        </is>
      </c>
      <c r="E5021" t="inlineStr">
        <is>
          <t>UMEÅ</t>
        </is>
      </c>
      <c r="F5021" t="inlineStr">
        <is>
          <t>Kommuner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45598-2025</t>
        </is>
      </c>
      <c r="B5022" s="1" t="n">
        <v>45922.68771990741</v>
      </c>
      <c r="C5022" s="1" t="n">
        <v>46145</v>
      </c>
      <c r="D5022" t="inlineStr">
        <is>
          <t>VÄSTERBOTTENS LÄN</t>
        </is>
      </c>
      <c r="E5022" t="inlineStr">
        <is>
          <t>SKELLEFTEÅ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56823-2023</t>
        </is>
      </c>
      <c r="B5023" s="1" t="n">
        <v>45238</v>
      </c>
      <c r="C5023" s="1" t="n">
        <v>46145</v>
      </c>
      <c r="D5023" t="inlineStr">
        <is>
          <t>VÄSTERBOTTENS LÄN</t>
        </is>
      </c>
      <c r="E5023" t="inlineStr">
        <is>
          <t>VILHELMINA</t>
        </is>
      </c>
      <c r="F5023" t="inlineStr">
        <is>
          <t>Allmännings- och besparingsskogar</t>
        </is>
      </c>
      <c r="G5023" t="n">
        <v>82</v>
      </c>
      <c r="H5023" t="n">
        <v>0</v>
      </c>
      <c r="I5023" t="n">
        <v>0</v>
      </c>
      <c r="J5023" t="n">
        <v>0</v>
      </c>
      <c r="K5023" t="n">
        <v>0</v>
      </c>
      <c r="L5023" t="n">
        <v>0</v>
      </c>
      <c r="M5023" t="n">
        <v>0</v>
      </c>
      <c r="N5023" t="n">
        <v>0</v>
      </c>
      <c r="O5023" t="n">
        <v>0</v>
      </c>
      <c r="P5023" t="n">
        <v>0</v>
      </c>
      <c r="Q5023" t="n">
        <v>0</v>
      </c>
      <c r="R5023" s="2" t="inlineStr"/>
    </row>
    <row r="5024" ht="15" customHeight="1">
      <c r="A5024" t="inlineStr">
        <is>
          <t>A 45559-2025</t>
        </is>
      </c>
      <c r="B5024" s="1" t="n">
        <v>45922.64508101852</v>
      </c>
      <c r="C5024" s="1" t="n">
        <v>46145</v>
      </c>
      <c r="D5024" t="inlineStr">
        <is>
          <t>VÄSTERBOTTENS LÄN</t>
        </is>
      </c>
      <c r="E5024" t="inlineStr">
        <is>
          <t>SKELLEFTEÅ</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37078-2023</t>
        </is>
      </c>
      <c r="B5025" s="1" t="n">
        <v>45155</v>
      </c>
      <c r="C5025" s="1" t="n">
        <v>46145</v>
      </c>
      <c r="D5025" t="inlineStr">
        <is>
          <t>VÄSTERBOTTENS LÄN</t>
        </is>
      </c>
      <c r="E5025" t="inlineStr">
        <is>
          <t>MALÅ</t>
        </is>
      </c>
      <c r="G5025" t="n">
        <v>48.2</v>
      </c>
      <c r="H5025" t="n">
        <v>0</v>
      </c>
      <c r="I5025" t="n">
        <v>0</v>
      </c>
      <c r="J5025" t="n">
        <v>0</v>
      </c>
      <c r="K5025" t="n">
        <v>0</v>
      </c>
      <c r="L5025" t="n">
        <v>0</v>
      </c>
      <c r="M5025" t="n">
        <v>0</v>
      </c>
      <c r="N5025" t="n">
        <v>0</v>
      </c>
      <c r="O5025" t="n">
        <v>0</v>
      </c>
      <c r="P5025" t="n">
        <v>0</v>
      </c>
      <c r="Q5025" t="n">
        <v>0</v>
      </c>
      <c r="R5025" s="2" t="inlineStr"/>
    </row>
    <row r="5026" ht="15" customHeight="1">
      <c r="A5026" t="inlineStr">
        <is>
          <t>A 45139-2025</t>
        </is>
      </c>
      <c r="B5026" s="1" t="n">
        <v>45919.45460648148</v>
      </c>
      <c r="C5026" s="1" t="n">
        <v>46145</v>
      </c>
      <c r="D5026" t="inlineStr">
        <is>
          <t>VÄSTERBOTTENS LÄN</t>
        </is>
      </c>
      <c r="E5026" t="inlineStr">
        <is>
          <t>LYCKSELE</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45184-2025</t>
        </is>
      </c>
      <c r="B5027" s="1" t="n">
        <v>45919.53916666667</v>
      </c>
      <c r="C5027" s="1" t="n">
        <v>46145</v>
      </c>
      <c r="D5027" t="inlineStr">
        <is>
          <t>VÄSTERBOTTENS LÄN</t>
        </is>
      </c>
      <c r="E5027" t="inlineStr">
        <is>
          <t>UMEÅ</t>
        </is>
      </c>
      <c r="F5027" t="inlineStr">
        <is>
          <t>Holmen skog AB</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59032-2024</t>
        </is>
      </c>
      <c r="B5028" s="1" t="n">
        <v>45636.69321759259</v>
      </c>
      <c r="C5028" s="1" t="n">
        <v>46145</v>
      </c>
      <c r="D5028" t="inlineStr">
        <is>
          <t>VÄSTERBOTTENS LÄN</t>
        </is>
      </c>
      <c r="E5028" t="inlineStr">
        <is>
          <t>ROBERTSFORS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45398-2025</t>
        </is>
      </c>
      <c r="B5029" s="1" t="n">
        <v>45922.42065972222</v>
      </c>
      <c r="C5029" s="1" t="n">
        <v>46145</v>
      </c>
      <c r="D5029" t="inlineStr">
        <is>
          <t>VÄSTERBOTTENS LÄN</t>
        </is>
      </c>
      <c r="E5029" t="inlineStr">
        <is>
          <t>SKELLEFTEÅ</t>
        </is>
      </c>
      <c r="G5029" t="n">
        <v>12.2</v>
      </c>
      <c r="H5029" t="n">
        <v>0</v>
      </c>
      <c r="I5029" t="n">
        <v>0</v>
      </c>
      <c r="J5029" t="n">
        <v>0</v>
      </c>
      <c r="K5029" t="n">
        <v>0</v>
      </c>
      <c r="L5029" t="n">
        <v>0</v>
      </c>
      <c r="M5029" t="n">
        <v>0</v>
      </c>
      <c r="N5029" t="n">
        <v>0</v>
      </c>
      <c r="O5029" t="n">
        <v>0</v>
      </c>
      <c r="P5029" t="n">
        <v>0</v>
      </c>
      <c r="Q5029" t="n">
        <v>0</v>
      </c>
      <c r="R5029" s="2" t="inlineStr"/>
    </row>
    <row r="5030" ht="15" customHeight="1">
      <c r="A5030" t="inlineStr">
        <is>
          <t>A 45413-2025</t>
        </is>
      </c>
      <c r="B5030" s="1" t="n">
        <v>45922</v>
      </c>
      <c r="C5030" s="1" t="n">
        <v>46145</v>
      </c>
      <c r="D5030" t="inlineStr">
        <is>
          <t>VÄSTERBOTTENS LÄN</t>
        </is>
      </c>
      <c r="E5030" t="inlineStr">
        <is>
          <t>SKELLEFTEÅ</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45528-2025</t>
        </is>
      </c>
      <c r="B5031" s="1" t="n">
        <v>45922.59987268518</v>
      </c>
      <c r="C5031" s="1" t="n">
        <v>46145</v>
      </c>
      <c r="D5031" t="inlineStr">
        <is>
          <t>VÄSTERBOTTENS LÄN</t>
        </is>
      </c>
      <c r="E5031" t="inlineStr">
        <is>
          <t>NORDMALING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45092-2025</t>
        </is>
      </c>
      <c r="B5032" s="1" t="n">
        <v>45919.38167824074</v>
      </c>
      <c r="C5032" s="1" t="n">
        <v>46145</v>
      </c>
      <c r="D5032" t="inlineStr">
        <is>
          <t>VÄSTERBOTTENS LÄN</t>
        </is>
      </c>
      <c r="E5032" t="inlineStr">
        <is>
          <t>LYCKSELE</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45555-2025</t>
        </is>
      </c>
      <c r="B5033" s="1" t="n">
        <v>45922.64210648148</v>
      </c>
      <c r="C5033" s="1" t="n">
        <v>46145</v>
      </c>
      <c r="D5033" t="inlineStr">
        <is>
          <t>VÄSTERBOTTENS LÄN</t>
        </is>
      </c>
      <c r="E5033" t="inlineStr">
        <is>
          <t>SKELLEFTEÅ</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18231-2025</t>
        </is>
      </c>
      <c r="B5034" s="1" t="n">
        <v>45761.87467592592</v>
      </c>
      <c r="C5034" s="1" t="n">
        <v>46145</v>
      </c>
      <c r="D5034" t="inlineStr">
        <is>
          <t>VÄSTERBOTTENS LÄN</t>
        </is>
      </c>
      <c r="E5034" t="inlineStr">
        <is>
          <t>VÄNNÄS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45071-2025</t>
        </is>
      </c>
      <c r="B5035" s="1" t="n">
        <v>45919.35438657407</v>
      </c>
      <c r="C5035" s="1" t="n">
        <v>46145</v>
      </c>
      <c r="D5035" t="inlineStr">
        <is>
          <t>VÄSTERBOTTENS LÄN</t>
        </is>
      </c>
      <c r="E5035" t="inlineStr">
        <is>
          <t>VINDELN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18240-2025</t>
        </is>
      </c>
      <c r="B5036" s="1" t="n">
        <v>45762.29850694445</v>
      </c>
      <c r="C5036" s="1" t="n">
        <v>46145</v>
      </c>
      <c r="D5036" t="inlineStr">
        <is>
          <t>VÄSTERBOTTENS LÄN</t>
        </is>
      </c>
      <c r="E5036" t="inlineStr">
        <is>
          <t>SKELLEFTEÅ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45077-2025</t>
        </is>
      </c>
      <c r="B5037" s="1" t="n">
        <v>45919.36490740741</v>
      </c>
      <c r="C5037" s="1" t="n">
        <v>46145</v>
      </c>
      <c r="D5037" t="inlineStr">
        <is>
          <t>VÄSTERBOTTENS LÄN</t>
        </is>
      </c>
      <c r="E5037" t="inlineStr">
        <is>
          <t>LYCKSELE</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45087-2025</t>
        </is>
      </c>
      <c r="B5038" s="1" t="n">
        <v>45919.37033564815</v>
      </c>
      <c r="C5038" s="1" t="n">
        <v>46145</v>
      </c>
      <c r="D5038" t="inlineStr">
        <is>
          <t>VÄSTERBOTTENS LÄN</t>
        </is>
      </c>
      <c r="E5038" t="inlineStr">
        <is>
          <t>VINDELN</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45485-2025</t>
        </is>
      </c>
      <c r="B5039" s="1" t="n">
        <v>45922.54546296296</v>
      </c>
      <c r="C5039" s="1" t="n">
        <v>46145</v>
      </c>
      <c r="D5039" t="inlineStr">
        <is>
          <t>VÄSTERBOTTENS LÄN</t>
        </is>
      </c>
      <c r="E5039" t="inlineStr">
        <is>
          <t>SKELLEFTEÅ</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45163-2025</t>
        </is>
      </c>
      <c r="B5040" s="1" t="n">
        <v>45919.48994212963</v>
      </c>
      <c r="C5040" s="1" t="n">
        <v>46145</v>
      </c>
      <c r="D5040" t="inlineStr">
        <is>
          <t>VÄSTERBOTTENS LÄN</t>
        </is>
      </c>
      <c r="E5040" t="inlineStr">
        <is>
          <t>BJURHOLM</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45174-2025</t>
        </is>
      </c>
      <c r="B5041" s="1" t="n">
        <v>45919.52239583333</v>
      </c>
      <c r="C5041" s="1" t="n">
        <v>46145</v>
      </c>
      <c r="D5041" t="inlineStr">
        <is>
          <t>VÄSTERBOTTENS LÄN</t>
        </is>
      </c>
      <c r="E5041" t="inlineStr">
        <is>
          <t>LYCKSELE</t>
        </is>
      </c>
      <c r="F5041" t="inlineStr">
        <is>
          <t>Holmen skog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19764-2025</t>
        </is>
      </c>
      <c r="B5042" s="1" t="n">
        <v>45771.4071412037</v>
      </c>
      <c r="C5042" s="1" t="n">
        <v>46145</v>
      </c>
      <c r="D5042" t="inlineStr">
        <is>
          <t>VÄSTERBOTTENS LÄN</t>
        </is>
      </c>
      <c r="E5042" t="inlineStr">
        <is>
          <t>SKELLEFTEÅ</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45364-2025</t>
        </is>
      </c>
      <c r="B5043" s="1" t="n">
        <v>45922.38574074074</v>
      </c>
      <c r="C5043" s="1" t="n">
        <v>46145</v>
      </c>
      <c r="D5043" t="inlineStr">
        <is>
          <t>VÄSTERBOTTENS LÄN</t>
        </is>
      </c>
      <c r="E5043" t="inlineStr">
        <is>
          <t>SKELLEFTEÅ</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40130-2024</t>
        </is>
      </c>
      <c r="B5044" s="1" t="n">
        <v>45554.47037037037</v>
      </c>
      <c r="C5044" s="1" t="n">
        <v>46145</v>
      </c>
      <c r="D5044" t="inlineStr">
        <is>
          <t>VÄSTERBOTTENS LÄN</t>
        </is>
      </c>
      <c r="E5044" t="inlineStr">
        <is>
          <t>VINDELN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19195-2025</t>
        </is>
      </c>
      <c r="B5045" s="1" t="n">
        <v>45769.425625</v>
      </c>
      <c r="C5045" s="1" t="n">
        <v>46145</v>
      </c>
      <c r="D5045" t="inlineStr">
        <is>
          <t>VÄSTERBOTTENS LÄN</t>
        </is>
      </c>
      <c r="E5045" t="inlineStr">
        <is>
          <t>UMEÅ</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45393-2025</t>
        </is>
      </c>
      <c r="B5046" s="1" t="n">
        <v>45922.40796296296</v>
      </c>
      <c r="C5046" s="1" t="n">
        <v>46145</v>
      </c>
      <c r="D5046" t="inlineStr">
        <is>
          <t>VÄSTERBOTTENS LÄN</t>
        </is>
      </c>
      <c r="E5046" t="inlineStr">
        <is>
          <t>SKELLEFTEÅ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45395-2025</t>
        </is>
      </c>
      <c r="B5047" s="1" t="n">
        <v>45922.40936342593</v>
      </c>
      <c r="C5047" s="1" t="n">
        <v>46145</v>
      </c>
      <c r="D5047" t="inlineStr">
        <is>
          <t>VÄSTERBOTTENS LÄN</t>
        </is>
      </c>
      <c r="E5047" t="inlineStr">
        <is>
          <t>SORSELE</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45399-2025</t>
        </is>
      </c>
      <c r="B5048" s="1" t="n">
        <v>45922.42104166667</v>
      </c>
      <c r="C5048" s="1" t="n">
        <v>46145</v>
      </c>
      <c r="D5048" t="inlineStr">
        <is>
          <t>VÄSTERBOTTENS LÄN</t>
        </is>
      </c>
      <c r="E5048" t="inlineStr">
        <is>
          <t>ÅSELE</t>
        </is>
      </c>
      <c r="F5048" t="inlineStr">
        <is>
          <t>Holmen skog AB</t>
        </is>
      </c>
      <c r="G5048" t="n">
        <v>17.7</v>
      </c>
      <c r="H5048" t="n">
        <v>0</v>
      </c>
      <c r="I5048" t="n">
        <v>0</v>
      </c>
      <c r="J5048" t="n">
        <v>0</v>
      </c>
      <c r="K5048" t="n">
        <v>0</v>
      </c>
      <c r="L5048" t="n">
        <v>0</v>
      </c>
      <c r="M5048" t="n">
        <v>0</v>
      </c>
      <c r="N5048" t="n">
        <v>0</v>
      </c>
      <c r="O5048" t="n">
        <v>0</v>
      </c>
      <c r="P5048" t="n">
        <v>0</v>
      </c>
      <c r="Q5048" t="n">
        <v>0</v>
      </c>
      <c r="R5048" s="2" t="inlineStr"/>
    </row>
    <row r="5049" ht="15" customHeight="1">
      <c r="A5049" t="inlineStr">
        <is>
          <t>A 45392-2025</t>
        </is>
      </c>
      <c r="B5049" s="1" t="n">
        <v>45922.40791666666</v>
      </c>
      <c r="C5049" s="1" t="n">
        <v>46145</v>
      </c>
      <c r="D5049" t="inlineStr">
        <is>
          <t>VÄSTERBOTTENS LÄN</t>
        </is>
      </c>
      <c r="E5049" t="inlineStr">
        <is>
          <t>SKELLEFTEÅ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58538-2021</t>
        </is>
      </c>
      <c r="B5050" s="1" t="n">
        <v>44488.6871875</v>
      </c>
      <c r="C5050" s="1" t="n">
        <v>46145</v>
      </c>
      <c r="D5050" t="inlineStr">
        <is>
          <t>VÄSTERBOTTENS LÄN</t>
        </is>
      </c>
      <c r="E5050" t="inlineStr">
        <is>
          <t>UMEÅ</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45435-2025</t>
        </is>
      </c>
      <c r="B5051" s="1" t="n">
        <v>45922.46759259259</v>
      </c>
      <c r="C5051" s="1" t="n">
        <v>46145</v>
      </c>
      <c r="D5051" t="inlineStr">
        <is>
          <t>VÄSTERBOTTENS LÄN</t>
        </is>
      </c>
      <c r="E5051" t="inlineStr">
        <is>
          <t>VILHELMINA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12712-2025</t>
        </is>
      </c>
      <c r="B5052" s="1" t="n">
        <v>45733.47311342593</v>
      </c>
      <c r="C5052" s="1" t="n">
        <v>46145</v>
      </c>
      <c r="D5052" t="inlineStr">
        <is>
          <t>VÄSTERBOTTENS LÄN</t>
        </is>
      </c>
      <c r="E5052" t="inlineStr">
        <is>
          <t>SKELLEFTEÅ</t>
        </is>
      </c>
      <c r="G5052" t="n">
        <v>13.6</v>
      </c>
      <c r="H5052" t="n">
        <v>0</v>
      </c>
      <c r="I5052" t="n">
        <v>0</v>
      </c>
      <c r="J5052" t="n">
        <v>0</v>
      </c>
      <c r="K5052" t="n">
        <v>0</v>
      </c>
      <c r="L5052" t="n">
        <v>0</v>
      </c>
      <c r="M5052" t="n">
        <v>0</v>
      </c>
      <c r="N5052" t="n">
        <v>0</v>
      </c>
      <c r="O5052" t="n">
        <v>0</v>
      </c>
      <c r="P5052" t="n">
        <v>0</v>
      </c>
      <c r="Q5052" t="n">
        <v>0</v>
      </c>
      <c r="R5052" s="2" t="inlineStr"/>
    </row>
    <row r="5053" ht="15" customHeight="1">
      <c r="A5053" t="inlineStr">
        <is>
          <t>A 45504-2025</t>
        </is>
      </c>
      <c r="B5053" s="1" t="n">
        <v>45922</v>
      </c>
      <c r="C5053" s="1" t="n">
        <v>46145</v>
      </c>
      <c r="D5053" t="inlineStr">
        <is>
          <t>VÄSTERBOTTENS LÄN</t>
        </is>
      </c>
      <c r="E5053" t="inlineStr">
        <is>
          <t>ÅSELE</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16274-2022</t>
        </is>
      </c>
      <c r="B5054" s="1" t="n">
        <v>44670</v>
      </c>
      <c r="C5054" s="1" t="n">
        <v>46145</v>
      </c>
      <c r="D5054" t="inlineStr">
        <is>
          <t>VÄSTERBOTTENS LÄN</t>
        </is>
      </c>
      <c r="E5054" t="inlineStr">
        <is>
          <t>LYCKSELE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45487-2025</t>
        </is>
      </c>
      <c r="B5055" s="1" t="n">
        <v>45922.55172453704</v>
      </c>
      <c r="C5055" s="1" t="n">
        <v>46145</v>
      </c>
      <c r="D5055" t="inlineStr">
        <is>
          <t>VÄSTERBOTTENS LÄN</t>
        </is>
      </c>
      <c r="E5055" t="inlineStr">
        <is>
          <t>UMEÅ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45144-2025</t>
        </is>
      </c>
      <c r="B5056" s="1" t="n">
        <v>45919.46461805556</v>
      </c>
      <c r="C5056" s="1" t="n">
        <v>46145</v>
      </c>
      <c r="D5056" t="inlineStr">
        <is>
          <t>VÄSTERBOTTENS LÄN</t>
        </is>
      </c>
      <c r="E5056" t="inlineStr">
        <is>
          <t>VINDELN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17924-2023</t>
        </is>
      </c>
      <c r="B5057" s="1" t="n">
        <v>45037</v>
      </c>
      <c r="C5057" s="1" t="n">
        <v>46145</v>
      </c>
      <c r="D5057" t="inlineStr">
        <is>
          <t>VÄSTERBOTTENS LÄN</t>
        </is>
      </c>
      <c r="E5057" t="inlineStr">
        <is>
          <t>UMEÅ</t>
        </is>
      </c>
      <c r="F5057" t="inlineStr">
        <is>
          <t>Kommuner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17949-2023</t>
        </is>
      </c>
      <c r="B5058" s="1" t="n">
        <v>45037</v>
      </c>
      <c r="C5058" s="1" t="n">
        <v>46145</v>
      </c>
      <c r="D5058" t="inlineStr">
        <is>
          <t>VÄSTERBOTTENS LÄN</t>
        </is>
      </c>
      <c r="E5058" t="inlineStr">
        <is>
          <t>UMEÅ</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28998-2022</t>
        </is>
      </c>
      <c r="B5059" s="1" t="n">
        <v>44749</v>
      </c>
      <c r="C5059" s="1" t="n">
        <v>46145</v>
      </c>
      <c r="D5059" t="inlineStr">
        <is>
          <t>VÄSTERBOTTENS LÄN</t>
        </is>
      </c>
      <c r="E5059" t="inlineStr">
        <is>
          <t>VINDELN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45168-2025</t>
        </is>
      </c>
      <c r="B5060" s="1" t="n">
        <v>45919.49429398148</v>
      </c>
      <c r="C5060" s="1" t="n">
        <v>46145</v>
      </c>
      <c r="D5060" t="inlineStr">
        <is>
          <t>VÄSTERBOTTENS LÄN</t>
        </is>
      </c>
      <c r="E5060" t="inlineStr">
        <is>
          <t>BJURHOLM</t>
        </is>
      </c>
      <c r="G5060" t="n">
        <v>18.5</v>
      </c>
      <c r="H5060" t="n">
        <v>0</v>
      </c>
      <c r="I5060" t="n">
        <v>0</v>
      </c>
      <c r="J5060" t="n">
        <v>0</v>
      </c>
      <c r="K5060" t="n">
        <v>0</v>
      </c>
      <c r="L5060" t="n">
        <v>0</v>
      </c>
      <c r="M5060" t="n">
        <v>0</v>
      </c>
      <c r="N5060" t="n">
        <v>0</v>
      </c>
      <c r="O5060" t="n">
        <v>0</v>
      </c>
      <c r="P5060" t="n">
        <v>0</v>
      </c>
      <c r="Q5060" t="n">
        <v>0</v>
      </c>
      <c r="R5060" s="2" t="inlineStr"/>
    </row>
    <row r="5061" ht="15" customHeight="1">
      <c r="A5061" t="inlineStr">
        <is>
          <t>A 45499-2025</t>
        </is>
      </c>
      <c r="B5061" s="1" t="n">
        <v>45922.56931712963</v>
      </c>
      <c r="C5061" s="1" t="n">
        <v>46145</v>
      </c>
      <c r="D5061" t="inlineStr">
        <is>
          <t>VÄSTERBOTTENS LÄN</t>
        </is>
      </c>
      <c r="E5061" t="inlineStr">
        <is>
          <t>ROBERTSFORS</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45172-2025</t>
        </is>
      </c>
      <c r="B5062" s="1" t="n">
        <v>45919.5108912037</v>
      </c>
      <c r="C5062" s="1" t="n">
        <v>46145</v>
      </c>
      <c r="D5062" t="inlineStr">
        <is>
          <t>VÄSTERBOTTENS LÄN</t>
        </is>
      </c>
      <c r="E5062" t="inlineStr">
        <is>
          <t>NORDMALING</t>
        </is>
      </c>
      <c r="F5062" t="inlineStr">
        <is>
          <t>SCA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31442-2024</t>
        </is>
      </c>
      <c r="B5063" s="1" t="n">
        <v>45505</v>
      </c>
      <c r="C5063" s="1" t="n">
        <v>46145</v>
      </c>
      <c r="D5063" t="inlineStr">
        <is>
          <t>VÄSTERBOTTENS LÄN</t>
        </is>
      </c>
      <c r="E5063" t="inlineStr">
        <is>
          <t>UMEÅ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31453-2024</t>
        </is>
      </c>
      <c r="B5064" s="1" t="n">
        <v>45505.9484837963</v>
      </c>
      <c r="C5064" s="1" t="n">
        <v>46145</v>
      </c>
      <c r="D5064" t="inlineStr">
        <is>
          <t>VÄSTERBOTTENS LÄN</t>
        </is>
      </c>
      <c r="E5064" t="inlineStr">
        <is>
          <t>LYCKSELE</t>
        </is>
      </c>
      <c r="F5064" t="inlineStr">
        <is>
          <t>SCA</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45365-2025</t>
        </is>
      </c>
      <c r="B5065" s="1" t="n">
        <v>45922.38581018519</v>
      </c>
      <c r="C5065" s="1" t="n">
        <v>46145</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45409-2025</t>
        </is>
      </c>
      <c r="B5066" s="1" t="n">
        <v>45922.43385416667</v>
      </c>
      <c r="C5066" s="1" t="n">
        <v>46145</v>
      </c>
      <c r="D5066" t="inlineStr">
        <is>
          <t>VÄSTERBOTTENS LÄN</t>
        </is>
      </c>
      <c r="E5066" t="inlineStr">
        <is>
          <t>SKELLEFTEÅ</t>
        </is>
      </c>
      <c r="F5066" t="inlineStr">
        <is>
          <t>Holmen skog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17805-2025</t>
        </is>
      </c>
      <c r="B5067" s="1" t="n">
        <v>45758.5525462963</v>
      </c>
      <c r="C5067" s="1" t="n">
        <v>46145</v>
      </c>
      <c r="D5067" t="inlineStr">
        <is>
          <t>VÄSTERBOTTENS LÄN</t>
        </is>
      </c>
      <c r="E5067" t="inlineStr">
        <is>
          <t>ÅSELE</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45296-2025</t>
        </is>
      </c>
      <c r="B5068" s="1" t="n">
        <v>45920.82388888889</v>
      </c>
      <c r="C5068" s="1" t="n">
        <v>46145</v>
      </c>
      <c r="D5068" t="inlineStr">
        <is>
          <t>VÄSTERBOTTENS LÄN</t>
        </is>
      </c>
      <c r="E5068" t="inlineStr">
        <is>
          <t>BJURHOLM</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17869-2025</t>
        </is>
      </c>
      <c r="B5069" s="1" t="n">
        <v>45758.63265046296</v>
      </c>
      <c r="C5069" s="1" t="n">
        <v>46145</v>
      </c>
      <c r="D5069" t="inlineStr">
        <is>
          <t>VÄSTERBOTTENS LÄN</t>
        </is>
      </c>
      <c r="E5069" t="inlineStr">
        <is>
          <t>SORSELE</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17870-2025</t>
        </is>
      </c>
      <c r="B5070" s="1" t="n">
        <v>45758.63540509259</v>
      </c>
      <c r="C5070" s="1" t="n">
        <v>46145</v>
      </c>
      <c r="D5070" t="inlineStr">
        <is>
          <t>VÄSTERBOTTENS LÄN</t>
        </is>
      </c>
      <c r="E5070" t="inlineStr">
        <is>
          <t>SORSELE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16186-2023</t>
        </is>
      </c>
      <c r="B5071" s="1" t="n">
        <v>45027.925625</v>
      </c>
      <c r="C5071" s="1" t="n">
        <v>46145</v>
      </c>
      <c r="D5071" t="inlineStr">
        <is>
          <t>VÄSTERBOTTENS LÄN</t>
        </is>
      </c>
      <c r="E5071" t="inlineStr">
        <is>
          <t>SKELLEFTEÅ</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12445-2025</t>
        </is>
      </c>
      <c r="B5072" s="1" t="n">
        <v>45730.48341435185</v>
      </c>
      <c r="C5072" s="1" t="n">
        <v>46145</v>
      </c>
      <c r="D5072" t="inlineStr">
        <is>
          <t>VÄSTERBOTTENS LÄN</t>
        </is>
      </c>
      <c r="E5072" t="inlineStr">
        <is>
          <t>NORSJÖ</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19531-2025</t>
        </is>
      </c>
      <c r="B5073" s="1" t="n">
        <v>45770.46910879629</v>
      </c>
      <c r="C5073" s="1" t="n">
        <v>46145</v>
      </c>
      <c r="D5073" t="inlineStr">
        <is>
          <t>VÄSTERBOTTENS LÄN</t>
        </is>
      </c>
      <c r="E5073" t="inlineStr">
        <is>
          <t>LYCKSELE</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19572-2025</t>
        </is>
      </c>
      <c r="B5074" s="1" t="n">
        <v>45770.55261574074</v>
      </c>
      <c r="C5074" s="1" t="n">
        <v>46145</v>
      </c>
      <c r="D5074" t="inlineStr">
        <is>
          <t>VÄSTERBOTTENS LÄN</t>
        </is>
      </c>
      <c r="E5074" t="inlineStr">
        <is>
          <t>ÅSELE</t>
        </is>
      </c>
      <c r="F5074" t="inlineStr">
        <is>
          <t>SCA</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45326-2025</t>
        </is>
      </c>
      <c r="B5075" s="1" t="n">
        <v>45922.32254629629</v>
      </c>
      <c r="C5075" s="1" t="n">
        <v>46145</v>
      </c>
      <c r="D5075" t="inlineStr">
        <is>
          <t>VÄSTERBOTTENS LÄN</t>
        </is>
      </c>
      <c r="E5075" t="inlineStr">
        <is>
          <t>NORDMALING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4215-2025</t>
        </is>
      </c>
      <c r="B5076" s="1" t="n">
        <v>45685.49891203704</v>
      </c>
      <c r="C5076" s="1" t="n">
        <v>46145</v>
      </c>
      <c r="D5076" t="inlineStr">
        <is>
          <t>VÄSTERBOTTENS LÄN</t>
        </is>
      </c>
      <c r="E5076" t="inlineStr">
        <is>
          <t>LYCKSELE</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1959-2025</t>
        </is>
      </c>
      <c r="B5077" s="1" t="n">
        <v>45671</v>
      </c>
      <c r="C5077" s="1" t="n">
        <v>46145</v>
      </c>
      <c r="D5077" t="inlineStr">
        <is>
          <t>VÄSTERBOTTENS LÄN</t>
        </is>
      </c>
      <c r="E5077" t="inlineStr">
        <is>
          <t>SKELLEFTEÅ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45837-2025</t>
        </is>
      </c>
      <c r="B5078" s="1" t="n">
        <v>45923.61178240741</v>
      </c>
      <c r="C5078" s="1" t="n">
        <v>46145</v>
      </c>
      <c r="D5078" t="inlineStr">
        <is>
          <t>VÄSTERBOTTENS LÄN</t>
        </is>
      </c>
      <c r="E5078" t="inlineStr">
        <is>
          <t>LYCKSELE</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15301-2025</t>
        </is>
      </c>
      <c r="B5079" s="1" t="n">
        <v>45746.47777777778</v>
      </c>
      <c r="C5079" s="1" t="n">
        <v>46145</v>
      </c>
      <c r="D5079" t="inlineStr">
        <is>
          <t>VÄSTERBOTTENS LÄN</t>
        </is>
      </c>
      <c r="E5079" t="inlineStr">
        <is>
          <t>SKELLEFTEÅ</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16251-2025</t>
        </is>
      </c>
      <c r="B5080" s="1" t="n">
        <v>45750.69998842593</v>
      </c>
      <c r="C5080" s="1" t="n">
        <v>46145</v>
      </c>
      <c r="D5080" t="inlineStr">
        <is>
          <t>VÄSTERBOTTENS LÄN</t>
        </is>
      </c>
      <c r="E5080" t="inlineStr">
        <is>
          <t>SKELLEFTEÅ</t>
        </is>
      </c>
      <c r="F5080" t="inlineStr">
        <is>
          <t>Kommuner</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6279-2025</t>
        </is>
      </c>
      <c r="B5081" s="1" t="n">
        <v>45698.62097222222</v>
      </c>
      <c r="C5081" s="1" t="n">
        <v>46145</v>
      </c>
      <c r="D5081" t="inlineStr">
        <is>
          <t>VÄSTERBOTTENS LÄN</t>
        </is>
      </c>
      <c r="E5081" t="inlineStr">
        <is>
          <t>UMEÅ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46153-2025</t>
        </is>
      </c>
      <c r="B5082" s="1" t="n">
        <v>45924.61528935185</v>
      </c>
      <c r="C5082" s="1" t="n">
        <v>46145</v>
      </c>
      <c r="D5082" t="inlineStr">
        <is>
          <t>VÄSTERBOTTENS LÄN</t>
        </is>
      </c>
      <c r="E5082" t="inlineStr">
        <is>
          <t>VINDELN</t>
        </is>
      </c>
      <c r="F5082" t="inlineStr">
        <is>
          <t>SCA</t>
        </is>
      </c>
      <c r="G5082" t="n">
        <v>40.1</v>
      </c>
      <c r="H5082" t="n">
        <v>0</v>
      </c>
      <c r="I5082" t="n">
        <v>0</v>
      </c>
      <c r="J5082" t="n">
        <v>0</v>
      </c>
      <c r="K5082" t="n">
        <v>0</v>
      </c>
      <c r="L5082" t="n">
        <v>0</v>
      </c>
      <c r="M5082" t="n">
        <v>0</v>
      </c>
      <c r="N5082" t="n">
        <v>0</v>
      </c>
      <c r="O5082" t="n">
        <v>0</v>
      </c>
      <c r="P5082" t="n">
        <v>0</v>
      </c>
      <c r="Q5082" t="n">
        <v>0</v>
      </c>
      <c r="R5082" s="2" t="inlineStr"/>
    </row>
    <row r="5083" ht="15" customHeight="1">
      <c r="A5083" t="inlineStr">
        <is>
          <t>A 46168-2025</t>
        </is>
      </c>
      <c r="B5083" s="1" t="n">
        <v>45924.64480324074</v>
      </c>
      <c r="C5083" s="1" t="n">
        <v>46145</v>
      </c>
      <c r="D5083" t="inlineStr">
        <is>
          <t>VÄSTERBOTTENS LÄN</t>
        </is>
      </c>
      <c r="E5083" t="inlineStr">
        <is>
          <t>ROBERTSFORS</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45666-2025</t>
        </is>
      </c>
      <c r="B5084" s="1" t="n">
        <v>45923.34827546297</v>
      </c>
      <c r="C5084" s="1" t="n">
        <v>46145</v>
      </c>
      <c r="D5084" t="inlineStr">
        <is>
          <t>VÄSTERBOTTENS LÄN</t>
        </is>
      </c>
      <c r="E5084" t="inlineStr">
        <is>
          <t>SKELLEFTEÅ</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45675-2025</t>
        </is>
      </c>
      <c r="B5085" s="1" t="n">
        <v>45923.36356481481</v>
      </c>
      <c r="C5085" s="1" t="n">
        <v>46145</v>
      </c>
      <c r="D5085" t="inlineStr">
        <is>
          <t>VÄSTERBOTTENS LÄN</t>
        </is>
      </c>
      <c r="E5085" t="inlineStr">
        <is>
          <t>NORDMALING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16212-2023</t>
        </is>
      </c>
      <c r="B5086" s="1" t="n">
        <v>45028</v>
      </c>
      <c r="C5086" s="1" t="n">
        <v>46145</v>
      </c>
      <c r="D5086" t="inlineStr">
        <is>
          <t>VÄSTERBOTTENS LÄN</t>
        </is>
      </c>
      <c r="E5086" t="inlineStr">
        <is>
          <t>NORDMALING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16148-2025</t>
        </is>
      </c>
      <c r="B5087" s="1" t="n">
        <v>45750.46479166667</v>
      </c>
      <c r="C5087" s="1" t="n">
        <v>46145</v>
      </c>
      <c r="D5087" t="inlineStr">
        <is>
          <t>VÄSTERBOTTENS LÄN</t>
        </is>
      </c>
      <c r="E5087" t="inlineStr">
        <is>
          <t>BJURHOLM</t>
        </is>
      </c>
      <c r="F5087" t="inlineStr">
        <is>
          <t>Sveaskog</t>
        </is>
      </c>
      <c r="G5087" t="n">
        <v>10.6</v>
      </c>
      <c r="H5087" t="n">
        <v>0</v>
      </c>
      <c r="I5087" t="n">
        <v>0</v>
      </c>
      <c r="J5087" t="n">
        <v>0</v>
      </c>
      <c r="K5087" t="n">
        <v>0</v>
      </c>
      <c r="L5087" t="n">
        <v>0</v>
      </c>
      <c r="M5087" t="n">
        <v>0</v>
      </c>
      <c r="N5087" t="n">
        <v>0</v>
      </c>
      <c r="O5087" t="n">
        <v>0</v>
      </c>
      <c r="P5087" t="n">
        <v>0</v>
      </c>
      <c r="Q5087" t="n">
        <v>0</v>
      </c>
      <c r="R5087" s="2" t="inlineStr"/>
    </row>
    <row r="5088" ht="15" customHeight="1">
      <c r="A5088" t="inlineStr">
        <is>
          <t>A 6326-2025</t>
        </is>
      </c>
      <c r="B5088" s="1" t="n">
        <v>45698.85268518519</v>
      </c>
      <c r="C5088" s="1" t="n">
        <v>46145</v>
      </c>
      <c r="D5088" t="inlineStr">
        <is>
          <t>VÄSTERBOTTENS LÄN</t>
        </is>
      </c>
      <c r="E5088" t="inlineStr">
        <is>
          <t>ÅSELE</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45743-2025</t>
        </is>
      </c>
      <c r="B5089" s="1" t="n">
        <v>45923.47471064814</v>
      </c>
      <c r="C5089" s="1" t="n">
        <v>46145</v>
      </c>
      <c r="D5089" t="inlineStr">
        <is>
          <t>VÄSTERBOTTENS LÄN</t>
        </is>
      </c>
      <c r="E5089" t="inlineStr">
        <is>
          <t>ÅSELE</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45745-2025</t>
        </is>
      </c>
      <c r="B5090" s="1" t="n">
        <v>45923.4768287037</v>
      </c>
      <c r="C5090" s="1" t="n">
        <v>46145</v>
      </c>
      <c r="D5090" t="inlineStr">
        <is>
          <t>VÄSTERBOTTENS LÄN</t>
        </is>
      </c>
      <c r="E5090" t="inlineStr">
        <is>
          <t>ÅSELE</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45964-2025</t>
        </is>
      </c>
      <c r="B5091" s="1" t="n">
        <v>45924.3553587963</v>
      </c>
      <c r="C5091" s="1" t="n">
        <v>46145</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20228-2023</t>
        </is>
      </c>
      <c r="B5092" s="1" t="n">
        <v>45055</v>
      </c>
      <c r="C5092" s="1" t="n">
        <v>46145</v>
      </c>
      <c r="D5092" t="inlineStr">
        <is>
          <t>VÄSTERBOTTENS LÄN</t>
        </is>
      </c>
      <c r="E5092" t="inlineStr">
        <is>
          <t>VÄNNÄS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57236-2022</t>
        </is>
      </c>
      <c r="B5093" s="1" t="n">
        <v>44889</v>
      </c>
      <c r="C5093" s="1" t="n">
        <v>46145</v>
      </c>
      <c r="D5093" t="inlineStr">
        <is>
          <t>VÄSTERBOTTENS LÄN</t>
        </is>
      </c>
      <c r="E5093" t="inlineStr">
        <is>
          <t>DOROTEA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46207-2025</t>
        </is>
      </c>
      <c r="B5094" s="1" t="n">
        <v>45924.70613425926</v>
      </c>
      <c r="C5094" s="1" t="n">
        <v>46145</v>
      </c>
      <c r="D5094" t="inlineStr">
        <is>
          <t>VÄSTERBOTTENS LÄN</t>
        </is>
      </c>
      <c r="E5094" t="inlineStr">
        <is>
          <t>VINDELN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46210-2025</t>
        </is>
      </c>
      <c r="B5095" s="1" t="n">
        <v>45924.7065625</v>
      </c>
      <c r="C5095" s="1" t="n">
        <v>46145</v>
      </c>
      <c r="D5095" t="inlineStr">
        <is>
          <t>VÄSTERBOTTENS LÄN</t>
        </is>
      </c>
      <c r="E5095" t="inlineStr">
        <is>
          <t>VINDELN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13768-2023</t>
        </is>
      </c>
      <c r="B5096" s="1" t="n">
        <v>45006</v>
      </c>
      <c r="C5096" s="1" t="n">
        <v>46145</v>
      </c>
      <c r="D5096" t="inlineStr">
        <is>
          <t>VÄSTERBOTTENS LÄN</t>
        </is>
      </c>
      <c r="E5096" t="inlineStr">
        <is>
          <t>UMEÅ</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46062-2025</t>
        </is>
      </c>
      <c r="B5097" s="1" t="n">
        <v>45924.4768287037</v>
      </c>
      <c r="C5097" s="1" t="n">
        <v>46145</v>
      </c>
      <c r="D5097" t="inlineStr">
        <is>
          <t>VÄSTERBOTTENS LÄN</t>
        </is>
      </c>
      <c r="E5097" t="inlineStr">
        <is>
          <t>UMEÅ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1508-2025</t>
        </is>
      </c>
      <c r="B5098" s="1" t="n">
        <v>45670.4403587963</v>
      </c>
      <c r="C5098" s="1" t="n">
        <v>46145</v>
      </c>
      <c r="D5098" t="inlineStr">
        <is>
          <t>VÄSTERBOTTENS LÄN</t>
        </is>
      </c>
      <c r="E5098" t="inlineStr">
        <is>
          <t>UMEÅ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45779-2025</t>
        </is>
      </c>
      <c r="B5099" s="1" t="n">
        <v>45923</v>
      </c>
      <c r="C5099" s="1" t="n">
        <v>46145</v>
      </c>
      <c r="D5099" t="inlineStr">
        <is>
          <t>VÄSTERBOTTENS LÄN</t>
        </is>
      </c>
      <c r="E5099" t="inlineStr">
        <is>
          <t>SKELLEFTEÅ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60842-2023</t>
        </is>
      </c>
      <c r="B5100" s="1" t="n">
        <v>45260.9258912037</v>
      </c>
      <c r="C5100" s="1" t="n">
        <v>46145</v>
      </c>
      <c r="D5100" t="inlineStr">
        <is>
          <t>VÄSTERBOTTENS LÄN</t>
        </is>
      </c>
      <c r="E5100" t="inlineStr">
        <is>
          <t>VILHELMINA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45876-2025</t>
        </is>
      </c>
      <c r="B5101" s="1" t="n">
        <v>45923.65701388889</v>
      </c>
      <c r="C5101" s="1" t="n">
        <v>46145</v>
      </c>
      <c r="D5101" t="inlineStr">
        <is>
          <t>VÄSTERBOTTENS LÄN</t>
        </is>
      </c>
      <c r="E5101" t="inlineStr">
        <is>
          <t>UMEÅ</t>
        </is>
      </c>
      <c r="G5101" t="n">
        <v>12.7</v>
      </c>
      <c r="H5101" t="n">
        <v>0</v>
      </c>
      <c r="I5101" t="n">
        <v>0</v>
      </c>
      <c r="J5101" t="n">
        <v>0</v>
      </c>
      <c r="K5101" t="n">
        <v>0</v>
      </c>
      <c r="L5101" t="n">
        <v>0</v>
      </c>
      <c r="M5101" t="n">
        <v>0</v>
      </c>
      <c r="N5101" t="n">
        <v>0</v>
      </c>
      <c r="O5101" t="n">
        <v>0</v>
      </c>
      <c r="P5101" t="n">
        <v>0</v>
      </c>
      <c r="Q5101" t="n">
        <v>0</v>
      </c>
      <c r="R5101" s="2" t="inlineStr"/>
    </row>
    <row r="5102" ht="15" customHeight="1">
      <c r="A5102" t="inlineStr">
        <is>
          <t>A 37855-2023</t>
        </is>
      </c>
      <c r="B5102" s="1" t="n">
        <v>45160.40148148148</v>
      </c>
      <c r="C5102" s="1" t="n">
        <v>46145</v>
      </c>
      <c r="D5102" t="inlineStr">
        <is>
          <t>VÄSTERBOTTENS LÄN</t>
        </is>
      </c>
      <c r="E5102" t="inlineStr">
        <is>
          <t>SKELLEFTEÅ</t>
        </is>
      </c>
      <c r="F5102" t="inlineStr">
        <is>
          <t>Holmen skog AB</t>
        </is>
      </c>
      <c r="G5102" t="n">
        <v>12.3</v>
      </c>
      <c r="H5102" t="n">
        <v>0</v>
      </c>
      <c r="I5102" t="n">
        <v>0</v>
      </c>
      <c r="J5102" t="n">
        <v>0</v>
      </c>
      <c r="K5102" t="n">
        <v>0</v>
      </c>
      <c r="L5102" t="n">
        <v>0</v>
      </c>
      <c r="M5102" t="n">
        <v>0</v>
      </c>
      <c r="N5102" t="n">
        <v>0</v>
      </c>
      <c r="O5102" t="n">
        <v>0</v>
      </c>
      <c r="P5102" t="n">
        <v>0</v>
      </c>
      <c r="Q5102" t="n">
        <v>0</v>
      </c>
      <c r="R5102" s="2" t="inlineStr"/>
    </row>
    <row r="5103" ht="15" customHeight="1">
      <c r="A5103" t="inlineStr">
        <is>
          <t>A 45655-2025</t>
        </is>
      </c>
      <c r="B5103" s="1" t="n">
        <v>45923.34252314815</v>
      </c>
      <c r="C5103" s="1" t="n">
        <v>46145</v>
      </c>
      <c r="D5103" t="inlineStr">
        <is>
          <t>VÄSTERBOTTENS LÄN</t>
        </is>
      </c>
      <c r="E5103" t="inlineStr">
        <is>
          <t>SKELLEFTEÅ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45658-2025</t>
        </is>
      </c>
      <c r="B5104" s="1" t="n">
        <v>45923.34459490741</v>
      </c>
      <c r="C5104" s="1" t="n">
        <v>46145</v>
      </c>
      <c r="D5104" t="inlineStr">
        <is>
          <t>VÄSTERBOTTENS LÄN</t>
        </is>
      </c>
      <c r="E5104" t="inlineStr">
        <is>
          <t>SKELLEFTEÅ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38808-2023</t>
        </is>
      </c>
      <c r="B5105" s="1" t="n">
        <v>45161</v>
      </c>
      <c r="C5105" s="1" t="n">
        <v>46145</v>
      </c>
      <c r="D5105" t="inlineStr">
        <is>
          <t>VÄSTERBOTTENS LÄN</t>
        </is>
      </c>
      <c r="E5105" t="inlineStr">
        <is>
          <t>NORSJÖ</t>
        </is>
      </c>
      <c r="G5105" t="n">
        <v>20.4</v>
      </c>
      <c r="H5105" t="n">
        <v>0</v>
      </c>
      <c r="I5105" t="n">
        <v>0</v>
      </c>
      <c r="J5105" t="n">
        <v>0</v>
      </c>
      <c r="K5105" t="n">
        <v>0</v>
      </c>
      <c r="L5105" t="n">
        <v>0</v>
      </c>
      <c r="M5105" t="n">
        <v>0</v>
      </c>
      <c r="N5105" t="n">
        <v>0</v>
      </c>
      <c r="O5105" t="n">
        <v>0</v>
      </c>
      <c r="P5105" t="n">
        <v>0</v>
      </c>
      <c r="Q5105" t="n">
        <v>0</v>
      </c>
      <c r="R5105" s="2" t="inlineStr"/>
    </row>
    <row r="5106" ht="15" customHeight="1">
      <c r="A5106" t="inlineStr">
        <is>
          <t>A 46206-2025</t>
        </is>
      </c>
      <c r="B5106" s="1" t="n">
        <v>45924.7058912037</v>
      </c>
      <c r="C5106" s="1" t="n">
        <v>46145</v>
      </c>
      <c r="D5106" t="inlineStr">
        <is>
          <t>VÄSTERBOTTENS LÄN</t>
        </is>
      </c>
      <c r="E5106" t="inlineStr">
        <is>
          <t>VINDELN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55134-2022</t>
        </is>
      </c>
      <c r="B5107" s="1" t="n">
        <v>44886</v>
      </c>
      <c r="C5107" s="1" t="n">
        <v>46145</v>
      </c>
      <c r="D5107" t="inlineStr">
        <is>
          <t>VÄSTERBOTTENS LÄN</t>
        </is>
      </c>
      <c r="E5107" t="inlineStr">
        <is>
          <t>VINDELN</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5639-2024</t>
        </is>
      </c>
      <c r="B5108" s="1" t="n">
        <v>45334.61408564815</v>
      </c>
      <c r="C5108" s="1" t="n">
        <v>46145</v>
      </c>
      <c r="D5108" t="inlineStr">
        <is>
          <t>VÄSTERBOTTENS LÄN</t>
        </is>
      </c>
      <c r="E5108" t="inlineStr">
        <is>
          <t>SKELLEFTEÅ</t>
        </is>
      </c>
      <c r="G5108" t="n">
        <v>9.4</v>
      </c>
      <c r="H5108" t="n">
        <v>0</v>
      </c>
      <c r="I5108" t="n">
        <v>0</v>
      </c>
      <c r="J5108" t="n">
        <v>0</v>
      </c>
      <c r="K5108" t="n">
        <v>0</v>
      </c>
      <c r="L5108" t="n">
        <v>0</v>
      </c>
      <c r="M5108" t="n">
        <v>0</v>
      </c>
      <c r="N5108" t="n">
        <v>0</v>
      </c>
      <c r="O5108" t="n">
        <v>0</v>
      </c>
      <c r="P5108" t="n">
        <v>0</v>
      </c>
      <c r="Q5108" t="n">
        <v>0</v>
      </c>
      <c r="R5108" s="2" t="inlineStr"/>
    </row>
    <row r="5109" ht="15" customHeight="1">
      <c r="A5109" t="inlineStr">
        <is>
          <t>A 46074-2025</t>
        </is>
      </c>
      <c r="B5109" s="1" t="n">
        <v>45924.50053240741</v>
      </c>
      <c r="C5109" s="1" t="n">
        <v>46145</v>
      </c>
      <c r="D5109" t="inlineStr">
        <is>
          <t>VÄSTERBOTTENS LÄN</t>
        </is>
      </c>
      <c r="E5109" t="inlineStr">
        <is>
          <t>LYCKSELE</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7373-2024</t>
        </is>
      </c>
      <c r="B5110" s="1" t="n">
        <v>45345</v>
      </c>
      <c r="C5110" s="1" t="n">
        <v>46145</v>
      </c>
      <c r="D5110" t="inlineStr">
        <is>
          <t>VÄSTERBOTTENS LÄN</t>
        </is>
      </c>
      <c r="E5110" t="inlineStr">
        <is>
          <t>UMEÅ</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34406-2025</t>
        </is>
      </c>
      <c r="B5111" s="1" t="n">
        <v>45845</v>
      </c>
      <c r="C5111" s="1" t="n">
        <v>46145</v>
      </c>
      <c r="D5111" t="inlineStr">
        <is>
          <t>VÄSTERBOTTENS LÄN</t>
        </is>
      </c>
      <c r="E5111" t="inlineStr">
        <is>
          <t>DOROTEA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45654-2025</t>
        </is>
      </c>
      <c r="B5112" s="1" t="n">
        <v>45923.33994212963</v>
      </c>
      <c r="C5112" s="1" t="n">
        <v>46145</v>
      </c>
      <c r="D5112" t="inlineStr">
        <is>
          <t>VÄSTERBOTTENS LÄN</t>
        </is>
      </c>
      <c r="E5112" t="inlineStr">
        <is>
          <t>SKELLEFTEÅ</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45662-2025</t>
        </is>
      </c>
      <c r="B5113" s="1" t="n">
        <v>45923.34506944445</v>
      </c>
      <c r="C5113" s="1" t="n">
        <v>46145</v>
      </c>
      <c r="D5113" t="inlineStr">
        <is>
          <t>VÄSTERBOTTENS LÄN</t>
        </is>
      </c>
      <c r="E5113" t="inlineStr">
        <is>
          <t>NORSJÖ</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46065-2025</t>
        </is>
      </c>
      <c r="B5114" s="1" t="n">
        <v>45924.48327546296</v>
      </c>
      <c r="C5114" s="1" t="n">
        <v>46145</v>
      </c>
      <c r="D5114" t="inlineStr">
        <is>
          <t>VÄSTERBOTTENS LÄN</t>
        </is>
      </c>
      <c r="E5114" t="inlineStr">
        <is>
          <t>UMEÅ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14983-2025</t>
        </is>
      </c>
      <c r="B5115" s="1" t="n">
        <v>45743</v>
      </c>
      <c r="C5115" s="1" t="n">
        <v>46145</v>
      </c>
      <c r="D5115" t="inlineStr">
        <is>
          <t>VÄSTERBOTTENS LÄN</t>
        </is>
      </c>
      <c r="E5115" t="inlineStr">
        <is>
          <t>NORSJÖ</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45271-2025</t>
        </is>
      </c>
      <c r="B5116" s="1" t="n">
        <v>45919</v>
      </c>
      <c r="C5116" s="1" t="n">
        <v>46145</v>
      </c>
      <c r="D5116" t="inlineStr">
        <is>
          <t>VÄSTERBOTTENS LÄN</t>
        </is>
      </c>
      <c r="E5116" t="inlineStr">
        <is>
          <t>VILHELMINA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59605-2022</t>
        </is>
      </c>
      <c r="B5117" s="1" t="n">
        <v>44907</v>
      </c>
      <c r="C5117" s="1" t="n">
        <v>46145</v>
      </c>
      <c r="D5117" t="inlineStr">
        <is>
          <t>VÄSTERBOTTENS LÄN</t>
        </is>
      </c>
      <c r="E5117" t="inlineStr">
        <is>
          <t>NORDMALING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15089-2025</t>
        </is>
      </c>
      <c r="B5118" s="1" t="n">
        <v>45744.32665509259</v>
      </c>
      <c r="C5118" s="1" t="n">
        <v>46145</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34713-2024</t>
        </is>
      </c>
      <c r="B5119" s="1" t="n">
        <v>45526.56255787037</v>
      </c>
      <c r="C5119" s="1" t="n">
        <v>46145</v>
      </c>
      <c r="D5119" t="inlineStr">
        <is>
          <t>VÄSTERBOTTENS LÄN</t>
        </is>
      </c>
      <c r="E5119" t="inlineStr">
        <is>
          <t>SKELLEFTEÅ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46208-2025</t>
        </is>
      </c>
      <c r="B5120" s="1" t="n">
        <v>45924.70636574074</v>
      </c>
      <c r="C5120" s="1" t="n">
        <v>46145</v>
      </c>
      <c r="D5120" t="inlineStr">
        <is>
          <t>VÄSTERBOTTENS LÄN</t>
        </is>
      </c>
      <c r="E5120" t="inlineStr">
        <is>
          <t>VINDELN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34733-2024</t>
        </is>
      </c>
      <c r="B5121" s="1" t="n">
        <v>45526</v>
      </c>
      <c r="C5121" s="1" t="n">
        <v>46145</v>
      </c>
      <c r="D5121" t="inlineStr">
        <is>
          <t>VÄSTERBOTTENS LÄN</t>
        </is>
      </c>
      <c r="E5121" t="inlineStr">
        <is>
          <t>VINDELN</t>
        </is>
      </c>
      <c r="F5121" t="inlineStr">
        <is>
          <t>Sveaskog</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15375-2025</t>
        </is>
      </c>
      <c r="B5122" s="1" t="n">
        <v>45747.40652777778</v>
      </c>
      <c r="C5122" s="1" t="n">
        <v>46145</v>
      </c>
      <c r="D5122" t="inlineStr">
        <is>
          <t>VÄSTERBOTTENS LÄN</t>
        </is>
      </c>
      <c r="E5122" t="inlineStr">
        <is>
          <t>UMEÅ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46189-2025</t>
        </is>
      </c>
      <c r="B5123" s="1" t="n">
        <v>45924.66530092592</v>
      </c>
      <c r="C5123" s="1" t="n">
        <v>46145</v>
      </c>
      <c r="D5123" t="inlineStr">
        <is>
          <t>VÄSTERBOTTENS LÄN</t>
        </is>
      </c>
      <c r="E5123" t="inlineStr">
        <is>
          <t>LYCKSELE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45769-2025</t>
        </is>
      </c>
      <c r="B5124" s="1" t="n">
        <v>45923.53181712963</v>
      </c>
      <c r="C5124" s="1" t="n">
        <v>46145</v>
      </c>
      <c r="D5124" t="inlineStr">
        <is>
          <t>VÄSTERBOTTENS LÄN</t>
        </is>
      </c>
      <c r="E5124" t="inlineStr">
        <is>
          <t>UMEÅ</t>
        </is>
      </c>
      <c r="G5124" t="n">
        <v>11.3</v>
      </c>
      <c r="H5124" t="n">
        <v>0</v>
      </c>
      <c r="I5124" t="n">
        <v>0</v>
      </c>
      <c r="J5124" t="n">
        <v>0</v>
      </c>
      <c r="K5124" t="n">
        <v>0</v>
      </c>
      <c r="L5124" t="n">
        <v>0</v>
      </c>
      <c r="M5124" t="n">
        <v>0</v>
      </c>
      <c r="N5124" t="n">
        <v>0</v>
      </c>
      <c r="O5124" t="n">
        <v>0</v>
      </c>
      <c r="P5124" t="n">
        <v>0</v>
      </c>
      <c r="Q5124" t="n">
        <v>0</v>
      </c>
      <c r="R5124" s="2" t="inlineStr"/>
    </row>
    <row r="5125" ht="15" customHeight="1">
      <c r="A5125" t="inlineStr">
        <is>
          <t>A 47063-2024</t>
        </is>
      </c>
      <c r="B5125" s="1" t="n">
        <v>45586.47215277778</v>
      </c>
      <c r="C5125" s="1" t="n">
        <v>46145</v>
      </c>
      <c r="D5125" t="inlineStr">
        <is>
          <t>VÄSTERBOTTENS LÄN</t>
        </is>
      </c>
      <c r="E5125" t="inlineStr">
        <is>
          <t>NORDMALING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58830-2024</t>
        </is>
      </c>
      <c r="B5126" s="1" t="n">
        <v>45636</v>
      </c>
      <c r="C5126" s="1" t="n">
        <v>46145</v>
      </c>
      <c r="D5126" t="inlineStr">
        <is>
          <t>VÄSTERBOTTENS LÄN</t>
        </is>
      </c>
      <c r="E5126" t="inlineStr">
        <is>
          <t>SKELLEFTEÅ</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70028-2021</t>
        </is>
      </c>
      <c r="B5127" s="1" t="n">
        <v>44533</v>
      </c>
      <c r="C5127" s="1" t="n">
        <v>46145</v>
      </c>
      <c r="D5127" t="inlineStr">
        <is>
          <t>VÄSTERBOTTENS LÄN</t>
        </is>
      </c>
      <c r="E5127" t="inlineStr">
        <is>
          <t>NORDMALING</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15886-2023</t>
        </is>
      </c>
      <c r="B5128" s="1" t="n">
        <v>45022</v>
      </c>
      <c r="C5128" s="1" t="n">
        <v>46145</v>
      </c>
      <c r="D5128" t="inlineStr">
        <is>
          <t>VÄSTERBOTTENS LÄN</t>
        </is>
      </c>
      <c r="E5128" t="inlineStr">
        <is>
          <t>UMEÅ</t>
        </is>
      </c>
      <c r="F5128" t="inlineStr">
        <is>
          <t>Holmen skog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15906-2023</t>
        </is>
      </c>
      <c r="B5129" s="1" t="n">
        <v>45021</v>
      </c>
      <c r="C5129" s="1" t="n">
        <v>46145</v>
      </c>
      <c r="D5129" t="inlineStr">
        <is>
          <t>VÄSTERBOTTENS LÄN</t>
        </is>
      </c>
      <c r="E5129" t="inlineStr">
        <is>
          <t>SKELLEFTEÅ</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29675-2023</t>
        </is>
      </c>
      <c r="B5130" s="1" t="n">
        <v>45107</v>
      </c>
      <c r="C5130" s="1" t="n">
        <v>46145</v>
      </c>
      <c r="D5130" t="inlineStr">
        <is>
          <t>VÄSTERBOTTENS LÄN</t>
        </is>
      </c>
      <c r="E5130" t="inlineStr">
        <is>
          <t>LYCKSELE</t>
        </is>
      </c>
      <c r="F5130" t="inlineStr">
        <is>
          <t>Holmen skog AB</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46197-2025</t>
        </is>
      </c>
      <c r="B5131" s="1" t="n">
        <v>45924.68833333333</v>
      </c>
      <c r="C5131" s="1" t="n">
        <v>46145</v>
      </c>
      <c r="D5131" t="inlineStr">
        <is>
          <t>VÄSTERBOTTENS LÄN</t>
        </is>
      </c>
      <c r="E5131" t="inlineStr">
        <is>
          <t>VINDELN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46193-2025</t>
        </is>
      </c>
      <c r="B5132" s="1" t="n">
        <v>45924.67805555555</v>
      </c>
      <c r="C5132" s="1" t="n">
        <v>46145</v>
      </c>
      <c r="D5132" t="inlineStr">
        <is>
          <t>VÄSTERBOTTENS LÄN</t>
        </is>
      </c>
      <c r="E5132" t="inlineStr">
        <is>
          <t>BJURHOLM</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45787-2025</t>
        </is>
      </c>
      <c r="B5133" s="1" t="n">
        <v>45923.5621875</v>
      </c>
      <c r="C5133" s="1" t="n">
        <v>46145</v>
      </c>
      <c r="D5133" t="inlineStr">
        <is>
          <t>VÄSTERBOTTENS LÄN</t>
        </is>
      </c>
      <c r="E5133" t="inlineStr">
        <is>
          <t>SKELLEFTEÅ</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45672-2025</t>
        </is>
      </c>
      <c r="B5134" s="1" t="n">
        <v>45923.35769675926</v>
      </c>
      <c r="C5134" s="1" t="n">
        <v>46145</v>
      </c>
      <c r="D5134" t="inlineStr">
        <is>
          <t>VÄSTERBOTTENS LÄN</t>
        </is>
      </c>
      <c r="E5134" t="inlineStr">
        <is>
          <t>UMEÅ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45885-2025</t>
        </is>
      </c>
      <c r="B5135" s="1" t="n">
        <v>45923.66508101852</v>
      </c>
      <c r="C5135" s="1" t="n">
        <v>46145</v>
      </c>
      <c r="D5135" t="inlineStr">
        <is>
          <t>VÄSTERBOTTENS LÄN</t>
        </is>
      </c>
      <c r="E5135" t="inlineStr">
        <is>
          <t>SKELLEFTEÅ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12374-2025</t>
        </is>
      </c>
      <c r="B5136" s="1" t="n">
        <v>45730</v>
      </c>
      <c r="C5136" s="1" t="n">
        <v>46145</v>
      </c>
      <c r="D5136" t="inlineStr">
        <is>
          <t>VÄSTERBOTTENS LÄN</t>
        </is>
      </c>
      <c r="E5136" t="inlineStr">
        <is>
          <t>VILHELMINA</t>
        </is>
      </c>
      <c r="F5136" t="inlineStr">
        <is>
          <t>Övriga statliga verk och myndigheter</t>
        </is>
      </c>
      <c r="G5136" t="n">
        <v>18.7</v>
      </c>
      <c r="H5136" t="n">
        <v>0</v>
      </c>
      <c r="I5136" t="n">
        <v>0</v>
      </c>
      <c r="J5136" t="n">
        <v>0</v>
      </c>
      <c r="K5136" t="n">
        <v>0</v>
      </c>
      <c r="L5136" t="n">
        <v>0</v>
      </c>
      <c r="M5136" t="n">
        <v>0</v>
      </c>
      <c r="N5136" t="n">
        <v>0</v>
      </c>
      <c r="O5136" t="n">
        <v>0</v>
      </c>
      <c r="P5136" t="n">
        <v>0</v>
      </c>
      <c r="Q5136" t="n">
        <v>0</v>
      </c>
      <c r="R5136" s="2" t="inlineStr"/>
    </row>
    <row r="5137" ht="15" customHeight="1">
      <c r="A5137" t="inlineStr">
        <is>
          <t>A 12375-2025</t>
        </is>
      </c>
      <c r="B5137" s="1" t="n">
        <v>45730</v>
      </c>
      <c r="C5137" s="1" t="n">
        <v>46145</v>
      </c>
      <c r="D5137" t="inlineStr">
        <is>
          <t>VÄSTERBOTTENS LÄN</t>
        </is>
      </c>
      <c r="E5137" t="inlineStr">
        <is>
          <t>VILHELMINA</t>
        </is>
      </c>
      <c r="F5137" t="inlineStr">
        <is>
          <t>Övriga statliga verk och myndigheter</t>
        </is>
      </c>
      <c r="G5137" t="n">
        <v>22.3</v>
      </c>
      <c r="H5137" t="n">
        <v>0</v>
      </c>
      <c r="I5137" t="n">
        <v>0</v>
      </c>
      <c r="J5137" t="n">
        <v>0</v>
      </c>
      <c r="K5137" t="n">
        <v>0</v>
      </c>
      <c r="L5137" t="n">
        <v>0</v>
      </c>
      <c r="M5137" t="n">
        <v>0</v>
      </c>
      <c r="N5137" t="n">
        <v>0</v>
      </c>
      <c r="O5137" t="n">
        <v>0</v>
      </c>
      <c r="P5137" t="n">
        <v>0</v>
      </c>
      <c r="Q5137" t="n">
        <v>0</v>
      </c>
      <c r="R5137" s="2" t="inlineStr"/>
    </row>
    <row r="5138" ht="15" customHeight="1">
      <c r="A5138" t="inlineStr">
        <is>
          <t>A 70748-2021</t>
        </is>
      </c>
      <c r="B5138" s="1" t="n">
        <v>44537.63729166667</v>
      </c>
      <c r="C5138" s="1" t="n">
        <v>46145</v>
      </c>
      <c r="D5138" t="inlineStr">
        <is>
          <t>VÄSTERBOTTENS LÄN</t>
        </is>
      </c>
      <c r="E5138" t="inlineStr">
        <is>
          <t>SKELLEFTEÅ</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12391-2025</t>
        </is>
      </c>
      <c r="B5139" s="1" t="n">
        <v>45730.39814814815</v>
      </c>
      <c r="C5139" s="1" t="n">
        <v>46145</v>
      </c>
      <c r="D5139" t="inlineStr">
        <is>
          <t>VÄSTERBOTTENS LÄN</t>
        </is>
      </c>
      <c r="E5139" t="inlineStr">
        <is>
          <t>BJURHOLM</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46035-2025</t>
        </is>
      </c>
      <c r="B5140" s="1" t="n">
        <v>45924</v>
      </c>
      <c r="C5140" s="1" t="n">
        <v>46145</v>
      </c>
      <c r="D5140" t="inlineStr">
        <is>
          <t>VÄSTERBOTTENS LÄN</t>
        </is>
      </c>
      <c r="E5140" t="inlineStr">
        <is>
          <t>NORSJÖ</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46077-2025</t>
        </is>
      </c>
      <c r="B5141" s="1" t="n">
        <v>45924.50491898148</v>
      </c>
      <c r="C5141" s="1" t="n">
        <v>46145</v>
      </c>
      <c r="D5141" t="inlineStr">
        <is>
          <t>VÄSTERBOTTENS LÄN</t>
        </is>
      </c>
      <c r="E5141" t="inlineStr">
        <is>
          <t>LYCKSELE</t>
        </is>
      </c>
      <c r="F5141" t="inlineStr">
        <is>
          <t>Holmen skog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46114-2025</t>
        </is>
      </c>
      <c r="B5142" s="1" t="n">
        <v>45924</v>
      </c>
      <c r="C5142" s="1" t="n">
        <v>46145</v>
      </c>
      <c r="D5142" t="inlineStr">
        <is>
          <t>VÄSTERBOTTENS LÄN</t>
        </is>
      </c>
      <c r="E5142" t="inlineStr">
        <is>
          <t>VINDELN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34408-2025</t>
        </is>
      </c>
      <c r="B5143" s="1" t="n">
        <v>45845</v>
      </c>
      <c r="C5143" s="1" t="n">
        <v>46145</v>
      </c>
      <c r="D5143" t="inlineStr">
        <is>
          <t>VÄSTERBOTTENS LÄN</t>
        </is>
      </c>
      <c r="E5143" t="inlineStr">
        <is>
          <t>DOROTEA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12871-2025</t>
        </is>
      </c>
      <c r="B5144" s="1" t="n">
        <v>45733.67770833334</v>
      </c>
      <c r="C5144" s="1" t="n">
        <v>46145</v>
      </c>
      <c r="D5144" t="inlineStr">
        <is>
          <t>VÄSTERBOTTENS LÄN</t>
        </is>
      </c>
      <c r="E5144" t="inlineStr">
        <is>
          <t>DOROTEA</t>
        </is>
      </c>
      <c r="F5144" t="inlineStr">
        <is>
          <t>SCA</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45963-2025</t>
        </is>
      </c>
      <c r="B5145" s="1" t="n">
        <v>45924.35145833333</v>
      </c>
      <c r="C5145" s="1" t="n">
        <v>46145</v>
      </c>
      <c r="D5145" t="inlineStr">
        <is>
          <t>VÄSTERBOTTENS LÄN</t>
        </is>
      </c>
      <c r="E5145" t="inlineStr">
        <is>
          <t>LYCKSELE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31839-2024</t>
        </is>
      </c>
      <c r="B5146" s="1" t="n">
        <v>45509.65498842593</v>
      </c>
      <c r="C5146" s="1" t="n">
        <v>46145</v>
      </c>
      <c r="D5146" t="inlineStr">
        <is>
          <t>VÄSTERBOTTENS LÄN</t>
        </is>
      </c>
      <c r="E5146" t="inlineStr">
        <is>
          <t>VÄNNÄS</t>
        </is>
      </c>
      <c r="F5146" t="inlineStr">
        <is>
          <t>Holmen skog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45827-2025</t>
        </is>
      </c>
      <c r="B5147" s="1" t="n">
        <v>45923.60094907408</v>
      </c>
      <c r="C5147" s="1" t="n">
        <v>46145</v>
      </c>
      <c r="D5147" t="inlineStr">
        <is>
          <t>VÄSTERBOTTENS LÄN</t>
        </is>
      </c>
      <c r="E5147" t="inlineStr">
        <is>
          <t>SKELLEFTEÅ</t>
        </is>
      </c>
      <c r="F5147" t="inlineStr">
        <is>
          <t>Holmen skog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45859-2025</t>
        </is>
      </c>
      <c r="B5148" s="1" t="n">
        <v>45923.6415162037</v>
      </c>
      <c r="C5148" s="1" t="n">
        <v>46145</v>
      </c>
      <c r="D5148" t="inlineStr">
        <is>
          <t>VÄSTERBOTTENS LÄN</t>
        </is>
      </c>
      <c r="E5148" t="inlineStr">
        <is>
          <t>SKELLEFTEÅ</t>
        </is>
      </c>
      <c r="F5148" t="inlineStr">
        <is>
          <t>Holmen skog AB</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31871-2024</t>
        </is>
      </c>
      <c r="B5149" s="1" t="n">
        <v>45509.92899305555</v>
      </c>
      <c r="C5149" s="1" t="n">
        <v>46145</v>
      </c>
      <c r="D5149" t="inlineStr">
        <is>
          <t>VÄSTERBOTTENS LÄN</t>
        </is>
      </c>
      <c r="E5149" t="inlineStr">
        <is>
          <t>SKELLEFTEÅ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41025-2023</t>
        </is>
      </c>
      <c r="B5150" s="1" t="n">
        <v>45173</v>
      </c>
      <c r="C5150" s="1" t="n">
        <v>46145</v>
      </c>
      <c r="D5150" t="inlineStr">
        <is>
          <t>VÄSTERBOTTENS LÄN</t>
        </is>
      </c>
      <c r="E5150" t="inlineStr">
        <is>
          <t>NORDMALING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45644-2025</t>
        </is>
      </c>
      <c r="B5151" s="1" t="n">
        <v>45923.29819444445</v>
      </c>
      <c r="C5151" s="1" t="n">
        <v>46145</v>
      </c>
      <c r="D5151" t="inlineStr">
        <is>
          <t>VÄSTERBOTTENS LÄN</t>
        </is>
      </c>
      <c r="E5151" t="inlineStr">
        <is>
          <t>SKELLEFTEÅ</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45651-2025</t>
        </is>
      </c>
      <c r="B5152" s="1" t="n">
        <v>45923.32945601852</v>
      </c>
      <c r="C5152" s="1" t="n">
        <v>46145</v>
      </c>
      <c r="D5152" t="inlineStr">
        <is>
          <t>VÄSTERBOTTENS LÄN</t>
        </is>
      </c>
      <c r="E5152" t="inlineStr">
        <is>
          <t>SKELLEFTEÅ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45661-2025</t>
        </is>
      </c>
      <c r="B5153" s="1" t="n">
        <v>45923.34505787037</v>
      </c>
      <c r="C5153" s="1" t="n">
        <v>46145</v>
      </c>
      <c r="D5153" t="inlineStr">
        <is>
          <t>VÄSTERBOTTENS LÄN</t>
        </is>
      </c>
      <c r="E5153" t="inlineStr">
        <is>
          <t>NORSJÖ</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45676-2025</t>
        </is>
      </c>
      <c r="B5154" s="1" t="n">
        <v>45923.36495370371</v>
      </c>
      <c r="C5154" s="1" t="n">
        <v>46145</v>
      </c>
      <c r="D5154" t="inlineStr">
        <is>
          <t>VÄSTERBOTTENS LÄN</t>
        </is>
      </c>
      <c r="E5154" t="inlineStr">
        <is>
          <t>NORDMALING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45678-2025</t>
        </is>
      </c>
      <c r="B5155" s="1" t="n">
        <v>45923.36631944445</v>
      </c>
      <c r="C5155" s="1" t="n">
        <v>46145</v>
      </c>
      <c r="D5155" t="inlineStr">
        <is>
          <t>VÄSTERBOTTENS LÄN</t>
        </is>
      </c>
      <c r="E5155" t="inlineStr">
        <is>
          <t>NORDMALING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45748-2025</t>
        </is>
      </c>
      <c r="B5156" s="1" t="n">
        <v>45923.4805787037</v>
      </c>
      <c r="C5156" s="1" t="n">
        <v>46145</v>
      </c>
      <c r="D5156" t="inlineStr">
        <is>
          <t>VÄSTERBOTTENS LÄN</t>
        </is>
      </c>
      <c r="E5156" t="inlineStr">
        <is>
          <t>DOROTEA</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45756-2025</t>
        </is>
      </c>
      <c r="B5157" s="1" t="n">
        <v>45923.50300925926</v>
      </c>
      <c r="C5157" s="1" t="n">
        <v>46145</v>
      </c>
      <c r="D5157" t="inlineStr">
        <is>
          <t>VÄSTERBOTTENS LÄN</t>
        </is>
      </c>
      <c r="E5157" t="inlineStr">
        <is>
          <t>STORUMAN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62538-2023</t>
        </is>
      </c>
      <c r="B5158" s="1" t="n">
        <v>45267</v>
      </c>
      <c r="C5158" s="1" t="n">
        <v>46145</v>
      </c>
      <c r="D5158" t="inlineStr">
        <is>
          <t>VÄSTERBOTTENS LÄN</t>
        </is>
      </c>
      <c r="E5158" t="inlineStr">
        <is>
          <t>UMEÅ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10760-2023</t>
        </is>
      </c>
      <c r="B5159" s="1" t="n">
        <v>44988.92247685185</v>
      </c>
      <c r="C5159" s="1" t="n">
        <v>46145</v>
      </c>
      <c r="D5159" t="inlineStr">
        <is>
          <t>VÄSTERBOTTENS LÄN</t>
        </is>
      </c>
      <c r="E5159" t="inlineStr">
        <is>
          <t>ÅSELE</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10761-2023</t>
        </is>
      </c>
      <c r="B5160" s="1" t="n">
        <v>44988.92252314815</v>
      </c>
      <c r="C5160" s="1" t="n">
        <v>46145</v>
      </c>
      <c r="D5160" t="inlineStr">
        <is>
          <t>VÄSTERBOTTENS LÄN</t>
        </is>
      </c>
      <c r="E5160" t="inlineStr">
        <is>
          <t>ÅSELE</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13088-2023</t>
        </is>
      </c>
      <c r="B5161" s="1" t="n">
        <v>45001</v>
      </c>
      <c r="C5161" s="1" t="n">
        <v>46145</v>
      </c>
      <c r="D5161" t="inlineStr">
        <is>
          <t>VÄSTERBOTTENS LÄN</t>
        </is>
      </c>
      <c r="E5161" t="inlineStr">
        <is>
          <t>SORSELE</t>
        </is>
      </c>
      <c r="G5161" t="n">
        <v>20</v>
      </c>
      <c r="H5161" t="n">
        <v>0</v>
      </c>
      <c r="I5161" t="n">
        <v>0</v>
      </c>
      <c r="J5161" t="n">
        <v>0</v>
      </c>
      <c r="K5161" t="n">
        <v>0</v>
      </c>
      <c r="L5161" t="n">
        <v>0</v>
      </c>
      <c r="M5161" t="n">
        <v>0</v>
      </c>
      <c r="N5161" t="n">
        <v>0</v>
      </c>
      <c r="O5161" t="n">
        <v>0</v>
      </c>
      <c r="P5161" t="n">
        <v>0</v>
      </c>
      <c r="Q5161" t="n">
        <v>0</v>
      </c>
      <c r="R5161" s="2" t="inlineStr"/>
    </row>
    <row r="5162" ht="15" customHeight="1">
      <c r="A5162" t="inlineStr">
        <is>
          <t>A 13187-2023</t>
        </is>
      </c>
      <c r="B5162" s="1" t="n">
        <v>45002</v>
      </c>
      <c r="C5162" s="1" t="n">
        <v>46145</v>
      </c>
      <c r="D5162" t="inlineStr">
        <is>
          <t>VÄSTERBOTTENS LÄN</t>
        </is>
      </c>
      <c r="E5162" t="inlineStr">
        <is>
          <t>ROBERTSFORS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16856-2025</t>
        </is>
      </c>
      <c r="B5163" s="1" t="n">
        <v>45754</v>
      </c>
      <c r="C5163" s="1" t="n">
        <v>46145</v>
      </c>
      <c r="D5163" t="inlineStr">
        <is>
          <t>VÄSTERBOTTENS LÄN</t>
        </is>
      </c>
      <c r="E5163" t="inlineStr">
        <is>
          <t>SKELLEFTEÅ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45670-2025</t>
        </is>
      </c>
      <c r="B5164" s="1" t="n">
        <v>45923.35368055556</v>
      </c>
      <c r="C5164" s="1" t="n">
        <v>46145</v>
      </c>
      <c r="D5164" t="inlineStr">
        <is>
          <t>VÄSTERBOTTENS LÄN</t>
        </is>
      </c>
      <c r="E5164" t="inlineStr">
        <is>
          <t>UMEÅ</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45732-2025</t>
        </is>
      </c>
      <c r="B5165" s="1" t="n">
        <v>45923.46354166666</v>
      </c>
      <c r="C5165" s="1" t="n">
        <v>46145</v>
      </c>
      <c r="D5165" t="inlineStr">
        <is>
          <t>VÄSTERBOTTENS LÄN</t>
        </is>
      </c>
      <c r="E5165" t="inlineStr">
        <is>
          <t>SKELLEFTEÅ</t>
        </is>
      </c>
      <c r="F5165" t="inlineStr">
        <is>
          <t>Holmen skog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45746-2025</t>
        </is>
      </c>
      <c r="B5166" s="1" t="n">
        <v>45923.47857638889</v>
      </c>
      <c r="C5166" s="1" t="n">
        <v>46145</v>
      </c>
      <c r="D5166" t="inlineStr">
        <is>
          <t>VÄSTERBOTTENS LÄN</t>
        </is>
      </c>
      <c r="E5166" t="inlineStr">
        <is>
          <t>ÅSELE</t>
        </is>
      </c>
      <c r="F5166" t="inlineStr">
        <is>
          <t>Sveaskog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45749-2025</t>
        </is>
      </c>
      <c r="B5167" s="1" t="n">
        <v>45923.48195601852</v>
      </c>
      <c r="C5167" s="1" t="n">
        <v>46145</v>
      </c>
      <c r="D5167" t="inlineStr">
        <is>
          <t>VÄSTERBOTTENS LÄN</t>
        </is>
      </c>
      <c r="E5167" t="inlineStr">
        <is>
          <t>VILHELMINA</t>
        </is>
      </c>
      <c r="F5167" t="inlineStr">
        <is>
          <t>Sveaskog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45759-2025</t>
        </is>
      </c>
      <c r="B5168" s="1" t="n">
        <v>45923.5107175926</v>
      </c>
      <c r="C5168" s="1" t="n">
        <v>46145</v>
      </c>
      <c r="D5168" t="inlineStr">
        <is>
          <t>VÄSTERBOTTENS LÄN</t>
        </is>
      </c>
      <c r="E5168" t="inlineStr">
        <is>
          <t>UMEÅ</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45760-2025</t>
        </is>
      </c>
      <c r="B5169" s="1" t="n">
        <v>45923.51121527778</v>
      </c>
      <c r="C5169" s="1" t="n">
        <v>46145</v>
      </c>
      <c r="D5169" t="inlineStr">
        <is>
          <t>VÄSTERBOTTENS LÄN</t>
        </is>
      </c>
      <c r="E5169" t="inlineStr">
        <is>
          <t>SKELLEFTEÅ</t>
        </is>
      </c>
      <c r="F5169" t="inlineStr">
        <is>
          <t>Holmen skog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46606-2025</t>
        </is>
      </c>
      <c r="B5170" s="1" t="n">
        <v>45926.4140162037</v>
      </c>
      <c r="C5170" s="1" t="n">
        <v>46145</v>
      </c>
      <c r="D5170" t="inlineStr">
        <is>
          <t>VÄSTERBOTTENS LÄN</t>
        </is>
      </c>
      <c r="E5170" t="inlineStr">
        <is>
          <t>VINDELN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46413-2025</t>
        </is>
      </c>
      <c r="B5171" s="1" t="n">
        <v>45925.57604166667</v>
      </c>
      <c r="C5171" s="1" t="n">
        <v>46145</v>
      </c>
      <c r="D5171" t="inlineStr">
        <is>
          <t>VÄSTERBOTTENS LÄN</t>
        </is>
      </c>
      <c r="E5171" t="inlineStr">
        <is>
          <t>UMEÅ</t>
        </is>
      </c>
      <c r="F5171" t="inlineStr">
        <is>
          <t>Holmen skog AB</t>
        </is>
      </c>
      <c r="G5171" t="n">
        <v>14.3</v>
      </c>
      <c r="H5171" t="n">
        <v>0</v>
      </c>
      <c r="I5171" t="n">
        <v>0</v>
      </c>
      <c r="J5171" t="n">
        <v>0</v>
      </c>
      <c r="K5171" t="n">
        <v>0</v>
      </c>
      <c r="L5171" t="n">
        <v>0</v>
      </c>
      <c r="M5171" t="n">
        <v>0</v>
      </c>
      <c r="N5171" t="n">
        <v>0</v>
      </c>
      <c r="O5171" t="n">
        <v>0</v>
      </c>
      <c r="P5171" t="n">
        <v>0</v>
      </c>
      <c r="Q5171" t="n">
        <v>0</v>
      </c>
      <c r="R5171" s="2" t="inlineStr"/>
    </row>
    <row r="5172" ht="15" customHeight="1">
      <c r="A5172" t="inlineStr">
        <is>
          <t>A 6719-2025</t>
        </is>
      </c>
      <c r="B5172" s="1" t="n">
        <v>45700.5778587963</v>
      </c>
      <c r="C5172" s="1" t="n">
        <v>46145</v>
      </c>
      <c r="D5172" t="inlineStr">
        <is>
          <t>VÄSTERBOTTENS LÄN</t>
        </is>
      </c>
      <c r="E5172" t="inlineStr">
        <is>
          <t>SORSELE</t>
        </is>
      </c>
      <c r="G5172" t="n">
        <v>9.4</v>
      </c>
      <c r="H5172" t="n">
        <v>0</v>
      </c>
      <c r="I5172" t="n">
        <v>0</v>
      </c>
      <c r="J5172" t="n">
        <v>0</v>
      </c>
      <c r="K5172" t="n">
        <v>0</v>
      </c>
      <c r="L5172" t="n">
        <v>0</v>
      </c>
      <c r="M5172" t="n">
        <v>0</v>
      </c>
      <c r="N5172" t="n">
        <v>0</v>
      </c>
      <c r="O5172" t="n">
        <v>0</v>
      </c>
      <c r="P5172" t="n">
        <v>0</v>
      </c>
      <c r="Q5172" t="n">
        <v>0</v>
      </c>
      <c r="R5172" s="2" t="inlineStr"/>
    </row>
    <row r="5173" ht="15" customHeight="1">
      <c r="A5173" t="inlineStr">
        <is>
          <t>A 46647-2025</t>
        </is>
      </c>
      <c r="B5173" s="1" t="n">
        <v>45926.47561342592</v>
      </c>
      <c r="C5173" s="1" t="n">
        <v>46145</v>
      </c>
      <c r="D5173" t="inlineStr">
        <is>
          <t>VÄSTERBOTTENS LÄN</t>
        </is>
      </c>
      <c r="E5173" t="inlineStr">
        <is>
          <t>ROBERTSFORS</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46604-2025</t>
        </is>
      </c>
      <c r="B5174" s="1" t="n">
        <v>45926.41188657407</v>
      </c>
      <c r="C5174" s="1" t="n">
        <v>46145</v>
      </c>
      <c r="D5174" t="inlineStr">
        <is>
          <t>VÄSTERBOTTENS LÄN</t>
        </is>
      </c>
      <c r="E5174" t="inlineStr">
        <is>
          <t>STORUMAN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46613-2025</t>
        </is>
      </c>
      <c r="B5175" s="1" t="n">
        <v>45926.42726851852</v>
      </c>
      <c r="C5175" s="1" t="n">
        <v>46145</v>
      </c>
      <c r="D5175" t="inlineStr">
        <is>
          <t>VÄSTERBOTTENS LÄN</t>
        </is>
      </c>
      <c r="E5175" t="inlineStr">
        <is>
          <t>SKELLEFTEÅ</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46620-2025</t>
        </is>
      </c>
      <c r="B5176" s="1" t="n">
        <v>45926</v>
      </c>
      <c r="C5176" s="1" t="n">
        <v>46145</v>
      </c>
      <c r="D5176" t="inlineStr">
        <is>
          <t>VÄSTERBOTTENS LÄN</t>
        </is>
      </c>
      <c r="E5176" t="inlineStr">
        <is>
          <t>MALÅ</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46629-2025</t>
        </is>
      </c>
      <c r="B5177" s="1" t="n">
        <v>45926.45268518518</v>
      </c>
      <c r="C5177" s="1" t="n">
        <v>46145</v>
      </c>
      <c r="D5177" t="inlineStr">
        <is>
          <t>VÄSTERBOTTENS LÄN</t>
        </is>
      </c>
      <c r="E5177" t="inlineStr">
        <is>
          <t>VINDELN</t>
        </is>
      </c>
      <c r="F5177" t="inlineStr">
        <is>
          <t>Holmen skog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42642-2024</t>
        </is>
      </c>
      <c r="B5178" s="1" t="n">
        <v>45566</v>
      </c>
      <c r="C5178" s="1" t="n">
        <v>46145</v>
      </c>
      <c r="D5178" t="inlineStr">
        <is>
          <t>VÄSTERBOTTENS LÄN</t>
        </is>
      </c>
      <c r="E5178" t="inlineStr">
        <is>
          <t>ÅSELE</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46682-2025</t>
        </is>
      </c>
      <c r="B5179" s="1" t="n">
        <v>45926.54784722222</v>
      </c>
      <c r="C5179" s="1" t="n">
        <v>46145</v>
      </c>
      <c r="D5179" t="inlineStr">
        <is>
          <t>VÄSTERBOTTENS LÄN</t>
        </is>
      </c>
      <c r="E5179" t="inlineStr">
        <is>
          <t>UMEÅ</t>
        </is>
      </c>
      <c r="F5179" t="inlineStr">
        <is>
          <t>Holmen skog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46592-2025</t>
        </is>
      </c>
      <c r="B5180" s="1" t="n">
        <v>45926.39637731481</v>
      </c>
      <c r="C5180" s="1" t="n">
        <v>46145</v>
      </c>
      <c r="D5180" t="inlineStr">
        <is>
          <t>VÄSTERBOTTENS LÄN</t>
        </is>
      </c>
      <c r="E5180" t="inlineStr">
        <is>
          <t>UMEÅ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46593-2025</t>
        </is>
      </c>
      <c r="B5181" s="1" t="n">
        <v>45926.39694444444</v>
      </c>
      <c r="C5181" s="1" t="n">
        <v>46145</v>
      </c>
      <c r="D5181" t="inlineStr">
        <is>
          <t>VÄSTERBOTTENS LÄN</t>
        </is>
      </c>
      <c r="E5181" t="inlineStr">
        <is>
          <t>NORDMALING</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46541-2025</t>
        </is>
      </c>
      <c r="B5182" s="1" t="n">
        <v>45926.34449074074</v>
      </c>
      <c r="C5182" s="1" t="n">
        <v>46145</v>
      </c>
      <c r="D5182" t="inlineStr">
        <is>
          <t>VÄSTERBOTTENS LÄN</t>
        </is>
      </c>
      <c r="E5182" t="inlineStr">
        <is>
          <t>ÅSELE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43311-2024</t>
        </is>
      </c>
      <c r="B5183" s="1" t="n">
        <v>45568.44950231481</v>
      </c>
      <c r="C5183" s="1" t="n">
        <v>46145</v>
      </c>
      <c r="D5183" t="inlineStr">
        <is>
          <t>VÄSTERBOTTENS LÄN</t>
        </is>
      </c>
      <c r="E5183" t="inlineStr">
        <is>
          <t>BJURHOLM</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46278-2025</t>
        </is>
      </c>
      <c r="B5184" s="1" t="n">
        <v>45925.37530092592</v>
      </c>
      <c r="C5184" s="1" t="n">
        <v>46145</v>
      </c>
      <c r="D5184" t="inlineStr">
        <is>
          <t>VÄSTERBOTTENS LÄN</t>
        </is>
      </c>
      <c r="E5184" t="inlineStr">
        <is>
          <t>SKELLEFTEÅ</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62325-2022</t>
        </is>
      </c>
      <c r="B5185" s="1" t="n">
        <v>44916</v>
      </c>
      <c r="C5185" s="1" t="n">
        <v>46145</v>
      </c>
      <c r="D5185" t="inlineStr">
        <is>
          <t>VÄSTERBOTTENS LÄN</t>
        </is>
      </c>
      <c r="E5185" t="inlineStr">
        <is>
          <t>SKELLEFTEÅ</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16604-2025</t>
        </is>
      </c>
      <c r="B5186" s="1" t="n">
        <v>45753</v>
      </c>
      <c r="C5186" s="1" t="n">
        <v>46145</v>
      </c>
      <c r="D5186" t="inlineStr">
        <is>
          <t>VÄSTERBOTTENS LÄN</t>
        </is>
      </c>
      <c r="E5186" t="inlineStr">
        <is>
          <t>SKELLEFTEÅ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53557-2021</t>
        </is>
      </c>
      <c r="B5187" s="1" t="n">
        <v>44468</v>
      </c>
      <c r="C5187" s="1" t="n">
        <v>46145</v>
      </c>
      <c r="D5187" t="inlineStr">
        <is>
          <t>VÄSTERBOTTENS LÄN</t>
        </is>
      </c>
      <c r="E5187" t="inlineStr">
        <is>
          <t>NORSJÖ</t>
        </is>
      </c>
      <c r="F5187" t="inlineStr">
        <is>
          <t>Övriga Aktiebolag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53614-2021</t>
        </is>
      </c>
      <c r="B5188" s="1" t="n">
        <v>44469.38017361111</v>
      </c>
      <c r="C5188" s="1" t="n">
        <v>46145</v>
      </c>
      <c r="D5188" t="inlineStr">
        <is>
          <t>VÄSTERBOTTENS LÄN</t>
        </is>
      </c>
      <c r="E5188" t="inlineStr">
        <is>
          <t>LYCKSELE</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46617-2025</t>
        </is>
      </c>
      <c r="B5189" s="1" t="n">
        <v>45926.43288194444</v>
      </c>
      <c r="C5189" s="1" t="n">
        <v>46145</v>
      </c>
      <c r="D5189" t="inlineStr">
        <is>
          <t>VÄSTERBOTTENS LÄN</t>
        </is>
      </c>
      <c r="E5189" t="inlineStr">
        <is>
          <t>NORSJÖ</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44481-2022</t>
        </is>
      </c>
      <c r="B5190" s="1" t="n">
        <v>44840</v>
      </c>
      <c r="C5190" s="1" t="n">
        <v>46145</v>
      </c>
      <c r="D5190" t="inlineStr">
        <is>
          <t>VÄSTERBOTTENS LÄN</t>
        </is>
      </c>
      <c r="E5190" t="inlineStr">
        <is>
          <t>UMEÅ</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46271-2025</t>
        </is>
      </c>
      <c r="B5191" s="1" t="n">
        <v>45925.36983796296</v>
      </c>
      <c r="C5191" s="1" t="n">
        <v>46145</v>
      </c>
      <c r="D5191" t="inlineStr">
        <is>
          <t>VÄSTERBOTTENS LÄN</t>
        </is>
      </c>
      <c r="E5191" t="inlineStr">
        <is>
          <t>NORSJÖ</t>
        </is>
      </c>
      <c r="F5191" t="inlineStr">
        <is>
          <t>Holmen skog AB</t>
        </is>
      </c>
      <c r="G5191" t="n">
        <v>29.5</v>
      </c>
      <c r="H5191" t="n">
        <v>0</v>
      </c>
      <c r="I5191" t="n">
        <v>0</v>
      </c>
      <c r="J5191" t="n">
        <v>0</v>
      </c>
      <c r="K5191" t="n">
        <v>0</v>
      </c>
      <c r="L5191" t="n">
        <v>0</v>
      </c>
      <c r="M5191" t="n">
        <v>0</v>
      </c>
      <c r="N5191" t="n">
        <v>0</v>
      </c>
      <c r="O5191" t="n">
        <v>0</v>
      </c>
      <c r="P5191" t="n">
        <v>0</v>
      </c>
      <c r="Q5191" t="n">
        <v>0</v>
      </c>
      <c r="R5191" s="2" t="inlineStr"/>
    </row>
    <row r="5192" ht="15" customHeight="1">
      <c r="A5192" t="inlineStr">
        <is>
          <t>A 30417-2024</t>
        </is>
      </c>
      <c r="B5192" s="1" t="n">
        <v>45491.64728009259</v>
      </c>
      <c r="C5192" s="1" t="n">
        <v>46145</v>
      </c>
      <c r="D5192" t="inlineStr">
        <is>
          <t>VÄSTERBOTTENS LÄN</t>
        </is>
      </c>
      <c r="E5192" t="inlineStr">
        <is>
          <t>SORSELE</t>
        </is>
      </c>
      <c r="F5192" t="inlineStr">
        <is>
          <t>Sveaskog</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46754-2025</t>
        </is>
      </c>
      <c r="B5193" s="1" t="n">
        <v>45926.61768518519</v>
      </c>
      <c r="C5193" s="1" t="n">
        <v>46145</v>
      </c>
      <c r="D5193" t="inlineStr">
        <is>
          <t>VÄSTERBOTTENS LÄN</t>
        </is>
      </c>
      <c r="E5193" t="inlineStr">
        <is>
          <t>ÅSELE</t>
        </is>
      </c>
      <c r="F5193" t="inlineStr">
        <is>
          <t>Holmen skog AB</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31167-2024</t>
        </is>
      </c>
      <c r="B5194" s="1" t="n">
        <v>45503.39758101852</v>
      </c>
      <c r="C5194" s="1" t="n">
        <v>46145</v>
      </c>
      <c r="D5194" t="inlineStr">
        <is>
          <t>VÄSTERBOTTENS LÄN</t>
        </is>
      </c>
      <c r="E5194" t="inlineStr">
        <is>
          <t>SKELLEFTEÅ</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46496-2025</t>
        </is>
      </c>
      <c r="B5195" s="1" t="n">
        <v>45925.83113425926</v>
      </c>
      <c r="C5195" s="1" t="n">
        <v>46145</v>
      </c>
      <c r="D5195" t="inlineStr">
        <is>
          <t>VÄSTERBOTTENS LÄN</t>
        </is>
      </c>
      <c r="E5195" t="inlineStr">
        <is>
          <t>SKELLEFTEÅ</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46251-2025</t>
        </is>
      </c>
      <c r="B5196" s="1" t="n">
        <v>45925.34475694445</v>
      </c>
      <c r="C5196" s="1" t="n">
        <v>46145</v>
      </c>
      <c r="D5196" t="inlineStr">
        <is>
          <t>VÄSTERBOTTENS LÄN</t>
        </is>
      </c>
      <c r="E5196" t="inlineStr">
        <is>
          <t>ÅSELE</t>
        </is>
      </c>
      <c r="F5196" t="inlineStr">
        <is>
          <t>SCA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35614-2024</t>
        </is>
      </c>
      <c r="B5197" s="1" t="n">
        <v>45531.69734953704</v>
      </c>
      <c r="C5197" s="1" t="n">
        <v>46145</v>
      </c>
      <c r="D5197" t="inlineStr">
        <is>
          <t>VÄSTERBOTTENS LÄN</t>
        </is>
      </c>
      <c r="E5197" t="inlineStr">
        <is>
          <t>BJURHOLM</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31258-2024</t>
        </is>
      </c>
      <c r="B5198" s="1" t="n">
        <v>45503.70638888889</v>
      </c>
      <c r="C5198" s="1" t="n">
        <v>46145</v>
      </c>
      <c r="D5198" t="inlineStr">
        <is>
          <t>VÄSTERBOTTENS LÄN</t>
        </is>
      </c>
      <c r="E5198" t="inlineStr">
        <is>
          <t>NORDMALING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46573-2025</t>
        </is>
      </c>
      <c r="B5199" s="1" t="n">
        <v>45926.37020833333</v>
      </c>
      <c r="C5199" s="1" t="n">
        <v>46145</v>
      </c>
      <c r="D5199" t="inlineStr">
        <is>
          <t>VÄSTERBOTTENS LÄN</t>
        </is>
      </c>
      <c r="E5199" t="inlineStr">
        <is>
          <t>STORUMAN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50913-2022</t>
        </is>
      </c>
      <c r="B5200" s="1" t="n">
        <v>44867</v>
      </c>
      <c r="C5200" s="1" t="n">
        <v>46145</v>
      </c>
      <c r="D5200" t="inlineStr">
        <is>
          <t>VÄSTERBOTTENS LÄN</t>
        </is>
      </c>
      <c r="E5200" t="inlineStr">
        <is>
          <t>STORUMAN</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11843-2025</t>
        </is>
      </c>
      <c r="B5201" s="1" t="n">
        <v>45728</v>
      </c>
      <c r="C5201" s="1" t="n">
        <v>46145</v>
      </c>
      <c r="D5201" t="inlineStr">
        <is>
          <t>VÄSTERBOTTENS LÄN</t>
        </is>
      </c>
      <c r="E5201" t="inlineStr">
        <is>
          <t>SKELLEFTEÅ</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46350-2025</t>
        </is>
      </c>
      <c r="B5202" s="1" t="n">
        <v>45925.48527777778</v>
      </c>
      <c r="C5202" s="1" t="n">
        <v>46145</v>
      </c>
      <c r="D5202" t="inlineStr">
        <is>
          <t>VÄSTERBOTTENS LÄN</t>
        </is>
      </c>
      <c r="E5202" t="inlineStr">
        <is>
          <t>SKELLEFTEÅ</t>
        </is>
      </c>
      <c r="F5202" t="inlineStr">
        <is>
          <t>Sveaskog</t>
        </is>
      </c>
      <c r="G5202" t="n">
        <v>21.2</v>
      </c>
      <c r="H5202" t="n">
        <v>0</v>
      </c>
      <c r="I5202" t="n">
        <v>0</v>
      </c>
      <c r="J5202" t="n">
        <v>0</v>
      </c>
      <c r="K5202" t="n">
        <v>0</v>
      </c>
      <c r="L5202" t="n">
        <v>0</v>
      </c>
      <c r="M5202" t="n">
        <v>0</v>
      </c>
      <c r="N5202" t="n">
        <v>0</v>
      </c>
      <c r="O5202" t="n">
        <v>0</v>
      </c>
      <c r="P5202" t="n">
        <v>0</v>
      </c>
      <c r="Q5202" t="n">
        <v>0</v>
      </c>
      <c r="R5202" s="2" t="inlineStr"/>
    </row>
    <row r="5203" ht="15" customHeight="1">
      <c r="A5203" t="inlineStr">
        <is>
          <t>A 59712-2023</t>
        </is>
      </c>
      <c r="B5203" s="1" t="n">
        <v>45257</v>
      </c>
      <c r="C5203" s="1" t="n">
        <v>46145</v>
      </c>
      <c r="D5203" t="inlineStr">
        <is>
          <t>VÄSTERBOTTENS LÄN</t>
        </is>
      </c>
      <c r="E5203" t="inlineStr">
        <is>
          <t>BJURHOLM</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59814-2023</t>
        </is>
      </c>
      <c r="B5204" s="1" t="n">
        <v>45257.50859953704</v>
      </c>
      <c r="C5204" s="1" t="n">
        <v>46145</v>
      </c>
      <c r="D5204" t="inlineStr">
        <is>
          <t>VÄSTERBOTTENS LÄN</t>
        </is>
      </c>
      <c r="E5204" t="inlineStr">
        <is>
          <t>NORSJÖ</t>
        </is>
      </c>
      <c r="G5204" t="n">
        <v>28.6</v>
      </c>
      <c r="H5204" t="n">
        <v>0</v>
      </c>
      <c r="I5204" t="n">
        <v>0</v>
      </c>
      <c r="J5204" t="n">
        <v>0</v>
      </c>
      <c r="K5204" t="n">
        <v>0</v>
      </c>
      <c r="L5204" t="n">
        <v>0</v>
      </c>
      <c r="M5204" t="n">
        <v>0</v>
      </c>
      <c r="N5204" t="n">
        <v>0</v>
      </c>
      <c r="O5204" t="n">
        <v>0</v>
      </c>
      <c r="P5204" t="n">
        <v>0</v>
      </c>
      <c r="Q5204" t="n">
        <v>0</v>
      </c>
      <c r="R5204" s="2" t="inlineStr"/>
    </row>
    <row r="5205" ht="15" customHeight="1">
      <c r="A5205" t="inlineStr">
        <is>
          <t>A 46241-2025</t>
        </is>
      </c>
      <c r="B5205" s="1" t="n">
        <v>45925</v>
      </c>
      <c r="C5205" s="1" t="n">
        <v>46145</v>
      </c>
      <c r="D5205" t="inlineStr">
        <is>
          <t>VÄSTERBOTTENS LÄN</t>
        </is>
      </c>
      <c r="E5205" t="inlineStr">
        <is>
          <t>VINDELN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51000-2022</t>
        </is>
      </c>
      <c r="B5206" s="1" t="n">
        <v>44867</v>
      </c>
      <c r="C5206" s="1" t="n">
        <v>46145</v>
      </c>
      <c r="D5206" t="inlineStr">
        <is>
          <t>VÄSTERBOTTENS LÄN</t>
        </is>
      </c>
      <c r="E5206" t="inlineStr">
        <is>
          <t>NORSJÖ</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46735-2025</t>
        </is>
      </c>
      <c r="B5207" s="1" t="n">
        <v>45926.59788194444</v>
      </c>
      <c r="C5207" s="1" t="n">
        <v>46145</v>
      </c>
      <c r="D5207" t="inlineStr">
        <is>
          <t>VÄSTERBOTTENS LÄN</t>
        </is>
      </c>
      <c r="E5207" t="inlineStr">
        <is>
          <t>BJURHOLM</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46797-2025</t>
        </is>
      </c>
      <c r="B5208" s="1" t="n">
        <v>45926.65686342592</v>
      </c>
      <c r="C5208" s="1" t="n">
        <v>46145</v>
      </c>
      <c r="D5208" t="inlineStr">
        <is>
          <t>VÄSTERBOTTENS LÄN</t>
        </is>
      </c>
      <c r="E5208" t="inlineStr">
        <is>
          <t>ÅSELE</t>
        </is>
      </c>
      <c r="F5208" t="inlineStr">
        <is>
          <t>Holmen skog AB</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11747-2025</t>
        </is>
      </c>
      <c r="B5209" s="1" t="n">
        <v>45727.6358912037</v>
      </c>
      <c r="C5209" s="1" t="n">
        <v>46145</v>
      </c>
      <c r="D5209" t="inlineStr">
        <is>
          <t>VÄSTERBOTTENS LÄN</t>
        </is>
      </c>
      <c r="E5209" t="inlineStr">
        <is>
          <t>NORSJÖ</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13873-2025</t>
        </is>
      </c>
      <c r="B5210" s="1" t="n">
        <v>45737.58700231482</v>
      </c>
      <c r="C5210" s="1" t="n">
        <v>46145</v>
      </c>
      <c r="D5210" t="inlineStr">
        <is>
          <t>VÄSTERBOTTENS LÄN</t>
        </is>
      </c>
      <c r="E5210" t="inlineStr">
        <is>
          <t>VINDELN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46798-2025</t>
        </is>
      </c>
      <c r="B5211" s="1" t="n">
        <v>45926.65700231482</v>
      </c>
      <c r="C5211" s="1" t="n">
        <v>46145</v>
      </c>
      <c r="D5211" t="inlineStr">
        <is>
          <t>VÄSTERBOTTENS LÄN</t>
        </is>
      </c>
      <c r="E5211" t="inlineStr">
        <is>
          <t>SORSELE</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46480-2025</t>
        </is>
      </c>
      <c r="B5212" s="1" t="n">
        <v>45925.6988425926</v>
      </c>
      <c r="C5212" s="1" t="n">
        <v>46145</v>
      </c>
      <c r="D5212" t="inlineStr">
        <is>
          <t>VÄSTERBOTTENS LÄN</t>
        </is>
      </c>
      <c r="E5212" t="inlineStr">
        <is>
          <t>SKELLEFTEÅ</t>
        </is>
      </c>
      <c r="F5212" t="inlineStr">
        <is>
          <t>Sveaskog</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39973-2021</t>
        </is>
      </c>
      <c r="B5213" s="1" t="n">
        <v>44417</v>
      </c>
      <c r="C5213" s="1" t="n">
        <v>46145</v>
      </c>
      <c r="D5213" t="inlineStr">
        <is>
          <t>VÄSTERBOTTENS LÄN</t>
        </is>
      </c>
      <c r="E5213" t="inlineStr">
        <is>
          <t>STORUMAN</t>
        </is>
      </c>
      <c r="G5213" t="n">
        <v>34.6</v>
      </c>
      <c r="H5213" t="n">
        <v>0</v>
      </c>
      <c r="I5213" t="n">
        <v>0</v>
      </c>
      <c r="J5213" t="n">
        <v>0</v>
      </c>
      <c r="K5213" t="n">
        <v>0</v>
      </c>
      <c r="L5213" t="n">
        <v>0</v>
      </c>
      <c r="M5213" t="n">
        <v>0</v>
      </c>
      <c r="N5213" t="n">
        <v>0</v>
      </c>
      <c r="O5213" t="n">
        <v>0</v>
      </c>
      <c r="P5213" t="n">
        <v>0</v>
      </c>
      <c r="Q5213" t="n">
        <v>0</v>
      </c>
      <c r="R5213" s="2" t="inlineStr"/>
    </row>
    <row r="5214" ht="15" customHeight="1">
      <c r="A5214" t="inlineStr">
        <is>
          <t>A 4927-2025</t>
        </is>
      </c>
      <c r="B5214" s="1" t="n">
        <v>45688.68456018518</v>
      </c>
      <c r="C5214" s="1" t="n">
        <v>46145</v>
      </c>
      <c r="D5214" t="inlineStr">
        <is>
          <t>VÄSTERBOTTENS LÄN</t>
        </is>
      </c>
      <c r="E5214" t="inlineStr">
        <is>
          <t>MALÅ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46273-2025</t>
        </is>
      </c>
      <c r="B5215" s="1" t="n">
        <v>45925.3700925926</v>
      </c>
      <c r="C5215" s="1" t="n">
        <v>46145</v>
      </c>
      <c r="D5215" t="inlineStr">
        <is>
          <t>VÄSTERBOTTENS LÄN</t>
        </is>
      </c>
      <c r="E5215" t="inlineStr">
        <is>
          <t>SKELLEFTEÅ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46276-2025</t>
        </is>
      </c>
      <c r="B5216" s="1" t="n">
        <v>45925.37224537037</v>
      </c>
      <c r="C5216" s="1" t="n">
        <v>46145</v>
      </c>
      <c r="D5216" t="inlineStr">
        <is>
          <t>VÄSTERBOTTENS LÄN</t>
        </is>
      </c>
      <c r="E5216" t="inlineStr">
        <is>
          <t>SKELLEFTEÅ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36449-2024</t>
        </is>
      </c>
      <c r="B5217" s="1" t="n">
        <v>45537</v>
      </c>
      <c r="C5217" s="1" t="n">
        <v>46145</v>
      </c>
      <c r="D5217" t="inlineStr">
        <is>
          <t>VÄSTERBOTTENS LÄN</t>
        </is>
      </c>
      <c r="E5217" t="inlineStr">
        <is>
          <t>ROBERTSFORS</t>
        </is>
      </c>
      <c r="F5217" t="inlineStr">
        <is>
          <t>Holmen skog AB</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47635-2024</t>
        </is>
      </c>
      <c r="B5218" s="1" t="n">
        <v>45588.35972222222</v>
      </c>
      <c r="C5218" s="1" t="n">
        <v>46145</v>
      </c>
      <c r="D5218" t="inlineStr">
        <is>
          <t>VÄSTERBOTTENS LÄN</t>
        </is>
      </c>
      <c r="E5218" t="inlineStr">
        <is>
          <t>NORDMALING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57071-2023</t>
        </is>
      </c>
      <c r="B5219" s="1" t="n">
        <v>45244.96703703704</v>
      </c>
      <c r="C5219" s="1" t="n">
        <v>46145</v>
      </c>
      <c r="D5219" t="inlineStr">
        <is>
          <t>VÄSTERBOTTENS LÄN</t>
        </is>
      </c>
      <c r="E5219" t="inlineStr">
        <is>
          <t>DOROTEA</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46591-2025</t>
        </is>
      </c>
      <c r="B5220" s="1" t="n">
        <v>45926.39612268518</v>
      </c>
      <c r="C5220" s="1" t="n">
        <v>46145</v>
      </c>
      <c r="D5220" t="inlineStr">
        <is>
          <t>VÄSTERBOTTENS LÄN</t>
        </is>
      </c>
      <c r="E5220" t="inlineStr">
        <is>
          <t>UMEÅ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46595-2025</t>
        </is>
      </c>
      <c r="B5221" s="1" t="n">
        <v>45926.39805555555</v>
      </c>
      <c r="C5221" s="1" t="n">
        <v>46145</v>
      </c>
      <c r="D5221" t="inlineStr">
        <is>
          <t>VÄSTERBOTTENS LÄN</t>
        </is>
      </c>
      <c r="E5221" t="inlineStr">
        <is>
          <t>STORUMAN</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47697-2021</t>
        </is>
      </c>
      <c r="B5222" s="1" t="n">
        <v>44448.47038194445</v>
      </c>
      <c r="C5222" s="1" t="n">
        <v>46145</v>
      </c>
      <c r="D5222" t="inlineStr">
        <is>
          <t>VÄSTERBOTTENS LÄN</t>
        </is>
      </c>
      <c r="E5222" t="inlineStr">
        <is>
          <t>LYCKSELE</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46286-2025</t>
        </is>
      </c>
      <c r="B5223" s="1" t="n">
        <v>45925.38423611111</v>
      </c>
      <c r="C5223" s="1" t="n">
        <v>46145</v>
      </c>
      <c r="D5223" t="inlineStr">
        <is>
          <t>VÄSTERBOTTENS LÄN</t>
        </is>
      </c>
      <c r="E5223" t="inlineStr">
        <is>
          <t>LYCKSELE</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46574-2025</t>
        </is>
      </c>
      <c r="B5224" s="1" t="n">
        <v>45926.37028935185</v>
      </c>
      <c r="C5224" s="1" t="n">
        <v>46145</v>
      </c>
      <c r="D5224" t="inlineStr">
        <is>
          <t>VÄSTERBOTTENS LÄN</t>
        </is>
      </c>
      <c r="E5224" t="inlineStr">
        <is>
          <t>VINDELN</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41594-2023</t>
        </is>
      </c>
      <c r="B5225" s="1" t="n">
        <v>45175</v>
      </c>
      <c r="C5225" s="1" t="n">
        <v>46145</v>
      </c>
      <c r="D5225" t="inlineStr">
        <is>
          <t>VÄSTERBOTTENS LÄN</t>
        </is>
      </c>
      <c r="E5225" t="inlineStr">
        <is>
          <t>UMEÅ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46586-2025</t>
        </is>
      </c>
      <c r="B5226" s="1" t="n">
        <v>45926.38789351852</v>
      </c>
      <c r="C5226" s="1" t="n">
        <v>46145</v>
      </c>
      <c r="D5226" t="inlineStr">
        <is>
          <t>VÄSTERBOTTENS LÄN</t>
        </is>
      </c>
      <c r="E5226" t="inlineStr">
        <is>
          <t>STORUMAN</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46291-2025</t>
        </is>
      </c>
      <c r="B5227" s="1" t="n">
        <v>45925</v>
      </c>
      <c r="C5227" s="1" t="n">
        <v>46145</v>
      </c>
      <c r="D5227" t="inlineStr">
        <is>
          <t>VÄSTERBOTTENS LÄN</t>
        </is>
      </c>
      <c r="E5227" t="inlineStr">
        <is>
          <t>SKELLEFTEÅ</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55688-2023</t>
        </is>
      </c>
      <c r="B5228" s="1" t="n">
        <v>45232</v>
      </c>
      <c r="C5228" s="1" t="n">
        <v>46145</v>
      </c>
      <c r="D5228" t="inlineStr">
        <is>
          <t>VÄSTERBOTTENS LÄN</t>
        </is>
      </c>
      <c r="E5228" t="inlineStr">
        <is>
          <t>VILHELMINA</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58187-2023</t>
        </is>
      </c>
      <c r="B5229" s="1" t="n">
        <v>45250.42211805555</v>
      </c>
      <c r="C5229" s="1" t="n">
        <v>46145</v>
      </c>
      <c r="D5229" t="inlineStr">
        <is>
          <t>VÄSTERBOTTENS LÄN</t>
        </is>
      </c>
      <c r="E5229" t="inlineStr">
        <is>
          <t>VINDELN</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18862-2023</t>
        </is>
      </c>
      <c r="B5230" s="1" t="n">
        <v>45043</v>
      </c>
      <c r="C5230" s="1" t="n">
        <v>46145</v>
      </c>
      <c r="D5230" t="inlineStr">
        <is>
          <t>VÄSTERBOTTENS LÄN</t>
        </is>
      </c>
      <c r="E5230" t="inlineStr">
        <is>
          <t>VINDELN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46548-2025</t>
        </is>
      </c>
      <c r="B5231" s="1" t="n">
        <v>45926.34539351852</v>
      </c>
      <c r="C5231" s="1" t="n">
        <v>46145</v>
      </c>
      <c r="D5231" t="inlineStr">
        <is>
          <t>VÄSTERBOTTENS LÄN</t>
        </is>
      </c>
      <c r="E5231" t="inlineStr">
        <is>
          <t>NORDMALING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8600-2025</t>
        </is>
      </c>
      <c r="B5232" s="1" t="n">
        <v>45709</v>
      </c>
      <c r="C5232" s="1" t="n">
        <v>46145</v>
      </c>
      <c r="D5232" t="inlineStr">
        <is>
          <t>VÄSTERBOTTENS LÄN</t>
        </is>
      </c>
      <c r="E5232" t="inlineStr">
        <is>
          <t>LYCKSELE</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46627-2025</t>
        </is>
      </c>
      <c r="B5233" s="1" t="n">
        <v>45926.44899305556</v>
      </c>
      <c r="C5233" s="1" t="n">
        <v>46145</v>
      </c>
      <c r="D5233" t="inlineStr">
        <is>
          <t>VÄSTERBOTTENS LÄN</t>
        </is>
      </c>
      <c r="E5233" t="inlineStr">
        <is>
          <t>SKELLEFTEÅ</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1645-2024</t>
        </is>
      </c>
      <c r="B5234" s="1" t="n">
        <v>45306</v>
      </c>
      <c r="C5234" s="1" t="n">
        <v>46145</v>
      </c>
      <c r="D5234" t="inlineStr">
        <is>
          <t>VÄSTERBOTTENS LÄN</t>
        </is>
      </c>
      <c r="E5234" t="inlineStr">
        <is>
          <t>SORSELE</t>
        </is>
      </c>
      <c r="G5234" t="n">
        <v>49.3</v>
      </c>
      <c r="H5234" t="n">
        <v>0</v>
      </c>
      <c r="I5234" t="n">
        <v>0</v>
      </c>
      <c r="J5234" t="n">
        <v>0</v>
      </c>
      <c r="K5234" t="n">
        <v>0</v>
      </c>
      <c r="L5234" t="n">
        <v>0</v>
      </c>
      <c r="M5234" t="n">
        <v>0</v>
      </c>
      <c r="N5234" t="n">
        <v>0</v>
      </c>
      <c r="O5234" t="n">
        <v>0</v>
      </c>
      <c r="P5234" t="n">
        <v>0</v>
      </c>
      <c r="Q5234" t="n">
        <v>0</v>
      </c>
      <c r="R5234" s="2" t="inlineStr"/>
    </row>
    <row r="5235" ht="15" customHeight="1">
      <c r="A5235" t="inlineStr">
        <is>
          <t>A 47188-2025</t>
        </is>
      </c>
      <c r="B5235" s="1" t="n">
        <v>45930.32789351852</v>
      </c>
      <c r="C5235" s="1" t="n">
        <v>46145</v>
      </c>
      <c r="D5235" t="inlineStr">
        <is>
          <t>VÄSTERBOTTENS LÄN</t>
        </is>
      </c>
      <c r="E5235" t="inlineStr">
        <is>
          <t>UMEÅ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47200-2025</t>
        </is>
      </c>
      <c r="B5236" s="1" t="n">
        <v>45930.35950231482</v>
      </c>
      <c r="C5236" s="1" t="n">
        <v>46145</v>
      </c>
      <c r="D5236" t="inlineStr">
        <is>
          <t>VÄSTERBOTTENS LÄN</t>
        </is>
      </c>
      <c r="E5236" t="inlineStr">
        <is>
          <t>VINDELN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47246-2025</t>
        </is>
      </c>
      <c r="B5237" s="1" t="n">
        <v>45930.42961805555</v>
      </c>
      <c r="C5237" s="1" t="n">
        <v>46145</v>
      </c>
      <c r="D5237" t="inlineStr">
        <is>
          <t>VÄSTERBOTTENS LÄN</t>
        </is>
      </c>
      <c r="E5237" t="inlineStr">
        <is>
          <t>SKELLEFTEÅ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47151-2025</t>
        </is>
      </c>
      <c r="B5238" s="1" t="n">
        <v>45929.72506944444</v>
      </c>
      <c r="C5238" s="1" t="n">
        <v>46145</v>
      </c>
      <c r="D5238" t="inlineStr">
        <is>
          <t>VÄSTERBOTTENS LÄN</t>
        </is>
      </c>
      <c r="E5238" t="inlineStr">
        <is>
          <t>BJURHOLM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34761-2023</t>
        </is>
      </c>
      <c r="B5239" s="1" t="n">
        <v>45141.47096064815</v>
      </c>
      <c r="C5239" s="1" t="n">
        <v>46145</v>
      </c>
      <c r="D5239" t="inlineStr">
        <is>
          <t>VÄSTERBOTTENS LÄN</t>
        </is>
      </c>
      <c r="E5239" t="inlineStr">
        <is>
          <t>BJURHOLM</t>
        </is>
      </c>
      <c r="F5239" t="inlineStr">
        <is>
          <t>Holmen skog AB</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47046-2025</t>
        </is>
      </c>
      <c r="B5240" s="1" t="n">
        <v>45929.6050925926</v>
      </c>
      <c r="C5240" s="1" t="n">
        <v>46145</v>
      </c>
      <c r="D5240" t="inlineStr">
        <is>
          <t>VÄSTERBOTTENS LÄN</t>
        </is>
      </c>
      <c r="E5240" t="inlineStr">
        <is>
          <t>NORDMALING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33771-2023</t>
        </is>
      </c>
      <c r="B5241" s="1" t="n">
        <v>45133.49151620371</v>
      </c>
      <c r="C5241" s="1" t="n">
        <v>46145</v>
      </c>
      <c r="D5241" t="inlineStr">
        <is>
          <t>VÄSTERBOTTENS LÄN</t>
        </is>
      </c>
      <c r="E5241" t="inlineStr">
        <is>
          <t>SKELLEFTEÅ</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9892-2022</t>
        </is>
      </c>
      <c r="B5242" s="1" t="n">
        <v>44620</v>
      </c>
      <c r="C5242" s="1" t="n">
        <v>46145</v>
      </c>
      <c r="D5242" t="inlineStr">
        <is>
          <t>VÄSTERBOTTENS LÄN</t>
        </is>
      </c>
      <c r="E5242" t="inlineStr">
        <is>
          <t>LYCKSELE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33821-2023</t>
        </is>
      </c>
      <c r="B5243" s="1" t="n">
        <v>45133</v>
      </c>
      <c r="C5243" s="1" t="n">
        <v>46145</v>
      </c>
      <c r="D5243" t="inlineStr">
        <is>
          <t>VÄSTERBOTTENS LÄN</t>
        </is>
      </c>
      <c r="E5243" t="inlineStr">
        <is>
          <t>ROBERTSFORS</t>
        </is>
      </c>
      <c r="F5243" t="inlineStr">
        <is>
          <t>Holmen skog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47179-2025</t>
        </is>
      </c>
      <c r="B5244" s="1" t="n">
        <v>45930.30091435185</v>
      </c>
      <c r="C5244" s="1" t="n">
        <v>46145</v>
      </c>
      <c r="D5244" t="inlineStr">
        <is>
          <t>VÄSTERBOTTENS LÄN</t>
        </is>
      </c>
      <c r="E5244" t="inlineStr">
        <is>
          <t>UMEÅ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47243-2025</t>
        </is>
      </c>
      <c r="B5245" s="1" t="n">
        <v>45930</v>
      </c>
      <c r="C5245" s="1" t="n">
        <v>46145</v>
      </c>
      <c r="D5245" t="inlineStr">
        <is>
          <t>VÄSTERBOTTENS LÄN</t>
        </is>
      </c>
      <c r="E5245" t="inlineStr">
        <is>
          <t>SKELLEFTEÅ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19795-2025</t>
        </is>
      </c>
      <c r="B5246" s="1" t="n">
        <v>45771.44666666666</v>
      </c>
      <c r="C5246" s="1" t="n">
        <v>46145</v>
      </c>
      <c r="D5246" t="inlineStr">
        <is>
          <t>VÄSTERBOTTENS LÄN</t>
        </is>
      </c>
      <c r="E5246" t="inlineStr">
        <is>
          <t>SKELLEFTEÅ</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7052-2022</t>
        </is>
      </c>
      <c r="B5247" s="1" t="n">
        <v>44603</v>
      </c>
      <c r="C5247" s="1" t="n">
        <v>46145</v>
      </c>
      <c r="D5247" t="inlineStr">
        <is>
          <t>VÄSTERBOTTENS LÄN</t>
        </is>
      </c>
      <c r="E5247" t="inlineStr">
        <is>
          <t>SKELLEFTEÅ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29125-2024</t>
        </is>
      </c>
      <c r="B5248" s="1" t="n">
        <v>45481</v>
      </c>
      <c r="C5248" s="1" t="n">
        <v>46145</v>
      </c>
      <c r="D5248" t="inlineStr">
        <is>
          <t>VÄSTERBOTTENS LÄN</t>
        </is>
      </c>
      <c r="E5248" t="inlineStr">
        <is>
          <t>SKELLEFTEÅ</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40111-2023</t>
        </is>
      </c>
      <c r="B5249" s="1" t="n">
        <v>45168.93827546296</v>
      </c>
      <c r="C5249" s="1" t="n">
        <v>46145</v>
      </c>
      <c r="D5249" t="inlineStr">
        <is>
          <t>VÄSTERBOTTENS LÄN</t>
        </is>
      </c>
      <c r="E5249" t="inlineStr">
        <is>
          <t>STORUMAN</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47341-2025</t>
        </is>
      </c>
      <c r="B5250" s="1" t="n">
        <v>45930.56827546296</v>
      </c>
      <c r="C5250" s="1" t="n">
        <v>46145</v>
      </c>
      <c r="D5250" t="inlineStr">
        <is>
          <t>VÄSTERBOTTENS LÄN</t>
        </is>
      </c>
      <c r="E5250" t="inlineStr">
        <is>
          <t>ÅSELE</t>
        </is>
      </c>
      <c r="F5250" t="inlineStr">
        <is>
          <t>Holmen skog AB</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41384-2023</t>
        </is>
      </c>
      <c r="B5251" s="1" t="n">
        <v>45174</v>
      </c>
      <c r="C5251" s="1" t="n">
        <v>46145</v>
      </c>
      <c r="D5251" t="inlineStr">
        <is>
          <t>VÄSTERBOTTENS LÄN</t>
        </is>
      </c>
      <c r="E5251" t="inlineStr">
        <is>
          <t>MALÅ</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41390-2023</t>
        </is>
      </c>
      <c r="B5252" s="1" t="n">
        <v>45174.92260416667</v>
      </c>
      <c r="C5252" s="1" t="n">
        <v>46145</v>
      </c>
      <c r="D5252" t="inlineStr">
        <is>
          <t>VÄSTERBOTTENS LÄN</t>
        </is>
      </c>
      <c r="E5252" t="inlineStr">
        <is>
          <t>NORSJÖ</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47409-2025</t>
        </is>
      </c>
      <c r="B5253" s="1" t="n">
        <v>45930.61439814815</v>
      </c>
      <c r="C5253" s="1" t="n">
        <v>46145</v>
      </c>
      <c r="D5253" t="inlineStr">
        <is>
          <t>VÄSTERBOTTENS LÄN</t>
        </is>
      </c>
      <c r="E5253" t="inlineStr">
        <is>
          <t>ROBERTSFORS</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46884-2025</t>
        </is>
      </c>
      <c r="B5254" s="1" t="n">
        <v>45929.36494212963</v>
      </c>
      <c r="C5254" s="1" t="n">
        <v>46145</v>
      </c>
      <c r="D5254" t="inlineStr">
        <is>
          <t>VÄSTERBOTTENS LÄN</t>
        </is>
      </c>
      <c r="E5254" t="inlineStr">
        <is>
          <t>BJURHOLM</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39246-2023</t>
        </is>
      </c>
      <c r="B5255" s="1" t="n">
        <v>45166</v>
      </c>
      <c r="C5255" s="1" t="n">
        <v>46145</v>
      </c>
      <c r="D5255" t="inlineStr">
        <is>
          <t>VÄSTERBOTTENS LÄN</t>
        </is>
      </c>
      <c r="E5255" t="inlineStr">
        <is>
          <t>MALÅ</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47238-2025</t>
        </is>
      </c>
      <c r="B5256" s="1" t="n">
        <v>45930.41980324074</v>
      </c>
      <c r="C5256" s="1" t="n">
        <v>46145</v>
      </c>
      <c r="D5256" t="inlineStr">
        <is>
          <t>VÄSTERBOTTENS LÄN</t>
        </is>
      </c>
      <c r="E5256" t="inlineStr">
        <is>
          <t>SKELLEFTEÅ</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47253-2025</t>
        </is>
      </c>
      <c r="B5257" s="1" t="n">
        <v>45930</v>
      </c>
      <c r="C5257" s="1" t="n">
        <v>46145</v>
      </c>
      <c r="D5257" t="inlineStr">
        <is>
          <t>VÄSTERBOTTENS LÄN</t>
        </is>
      </c>
      <c r="E5257" t="inlineStr">
        <is>
          <t>VINDELN</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46877-2025</t>
        </is>
      </c>
      <c r="B5258" s="1" t="n">
        <v>45929.34471064815</v>
      </c>
      <c r="C5258" s="1" t="n">
        <v>46145</v>
      </c>
      <c r="D5258" t="inlineStr">
        <is>
          <t>VÄSTERBOTTENS LÄN</t>
        </is>
      </c>
      <c r="E5258" t="inlineStr">
        <is>
          <t>NORDMALING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46885-2025</t>
        </is>
      </c>
      <c r="B5259" s="1" t="n">
        <v>45929.36496527777</v>
      </c>
      <c r="C5259" s="1" t="n">
        <v>46145</v>
      </c>
      <c r="D5259" t="inlineStr">
        <is>
          <t>VÄSTERBOTTENS LÄN</t>
        </is>
      </c>
      <c r="E5259" t="inlineStr">
        <is>
          <t>BJURHOLM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27585-2024</t>
        </is>
      </c>
      <c r="B5260" s="1" t="n">
        <v>45474</v>
      </c>
      <c r="C5260" s="1" t="n">
        <v>46145</v>
      </c>
      <c r="D5260" t="inlineStr">
        <is>
          <t>VÄSTERBOTTENS LÄN</t>
        </is>
      </c>
      <c r="E5260" t="inlineStr">
        <is>
          <t>STORUMAN</t>
        </is>
      </c>
      <c r="F5260" t="inlineStr">
        <is>
          <t>Sveaskog</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46839-2025</t>
        </is>
      </c>
      <c r="B5261" s="1" t="n">
        <v>45928.44722222222</v>
      </c>
      <c r="C5261" s="1" t="n">
        <v>46145</v>
      </c>
      <c r="D5261" t="inlineStr">
        <is>
          <t>VÄSTERBOTTENS LÄN</t>
        </is>
      </c>
      <c r="E5261" t="inlineStr">
        <is>
          <t>VINDELN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46861-2025</t>
        </is>
      </c>
      <c r="B5262" s="1" t="n">
        <v>45929.29958333333</v>
      </c>
      <c r="C5262" s="1" t="n">
        <v>46145</v>
      </c>
      <c r="D5262" t="inlineStr">
        <is>
          <t>VÄSTERBOTTENS LÄN</t>
        </is>
      </c>
      <c r="E5262" t="inlineStr">
        <is>
          <t>VINDELN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46876-2025</t>
        </is>
      </c>
      <c r="B5263" s="1" t="n">
        <v>45929.34462962963</v>
      </c>
      <c r="C5263" s="1" t="n">
        <v>46145</v>
      </c>
      <c r="D5263" t="inlineStr">
        <is>
          <t>VÄSTERBOTTENS LÄN</t>
        </is>
      </c>
      <c r="E5263" t="inlineStr">
        <is>
          <t>NORDMALING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62553-2023</t>
        </is>
      </c>
      <c r="B5264" s="1" t="n">
        <v>45268.9262037037</v>
      </c>
      <c r="C5264" s="1" t="n">
        <v>46145</v>
      </c>
      <c r="D5264" t="inlineStr">
        <is>
          <t>VÄSTERBOTTENS LÄN</t>
        </is>
      </c>
      <c r="E5264" t="inlineStr">
        <is>
          <t>DOROTEA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47433-2025</t>
        </is>
      </c>
      <c r="B5265" s="1" t="n">
        <v>45930.63641203703</v>
      </c>
      <c r="C5265" s="1" t="n">
        <v>46145</v>
      </c>
      <c r="D5265" t="inlineStr">
        <is>
          <t>VÄSTERBOTTENS LÄN</t>
        </is>
      </c>
      <c r="E5265" t="inlineStr">
        <is>
          <t>ÅSELE</t>
        </is>
      </c>
      <c r="F5265" t="inlineStr">
        <is>
          <t>SCA</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22002-2023</t>
        </is>
      </c>
      <c r="B5266" s="1" t="n">
        <v>45068.92707175926</v>
      </c>
      <c r="C5266" s="1" t="n">
        <v>46145</v>
      </c>
      <c r="D5266" t="inlineStr">
        <is>
          <t>VÄSTERBOTTENS LÄN</t>
        </is>
      </c>
      <c r="E5266" t="inlineStr">
        <is>
          <t>VÄNNÄS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47015-2025</t>
        </is>
      </c>
      <c r="B5267" s="1" t="n">
        <v>45929.57420138889</v>
      </c>
      <c r="C5267" s="1" t="n">
        <v>46145</v>
      </c>
      <c r="D5267" t="inlineStr">
        <is>
          <t>VÄSTERBOTTENS LÄN</t>
        </is>
      </c>
      <c r="E5267" t="inlineStr">
        <is>
          <t>NORDMALING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30341-2023</t>
        </is>
      </c>
      <c r="B5268" s="1" t="n">
        <v>45111</v>
      </c>
      <c r="C5268" s="1" t="n">
        <v>46145</v>
      </c>
      <c r="D5268" t="inlineStr">
        <is>
          <t>VÄSTERBOTTENS LÄN</t>
        </is>
      </c>
      <c r="E5268" t="inlineStr">
        <is>
          <t>ROBERTSFORS</t>
        </is>
      </c>
      <c r="F5268" t="inlineStr">
        <is>
          <t>Sveaskog</t>
        </is>
      </c>
      <c r="G5268" t="n">
        <v>13.7</v>
      </c>
      <c r="H5268" t="n">
        <v>0</v>
      </c>
      <c r="I5268" t="n">
        <v>0</v>
      </c>
      <c r="J5268" t="n">
        <v>0</v>
      </c>
      <c r="K5268" t="n">
        <v>0</v>
      </c>
      <c r="L5268" t="n">
        <v>0</v>
      </c>
      <c r="M5268" t="n">
        <v>0</v>
      </c>
      <c r="N5268" t="n">
        <v>0</v>
      </c>
      <c r="O5268" t="n">
        <v>0</v>
      </c>
      <c r="P5268" t="n">
        <v>0</v>
      </c>
      <c r="Q5268" t="n">
        <v>0</v>
      </c>
      <c r="R5268" s="2" t="inlineStr"/>
    </row>
    <row r="5269" ht="15" customHeight="1">
      <c r="A5269" t="inlineStr">
        <is>
          <t>A 5435-2024</t>
        </is>
      </c>
      <c r="B5269" s="1" t="n">
        <v>45331</v>
      </c>
      <c r="C5269" s="1" t="n">
        <v>46145</v>
      </c>
      <c r="D5269" t="inlineStr">
        <is>
          <t>VÄSTERBOTTENS LÄN</t>
        </is>
      </c>
      <c r="E5269" t="inlineStr">
        <is>
          <t>VILHELMINA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12839-2022</t>
        </is>
      </c>
      <c r="B5270" s="1" t="n">
        <v>44642</v>
      </c>
      <c r="C5270" s="1" t="n">
        <v>46145</v>
      </c>
      <c r="D5270" t="inlineStr">
        <is>
          <t>VÄSTERBOTTENS LÄN</t>
        </is>
      </c>
      <c r="E5270" t="inlineStr">
        <is>
          <t>LYCKSELE</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47182-2025</t>
        </is>
      </c>
      <c r="B5271" s="1" t="n">
        <v>45930.31474537037</v>
      </c>
      <c r="C5271" s="1" t="n">
        <v>46145</v>
      </c>
      <c r="D5271" t="inlineStr">
        <is>
          <t>VÄSTERBOTTENS LÄN</t>
        </is>
      </c>
      <c r="E5271" t="inlineStr">
        <is>
          <t>NORSJÖ</t>
        </is>
      </c>
      <c r="F5271" t="inlineStr">
        <is>
          <t>Holmen skog AB</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47150-2025</t>
        </is>
      </c>
      <c r="B5272" s="1" t="n">
        <v>45929.71940972222</v>
      </c>
      <c r="C5272" s="1" t="n">
        <v>46145</v>
      </c>
      <c r="D5272" t="inlineStr">
        <is>
          <t>VÄSTERBOTTENS LÄN</t>
        </is>
      </c>
      <c r="E5272" t="inlineStr">
        <is>
          <t>BJURHOLM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10265-2025</t>
        </is>
      </c>
      <c r="B5273" s="1" t="n">
        <v>45720.38559027778</v>
      </c>
      <c r="C5273" s="1" t="n">
        <v>46145</v>
      </c>
      <c r="D5273" t="inlineStr">
        <is>
          <t>VÄSTERBOTTENS LÄN</t>
        </is>
      </c>
      <c r="E5273" t="inlineStr">
        <is>
          <t>UMEÅ</t>
        </is>
      </c>
      <c r="G5273" t="n">
        <v>10.6</v>
      </c>
      <c r="H5273" t="n">
        <v>0</v>
      </c>
      <c r="I5273" t="n">
        <v>0</v>
      </c>
      <c r="J5273" t="n">
        <v>0</v>
      </c>
      <c r="K5273" t="n">
        <v>0</v>
      </c>
      <c r="L5273" t="n">
        <v>0</v>
      </c>
      <c r="M5273" t="n">
        <v>0</v>
      </c>
      <c r="N5273" t="n">
        <v>0</v>
      </c>
      <c r="O5273" t="n">
        <v>0</v>
      </c>
      <c r="P5273" t="n">
        <v>0</v>
      </c>
      <c r="Q5273" t="n">
        <v>0</v>
      </c>
      <c r="R5273" s="2" t="inlineStr"/>
    </row>
    <row r="5274" ht="15" customHeight="1">
      <c r="A5274" t="inlineStr">
        <is>
          <t>A 47035-2025</t>
        </is>
      </c>
      <c r="B5274" s="1" t="n">
        <v>45929.59428240741</v>
      </c>
      <c r="C5274" s="1" t="n">
        <v>46145</v>
      </c>
      <c r="D5274" t="inlineStr">
        <is>
          <t>VÄSTERBOTTENS LÄN</t>
        </is>
      </c>
      <c r="E5274" t="inlineStr">
        <is>
          <t>VILHELMINA</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47421-2025</t>
        </is>
      </c>
      <c r="B5275" s="1" t="n">
        <v>45930.62444444445</v>
      </c>
      <c r="C5275" s="1" t="n">
        <v>46145</v>
      </c>
      <c r="D5275" t="inlineStr">
        <is>
          <t>VÄSTERBOTTENS LÄN</t>
        </is>
      </c>
      <c r="E5275" t="inlineStr">
        <is>
          <t>UMEÅ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10268-2025</t>
        </is>
      </c>
      <c r="B5276" s="1" t="n">
        <v>45720</v>
      </c>
      <c r="C5276" s="1" t="n">
        <v>46145</v>
      </c>
      <c r="D5276" t="inlineStr">
        <is>
          <t>VÄSTERBOTTENS LÄN</t>
        </is>
      </c>
      <c r="E5276" t="inlineStr">
        <is>
          <t>VILHELMINA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6636-2022</t>
        </is>
      </c>
      <c r="B5277" s="1" t="n">
        <v>44601</v>
      </c>
      <c r="C5277" s="1" t="n">
        <v>46145</v>
      </c>
      <c r="D5277" t="inlineStr">
        <is>
          <t>VÄSTERBOTTENS LÄN</t>
        </is>
      </c>
      <c r="E5277" t="inlineStr">
        <is>
          <t>STORUMAN</t>
        </is>
      </c>
      <c r="G5277" t="n">
        <v>23.5</v>
      </c>
      <c r="H5277" t="n">
        <v>0</v>
      </c>
      <c r="I5277" t="n">
        <v>0</v>
      </c>
      <c r="J5277" t="n">
        <v>0</v>
      </c>
      <c r="K5277" t="n">
        <v>0</v>
      </c>
      <c r="L5277" t="n">
        <v>0</v>
      </c>
      <c r="M5277" t="n">
        <v>0</v>
      </c>
      <c r="N5277" t="n">
        <v>0</v>
      </c>
      <c r="O5277" t="n">
        <v>0</v>
      </c>
      <c r="P5277" t="n">
        <v>0</v>
      </c>
      <c r="Q5277" t="n">
        <v>0</v>
      </c>
      <c r="R5277" s="2" t="inlineStr"/>
    </row>
    <row r="5278" ht="15" customHeight="1">
      <c r="A5278" t="inlineStr">
        <is>
          <t>A 47447-2025</t>
        </is>
      </c>
      <c r="B5278" s="1" t="n">
        <v>45930.64424768519</v>
      </c>
      <c r="C5278" s="1" t="n">
        <v>46145</v>
      </c>
      <c r="D5278" t="inlineStr">
        <is>
          <t>VÄSTERBOTTENS LÄN</t>
        </is>
      </c>
      <c r="E5278" t="inlineStr">
        <is>
          <t>SKELLEFTEÅ</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47461-2025</t>
        </is>
      </c>
      <c r="B5279" s="1" t="n">
        <v>45930.66153935185</v>
      </c>
      <c r="C5279" s="1" t="n">
        <v>46145</v>
      </c>
      <c r="D5279" t="inlineStr">
        <is>
          <t>VÄSTERBOTTENS LÄN</t>
        </is>
      </c>
      <c r="E5279" t="inlineStr">
        <is>
          <t>LYCKSELE</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34246-2024</t>
        </is>
      </c>
      <c r="B5280" s="1" t="n">
        <v>45524.58476851852</v>
      </c>
      <c r="C5280" s="1" t="n">
        <v>46145</v>
      </c>
      <c r="D5280" t="inlineStr">
        <is>
          <t>VÄSTERBOTTENS LÄN</t>
        </is>
      </c>
      <c r="E5280" t="inlineStr">
        <is>
          <t>NORDMALING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11091-2025</t>
        </is>
      </c>
      <c r="B5281" s="1" t="n">
        <v>45723.57409722222</v>
      </c>
      <c r="C5281" s="1" t="n">
        <v>46145</v>
      </c>
      <c r="D5281" t="inlineStr">
        <is>
          <t>VÄSTERBOTTENS LÄN</t>
        </is>
      </c>
      <c r="E5281" t="inlineStr">
        <is>
          <t>DOROTEA</t>
        </is>
      </c>
      <c r="F5281" t="inlineStr">
        <is>
          <t>SCA</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47413-2025</t>
        </is>
      </c>
      <c r="B5282" s="1" t="n">
        <v>45930.61894675926</v>
      </c>
      <c r="C5282" s="1" t="n">
        <v>46145</v>
      </c>
      <c r="D5282" t="inlineStr">
        <is>
          <t>VÄSTERBOTTENS LÄN</t>
        </is>
      </c>
      <c r="E5282" t="inlineStr">
        <is>
          <t>ROBERTSFORS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47419-2025</t>
        </is>
      </c>
      <c r="B5283" s="1" t="n">
        <v>45930.62128472222</v>
      </c>
      <c r="C5283" s="1" t="n">
        <v>46145</v>
      </c>
      <c r="D5283" t="inlineStr">
        <is>
          <t>VÄSTERBOTTENS LÄN</t>
        </is>
      </c>
      <c r="E5283" t="inlineStr">
        <is>
          <t>NORSJÖ</t>
        </is>
      </c>
      <c r="F5283" t="inlineStr">
        <is>
          <t>Holmen skog AB</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46878-2025</t>
        </is>
      </c>
      <c r="B5284" s="1" t="n">
        <v>45929.34473379629</v>
      </c>
      <c r="C5284" s="1" t="n">
        <v>46145</v>
      </c>
      <c r="D5284" t="inlineStr">
        <is>
          <t>VÄSTERBOTTENS LÄN</t>
        </is>
      </c>
      <c r="E5284" t="inlineStr">
        <is>
          <t>NORDMALING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46888-2025</t>
        </is>
      </c>
      <c r="B5285" s="1" t="n">
        <v>45929.3687037037</v>
      </c>
      <c r="C5285" s="1" t="n">
        <v>46145</v>
      </c>
      <c r="D5285" t="inlineStr">
        <is>
          <t>VÄSTERBOTTENS LÄN</t>
        </is>
      </c>
      <c r="E5285" t="inlineStr">
        <is>
          <t>STORUMAN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16706-2025</t>
        </is>
      </c>
      <c r="B5286" s="1" t="n">
        <v>45751</v>
      </c>
      <c r="C5286" s="1" t="n">
        <v>46145</v>
      </c>
      <c r="D5286" t="inlineStr">
        <is>
          <t>VÄSTERBOTTENS LÄN</t>
        </is>
      </c>
      <c r="E5286" t="inlineStr">
        <is>
          <t>SKELLEFTEÅ</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16707-2025</t>
        </is>
      </c>
      <c r="B5287" s="1" t="n">
        <v>45751</v>
      </c>
      <c r="C5287" s="1" t="n">
        <v>46145</v>
      </c>
      <c r="D5287" t="inlineStr">
        <is>
          <t>VÄSTERBOTTENS LÄN</t>
        </is>
      </c>
      <c r="E5287" t="inlineStr">
        <is>
          <t>SKELLEFTEÅ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46953-2025</t>
        </is>
      </c>
      <c r="B5288" s="1" t="n">
        <v>45929.47361111111</v>
      </c>
      <c r="C5288" s="1" t="n">
        <v>46145</v>
      </c>
      <c r="D5288" t="inlineStr">
        <is>
          <t>VÄSTERBOTTENS LÄN</t>
        </is>
      </c>
      <c r="E5288" t="inlineStr">
        <is>
          <t>BJURHOLM</t>
        </is>
      </c>
      <c r="F5288" t="inlineStr">
        <is>
          <t>Holmen skog AB</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47093-2025</t>
        </is>
      </c>
      <c r="B5289" s="1" t="n">
        <v>45929.65231481481</v>
      </c>
      <c r="C5289" s="1" t="n">
        <v>46145</v>
      </c>
      <c r="D5289" t="inlineStr">
        <is>
          <t>VÄSTERBOTTENS LÄN</t>
        </is>
      </c>
      <c r="E5289" t="inlineStr">
        <is>
          <t>LYCKSELE</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47456-2025</t>
        </is>
      </c>
      <c r="B5290" s="1" t="n">
        <v>45930.65547453704</v>
      </c>
      <c r="C5290" s="1" t="n">
        <v>46145</v>
      </c>
      <c r="D5290" t="inlineStr">
        <is>
          <t>VÄSTERBOTTENS LÄN</t>
        </is>
      </c>
      <c r="E5290" t="inlineStr">
        <is>
          <t>LYCKSELE</t>
        </is>
      </c>
      <c r="F5290" t="inlineStr">
        <is>
          <t>Sveaskog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13725-2025</t>
        </is>
      </c>
      <c r="B5291" s="1" t="n">
        <v>45737.37833333333</v>
      </c>
      <c r="C5291" s="1" t="n">
        <v>46145</v>
      </c>
      <c r="D5291" t="inlineStr">
        <is>
          <t>VÄSTERBOTTENS LÄN</t>
        </is>
      </c>
      <c r="E5291" t="inlineStr">
        <is>
          <t>NORSJÖ</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19293-2025</t>
        </is>
      </c>
      <c r="B5292" s="1" t="n">
        <v>45769.56047453704</v>
      </c>
      <c r="C5292" s="1" t="n">
        <v>46145</v>
      </c>
      <c r="D5292" t="inlineStr">
        <is>
          <t>VÄSTERBOTTENS LÄN</t>
        </is>
      </c>
      <c r="E5292" t="inlineStr">
        <is>
          <t>SKELLEFTEÅ</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57899-2022</t>
        </is>
      </c>
      <c r="B5293" s="1" t="n">
        <v>44900</v>
      </c>
      <c r="C5293" s="1" t="n">
        <v>46145</v>
      </c>
      <c r="D5293" t="inlineStr">
        <is>
          <t>VÄSTERBOTTENS LÄN</t>
        </is>
      </c>
      <c r="E5293" t="inlineStr">
        <is>
          <t>SKELLEFTEÅ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15337-2025</t>
        </is>
      </c>
      <c r="B5294" s="1" t="n">
        <v>45747.36483796296</v>
      </c>
      <c r="C5294" s="1" t="n">
        <v>46145</v>
      </c>
      <c r="D5294" t="inlineStr">
        <is>
          <t>VÄSTERBOTTENS LÄN</t>
        </is>
      </c>
      <c r="E5294" t="inlineStr">
        <is>
          <t>UMEÅ</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16239-2023</t>
        </is>
      </c>
      <c r="B5295" s="1" t="n">
        <v>45028</v>
      </c>
      <c r="C5295" s="1" t="n">
        <v>46145</v>
      </c>
      <c r="D5295" t="inlineStr">
        <is>
          <t>VÄSTERBOTTENS LÄN</t>
        </is>
      </c>
      <c r="E5295" t="inlineStr">
        <is>
          <t>SKELLEFTEÅ</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6684-2023</t>
        </is>
      </c>
      <c r="B5296" s="1" t="n">
        <v>44963</v>
      </c>
      <c r="C5296" s="1" t="n">
        <v>46145</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47191-2025</t>
        </is>
      </c>
      <c r="B5297" s="1" t="n">
        <v>45930.34041666667</v>
      </c>
      <c r="C5297" s="1" t="n">
        <v>46145</v>
      </c>
      <c r="D5297" t="inlineStr">
        <is>
          <t>VÄSTERBOTTENS LÄN</t>
        </is>
      </c>
      <c r="E5297" t="inlineStr">
        <is>
          <t>NORDMALING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47113-2025</t>
        </is>
      </c>
      <c r="B5298" s="1" t="n">
        <v>45929.67430555556</v>
      </c>
      <c r="C5298" s="1" t="n">
        <v>46145</v>
      </c>
      <c r="D5298" t="inlineStr">
        <is>
          <t>VÄSTERBOTTENS LÄN</t>
        </is>
      </c>
      <c r="E5298" t="inlineStr">
        <is>
          <t>LYCKSELE</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6699-2023</t>
        </is>
      </c>
      <c r="B5299" s="1" t="n">
        <v>44966.67196759259</v>
      </c>
      <c r="C5299" s="1" t="n">
        <v>46145</v>
      </c>
      <c r="D5299" t="inlineStr">
        <is>
          <t>VÄSTERBOTTENS LÄN</t>
        </is>
      </c>
      <c r="E5299" t="inlineStr">
        <is>
          <t>BJURHOLM</t>
        </is>
      </c>
      <c r="F5299" t="inlineStr">
        <is>
          <t>Holmen skog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61270-2022</t>
        </is>
      </c>
      <c r="B5300" s="1" t="n">
        <v>44909</v>
      </c>
      <c r="C5300" s="1" t="n">
        <v>46145</v>
      </c>
      <c r="D5300" t="inlineStr">
        <is>
          <t>VÄSTERBOTTENS LÄN</t>
        </is>
      </c>
      <c r="E5300" t="inlineStr">
        <is>
          <t>VILHELMINA</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46840-2025</t>
        </is>
      </c>
      <c r="B5301" s="1" t="n">
        <v>45928.44752314815</v>
      </c>
      <c r="C5301" s="1" t="n">
        <v>46145</v>
      </c>
      <c r="D5301" t="inlineStr">
        <is>
          <t>VÄSTERBOTTENS LÄN</t>
        </is>
      </c>
      <c r="E5301" t="inlineStr">
        <is>
          <t>VINDELN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27964-2023</t>
        </is>
      </c>
      <c r="B5302" s="1" t="n">
        <v>45098</v>
      </c>
      <c r="C5302" s="1" t="n">
        <v>46145</v>
      </c>
      <c r="D5302" t="inlineStr">
        <is>
          <t>VÄSTERBOTTENS LÄN</t>
        </is>
      </c>
      <c r="E5302" t="inlineStr">
        <is>
          <t>LYCKSELE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904-2023</t>
        </is>
      </c>
      <c r="B5303" s="1" t="n">
        <v>44931</v>
      </c>
      <c r="C5303" s="1" t="n">
        <v>46145</v>
      </c>
      <c r="D5303" t="inlineStr">
        <is>
          <t>VÄSTERBOTTENS LÄN</t>
        </is>
      </c>
      <c r="E5303" t="inlineStr">
        <is>
          <t>SKELLEFTEÅ</t>
        </is>
      </c>
      <c r="G5303" t="n">
        <v>22.2</v>
      </c>
      <c r="H5303" t="n">
        <v>0</v>
      </c>
      <c r="I5303" t="n">
        <v>0</v>
      </c>
      <c r="J5303" t="n">
        <v>0</v>
      </c>
      <c r="K5303" t="n">
        <v>0</v>
      </c>
      <c r="L5303" t="n">
        <v>0</v>
      </c>
      <c r="M5303" t="n">
        <v>0</v>
      </c>
      <c r="N5303" t="n">
        <v>0</v>
      </c>
      <c r="O5303" t="n">
        <v>0</v>
      </c>
      <c r="P5303" t="n">
        <v>0</v>
      </c>
      <c r="Q5303" t="n">
        <v>0</v>
      </c>
      <c r="R5303" s="2" t="inlineStr"/>
    </row>
    <row r="5304" ht="15" customHeight="1">
      <c r="A5304" t="inlineStr">
        <is>
          <t>A 46776-2021</t>
        </is>
      </c>
      <c r="B5304" s="1" t="n">
        <v>44445.92101851852</v>
      </c>
      <c r="C5304" s="1" t="n">
        <v>46145</v>
      </c>
      <c r="D5304" t="inlineStr">
        <is>
          <t>VÄSTERBOTTENS LÄN</t>
        </is>
      </c>
      <c r="E5304" t="inlineStr">
        <is>
          <t>NORSJÖ</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47437-2025</t>
        </is>
      </c>
      <c r="B5305" s="1" t="n">
        <v>45930.63690972222</v>
      </c>
      <c r="C5305" s="1" t="n">
        <v>46145</v>
      </c>
      <c r="D5305" t="inlineStr">
        <is>
          <t>VÄSTERBOTTENS LÄN</t>
        </is>
      </c>
      <c r="E5305" t="inlineStr">
        <is>
          <t>ROBERTSFORS</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60227-2022</t>
        </is>
      </c>
      <c r="B5306" s="1" t="n">
        <v>44903</v>
      </c>
      <c r="C5306" s="1" t="n">
        <v>46145</v>
      </c>
      <c r="D5306" t="inlineStr">
        <is>
          <t>VÄSTERBOTTENS LÄN</t>
        </is>
      </c>
      <c r="E5306" t="inlineStr">
        <is>
          <t>VILHELMINA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47459-2025</t>
        </is>
      </c>
      <c r="B5307" s="1" t="n">
        <v>45930.65832175926</v>
      </c>
      <c r="C5307" s="1" t="n">
        <v>46145</v>
      </c>
      <c r="D5307" t="inlineStr">
        <is>
          <t>VÄSTERBOTTENS LÄN</t>
        </is>
      </c>
      <c r="E5307" t="inlineStr">
        <is>
          <t>LYCKSELE</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46990-2025</t>
        </is>
      </c>
      <c r="B5308" s="1" t="n">
        <v>45929.54004629629</v>
      </c>
      <c r="C5308" s="1" t="n">
        <v>46145</v>
      </c>
      <c r="D5308" t="inlineStr">
        <is>
          <t>VÄSTERBOTTENS LÄN</t>
        </is>
      </c>
      <c r="E5308" t="inlineStr">
        <is>
          <t>UMEÅ</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60272-2022</t>
        </is>
      </c>
      <c r="B5309" s="1" t="n">
        <v>44910.49471064815</v>
      </c>
      <c r="C5309" s="1" t="n">
        <v>46145</v>
      </c>
      <c r="D5309" t="inlineStr">
        <is>
          <t>VÄSTERBOTTENS LÄN</t>
        </is>
      </c>
      <c r="E5309" t="inlineStr">
        <is>
          <t>LYCKSELE</t>
        </is>
      </c>
      <c r="F5309" t="inlineStr">
        <is>
          <t>Sveaskog</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10956-2023</t>
        </is>
      </c>
      <c r="B5310" s="1" t="n">
        <v>44985</v>
      </c>
      <c r="C5310" s="1" t="n">
        <v>46145</v>
      </c>
      <c r="D5310" t="inlineStr">
        <is>
          <t>VÄSTERBOTTENS LÄN</t>
        </is>
      </c>
      <c r="E5310" t="inlineStr">
        <is>
          <t>VILHELMINA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6700-2025</t>
        </is>
      </c>
      <c r="B5311" s="1" t="n">
        <v>45700.54133101852</v>
      </c>
      <c r="C5311" s="1" t="n">
        <v>46145</v>
      </c>
      <c r="D5311" t="inlineStr">
        <is>
          <t>VÄSTERBOTTENS LÄN</t>
        </is>
      </c>
      <c r="E5311" t="inlineStr">
        <is>
          <t>LYCKSELE</t>
        </is>
      </c>
      <c r="G5311" t="n">
        <v>18.1</v>
      </c>
      <c r="H5311" t="n">
        <v>0</v>
      </c>
      <c r="I5311" t="n">
        <v>0</v>
      </c>
      <c r="J5311" t="n">
        <v>0</v>
      </c>
      <c r="K5311" t="n">
        <v>0</v>
      </c>
      <c r="L5311" t="n">
        <v>0</v>
      </c>
      <c r="M5311" t="n">
        <v>0</v>
      </c>
      <c r="N5311" t="n">
        <v>0</v>
      </c>
      <c r="O5311" t="n">
        <v>0</v>
      </c>
      <c r="P5311" t="n">
        <v>0</v>
      </c>
      <c r="Q5311" t="n">
        <v>0</v>
      </c>
      <c r="R5311" s="2" t="inlineStr"/>
    </row>
    <row r="5312" ht="15" customHeight="1">
      <c r="A5312" t="inlineStr">
        <is>
          <t>A 36354-2024</t>
        </is>
      </c>
      <c r="B5312" s="1" t="n">
        <v>45534</v>
      </c>
      <c r="C5312" s="1" t="n">
        <v>46145</v>
      </c>
      <c r="D5312" t="inlineStr">
        <is>
          <t>VÄSTERBOTTENS LÄN</t>
        </is>
      </c>
      <c r="E5312" t="inlineStr">
        <is>
          <t>DOROTEA</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46896-2025</t>
        </is>
      </c>
      <c r="B5313" s="1" t="n">
        <v>45929.38594907407</v>
      </c>
      <c r="C5313" s="1" t="n">
        <v>46145</v>
      </c>
      <c r="D5313" t="inlineStr">
        <is>
          <t>VÄSTERBOTTENS LÄN</t>
        </is>
      </c>
      <c r="E5313" t="inlineStr">
        <is>
          <t>MALÅ</t>
        </is>
      </c>
      <c r="F5313" t="inlineStr">
        <is>
          <t>Sveaskog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46904-2025</t>
        </is>
      </c>
      <c r="B5314" s="1" t="n">
        <v>45929</v>
      </c>
      <c r="C5314" s="1" t="n">
        <v>46145</v>
      </c>
      <c r="D5314" t="inlineStr">
        <is>
          <t>VÄSTERBOTTENS LÄN</t>
        </is>
      </c>
      <c r="E5314" t="inlineStr">
        <is>
          <t>SKELLEFTEÅ</t>
        </is>
      </c>
      <c r="F5314" t="inlineStr">
        <is>
          <t>Kyrkan</t>
        </is>
      </c>
      <c r="G5314" t="n">
        <v>21.8</v>
      </c>
      <c r="H5314" t="n">
        <v>0</v>
      </c>
      <c r="I5314" t="n">
        <v>0</v>
      </c>
      <c r="J5314" t="n">
        <v>0</v>
      </c>
      <c r="K5314" t="n">
        <v>0</v>
      </c>
      <c r="L5314" t="n">
        <v>0</v>
      </c>
      <c r="M5314" t="n">
        <v>0</v>
      </c>
      <c r="N5314" t="n">
        <v>0</v>
      </c>
      <c r="O5314" t="n">
        <v>0</v>
      </c>
      <c r="P5314" t="n">
        <v>0</v>
      </c>
      <c r="Q5314" t="n">
        <v>0</v>
      </c>
      <c r="R5314" s="2" t="inlineStr"/>
    </row>
    <row r="5315" ht="15" customHeight="1">
      <c r="A5315" t="inlineStr">
        <is>
          <t>A 46945-2025</t>
        </is>
      </c>
      <c r="B5315" s="1" t="n">
        <v>45929.46075231482</v>
      </c>
      <c r="C5315" s="1" t="n">
        <v>46145</v>
      </c>
      <c r="D5315" t="inlineStr">
        <is>
          <t>VÄSTERBOTTENS LÄN</t>
        </is>
      </c>
      <c r="E5315" t="inlineStr">
        <is>
          <t>LYCKSELE</t>
        </is>
      </c>
      <c r="F5315" t="inlineStr">
        <is>
          <t>Holmen skog AB</t>
        </is>
      </c>
      <c r="G5315" t="n">
        <v>9.6</v>
      </c>
      <c r="H5315" t="n">
        <v>0</v>
      </c>
      <c r="I5315" t="n">
        <v>0</v>
      </c>
      <c r="J5315" t="n">
        <v>0</v>
      </c>
      <c r="K5315" t="n">
        <v>0</v>
      </c>
      <c r="L5315" t="n">
        <v>0</v>
      </c>
      <c r="M5315" t="n">
        <v>0</v>
      </c>
      <c r="N5315" t="n">
        <v>0</v>
      </c>
      <c r="O5315" t="n">
        <v>0</v>
      </c>
      <c r="P5315" t="n">
        <v>0</v>
      </c>
      <c r="Q5315" t="n">
        <v>0</v>
      </c>
      <c r="R5315" s="2" t="inlineStr"/>
    </row>
    <row r="5316" ht="15" customHeight="1">
      <c r="A5316" t="inlineStr">
        <is>
          <t>A 72281-2021</t>
        </is>
      </c>
      <c r="B5316" s="1" t="n">
        <v>44543</v>
      </c>
      <c r="C5316" s="1" t="n">
        <v>46145</v>
      </c>
      <c r="D5316" t="inlineStr">
        <is>
          <t>VÄSTERBOTTENS LÄN</t>
        </is>
      </c>
      <c r="E5316" t="inlineStr">
        <is>
          <t>STORUMAN</t>
        </is>
      </c>
      <c r="G5316" t="n">
        <v>18.5</v>
      </c>
      <c r="H5316" t="n">
        <v>0</v>
      </c>
      <c r="I5316" t="n">
        <v>0</v>
      </c>
      <c r="J5316" t="n">
        <v>0</v>
      </c>
      <c r="K5316" t="n">
        <v>0</v>
      </c>
      <c r="L5316" t="n">
        <v>0</v>
      </c>
      <c r="M5316" t="n">
        <v>0</v>
      </c>
      <c r="N5316" t="n">
        <v>0</v>
      </c>
      <c r="O5316" t="n">
        <v>0</v>
      </c>
      <c r="P5316" t="n">
        <v>0</v>
      </c>
      <c r="Q5316" t="n">
        <v>0</v>
      </c>
      <c r="R5316" s="2" t="inlineStr"/>
    </row>
    <row r="5317" ht="15" customHeight="1">
      <c r="A5317" t="inlineStr">
        <is>
          <t>A 29476-2023</t>
        </is>
      </c>
      <c r="B5317" s="1" t="n">
        <v>45106.57149305556</v>
      </c>
      <c r="C5317" s="1" t="n">
        <v>46145</v>
      </c>
      <c r="D5317" t="inlineStr">
        <is>
          <t>VÄSTERBOTTENS LÄN</t>
        </is>
      </c>
      <c r="E5317" t="inlineStr">
        <is>
          <t>VÄNNÄS</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29485-2023</t>
        </is>
      </c>
      <c r="B5318" s="1" t="n">
        <v>45106</v>
      </c>
      <c r="C5318" s="1" t="n">
        <v>46145</v>
      </c>
      <c r="D5318" t="inlineStr">
        <is>
          <t>VÄSTERBOTTENS LÄN</t>
        </is>
      </c>
      <c r="E5318" t="inlineStr">
        <is>
          <t>VÄNNÄS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46969-2025</t>
        </is>
      </c>
      <c r="B5319" s="1" t="n">
        <v>45929.50489583334</v>
      </c>
      <c r="C5319" s="1" t="n">
        <v>46145</v>
      </c>
      <c r="D5319" t="inlineStr">
        <is>
          <t>VÄSTERBOTTENS LÄN</t>
        </is>
      </c>
      <c r="E5319" t="inlineStr">
        <is>
          <t>ROBERTSFORS</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46970-2025</t>
        </is>
      </c>
      <c r="B5320" s="1" t="n">
        <v>45929.50732638889</v>
      </c>
      <c r="C5320" s="1" t="n">
        <v>46145</v>
      </c>
      <c r="D5320" t="inlineStr">
        <is>
          <t>VÄSTERBOTTENS LÄN</t>
        </is>
      </c>
      <c r="E5320" t="inlineStr">
        <is>
          <t>VILHELMINA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47254-2025</t>
        </is>
      </c>
      <c r="B5321" s="1" t="n">
        <v>45930.44105324074</v>
      </c>
      <c r="C5321" s="1" t="n">
        <v>46145</v>
      </c>
      <c r="D5321" t="inlineStr">
        <is>
          <t>VÄSTERBOTTENS LÄN</t>
        </is>
      </c>
      <c r="E5321" t="inlineStr">
        <is>
          <t>NORSJÖ</t>
        </is>
      </c>
      <c r="F5321" t="inlineStr">
        <is>
          <t>Sveaskog</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47309-2025</t>
        </is>
      </c>
      <c r="B5322" s="1" t="n">
        <v>45930.53519675926</v>
      </c>
      <c r="C5322" s="1" t="n">
        <v>46145</v>
      </c>
      <c r="D5322" t="inlineStr">
        <is>
          <t>VÄSTERBOTTENS LÄN</t>
        </is>
      </c>
      <c r="E5322" t="inlineStr">
        <is>
          <t>SKELLEFTEÅ</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19223-2025</t>
        </is>
      </c>
      <c r="B5323" s="1" t="n">
        <v>45769</v>
      </c>
      <c r="C5323" s="1" t="n">
        <v>46145</v>
      </c>
      <c r="D5323" t="inlineStr">
        <is>
          <t>VÄSTERBOTTENS LÄN</t>
        </is>
      </c>
      <c r="E5323" t="inlineStr">
        <is>
          <t>VILHELMINA</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47027-2025</t>
        </is>
      </c>
      <c r="B5324" s="1" t="n">
        <v>45929.58471064815</v>
      </c>
      <c r="C5324" s="1" t="n">
        <v>46145</v>
      </c>
      <c r="D5324" t="inlineStr">
        <is>
          <t>VÄSTERBOTTENS LÄN</t>
        </is>
      </c>
      <c r="E5324" t="inlineStr">
        <is>
          <t>ÅSELE</t>
        </is>
      </c>
      <c r="F5324" t="inlineStr">
        <is>
          <t>Holmen skog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33990-2024</t>
        </is>
      </c>
      <c r="B5325" s="1" t="n">
        <v>45523.53366898148</v>
      </c>
      <c r="C5325" s="1" t="n">
        <v>46145</v>
      </c>
      <c r="D5325" t="inlineStr">
        <is>
          <t>VÄSTERBOTTENS LÄN</t>
        </is>
      </c>
      <c r="E5325" t="inlineStr">
        <is>
          <t>ÅSELE</t>
        </is>
      </c>
      <c r="F5325" t="inlineStr">
        <is>
          <t>Sveaskog</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47125-2025</t>
        </is>
      </c>
      <c r="B5326" s="1" t="n">
        <v>45929.68402777778</v>
      </c>
      <c r="C5326" s="1" t="n">
        <v>46145</v>
      </c>
      <c r="D5326" t="inlineStr">
        <is>
          <t>VÄSTERBOTTENS LÄN</t>
        </is>
      </c>
      <c r="E5326" t="inlineStr">
        <is>
          <t>STORUMAN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47138-2025</t>
        </is>
      </c>
      <c r="B5327" s="1" t="n">
        <v>45929.69899305556</v>
      </c>
      <c r="C5327" s="1" t="n">
        <v>46145</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61569-2022</t>
        </is>
      </c>
      <c r="B5328" s="1" t="n">
        <v>44916</v>
      </c>
      <c r="C5328" s="1" t="n">
        <v>46145</v>
      </c>
      <c r="D5328" t="inlineStr">
        <is>
          <t>VÄSTERBOTTENS LÄN</t>
        </is>
      </c>
      <c r="E5328" t="inlineStr">
        <is>
          <t>SKELLEFTEÅ</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57603-2021</t>
        </is>
      </c>
      <c r="B5329" s="1" t="n">
        <v>44483</v>
      </c>
      <c r="C5329" s="1" t="n">
        <v>46145</v>
      </c>
      <c r="D5329" t="inlineStr">
        <is>
          <t>VÄSTERBOTTENS LÄN</t>
        </is>
      </c>
      <c r="E5329" t="inlineStr">
        <is>
          <t>UMEÅ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28980-2024</t>
        </is>
      </c>
      <c r="B5330" s="1" t="n">
        <v>45481.47248842593</v>
      </c>
      <c r="C5330" s="1" t="n">
        <v>46145</v>
      </c>
      <c r="D5330" t="inlineStr">
        <is>
          <t>VÄSTERBOTTENS LÄN</t>
        </is>
      </c>
      <c r="E5330" t="inlineStr">
        <is>
          <t>ÅSELE</t>
        </is>
      </c>
      <c r="F5330" t="inlineStr">
        <is>
          <t>Sveaskog</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18796-2025</t>
        </is>
      </c>
      <c r="B5331" s="1" t="n">
        <v>45764.34581018519</v>
      </c>
      <c r="C5331" s="1" t="n">
        <v>46145</v>
      </c>
      <c r="D5331" t="inlineStr">
        <is>
          <t>VÄSTERBOTTENS LÄN</t>
        </is>
      </c>
      <c r="E5331" t="inlineStr">
        <is>
          <t>NORDMALING</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18810-2025</t>
        </is>
      </c>
      <c r="B5332" s="1" t="n">
        <v>45764.360625</v>
      </c>
      <c r="C5332" s="1" t="n">
        <v>46145</v>
      </c>
      <c r="D5332" t="inlineStr">
        <is>
          <t>VÄSTERBOTTENS LÄN</t>
        </is>
      </c>
      <c r="E5332" t="inlineStr">
        <is>
          <t>LYCKSELE</t>
        </is>
      </c>
      <c r="F5332" t="inlineStr">
        <is>
          <t>Holmen skog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58575-2023</t>
        </is>
      </c>
      <c r="B5333" s="1" t="n">
        <v>45251.44665509259</v>
      </c>
      <c r="C5333" s="1" t="n">
        <v>46145</v>
      </c>
      <c r="D5333" t="inlineStr">
        <is>
          <t>VÄSTERBOTTENS LÄN</t>
        </is>
      </c>
      <c r="E5333" t="inlineStr">
        <is>
          <t>SKELLEFTEÅ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46980-2025</t>
        </is>
      </c>
      <c r="B5334" s="1" t="n">
        <v>45929.52806712963</v>
      </c>
      <c r="C5334" s="1" t="n">
        <v>46145</v>
      </c>
      <c r="D5334" t="inlineStr">
        <is>
          <t>VÄSTERBOTTENS LÄN</t>
        </is>
      </c>
      <c r="E5334" t="inlineStr">
        <is>
          <t>ROBERTSFORS</t>
        </is>
      </c>
      <c r="F5334" t="inlineStr">
        <is>
          <t>Holmen skog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46871-2025</t>
        </is>
      </c>
      <c r="B5335" s="1" t="n">
        <v>45929.34304398148</v>
      </c>
      <c r="C5335" s="1" t="n">
        <v>46145</v>
      </c>
      <c r="D5335" t="inlineStr">
        <is>
          <t>VÄSTERBOTTENS LÄN</t>
        </is>
      </c>
      <c r="E5335" t="inlineStr">
        <is>
          <t>BJURHOLM</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47222-2025</t>
        </is>
      </c>
      <c r="B5336" s="1" t="n">
        <v>45930.38743055556</v>
      </c>
      <c r="C5336" s="1" t="n">
        <v>46145</v>
      </c>
      <c r="D5336" t="inlineStr">
        <is>
          <t>VÄSTERBOTTENS LÄN</t>
        </is>
      </c>
      <c r="E5336" t="inlineStr">
        <is>
          <t>NORSJÖ</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70740-2021</t>
        </is>
      </c>
      <c r="B5337" s="1" t="n">
        <v>44536</v>
      </c>
      <c r="C5337" s="1" t="n">
        <v>46145</v>
      </c>
      <c r="D5337" t="inlineStr">
        <is>
          <t>VÄSTERBOTTENS LÄN</t>
        </is>
      </c>
      <c r="E5337" t="inlineStr">
        <is>
          <t>BJURHOLM</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13402-2025</t>
        </is>
      </c>
      <c r="B5338" s="1" t="n">
        <v>45735</v>
      </c>
      <c r="C5338" s="1" t="n">
        <v>46145</v>
      </c>
      <c r="D5338" t="inlineStr">
        <is>
          <t>VÄSTERBOTTENS LÄN</t>
        </is>
      </c>
      <c r="E5338" t="inlineStr">
        <is>
          <t>ÅSELE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13507-2025</t>
        </is>
      </c>
      <c r="B5339" s="1" t="n">
        <v>45736.46914351852</v>
      </c>
      <c r="C5339" s="1" t="n">
        <v>46145</v>
      </c>
      <c r="D5339" t="inlineStr">
        <is>
          <t>VÄSTERBOTTENS LÄN</t>
        </is>
      </c>
      <c r="E5339" t="inlineStr">
        <is>
          <t>NORDMALING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14343-2025</t>
        </is>
      </c>
      <c r="B5340" s="1" t="n">
        <v>45741.32619212963</v>
      </c>
      <c r="C5340" s="1" t="n">
        <v>46145</v>
      </c>
      <c r="D5340" t="inlineStr">
        <is>
          <t>VÄSTERBOTTENS LÄN</t>
        </is>
      </c>
      <c r="E5340" t="inlineStr">
        <is>
          <t>LYCKSELE</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46892-2025</t>
        </is>
      </c>
      <c r="B5341" s="1" t="n">
        <v>45929</v>
      </c>
      <c r="C5341" s="1" t="n">
        <v>46145</v>
      </c>
      <c r="D5341" t="inlineStr">
        <is>
          <t>VÄSTERBOTTENS LÄN</t>
        </is>
      </c>
      <c r="E5341" t="inlineStr">
        <is>
          <t>MALÅ</t>
        </is>
      </c>
      <c r="F5341" t="inlineStr">
        <is>
          <t>Sveaskog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50821-2023</t>
        </is>
      </c>
      <c r="B5342" s="1" t="n">
        <v>45217.92206018518</v>
      </c>
      <c r="C5342" s="1" t="n">
        <v>46145</v>
      </c>
      <c r="D5342" t="inlineStr">
        <is>
          <t>VÄSTERBOTTENS LÄN</t>
        </is>
      </c>
      <c r="E5342" t="inlineStr">
        <is>
          <t>SKELLEFTEÅ</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30553-2023</t>
        </is>
      </c>
      <c r="B5343" s="1" t="n">
        <v>45111</v>
      </c>
      <c r="C5343" s="1" t="n">
        <v>46145</v>
      </c>
      <c r="D5343" t="inlineStr">
        <is>
          <t>VÄSTERBOTTENS LÄN</t>
        </is>
      </c>
      <c r="E5343" t="inlineStr">
        <is>
          <t>UMEÅ</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46822-2025</t>
        </is>
      </c>
      <c r="B5344" s="1" t="n">
        <v>45926.76329861111</v>
      </c>
      <c r="C5344" s="1" t="n">
        <v>46145</v>
      </c>
      <c r="D5344" t="inlineStr">
        <is>
          <t>VÄSTERBOTTENS LÄN</t>
        </is>
      </c>
      <c r="E5344" t="inlineStr">
        <is>
          <t>SKELLEFTEÅ</t>
        </is>
      </c>
      <c r="F5344" t="inlineStr">
        <is>
          <t>Sveaskog</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30570-2023</t>
        </is>
      </c>
      <c r="B5345" s="1" t="n">
        <v>45111</v>
      </c>
      <c r="C5345" s="1" t="n">
        <v>46145</v>
      </c>
      <c r="D5345" t="inlineStr">
        <is>
          <t>VÄSTERBOTTENS LÄN</t>
        </is>
      </c>
      <c r="E5345" t="inlineStr">
        <is>
          <t>DOROTEA</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29543-2023</t>
        </is>
      </c>
      <c r="B5346" s="1" t="n">
        <v>45106.64143518519</v>
      </c>
      <c r="C5346" s="1" t="n">
        <v>46145</v>
      </c>
      <c r="D5346" t="inlineStr">
        <is>
          <t>VÄSTERBOTTENS LÄN</t>
        </is>
      </c>
      <c r="E5346" t="inlineStr">
        <is>
          <t>LYCKSELE</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46934-2025</t>
        </is>
      </c>
      <c r="B5347" s="1" t="n">
        <v>45929</v>
      </c>
      <c r="C5347" s="1" t="n">
        <v>46145</v>
      </c>
      <c r="D5347" t="inlineStr">
        <is>
          <t>VÄSTERBOTTENS LÄN</t>
        </is>
      </c>
      <c r="E5347" t="inlineStr">
        <is>
          <t>VILHELMINA</t>
        </is>
      </c>
      <c r="F5347" t="inlineStr">
        <is>
          <t>SCA</t>
        </is>
      </c>
      <c r="G5347" t="n">
        <v>20</v>
      </c>
      <c r="H5347" t="n">
        <v>0</v>
      </c>
      <c r="I5347" t="n">
        <v>0</v>
      </c>
      <c r="J5347" t="n">
        <v>0</v>
      </c>
      <c r="K5347" t="n">
        <v>0</v>
      </c>
      <c r="L5347" t="n">
        <v>0</v>
      </c>
      <c r="M5347" t="n">
        <v>0</v>
      </c>
      <c r="N5347" t="n">
        <v>0</v>
      </c>
      <c r="O5347" t="n">
        <v>0</v>
      </c>
      <c r="P5347" t="n">
        <v>0</v>
      </c>
      <c r="Q5347" t="n">
        <v>0</v>
      </c>
      <c r="R5347" s="2" t="inlineStr"/>
    </row>
    <row r="5348" ht="15" customHeight="1">
      <c r="A5348" t="inlineStr">
        <is>
          <t>A 46950-2025</t>
        </is>
      </c>
      <c r="B5348" s="1" t="n">
        <v>45929.46907407408</v>
      </c>
      <c r="C5348" s="1" t="n">
        <v>46145</v>
      </c>
      <c r="D5348" t="inlineStr">
        <is>
          <t>VÄSTERBOTTENS LÄN</t>
        </is>
      </c>
      <c r="E5348" t="inlineStr">
        <is>
          <t>UMEÅ</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23604-2023</t>
        </is>
      </c>
      <c r="B5349" s="1" t="n">
        <v>45077.45833333334</v>
      </c>
      <c r="C5349" s="1" t="n">
        <v>46145</v>
      </c>
      <c r="D5349" t="inlineStr">
        <is>
          <t>VÄSTERBOTTENS LÄN</t>
        </is>
      </c>
      <c r="E5349" t="inlineStr">
        <is>
          <t>ÅSELE</t>
        </is>
      </c>
      <c r="F5349" t="inlineStr">
        <is>
          <t>Holmen skog AB</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20425-2025</t>
        </is>
      </c>
      <c r="B5350" s="1" t="n">
        <v>45775</v>
      </c>
      <c r="C5350" s="1" t="n">
        <v>46145</v>
      </c>
      <c r="D5350" t="inlineStr">
        <is>
          <t>VÄSTERBOTTENS LÄN</t>
        </is>
      </c>
      <c r="E5350" t="inlineStr">
        <is>
          <t>UMEÅ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32919-2024</t>
        </is>
      </c>
      <c r="B5351" s="1" t="n">
        <v>45516.95201388889</v>
      </c>
      <c r="C5351" s="1" t="n">
        <v>46145</v>
      </c>
      <c r="D5351" t="inlineStr">
        <is>
          <t>VÄSTERBOTTENS LÄN</t>
        </is>
      </c>
      <c r="E5351" t="inlineStr">
        <is>
          <t>SKELLEFTEÅ</t>
        </is>
      </c>
      <c r="F5351" t="inlineStr">
        <is>
          <t>SCA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16995-2025</t>
        </is>
      </c>
      <c r="B5352" s="1" t="n">
        <v>45755.51520833333</v>
      </c>
      <c r="C5352" s="1" t="n">
        <v>46145</v>
      </c>
      <c r="D5352" t="inlineStr">
        <is>
          <t>VÄSTERBOTTENS LÄN</t>
        </is>
      </c>
      <c r="E5352" t="inlineStr">
        <is>
          <t>VINDELN</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47667-2025</t>
        </is>
      </c>
      <c r="B5353" s="1" t="n">
        <v>45931</v>
      </c>
      <c r="C5353" s="1" t="n">
        <v>46145</v>
      </c>
      <c r="D5353" t="inlineStr">
        <is>
          <t>VÄSTERBOTTENS LÄN</t>
        </is>
      </c>
      <c r="E5353" t="inlineStr">
        <is>
          <t>SKELLEFTEÅ</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47700-2025</t>
        </is>
      </c>
      <c r="B5354" s="1" t="n">
        <v>45931</v>
      </c>
      <c r="C5354" s="1" t="n">
        <v>46145</v>
      </c>
      <c r="D5354" t="inlineStr">
        <is>
          <t>VÄSTERBOTTENS LÄN</t>
        </is>
      </c>
      <c r="E5354" t="inlineStr">
        <is>
          <t>LYCKSELE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9259-2025</t>
        </is>
      </c>
      <c r="B5355" s="1" t="n">
        <v>45714</v>
      </c>
      <c r="C5355" s="1" t="n">
        <v>46145</v>
      </c>
      <c r="D5355" t="inlineStr">
        <is>
          <t>VÄSTERBOTTENS LÄN</t>
        </is>
      </c>
      <c r="E5355" t="inlineStr">
        <is>
          <t>ÅSELE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9272-2025</t>
        </is>
      </c>
      <c r="B5356" s="1" t="n">
        <v>45714</v>
      </c>
      <c r="C5356" s="1" t="n">
        <v>46145</v>
      </c>
      <c r="D5356" t="inlineStr">
        <is>
          <t>VÄSTERBOTTENS LÄN</t>
        </is>
      </c>
      <c r="E5356" t="inlineStr">
        <is>
          <t>UMEÅ</t>
        </is>
      </c>
      <c r="F5356" t="inlineStr">
        <is>
          <t>Holmen skog AB</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18023-2025</t>
        </is>
      </c>
      <c r="B5357" s="1" t="n">
        <v>45761.44642361111</v>
      </c>
      <c r="C5357" s="1" t="n">
        <v>46145</v>
      </c>
      <c r="D5357" t="inlineStr">
        <is>
          <t>VÄSTERBOTTENS LÄN</t>
        </is>
      </c>
      <c r="E5357" t="inlineStr">
        <is>
          <t>SKELLEFTEÅ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18026-2025</t>
        </is>
      </c>
      <c r="B5358" s="1" t="n">
        <v>45761</v>
      </c>
      <c r="C5358" s="1" t="n">
        <v>46145</v>
      </c>
      <c r="D5358" t="inlineStr">
        <is>
          <t>VÄSTERBOTTENS LÄN</t>
        </is>
      </c>
      <c r="E5358" t="inlineStr">
        <is>
          <t>UMEÅ</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18031-2025</t>
        </is>
      </c>
      <c r="B5359" s="1" t="n">
        <v>45761</v>
      </c>
      <c r="C5359" s="1" t="n">
        <v>46145</v>
      </c>
      <c r="D5359" t="inlineStr">
        <is>
          <t>VÄSTERBOTTENS LÄN</t>
        </is>
      </c>
      <c r="E5359" t="inlineStr">
        <is>
          <t>ÅSELE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40036-2025</t>
        </is>
      </c>
      <c r="B5360" s="1" t="n">
        <v>45894</v>
      </c>
      <c r="C5360" s="1" t="n">
        <v>46145</v>
      </c>
      <c r="D5360" t="inlineStr">
        <is>
          <t>VÄSTERBOTTENS LÄN</t>
        </is>
      </c>
      <c r="E5360" t="inlineStr">
        <is>
          <t>SKELLEFTEÅ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43211-2021</t>
        </is>
      </c>
      <c r="B5361" s="1" t="n">
        <v>44431</v>
      </c>
      <c r="C5361" s="1" t="n">
        <v>46145</v>
      </c>
      <c r="D5361" t="inlineStr">
        <is>
          <t>VÄSTERBOTTENS LÄN</t>
        </is>
      </c>
      <c r="E5361" t="inlineStr">
        <is>
          <t>DOROTEA</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36667-2021</t>
        </is>
      </c>
      <c r="B5362" s="1" t="n">
        <v>44392</v>
      </c>
      <c r="C5362" s="1" t="n">
        <v>46145</v>
      </c>
      <c r="D5362" t="inlineStr">
        <is>
          <t>VÄSTERBOTTENS LÄN</t>
        </is>
      </c>
      <c r="E5362" t="inlineStr">
        <is>
          <t>NORDMALING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30369-2023</t>
        </is>
      </c>
      <c r="B5363" s="1" t="n">
        <v>45111</v>
      </c>
      <c r="C5363" s="1" t="n">
        <v>46145</v>
      </c>
      <c r="D5363" t="inlineStr">
        <is>
          <t>VÄSTERBOTTENS LÄN</t>
        </is>
      </c>
      <c r="E5363" t="inlineStr">
        <is>
          <t>SKELLEFTEÅ</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69703-2021</t>
        </is>
      </c>
      <c r="B5364" s="1" t="n">
        <v>44532</v>
      </c>
      <c r="C5364" s="1" t="n">
        <v>46145</v>
      </c>
      <c r="D5364" t="inlineStr">
        <is>
          <t>VÄSTERBOTTENS LÄN</t>
        </is>
      </c>
      <c r="E5364" t="inlineStr">
        <is>
          <t>SORSELE</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47551-2025</t>
        </is>
      </c>
      <c r="B5365" s="1" t="n">
        <v>45931.37207175926</v>
      </c>
      <c r="C5365" s="1" t="n">
        <v>46145</v>
      </c>
      <c r="D5365" t="inlineStr">
        <is>
          <t>VÄSTERBOTTENS LÄN</t>
        </is>
      </c>
      <c r="E5365" t="inlineStr">
        <is>
          <t>BJURHOLM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849-2022</t>
        </is>
      </c>
      <c r="B5366" s="1" t="n">
        <v>44571.42083333333</v>
      </c>
      <c r="C5366" s="1" t="n">
        <v>46145</v>
      </c>
      <c r="D5366" t="inlineStr">
        <is>
          <t>VÄSTERBOTTENS LÄN</t>
        </is>
      </c>
      <c r="E5366" t="inlineStr">
        <is>
          <t>LYCKSELE</t>
        </is>
      </c>
      <c r="F5366" t="inlineStr">
        <is>
          <t>Sveaskog</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26357-2023</t>
        </is>
      </c>
      <c r="B5367" s="1" t="n">
        <v>45091</v>
      </c>
      <c r="C5367" s="1" t="n">
        <v>46145</v>
      </c>
      <c r="D5367" t="inlineStr">
        <is>
          <t>VÄSTERBOTTENS LÄN</t>
        </is>
      </c>
      <c r="E5367" t="inlineStr">
        <is>
          <t>LYCKSELE</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37241-2024</t>
        </is>
      </c>
      <c r="B5368" s="1" t="n">
        <v>45540.34417824074</v>
      </c>
      <c r="C5368" s="1" t="n">
        <v>46145</v>
      </c>
      <c r="D5368" t="inlineStr">
        <is>
          <t>VÄSTERBOTTENS LÄN</t>
        </is>
      </c>
      <c r="E5368" t="inlineStr">
        <is>
          <t>ÅSELE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9172-2025</t>
        </is>
      </c>
      <c r="B5369" s="1" t="n">
        <v>45714.40652777778</v>
      </c>
      <c r="C5369" s="1" t="n">
        <v>46145</v>
      </c>
      <c r="D5369" t="inlineStr">
        <is>
          <t>VÄSTERBOTTENS LÄN</t>
        </is>
      </c>
      <c r="E5369" t="inlineStr">
        <is>
          <t>DOROTEA</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22760-2022</t>
        </is>
      </c>
      <c r="B5370" s="1" t="n">
        <v>44714</v>
      </c>
      <c r="C5370" s="1" t="n">
        <v>46145</v>
      </c>
      <c r="D5370" t="inlineStr">
        <is>
          <t>VÄSTERBOTTENS LÄN</t>
        </is>
      </c>
      <c r="E5370" t="inlineStr">
        <is>
          <t>SKELLEFTEÅ</t>
        </is>
      </c>
      <c r="G5370" t="n">
        <v>12.2</v>
      </c>
      <c r="H5370" t="n">
        <v>0</v>
      </c>
      <c r="I5370" t="n">
        <v>0</v>
      </c>
      <c r="J5370" t="n">
        <v>0</v>
      </c>
      <c r="K5370" t="n">
        <v>0</v>
      </c>
      <c r="L5370" t="n">
        <v>0</v>
      </c>
      <c r="M5370" t="n">
        <v>0</v>
      </c>
      <c r="N5370" t="n">
        <v>0</v>
      </c>
      <c r="O5370" t="n">
        <v>0</v>
      </c>
      <c r="P5370" t="n">
        <v>0</v>
      </c>
      <c r="Q5370" t="n">
        <v>0</v>
      </c>
      <c r="R5370" s="2" t="inlineStr"/>
    </row>
    <row r="5371" ht="15" customHeight="1">
      <c r="A5371" t="inlineStr">
        <is>
          <t>A 9191-2025</t>
        </is>
      </c>
      <c r="B5371" s="1" t="n">
        <v>45714.45914351852</v>
      </c>
      <c r="C5371" s="1" t="n">
        <v>46145</v>
      </c>
      <c r="D5371" t="inlineStr">
        <is>
          <t>VÄSTERBOTTENS LÄN</t>
        </is>
      </c>
      <c r="E5371" t="inlineStr">
        <is>
          <t>MALÅ</t>
        </is>
      </c>
      <c r="F5371" t="inlineStr">
        <is>
          <t>Sveaskog</t>
        </is>
      </c>
      <c r="G5371" t="n">
        <v>18.7</v>
      </c>
      <c r="H5371" t="n">
        <v>0</v>
      </c>
      <c r="I5371" t="n">
        <v>0</v>
      </c>
      <c r="J5371" t="n">
        <v>0</v>
      </c>
      <c r="K5371" t="n">
        <v>0</v>
      </c>
      <c r="L5371" t="n">
        <v>0</v>
      </c>
      <c r="M5371" t="n">
        <v>0</v>
      </c>
      <c r="N5371" t="n">
        <v>0</v>
      </c>
      <c r="O5371" t="n">
        <v>0</v>
      </c>
      <c r="P5371" t="n">
        <v>0</v>
      </c>
      <c r="Q5371" t="n">
        <v>0</v>
      </c>
      <c r="R5371" s="2" t="inlineStr"/>
    </row>
    <row r="5372" ht="15" customHeight="1">
      <c r="A5372" t="inlineStr">
        <is>
          <t>A 11139-2022</t>
        </is>
      </c>
      <c r="B5372" s="1" t="n">
        <v>44628</v>
      </c>
      <c r="C5372" s="1" t="n">
        <v>46145</v>
      </c>
      <c r="D5372" t="inlineStr">
        <is>
          <t>VÄSTERBOTTENS LÄN</t>
        </is>
      </c>
      <c r="E5372" t="inlineStr">
        <is>
          <t>VILHELMINA</t>
        </is>
      </c>
      <c r="G5372" t="n">
        <v>13.6</v>
      </c>
      <c r="H5372" t="n">
        <v>0</v>
      </c>
      <c r="I5372" t="n">
        <v>0</v>
      </c>
      <c r="J5372" t="n">
        <v>0</v>
      </c>
      <c r="K5372" t="n">
        <v>0</v>
      </c>
      <c r="L5372" t="n">
        <v>0</v>
      </c>
      <c r="M5372" t="n">
        <v>0</v>
      </c>
      <c r="N5372" t="n">
        <v>0</v>
      </c>
      <c r="O5372" t="n">
        <v>0</v>
      </c>
      <c r="P5372" t="n">
        <v>0</v>
      </c>
      <c r="Q5372" t="n">
        <v>0</v>
      </c>
      <c r="R5372" s="2" t="inlineStr"/>
    </row>
    <row r="5373" ht="15" customHeight="1">
      <c r="A5373" t="inlineStr">
        <is>
          <t>A 47864-2025</t>
        </is>
      </c>
      <c r="B5373" s="1" t="n">
        <v>45932</v>
      </c>
      <c r="C5373" s="1" t="n">
        <v>46145</v>
      </c>
      <c r="D5373" t="inlineStr">
        <is>
          <t>VÄSTERBOTTENS LÄN</t>
        </is>
      </c>
      <c r="E5373" t="inlineStr">
        <is>
          <t>SKELLEFTEÅ</t>
        </is>
      </c>
      <c r="F5373" t="inlineStr">
        <is>
          <t>Kyrkan</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48003-2025</t>
        </is>
      </c>
      <c r="B5374" s="1" t="n">
        <v>45932.63306712963</v>
      </c>
      <c r="C5374" s="1" t="n">
        <v>46145</v>
      </c>
      <c r="D5374" t="inlineStr">
        <is>
          <t>VÄSTERBOTTENS LÄN</t>
        </is>
      </c>
      <c r="E5374" t="inlineStr">
        <is>
          <t>SKELLEFTEÅ</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19326-2023</t>
        </is>
      </c>
      <c r="B5375" s="1" t="n">
        <v>45049</v>
      </c>
      <c r="C5375" s="1" t="n">
        <v>46145</v>
      </c>
      <c r="D5375" t="inlineStr">
        <is>
          <t>VÄSTERBOTTENS LÄN</t>
        </is>
      </c>
      <c r="E5375" t="inlineStr">
        <is>
          <t>STORUMAN</t>
        </is>
      </c>
      <c r="G5375" t="n">
        <v>35.3</v>
      </c>
      <c r="H5375" t="n">
        <v>0</v>
      </c>
      <c r="I5375" t="n">
        <v>0</v>
      </c>
      <c r="J5375" t="n">
        <v>0</v>
      </c>
      <c r="K5375" t="n">
        <v>0</v>
      </c>
      <c r="L5375" t="n">
        <v>0</v>
      </c>
      <c r="M5375" t="n">
        <v>0</v>
      </c>
      <c r="N5375" t="n">
        <v>0</v>
      </c>
      <c r="O5375" t="n">
        <v>0</v>
      </c>
      <c r="P5375" t="n">
        <v>0</v>
      </c>
      <c r="Q5375" t="n">
        <v>0</v>
      </c>
      <c r="R5375" s="2" t="inlineStr"/>
    </row>
    <row r="5376" ht="15" customHeight="1">
      <c r="A5376" t="inlineStr">
        <is>
          <t>A 48033-2025</t>
        </is>
      </c>
      <c r="B5376" s="1" t="n">
        <v>45932.65663194445</v>
      </c>
      <c r="C5376" s="1" t="n">
        <v>46145</v>
      </c>
      <c r="D5376" t="inlineStr">
        <is>
          <t>VÄSTERBOTTENS LÄN</t>
        </is>
      </c>
      <c r="E5376" t="inlineStr">
        <is>
          <t>SKELLEFTEÅ</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48034-2025</t>
        </is>
      </c>
      <c r="B5377" s="1" t="n">
        <v>45932.65673611111</v>
      </c>
      <c r="C5377" s="1" t="n">
        <v>46145</v>
      </c>
      <c r="D5377" t="inlineStr">
        <is>
          <t>VÄSTERBOTTENS LÄN</t>
        </is>
      </c>
      <c r="E5377" t="inlineStr">
        <is>
          <t>MALÅ</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19315-2025</t>
        </is>
      </c>
      <c r="B5378" s="1" t="n">
        <v>45769.5737037037</v>
      </c>
      <c r="C5378" s="1" t="n">
        <v>46145</v>
      </c>
      <c r="D5378" t="inlineStr">
        <is>
          <t>VÄSTERBOTTENS LÄN</t>
        </is>
      </c>
      <c r="E5378" t="inlineStr">
        <is>
          <t>ROBERTSFORS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21917-2023</t>
        </is>
      </c>
      <c r="B5379" s="1" t="n">
        <v>45065</v>
      </c>
      <c r="C5379" s="1" t="n">
        <v>46145</v>
      </c>
      <c r="D5379" t="inlineStr">
        <is>
          <t>VÄSTERBOTTENS LÄN</t>
        </is>
      </c>
      <c r="E5379" t="inlineStr">
        <is>
          <t>UMEÅ</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33801-2024</t>
        </is>
      </c>
      <c r="B5380" s="1" t="n">
        <v>45520.59993055555</v>
      </c>
      <c r="C5380" s="1" t="n">
        <v>46145</v>
      </c>
      <c r="D5380" t="inlineStr">
        <is>
          <t>VÄSTERBOTTENS LÄN</t>
        </is>
      </c>
      <c r="E5380" t="inlineStr">
        <is>
          <t>STORUMAN</t>
        </is>
      </c>
      <c r="F5380" t="inlineStr">
        <is>
          <t>Sveaskog</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33854-2024</t>
        </is>
      </c>
      <c r="B5381" s="1" t="n">
        <v>45520.64584490741</v>
      </c>
      <c r="C5381" s="1" t="n">
        <v>46145</v>
      </c>
      <c r="D5381" t="inlineStr">
        <is>
          <t>VÄSTERBOTTENS LÄN</t>
        </is>
      </c>
      <c r="E5381" t="inlineStr">
        <is>
          <t>STORUMAN</t>
        </is>
      </c>
      <c r="F5381" t="inlineStr">
        <is>
          <t>Sveaskog</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48031-2025</t>
        </is>
      </c>
      <c r="B5382" s="1" t="n">
        <v>45932.65422453704</v>
      </c>
      <c r="C5382" s="1" t="n">
        <v>46145</v>
      </c>
      <c r="D5382" t="inlineStr">
        <is>
          <t>VÄSTERBOTTENS LÄN</t>
        </is>
      </c>
      <c r="E5382" t="inlineStr">
        <is>
          <t>SKELLEFTEÅ</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49900-2023</t>
        </is>
      </c>
      <c r="B5383" s="1" t="n">
        <v>45213.86512731481</v>
      </c>
      <c r="C5383" s="1" t="n">
        <v>46145</v>
      </c>
      <c r="D5383" t="inlineStr">
        <is>
          <t>VÄSTERBOTTENS LÄN</t>
        </is>
      </c>
      <c r="E5383" t="inlineStr">
        <is>
          <t>SKELLEFTEÅ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64498-2023</t>
        </is>
      </c>
      <c r="B5384" s="1" t="n">
        <v>45280.94288194444</v>
      </c>
      <c r="C5384" s="1" t="n">
        <v>46145</v>
      </c>
      <c r="D5384" t="inlineStr">
        <is>
          <t>VÄSTERBOTTENS LÄN</t>
        </is>
      </c>
      <c r="E5384" t="inlineStr">
        <is>
          <t>NORDMALING</t>
        </is>
      </c>
      <c r="F5384" t="inlineStr">
        <is>
          <t>SCA</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64503-2023</t>
        </is>
      </c>
      <c r="B5385" s="1" t="n">
        <v>45280.94380787037</v>
      </c>
      <c r="C5385" s="1" t="n">
        <v>46145</v>
      </c>
      <c r="D5385" t="inlineStr">
        <is>
          <t>VÄSTERBOTTENS LÄN</t>
        </is>
      </c>
      <c r="E5385" t="inlineStr">
        <is>
          <t>BJURHOLM</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40497-2022</t>
        </is>
      </c>
      <c r="B5386" s="1" t="n">
        <v>44823</v>
      </c>
      <c r="C5386" s="1" t="n">
        <v>46145</v>
      </c>
      <c r="D5386" t="inlineStr">
        <is>
          <t>VÄSTERBOTTENS LÄN</t>
        </is>
      </c>
      <c r="E5386" t="inlineStr">
        <is>
          <t>LYCKSELE</t>
        </is>
      </c>
      <c r="F5386" t="inlineStr">
        <is>
          <t>Naturvårdsverket</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47891-2025</t>
        </is>
      </c>
      <c r="B5387" s="1" t="n">
        <v>45932.47138888889</v>
      </c>
      <c r="C5387" s="1" t="n">
        <v>46145</v>
      </c>
      <c r="D5387" t="inlineStr">
        <is>
          <t>VÄSTERBOTTENS LÄN</t>
        </is>
      </c>
      <c r="E5387" t="inlineStr">
        <is>
          <t>SKELLEFTEÅ</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6012-2023</t>
        </is>
      </c>
      <c r="B5388" s="1" t="n">
        <v>44959</v>
      </c>
      <c r="C5388" s="1" t="n">
        <v>46145</v>
      </c>
      <c r="D5388" t="inlineStr">
        <is>
          <t>VÄSTERBOTTENS LÄN</t>
        </is>
      </c>
      <c r="E5388" t="inlineStr">
        <is>
          <t>SKELLEFTEÅ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44042-2024</t>
        </is>
      </c>
      <c r="B5389" s="1" t="n">
        <v>45572</v>
      </c>
      <c r="C5389" s="1" t="n">
        <v>46145</v>
      </c>
      <c r="D5389" t="inlineStr">
        <is>
          <t>VÄSTERBOTTENS LÄN</t>
        </is>
      </c>
      <c r="E5389" t="inlineStr">
        <is>
          <t>UMEÅ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47991-2025</t>
        </is>
      </c>
      <c r="B5390" s="1" t="n">
        <v>45932.62354166667</v>
      </c>
      <c r="C5390" s="1" t="n">
        <v>46145</v>
      </c>
      <c r="D5390" t="inlineStr">
        <is>
          <t>VÄSTERBOTTENS LÄN</t>
        </is>
      </c>
      <c r="E5390" t="inlineStr">
        <is>
          <t>SKELLEFTEÅ</t>
        </is>
      </c>
      <c r="F5390" t="inlineStr">
        <is>
          <t>Holmen skog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34139-2024</t>
        </is>
      </c>
      <c r="B5391" s="1" t="n">
        <v>45524.36006944445</v>
      </c>
      <c r="C5391" s="1" t="n">
        <v>46145</v>
      </c>
      <c r="D5391" t="inlineStr">
        <is>
          <t>VÄSTERBOTTENS LÄN</t>
        </is>
      </c>
      <c r="E5391" t="inlineStr">
        <is>
          <t>ÅSELE</t>
        </is>
      </c>
      <c r="F5391" t="inlineStr">
        <is>
          <t>Sveaskog</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34144-2024</t>
        </is>
      </c>
      <c r="B5392" s="1" t="n">
        <v>45524</v>
      </c>
      <c r="C5392" s="1" t="n">
        <v>46145</v>
      </c>
      <c r="D5392" t="inlineStr">
        <is>
          <t>VÄSTERBOTTENS LÄN</t>
        </is>
      </c>
      <c r="E5392" t="inlineStr">
        <is>
          <t>ÅSELE</t>
        </is>
      </c>
      <c r="F5392" t="inlineStr">
        <is>
          <t>Sveaskog</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49175-2023</t>
        </is>
      </c>
      <c r="B5393" s="1" t="n">
        <v>45210.55800925926</v>
      </c>
      <c r="C5393" s="1" t="n">
        <v>46145</v>
      </c>
      <c r="D5393" t="inlineStr">
        <is>
          <t>VÄSTERBOTTENS LÄN</t>
        </is>
      </c>
      <c r="E5393" t="inlineStr">
        <is>
          <t>LYCKSELE</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48028-2025</t>
        </is>
      </c>
      <c r="B5394" s="1" t="n">
        <v>45932.6515625</v>
      </c>
      <c r="C5394" s="1" t="n">
        <v>46145</v>
      </c>
      <c r="D5394" t="inlineStr">
        <is>
          <t>VÄSTERBOTTENS LÄN</t>
        </is>
      </c>
      <c r="E5394" t="inlineStr">
        <is>
          <t>UMEÅ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49192-2023</t>
        </is>
      </c>
      <c r="B5395" s="1" t="n">
        <v>45210.57967592592</v>
      </c>
      <c r="C5395" s="1" t="n">
        <v>46145</v>
      </c>
      <c r="D5395" t="inlineStr">
        <is>
          <t>VÄSTERBOTTENS LÄN</t>
        </is>
      </c>
      <c r="E5395" t="inlineStr">
        <is>
          <t>UMEÅ</t>
        </is>
      </c>
      <c r="F5395" t="inlineStr">
        <is>
          <t>Holmen skog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48058-2025</t>
        </is>
      </c>
      <c r="B5396" s="1" t="n">
        <v>45932.67960648148</v>
      </c>
      <c r="C5396" s="1" t="n">
        <v>46145</v>
      </c>
      <c r="D5396" t="inlineStr">
        <is>
          <t>VÄSTERBOTTENS LÄN</t>
        </is>
      </c>
      <c r="E5396" t="inlineStr">
        <is>
          <t>MALÅ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42621-2025</t>
        </is>
      </c>
      <c r="B5397" s="1" t="n">
        <v>45905</v>
      </c>
      <c r="C5397" s="1" t="n">
        <v>46145</v>
      </c>
      <c r="D5397" t="inlineStr">
        <is>
          <t>VÄSTERBOTTENS LÄN</t>
        </is>
      </c>
      <c r="E5397" t="inlineStr">
        <is>
          <t>SKELLEFTEÅ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35917-2022</t>
        </is>
      </c>
      <c r="B5398" s="1" t="n">
        <v>44802</v>
      </c>
      <c r="C5398" s="1" t="n">
        <v>46145</v>
      </c>
      <c r="D5398" t="inlineStr">
        <is>
          <t>VÄSTERBOTTENS LÄN</t>
        </is>
      </c>
      <c r="E5398" t="inlineStr">
        <is>
          <t>MALÅ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40210-2022</t>
        </is>
      </c>
      <c r="B5399" s="1" t="n">
        <v>44820</v>
      </c>
      <c r="C5399" s="1" t="n">
        <v>46145</v>
      </c>
      <c r="D5399" t="inlineStr">
        <is>
          <t>VÄSTERBOTTENS LÄN</t>
        </is>
      </c>
      <c r="E5399" t="inlineStr">
        <is>
          <t>NORDMALING</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48011-2025</t>
        </is>
      </c>
      <c r="B5400" s="1" t="n">
        <v>45932.64318287037</v>
      </c>
      <c r="C5400" s="1" t="n">
        <v>46145</v>
      </c>
      <c r="D5400" t="inlineStr">
        <is>
          <t>VÄSTERBOTTENS LÄN</t>
        </is>
      </c>
      <c r="E5400" t="inlineStr">
        <is>
          <t>UMEÅ</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48021-2025</t>
        </is>
      </c>
      <c r="B5401" s="1" t="n">
        <v>45932.64856481482</v>
      </c>
      <c r="C5401" s="1" t="n">
        <v>46145</v>
      </c>
      <c r="D5401" t="inlineStr">
        <is>
          <t>VÄSTERBOTTENS LÄN</t>
        </is>
      </c>
      <c r="E5401" t="inlineStr">
        <is>
          <t>SKELLEFTEÅ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40468-2021</t>
        </is>
      </c>
      <c r="B5402" s="1" t="n">
        <v>44419.94174768519</v>
      </c>
      <c r="C5402" s="1" t="n">
        <v>46145</v>
      </c>
      <c r="D5402" t="inlineStr">
        <is>
          <t>VÄSTERBOTTENS LÄN</t>
        </is>
      </c>
      <c r="E5402" t="inlineStr">
        <is>
          <t>VILHELMINA</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22440-2025</t>
        </is>
      </c>
      <c r="B5403" s="1" t="n">
        <v>45786</v>
      </c>
      <c r="C5403" s="1" t="n">
        <v>46145</v>
      </c>
      <c r="D5403" t="inlineStr">
        <is>
          <t>VÄSTERBOTTENS LÄN</t>
        </is>
      </c>
      <c r="E5403" t="inlineStr">
        <is>
          <t>VILHELMINA</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47674-2025</t>
        </is>
      </c>
      <c r="B5404" s="1" t="n">
        <v>45931</v>
      </c>
      <c r="C5404" s="1" t="n">
        <v>46145</v>
      </c>
      <c r="D5404" t="inlineStr">
        <is>
          <t>VÄSTERBOTTENS LÄN</t>
        </is>
      </c>
      <c r="E5404" t="inlineStr">
        <is>
          <t>SKELLEFTEÅ</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47950-2025</t>
        </is>
      </c>
      <c r="B5405" s="1" t="n">
        <v>45932.57682870371</v>
      </c>
      <c r="C5405" s="1" t="n">
        <v>46145</v>
      </c>
      <c r="D5405" t="inlineStr">
        <is>
          <t>VÄSTERBOTTENS LÄN</t>
        </is>
      </c>
      <c r="E5405" t="inlineStr">
        <is>
          <t>SKELLEFTEÅ</t>
        </is>
      </c>
      <c r="F5405" t="inlineStr">
        <is>
          <t>Holmen skog AB</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47660-2025</t>
        </is>
      </c>
      <c r="B5406" s="1" t="n">
        <v>45931.56010416667</v>
      </c>
      <c r="C5406" s="1" t="n">
        <v>46145</v>
      </c>
      <c r="D5406" t="inlineStr">
        <is>
          <t>VÄSTERBOTTENS LÄN</t>
        </is>
      </c>
      <c r="E5406" t="inlineStr">
        <is>
          <t>SORSELE</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23759-2023</t>
        </is>
      </c>
      <c r="B5407" s="1" t="n">
        <v>45077</v>
      </c>
      <c r="C5407" s="1" t="n">
        <v>46145</v>
      </c>
      <c r="D5407" t="inlineStr">
        <is>
          <t>VÄSTERBOTTENS LÄN</t>
        </is>
      </c>
      <c r="E5407" t="inlineStr">
        <is>
          <t>SKELLEFTEÅ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30401-2023</t>
        </is>
      </c>
      <c r="B5408" s="1" t="n">
        <v>45103</v>
      </c>
      <c r="C5408" s="1" t="n">
        <v>46145</v>
      </c>
      <c r="D5408" t="inlineStr">
        <is>
          <t>VÄSTERBOTTENS LÄN</t>
        </is>
      </c>
      <c r="E5408" t="inlineStr">
        <is>
          <t>LYCKSELE</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15339-2023</t>
        </is>
      </c>
      <c r="B5409" s="1" t="n">
        <v>45016</v>
      </c>
      <c r="C5409" s="1" t="n">
        <v>46145</v>
      </c>
      <c r="D5409" t="inlineStr">
        <is>
          <t>VÄSTERBOTTENS LÄN</t>
        </is>
      </c>
      <c r="E5409" t="inlineStr">
        <is>
          <t>STORUMAN</t>
        </is>
      </c>
      <c r="G5409" t="n">
        <v>97.5</v>
      </c>
      <c r="H5409" t="n">
        <v>0</v>
      </c>
      <c r="I5409" t="n">
        <v>0</v>
      </c>
      <c r="J5409" t="n">
        <v>0</v>
      </c>
      <c r="K5409" t="n">
        <v>0</v>
      </c>
      <c r="L5409" t="n">
        <v>0</v>
      </c>
      <c r="M5409" t="n">
        <v>0</v>
      </c>
      <c r="N5409" t="n">
        <v>0</v>
      </c>
      <c r="O5409" t="n">
        <v>0</v>
      </c>
      <c r="P5409" t="n">
        <v>0</v>
      </c>
      <c r="Q5409" t="n">
        <v>0</v>
      </c>
      <c r="R5409" s="2" t="inlineStr"/>
    </row>
    <row r="5410" ht="15" customHeight="1">
      <c r="A5410" t="inlineStr">
        <is>
          <t>A 47930-2025</t>
        </is>
      </c>
      <c r="B5410" s="1" t="n">
        <v>45932.55251157407</v>
      </c>
      <c r="C5410" s="1" t="n">
        <v>46145</v>
      </c>
      <c r="D5410" t="inlineStr">
        <is>
          <t>VÄSTERBOTTENS LÄN</t>
        </is>
      </c>
      <c r="E5410" t="inlineStr">
        <is>
          <t>LYCKSELE</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36316-2024</t>
        </is>
      </c>
      <c r="B5411" s="1" t="n">
        <v>45534</v>
      </c>
      <c r="C5411" s="1" t="n">
        <v>46145</v>
      </c>
      <c r="D5411" t="inlineStr">
        <is>
          <t>VÄSTERBOTTENS LÄN</t>
        </is>
      </c>
      <c r="E5411" t="inlineStr">
        <is>
          <t>VINDELN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36325-2024</t>
        </is>
      </c>
      <c r="B5412" s="1" t="n">
        <v>45534.63637731481</v>
      </c>
      <c r="C5412" s="1" t="n">
        <v>46145</v>
      </c>
      <c r="D5412" t="inlineStr">
        <is>
          <t>VÄSTERBOTTENS LÄN</t>
        </is>
      </c>
      <c r="E5412" t="inlineStr">
        <is>
          <t>LYCKSELE</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36331-2024</t>
        </is>
      </c>
      <c r="B5413" s="1" t="n">
        <v>45534.63957175926</v>
      </c>
      <c r="C5413" s="1" t="n">
        <v>46145</v>
      </c>
      <c r="D5413" t="inlineStr">
        <is>
          <t>VÄSTERBOTTENS LÄN</t>
        </is>
      </c>
      <c r="E5413" t="inlineStr">
        <is>
          <t>ÅSELE</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47739-2025</t>
        </is>
      </c>
      <c r="B5414" s="1" t="n">
        <v>45931.6430787037</v>
      </c>
      <c r="C5414" s="1" t="n">
        <v>46145</v>
      </c>
      <c r="D5414" t="inlineStr">
        <is>
          <t>VÄSTERBOTTENS LÄN</t>
        </is>
      </c>
      <c r="E5414" t="inlineStr">
        <is>
          <t>SKELLEFTEÅ</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47740-2025</t>
        </is>
      </c>
      <c r="B5415" s="1" t="n">
        <v>45931.6437962963</v>
      </c>
      <c r="C5415" s="1" t="n">
        <v>46145</v>
      </c>
      <c r="D5415" t="inlineStr">
        <is>
          <t>VÄSTERBOTTENS LÄN</t>
        </is>
      </c>
      <c r="E5415" t="inlineStr">
        <is>
          <t>SORSELE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47813-2025</t>
        </is>
      </c>
      <c r="B5416" s="1" t="n">
        <v>45932</v>
      </c>
      <c r="C5416" s="1" t="n">
        <v>46145</v>
      </c>
      <c r="D5416" t="inlineStr">
        <is>
          <t>VÄSTERBOTTENS LÄN</t>
        </is>
      </c>
      <c r="E5416" t="inlineStr">
        <is>
          <t>SKELLEFTEÅ</t>
        </is>
      </c>
      <c r="F5416" t="inlineStr">
        <is>
          <t>Kyrkan</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47823-2025</t>
        </is>
      </c>
      <c r="B5417" s="1" t="n">
        <v>45932.34454861111</v>
      </c>
      <c r="C5417" s="1" t="n">
        <v>46145</v>
      </c>
      <c r="D5417" t="inlineStr">
        <is>
          <t>VÄSTERBOTTENS LÄN</t>
        </is>
      </c>
      <c r="E5417" t="inlineStr">
        <is>
          <t>ÅSELE</t>
        </is>
      </c>
      <c r="F5417" t="inlineStr">
        <is>
          <t>SCA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47825-2025</t>
        </is>
      </c>
      <c r="B5418" s="1" t="n">
        <v>45932.34476851852</v>
      </c>
      <c r="C5418" s="1" t="n">
        <v>46145</v>
      </c>
      <c r="D5418" t="inlineStr">
        <is>
          <t>VÄSTERBOTTENS LÄN</t>
        </is>
      </c>
      <c r="E5418" t="inlineStr">
        <is>
          <t>ÅSELE</t>
        </is>
      </c>
      <c r="F5418" t="inlineStr">
        <is>
          <t>SCA</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22457-2025</t>
        </is>
      </c>
      <c r="B5419" s="1" t="n">
        <v>45786</v>
      </c>
      <c r="C5419" s="1" t="n">
        <v>46145</v>
      </c>
      <c r="D5419" t="inlineStr">
        <is>
          <t>VÄSTERBOTTENS LÄN</t>
        </is>
      </c>
      <c r="E5419" t="inlineStr">
        <is>
          <t>VILHELMINA</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48332-2021</t>
        </is>
      </c>
      <c r="B5420" s="1" t="n">
        <v>44451.45726851852</v>
      </c>
      <c r="C5420" s="1" t="n">
        <v>46145</v>
      </c>
      <c r="D5420" t="inlineStr">
        <is>
          <t>VÄSTERBOTTENS LÄN</t>
        </is>
      </c>
      <c r="E5420" t="inlineStr">
        <is>
          <t>STORUMAN</t>
        </is>
      </c>
      <c r="F5420" t="inlineStr">
        <is>
          <t>Sveaskog</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47863-2025</t>
        </is>
      </c>
      <c r="B5421" s="1" t="n">
        <v>45932.4290625</v>
      </c>
      <c r="C5421" s="1" t="n">
        <v>46145</v>
      </c>
      <c r="D5421" t="inlineStr">
        <is>
          <t>VÄSTERBOTTENS LÄN</t>
        </is>
      </c>
      <c r="E5421" t="inlineStr">
        <is>
          <t>UMEÅ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2645-2023</t>
        </is>
      </c>
      <c r="B5422" s="1" t="n">
        <v>44943</v>
      </c>
      <c r="C5422" s="1" t="n">
        <v>46145</v>
      </c>
      <c r="D5422" t="inlineStr">
        <is>
          <t>VÄSTERBOTTENS LÄN</t>
        </is>
      </c>
      <c r="E5422" t="inlineStr">
        <is>
          <t>NORDMALING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15857-2023</t>
        </is>
      </c>
      <c r="B5423" s="1" t="n">
        <v>45022</v>
      </c>
      <c r="C5423" s="1" t="n">
        <v>46145</v>
      </c>
      <c r="D5423" t="inlineStr">
        <is>
          <t>VÄSTERBOTTENS LÄN</t>
        </is>
      </c>
      <c r="E5423" t="inlineStr">
        <is>
          <t>MALÅ</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16708-2025</t>
        </is>
      </c>
      <c r="B5424" s="1" t="n">
        <v>45751</v>
      </c>
      <c r="C5424" s="1" t="n">
        <v>46145</v>
      </c>
      <c r="D5424" t="inlineStr">
        <is>
          <t>VÄSTERBOTTENS LÄN</t>
        </is>
      </c>
      <c r="E5424" t="inlineStr">
        <is>
          <t>SKELLEFTEÅ</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16720-2025</t>
        </is>
      </c>
      <c r="B5425" s="1" t="n">
        <v>45754.49039351852</v>
      </c>
      <c r="C5425" s="1" t="n">
        <v>46145</v>
      </c>
      <c r="D5425" t="inlineStr">
        <is>
          <t>VÄSTERBOTTENS LÄN</t>
        </is>
      </c>
      <c r="E5425" t="inlineStr">
        <is>
          <t>VILHELMINA</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47834-2025</t>
        </is>
      </c>
      <c r="B5426" s="1" t="n">
        <v>45932.36518518518</v>
      </c>
      <c r="C5426" s="1" t="n">
        <v>46145</v>
      </c>
      <c r="D5426" t="inlineStr">
        <is>
          <t>VÄSTERBOTTENS LÄN</t>
        </is>
      </c>
      <c r="E5426" t="inlineStr">
        <is>
          <t>NORDMALING</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47827-2025</t>
        </is>
      </c>
      <c r="B5427" s="1" t="n">
        <v>45932.34491898148</v>
      </c>
      <c r="C5427" s="1" t="n">
        <v>46145</v>
      </c>
      <c r="D5427" t="inlineStr">
        <is>
          <t>VÄSTERBOTTENS LÄN</t>
        </is>
      </c>
      <c r="E5427" t="inlineStr">
        <is>
          <t>SKELLEFTEÅ</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53241-2022</t>
        </is>
      </c>
      <c r="B5428" s="1" t="n">
        <v>44876</v>
      </c>
      <c r="C5428" s="1" t="n">
        <v>46145</v>
      </c>
      <c r="D5428" t="inlineStr">
        <is>
          <t>VÄSTERBOTTENS LÄN</t>
        </is>
      </c>
      <c r="E5428" t="inlineStr">
        <is>
          <t>LYCKSELE</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48137-2025</t>
        </is>
      </c>
      <c r="B5429" s="1" t="n">
        <v>45933.3787037037</v>
      </c>
      <c r="C5429" s="1" t="n">
        <v>46145</v>
      </c>
      <c r="D5429" t="inlineStr">
        <is>
          <t>VÄSTERBOTTENS LÄN</t>
        </is>
      </c>
      <c r="E5429" t="inlineStr">
        <is>
          <t>LYCKSELE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5898-2022</t>
        </is>
      </c>
      <c r="B5430" s="1" t="n">
        <v>44596</v>
      </c>
      <c r="C5430" s="1" t="n">
        <v>46145</v>
      </c>
      <c r="D5430" t="inlineStr">
        <is>
          <t>VÄSTERBOTTENS LÄN</t>
        </is>
      </c>
      <c r="E5430" t="inlineStr">
        <is>
          <t>STORUMAN</t>
        </is>
      </c>
      <c r="G5430" t="n">
        <v>20.2</v>
      </c>
      <c r="H5430" t="n">
        <v>0</v>
      </c>
      <c r="I5430" t="n">
        <v>0</v>
      </c>
      <c r="J5430" t="n">
        <v>0</v>
      </c>
      <c r="K5430" t="n">
        <v>0</v>
      </c>
      <c r="L5430" t="n">
        <v>0</v>
      </c>
      <c r="M5430" t="n">
        <v>0</v>
      </c>
      <c r="N5430" t="n">
        <v>0</v>
      </c>
      <c r="O5430" t="n">
        <v>0</v>
      </c>
      <c r="P5430" t="n">
        <v>0</v>
      </c>
      <c r="Q5430" t="n">
        <v>0</v>
      </c>
      <c r="R5430" s="2" t="inlineStr"/>
    </row>
    <row r="5431" ht="15" customHeight="1">
      <c r="A5431" t="inlineStr">
        <is>
          <t>A 48510-2025</t>
        </is>
      </c>
      <c r="B5431" s="1" t="n">
        <v>45936.3863425926</v>
      </c>
      <c r="C5431" s="1" t="n">
        <v>46145</v>
      </c>
      <c r="D5431" t="inlineStr">
        <is>
          <t>VÄSTERBOTTENS LÄN</t>
        </is>
      </c>
      <c r="E5431" t="inlineStr">
        <is>
          <t>DOROTEA</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48531-2025</t>
        </is>
      </c>
      <c r="B5432" s="1" t="n">
        <v>45936.40791666666</v>
      </c>
      <c r="C5432" s="1" t="n">
        <v>46145</v>
      </c>
      <c r="D5432" t="inlineStr">
        <is>
          <t>VÄSTERBOTTENS LÄN</t>
        </is>
      </c>
      <c r="E5432" t="inlineStr">
        <is>
          <t>DOROTEA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58787-2024</t>
        </is>
      </c>
      <c r="B5433" s="1" t="n">
        <v>45635.90383101852</v>
      </c>
      <c r="C5433" s="1" t="n">
        <v>46145</v>
      </c>
      <c r="D5433" t="inlineStr">
        <is>
          <t>VÄSTERBOTTENS LÄN</t>
        </is>
      </c>
      <c r="E5433" t="inlineStr">
        <is>
          <t>STORUMAN</t>
        </is>
      </c>
      <c r="G5433" t="n">
        <v>17.4</v>
      </c>
      <c r="H5433" t="n">
        <v>0</v>
      </c>
      <c r="I5433" t="n">
        <v>0</v>
      </c>
      <c r="J5433" t="n">
        <v>0</v>
      </c>
      <c r="K5433" t="n">
        <v>0</v>
      </c>
      <c r="L5433" t="n">
        <v>0</v>
      </c>
      <c r="M5433" t="n">
        <v>0</v>
      </c>
      <c r="N5433" t="n">
        <v>0</v>
      </c>
      <c r="O5433" t="n">
        <v>0</v>
      </c>
      <c r="P5433" t="n">
        <v>0</v>
      </c>
      <c r="Q5433" t="n">
        <v>0</v>
      </c>
      <c r="R5433" s="2" t="inlineStr"/>
    </row>
    <row r="5434" ht="15" customHeight="1">
      <c r="A5434" t="inlineStr">
        <is>
          <t>A 3632-2024</t>
        </is>
      </c>
      <c r="B5434" s="1" t="n">
        <v>45320</v>
      </c>
      <c r="C5434" s="1" t="n">
        <v>46145</v>
      </c>
      <c r="D5434" t="inlineStr">
        <is>
          <t>VÄSTERBOTTENS LÄN</t>
        </is>
      </c>
      <c r="E5434" t="inlineStr">
        <is>
          <t>LYCKSELE</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48131-2025</t>
        </is>
      </c>
      <c r="B5435" s="1" t="n">
        <v>45933.36880787037</v>
      </c>
      <c r="C5435" s="1" t="n">
        <v>46145</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54239-2022</t>
        </is>
      </c>
      <c r="B5436" s="1" t="n">
        <v>44881</v>
      </c>
      <c r="C5436" s="1" t="n">
        <v>46145</v>
      </c>
      <c r="D5436" t="inlineStr">
        <is>
          <t>VÄSTERBOTTENS LÄN</t>
        </is>
      </c>
      <c r="E5436" t="inlineStr">
        <is>
          <t>MALÅ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48207-2025</t>
        </is>
      </c>
      <c r="B5437" s="1" t="n">
        <v>45933.48862268519</v>
      </c>
      <c r="C5437" s="1" t="n">
        <v>46145</v>
      </c>
      <c r="D5437" t="inlineStr">
        <is>
          <t>VÄSTERBOTTENS LÄN</t>
        </is>
      </c>
      <c r="E5437" t="inlineStr">
        <is>
          <t>SKELLEFTEÅ</t>
        </is>
      </c>
      <c r="F5437" t="inlineStr">
        <is>
          <t>Holmen skog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56401-2021</t>
        </is>
      </c>
      <c r="B5438" s="1" t="n">
        <v>44477</v>
      </c>
      <c r="C5438" s="1" t="n">
        <v>46145</v>
      </c>
      <c r="D5438" t="inlineStr">
        <is>
          <t>VÄSTERBOTTENS LÄN</t>
        </is>
      </c>
      <c r="E5438" t="inlineStr">
        <is>
          <t>LYCKSELE</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22078-2023</t>
        </is>
      </c>
      <c r="B5439" s="1" t="n">
        <v>45068</v>
      </c>
      <c r="C5439" s="1" t="n">
        <v>46145</v>
      </c>
      <c r="D5439" t="inlineStr">
        <is>
          <t>VÄSTERBOTTENS LÄN</t>
        </is>
      </c>
      <c r="E5439" t="inlineStr">
        <is>
          <t>ÅSELE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48098-2025</t>
        </is>
      </c>
      <c r="B5440" s="1" t="n">
        <v>45933.32584490741</v>
      </c>
      <c r="C5440" s="1" t="n">
        <v>46145</v>
      </c>
      <c r="D5440" t="inlineStr">
        <is>
          <t>VÄSTERBOTTENS LÄN</t>
        </is>
      </c>
      <c r="E5440" t="inlineStr">
        <is>
          <t>SKELLEFTEÅ</t>
        </is>
      </c>
      <c r="F5440" t="inlineStr">
        <is>
          <t>Holmen skog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45389-2021</t>
        </is>
      </c>
      <c r="B5441" s="1" t="n">
        <v>44440</v>
      </c>
      <c r="C5441" s="1" t="n">
        <v>46145</v>
      </c>
      <c r="D5441" t="inlineStr">
        <is>
          <t>VÄSTERBOTTENS LÄN</t>
        </is>
      </c>
      <c r="E5441" t="inlineStr">
        <is>
          <t>SKELLEFTEÅ</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54408-2023</t>
        </is>
      </c>
      <c r="B5442" s="1" t="n">
        <v>45226</v>
      </c>
      <c r="C5442" s="1" t="n">
        <v>46145</v>
      </c>
      <c r="D5442" t="inlineStr">
        <is>
          <t>VÄSTERBOTTENS LÄN</t>
        </is>
      </c>
      <c r="E5442" t="inlineStr">
        <is>
          <t>SORSELE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54411-2023</t>
        </is>
      </c>
      <c r="B5443" s="1" t="n">
        <v>45226</v>
      </c>
      <c r="C5443" s="1" t="n">
        <v>46145</v>
      </c>
      <c r="D5443" t="inlineStr">
        <is>
          <t>VÄSTERBOTTENS LÄN</t>
        </is>
      </c>
      <c r="E5443" t="inlineStr">
        <is>
          <t>SKELLEFTEÅ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69516-2021</t>
        </is>
      </c>
      <c r="B5444" s="1" t="n">
        <v>44531</v>
      </c>
      <c r="C5444" s="1" t="n">
        <v>46145</v>
      </c>
      <c r="D5444" t="inlineStr">
        <is>
          <t>VÄSTERBOTTENS LÄN</t>
        </is>
      </c>
      <c r="E5444" t="inlineStr">
        <is>
          <t>NORDMALING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48264-2025</t>
        </is>
      </c>
      <c r="B5445" s="1" t="n">
        <v>45933.56834490741</v>
      </c>
      <c r="C5445" s="1" t="n">
        <v>46145</v>
      </c>
      <c r="D5445" t="inlineStr">
        <is>
          <t>VÄSTERBOTTENS LÄN</t>
        </is>
      </c>
      <c r="E5445" t="inlineStr">
        <is>
          <t>UMEÅ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6120-2025</t>
        </is>
      </c>
      <c r="B5446" s="1" t="n">
        <v>45698.34443287037</v>
      </c>
      <c r="C5446" s="1" t="n">
        <v>46145</v>
      </c>
      <c r="D5446" t="inlineStr">
        <is>
          <t>VÄSTERBOTTENS LÄN</t>
        </is>
      </c>
      <c r="E5446" t="inlineStr">
        <is>
          <t>UMEÅ</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28610-2021</t>
        </is>
      </c>
      <c r="B5447" s="1" t="n">
        <v>44356.93482638889</v>
      </c>
      <c r="C5447" s="1" t="n">
        <v>46145</v>
      </c>
      <c r="D5447" t="inlineStr">
        <is>
          <t>VÄSTERBOTTENS LÄN</t>
        </is>
      </c>
      <c r="E5447" t="inlineStr">
        <is>
          <t>ÅSELE</t>
        </is>
      </c>
      <c r="F5447" t="inlineStr">
        <is>
          <t>SCA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43367-2022</t>
        </is>
      </c>
      <c r="B5448" s="1" t="n">
        <v>44834.64829861111</v>
      </c>
      <c r="C5448" s="1" t="n">
        <v>46145</v>
      </c>
      <c r="D5448" t="inlineStr">
        <is>
          <t>VÄSTERBOTTENS LÄN</t>
        </is>
      </c>
      <c r="E5448" t="inlineStr">
        <is>
          <t>NORDMALING</t>
        </is>
      </c>
      <c r="F5448" t="inlineStr">
        <is>
          <t>Holmen skog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36779-2024</t>
        </is>
      </c>
      <c r="B5449" s="1" t="n">
        <v>45538.41059027778</v>
      </c>
      <c r="C5449" s="1" t="n">
        <v>46145</v>
      </c>
      <c r="D5449" t="inlineStr">
        <is>
          <t>VÄSTERBOTTENS LÄN</t>
        </is>
      </c>
      <c r="E5449" t="inlineStr">
        <is>
          <t>SKELLEFTEÅ</t>
        </is>
      </c>
      <c r="F5449" t="inlineStr">
        <is>
          <t>Holmen skog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48744-2025</t>
        </is>
      </c>
      <c r="B5450" s="1" t="n">
        <v>45936.67855324074</v>
      </c>
      <c r="C5450" s="1" t="n">
        <v>46145</v>
      </c>
      <c r="D5450" t="inlineStr">
        <is>
          <t>VÄSTERBOTTENS LÄN</t>
        </is>
      </c>
      <c r="E5450" t="inlineStr">
        <is>
          <t>NORDMALING</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48608-2025</t>
        </is>
      </c>
      <c r="B5451" s="1" t="n">
        <v>45936.4734837963</v>
      </c>
      <c r="C5451" s="1" t="n">
        <v>46145</v>
      </c>
      <c r="D5451" t="inlineStr">
        <is>
          <t>VÄSTERBOTTENS LÄN</t>
        </is>
      </c>
      <c r="E5451" t="inlineStr">
        <is>
          <t>SKELLEFTEÅ</t>
        </is>
      </c>
      <c r="F5451" t="inlineStr">
        <is>
          <t>Holmen skog AB</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60896-2023</t>
        </is>
      </c>
      <c r="B5452" s="1" t="n">
        <v>45261</v>
      </c>
      <c r="C5452" s="1" t="n">
        <v>46145</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60898-2023</t>
        </is>
      </c>
      <c r="B5453" s="1" t="n">
        <v>45261.35170138889</v>
      </c>
      <c r="C5453" s="1" t="n">
        <v>46145</v>
      </c>
      <c r="D5453" t="inlineStr">
        <is>
          <t>VÄSTERBOTTENS LÄN</t>
        </is>
      </c>
      <c r="E5453" t="inlineStr">
        <is>
          <t>SKELLEFTEÅ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48198-2025</t>
        </is>
      </c>
      <c r="B5454" s="1" t="n">
        <v>45933.47787037037</v>
      </c>
      <c r="C5454" s="1" t="n">
        <v>46145</v>
      </c>
      <c r="D5454" t="inlineStr">
        <is>
          <t>VÄSTERBOTTENS LÄN</t>
        </is>
      </c>
      <c r="E5454" t="inlineStr">
        <is>
          <t>VINDELN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60811-2022</t>
        </is>
      </c>
      <c r="B5455" s="1" t="n">
        <v>44914.46180555555</v>
      </c>
      <c r="C5455" s="1" t="n">
        <v>46145</v>
      </c>
      <c r="D5455" t="inlineStr">
        <is>
          <t>VÄSTERBOTTENS LÄN</t>
        </is>
      </c>
      <c r="E5455" t="inlineStr">
        <is>
          <t>UMEÅ</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15231-2024</t>
        </is>
      </c>
      <c r="B5456" s="1" t="n">
        <v>45400</v>
      </c>
      <c r="C5456" s="1" t="n">
        <v>46145</v>
      </c>
      <c r="D5456" t="inlineStr">
        <is>
          <t>VÄSTERBOTTENS LÄN</t>
        </is>
      </c>
      <c r="E5456" t="inlineStr">
        <is>
          <t>SORSELE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53323-2021</t>
        </is>
      </c>
      <c r="B5457" s="1" t="n">
        <v>44468.56100694444</v>
      </c>
      <c r="C5457" s="1" t="n">
        <v>46145</v>
      </c>
      <c r="D5457" t="inlineStr">
        <is>
          <t>VÄSTERBOTTENS LÄN</t>
        </is>
      </c>
      <c r="E5457" t="inlineStr">
        <is>
          <t>LYCKSELE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48267-2025</t>
        </is>
      </c>
      <c r="B5458" s="1" t="n">
        <v>45933.57060185185</v>
      </c>
      <c r="C5458" s="1" t="n">
        <v>46145</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49011-2025</t>
        </is>
      </c>
      <c r="B5459" s="1" t="n">
        <v>45936</v>
      </c>
      <c r="C5459" s="1" t="n">
        <v>46145</v>
      </c>
      <c r="D5459" t="inlineStr">
        <is>
          <t>VÄSTERBOTTENS LÄN</t>
        </is>
      </c>
      <c r="E5459" t="inlineStr">
        <is>
          <t>NORSJÖ</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49031-2025</t>
        </is>
      </c>
      <c r="B5460" s="1" t="n">
        <v>45936</v>
      </c>
      <c r="C5460" s="1" t="n">
        <v>46145</v>
      </c>
      <c r="D5460" t="inlineStr">
        <is>
          <t>VÄSTERBOTTENS LÄN</t>
        </is>
      </c>
      <c r="E5460" t="inlineStr">
        <is>
          <t>SKELLEFTEÅ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48344-2025</t>
        </is>
      </c>
      <c r="B5461" s="1" t="n">
        <v>45933.64456018519</v>
      </c>
      <c r="C5461" s="1" t="n">
        <v>46145</v>
      </c>
      <c r="D5461" t="inlineStr">
        <is>
          <t>VÄSTERBOTTENS LÄN</t>
        </is>
      </c>
      <c r="E5461" t="inlineStr">
        <is>
          <t>ROBERTSFORS</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48530-2025</t>
        </is>
      </c>
      <c r="B5462" s="1" t="n">
        <v>45936.40789351852</v>
      </c>
      <c r="C5462" s="1" t="n">
        <v>46145</v>
      </c>
      <c r="D5462" t="inlineStr">
        <is>
          <t>VÄSTERBOTTENS LÄN</t>
        </is>
      </c>
      <c r="E5462" t="inlineStr">
        <is>
          <t>DOROTEA</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56627-2021</t>
        </is>
      </c>
      <c r="B5463" s="1" t="n">
        <v>44480.84313657408</v>
      </c>
      <c r="C5463" s="1" t="n">
        <v>46145</v>
      </c>
      <c r="D5463" t="inlineStr">
        <is>
          <t>VÄSTERBOTTENS LÄN</t>
        </is>
      </c>
      <c r="E5463" t="inlineStr">
        <is>
          <t>SKELLEFTEÅ</t>
        </is>
      </c>
      <c r="F5463" t="inlineStr">
        <is>
          <t>Sveaskog</t>
        </is>
      </c>
      <c r="G5463" t="n">
        <v>20.1</v>
      </c>
      <c r="H5463" t="n">
        <v>0</v>
      </c>
      <c r="I5463" t="n">
        <v>0</v>
      </c>
      <c r="J5463" t="n">
        <v>0</v>
      </c>
      <c r="K5463" t="n">
        <v>0</v>
      </c>
      <c r="L5463" t="n">
        <v>0</v>
      </c>
      <c r="M5463" t="n">
        <v>0</v>
      </c>
      <c r="N5463" t="n">
        <v>0</v>
      </c>
      <c r="O5463" t="n">
        <v>0</v>
      </c>
      <c r="P5463" t="n">
        <v>0</v>
      </c>
      <c r="Q5463" t="n">
        <v>0</v>
      </c>
      <c r="R5463" s="2" t="inlineStr"/>
    </row>
    <row r="5464" ht="15" customHeight="1">
      <c r="A5464" t="inlineStr">
        <is>
          <t>A 48574-2025</t>
        </is>
      </c>
      <c r="B5464" s="1" t="n">
        <v>45936.4525</v>
      </c>
      <c r="C5464" s="1" t="n">
        <v>46145</v>
      </c>
      <c r="D5464" t="inlineStr">
        <is>
          <t>VÄSTERBOTTENS LÄN</t>
        </is>
      </c>
      <c r="E5464" t="inlineStr">
        <is>
          <t>NORSJÖ</t>
        </is>
      </c>
      <c r="F5464" t="inlineStr">
        <is>
          <t>Holmen skog AB</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28443-2023</t>
        </is>
      </c>
      <c r="B5465" s="1" t="n">
        <v>45102</v>
      </c>
      <c r="C5465" s="1" t="n">
        <v>46145</v>
      </c>
      <c r="D5465" t="inlineStr">
        <is>
          <t>VÄSTERBOTTENS LÄN</t>
        </is>
      </c>
      <c r="E5465" t="inlineStr">
        <is>
          <t>NORDMALING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48165-2025</t>
        </is>
      </c>
      <c r="B5466" s="1" t="n">
        <v>45933.42789351852</v>
      </c>
      <c r="C5466" s="1" t="n">
        <v>46145</v>
      </c>
      <c r="D5466" t="inlineStr">
        <is>
          <t>VÄSTERBOTTENS LÄN</t>
        </is>
      </c>
      <c r="E5466" t="inlineStr">
        <is>
          <t>LYCKSELE</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37429-2022</t>
        </is>
      </c>
      <c r="B5467" s="1" t="n">
        <v>44809</v>
      </c>
      <c r="C5467" s="1" t="n">
        <v>46145</v>
      </c>
      <c r="D5467" t="inlineStr">
        <is>
          <t>VÄSTERBOTTENS LÄN</t>
        </is>
      </c>
      <c r="E5467" t="inlineStr">
        <is>
          <t>STORUMAN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48659-2025</t>
        </is>
      </c>
      <c r="B5468" s="1" t="n">
        <v>45936.56694444444</v>
      </c>
      <c r="C5468" s="1" t="n">
        <v>46145</v>
      </c>
      <c r="D5468" t="inlineStr">
        <is>
          <t>VÄSTERBOTTENS LÄN</t>
        </is>
      </c>
      <c r="E5468" t="inlineStr">
        <is>
          <t>VINDELN</t>
        </is>
      </c>
      <c r="F5468" t="inlineStr">
        <is>
          <t>Sveaskog</t>
        </is>
      </c>
      <c r="G5468" t="n">
        <v>31.9</v>
      </c>
      <c r="H5468" t="n">
        <v>0</v>
      </c>
      <c r="I5468" t="n">
        <v>0</v>
      </c>
      <c r="J5468" t="n">
        <v>0</v>
      </c>
      <c r="K5468" t="n">
        <v>0</v>
      </c>
      <c r="L5468" t="n">
        <v>0</v>
      </c>
      <c r="M5468" t="n">
        <v>0</v>
      </c>
      <c r="N5468" t="n">
        <v>0</v>
      </c>
      <c r="O5468" t="n">
        <v>0</v>
      </c>
      <c r="P5468" t="n">
        <v>0</v>
      </c>
      <c r="Q5468" t="n">
        <v>0</v>
      </c>
      <c r="R5468" s="2" t="inlineStr"/>
    </row>
    <row r="5469" ht="15" customHeight="1">
      <c r="A5469" t="inlineStr">
        <is>
          <t>A 22509-2023</t>
        </is>
      </c>
      <c r="B5469" s="1" t="n">
        <v>45069</v>
      </c>
      <c r="C5469" s="1" t="n">
        <v>46145</v>
      </c>
      <c r="D5469" t="inlineStr">
        <is>
          <t>VÄSTERBOTTENS LÄN</t>
        </is>
      </c>
      <c r="E5469" t="inlineStr">
        <is>
          <t>VINDELN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402-2023</t>
        </is>
      </c>
      <c r="B5470" s="1" t="n">
        <v>44923</v>
      </c>
      <c r="C5470" s="1" t="n">
        <v>46145</v>
      </c>
      <c r="D5470" t="inlineStr">
        <is>
          <t>VÄSTERBOTTENS LÄN</t>
        </is>
      </c>
      <c r="E5470" t="inlineStr">
        <is>
          <t>VILHELMINA</t>
        </is>
      </c>
      <c r="G5470" t="n">
        <v>14.7</v>
      </c>
      <c r="H5470" t="n">
        <v>0</v>
      </c>
      <c r="I5470" t="n">
        <v>0</v>
      </c>
      <c r="J5470" t="n">
        <v>0</v>
      </c>
      <c r="K5470" t="n">
        <v>0</v>
      </c>
      <c r="L5470" t="n">
        <v>0</v>
      </c>
      <c r="M5470" t="n">
        <v>0</v>
      </c>
      <c r="N5470" t="n">
        <v>0</v>
      </c>
      <c r="O5470" t="n">
        <v>0</v>
      </c>
      <c r="P5470" t="n">
        <v>0</v>
      </c>
      <c r="Q5470" t="n">
        <v>0</v>
      </c>
      <c r="R5470" s="2" t="inlineStr"/>
    </row>
    <row r="5471" ht="15" customHeight="1">
      <c r="A5471" t="inlineStr">
        <is>
          <t>A 60982-2024</t>
        </is>
      </c>
      <c r="B5471" s="1" t="n">
        <v>45645</v>
      </c>
      <c r="C5471" s="1" t="n">
        <v>46145</v>
      </c>
      <c r="D5471" t="inlineStr">
        <is>
          <t>VÄSTERBOTTENS LÄN</t>
        </is>
      </c>
      <c r="E5471" t="inlineStr">
        <is>
          <t>SKELLEFTEÅ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48493-2025</t>
        </is>
      </c>
      <c r="B5472" s="1" t="n">
        <v>45936.36915509259</v>
      </c>
      <c r="C5472" s="1" t="n">
        <v>46145</v>
      </c>
      <c r="D5472" t="inlineStr">
        <is>
          <t>VÄSTERBOTTENS LÄN</t>
        </is>
      </c>
      <c r="E5472" t="inlineStr">
        <is>
          <t>LYCKSELE</t>
        </is>
      </c>
      <c r="F5472" t="inlineStr">
        <is>
          <t>Holmen skog AB</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48498-2025</t>
        </is>
      </c>
      <c r="B5473" s="1" t="n">
        <v>45936.37527777778</v>
      </c>
      <c r="C5473" s="1" t="n">
        <v>46145</v>
      </c>
      <c r="D5473" t="inlineStr">
        <is>
          <t>VÄSTERBOTTENS LÄN</t>
        </is>
      </c>
      <c r="E5473" t="inlineStr">
        <is>
          <t>LYCKSELE</t>
        </is>
      </c>
      <c r="F5473" t="inlineStr">
        <is>
          <t>Holmen skog AB</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48632-2025</t>
        </is>
      </c>
      <c r="B5474" s="1" t="n">
        <v>45936.51171296297</v>
      </c>
      <c r="C5474" s="1" t="n">
        <v>46145</v>
      </c>
      <c r="D5474" t="inlineStr">
        <is>
          <t>VÄSTERBOTTENS LÄN</t>
        </is>
      </c>
      <c r="E5474" t="inlineStr">
        <is>
          <t>NORDMALING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48110-2025</t>
        </is>
      </c>
      <c r="B5475" s="1" t="n">
        <v>45933.34513888889</v>
      </c>
      <c r="C5475" s="1" t="n">
        <v>46145</v>
      </c>
      <c r="D5475" t="inlineStr">
        <is>
          <t>VÄSTERBOTTENS LÄN</t>
        </is>
      </c>
      <c r="E5475" t="inlineStr">
        <is>
          <t>ROBERTSFORS</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48208-2025</t>
        </is>
      </c>
      <c r="B5476" s="1" t="n">
        <v>45933.48914351852</v>
      </c>
      <c r="C5476" s="1" t="n">
        <v>46145</v>
      </c>
      <c r="D5476" t="inlineStr">
        <is>
          <t>VÄSTERBOTTENS LÄN</t>
        </is>
      </c>
      <c r="E5476" t="inlineStr">
        <is>
          <t>LYCKSELE</t>
        </is>
      </c>
      <c r="F5476" t="inlineStr">
        <is>
          <t>Holmen skog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8634-2023</t>
        </is>
      </c>
      <c r="B5477" s="1" t="n">
        <v>44977.93446759259</v>
      </c>
      <c r="C5477" s="1" t="n">
        <v>46145</v>
      </c>
      <c r="D5477" t="inlineStr">
        <is>
          <t>VÄSTERBOTTENS LÄN</t>
        </is>
      </c>
      <c r="E5477" t="inlineStr">
        <is>
          <t>ÅSELE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48216-2025</t>
        </is>
      </c>
      <c r="B5478" s="1" t="n">
        <v>45933.49614583333</v>
      </c>
      <c r="C5478" s="1" t="n">
        <v>46145</v>
      </c>
      <c r="D5478" t="inlineStr">
        <is>
          <t>VÄSTERBOTTENS LÄN</t>
        </is>
      </c>
      <c r="E5478" t="inlineStr">
        <is>
          <t>SKELLEFTEÅ</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43345-2023</t>
        </is>
      </c>
      <c r="B5479" s="1" t="n">
        <v>45181</v>
      </c>
      <c r="C5479" s="1" t="n">
        <v>46145</v>
      </c>
      <c r="D5479" t="inlineStr">
        <is>
          <t>VÄSTERBOTTENS LÄN</t>
        </is>
      </c>
      <c r="E5479" t="inlineStr">
        <is>
          <t>STORUMAN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6638-2025</t>
        </is>
      </c>
      <c r="B5480" s="1" t="n">
        <v>45700</v>
      </c>
      <c r="C5480" s="1" t="n">
        <v>46145</v>
      </c>
      <c r="D5480" t="inlineStr">
        <is>
          <t>VÄSTERBOTTENS LÄN</t>
        </is>
      </c>
      <c r="E5480" t="inlineStr">
        <is>
          <t>VILHELMINA</t>
        </is>
      </c>
      <c r="G5480" t="n">
        <v>21.5</v>
      </c>
      <c r="H5480" t="n">
        <v>0</v>
      </c>
      <c r="I5480" t="n">
        <v>0</v>
      </c>
      <c r="J5480" t="n">
        <v>0</v>
      </c>
      <c r="K5480" t="n">
        <v>0</v>
      </c>
      <c r="L5480" t="n">
        <v>0</v>
      </c>
      <c r="M5480" t="n">
        <v>0</v>
      </c>
      <c r="N5480" t="n">
        <v>0</v>
      </c>
      <c r="O5480" t="n">
        <v>0</v>
      </c>
      <c r="P5480" t="n">
        <v>0</v>
      </c>
      <c r="Q5480" t="n">
        <v>0</v>
      </c>
      <c r="R5480" s="2" t="inlineStr"/>
    </row>
    <row r="5481" ht="15" customHeight="1">
      <c r="A5481" t="inlineStr">
        <is>
          <t>A 25735-2023</t>
        </is>
      </c>
      <c r="B5481" s="1" t="n">
        <v>45090</v>
      </c>
      <c r="C5481" s="1" t="n">
        <v>46145</v>
      </c>
      <c r="D5481" t="inlineStr">
        <is>
          <t>VÄSTERBOTTENS LÄN</t>
        </is>
      </c>
      <c r="E5481" t="inlineStr">
        <is>
          <t>NORSJÖ</t>
        </is>
      </c>
      <c r="F5481" t="inlineStr">
        <is>
          <t>Holmen skog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4858-2025</t>
        </is>
      </c>
      <c r="B5482" s="1" t="n">
        <v>45688.67435185185</v>
      </c>
      <c r="C5482" s="1" t="n">
        <v>46145</v>
      </c>
      <c r="D5482" t="inlineStr">
        <is>
          <t>VÄSTERBOTTENS LÄN</t>
        </is>
      </c>
      <c r="E5482" t="inlineStr">
        <is>
          <t>LYCKSELE</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61188-2023</t>
        </is>
      </c>
      <c r="B5483" s="1" t="n">
        <v>45264</v>
      </c>
      <c r="C5483" s="1" t="n">
        <v>46145</v>
      </c>
      <c r="D5483" t="inlineStr">
        <is>
          <t>VÄSTERBOTTENS LÄN</t>
        </is>
      </c>
      <c r="E5483" t="inlineStr">
        <is>
          <t>SKELLEFTEÅ</t>
        </is>
      </c>
      <c r="F5483" t="inlineStr">
        <is>
          <t>Sveaskog</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49012-2025</t>
        </is>
      </c>
      <c r="B5484" s="1" t="n">
        <v>45936</v>
      </c>
      <c r="C5484" s="1" t="n">
        <v>46145</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42214-2023</t>
        </is>
      </c>
      <c r="B5485" s="1" t="n">
        <v>45179</v>
      </c>
      <c r="C5485" s="1" t="n">
        <v>46145</v>
      </c>
      <c r="D5485" t="inlineStr">
        <is>
          <t>VÄSTERBOTTENS LÄN</t>
        </is>
      </c>
      <c r="E5485" t="inlineStr">
        <is>
          <t>MALÅ</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34849-2025</t>
        </is>
      </c>
      <c r="B5486" s="1" t="n">
        <v>45849</v>
      </c>
      <c r="C5486" s="1" t="n">
        <v>46145</v>
      </c>
      <c r="D5486" t="inlineStr">
        <is>
          <t>VÄSTERBOTTENS LÄN</t>
        </is>
      </c>
      <c r="E5486" t="inlineStr">
        <is>
          <t>LYCKSELE</t>
        </is>
      </c>
      <c r="G5486" t="n">
        <v>9.800000000000001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16907-2025</t>
        </is>
      </c>
      <c r="B5487" s="1" t="n">
        <v>45755.35048611111</v>
      </c>
      <c r="C5487" s="1" t="n">
        <v>46145</v>
      </c>
      <c r="D5487" t="inlineStr">
        <is>
          <t>VÄSTERBOTTENS LÄN</t>
        </is>
      </c>
      <c r="E5487" t="inlineStr">
        <is>
          <t>UMEÅ</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16945-2025</t>
        </is>
      </c>
      <c r="B5488" s="1" t="n">
        <v>45755.42978009259</v>
      </c>
      <c r="C5488" s="1" t="n">
        <v>46145</v>
      </c>
      <c r="D5488" t="inlineStr">
        <is>
          <t>VÄSTERBOTTENS LÄN</t>
        </is>
      </c>
      <c r="E5488" t="inlineStr">
        <is>
          <t>UMEÅ</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18979-2024</t>
        </is>
      </c>
      <c r="B5489" s="1" t="n">
        <v>45427</v>
      </c>
      <c r="C5489" s="1" t="n">
        <v>46145</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19421-2023</t>
        </is>
      </c>
      <c r="B5490" s="1" t="n">
        <v>45049.92737268518</v>
      </c>
      <c r="C5490" s="1" t="n">
        <v>46145</v>
      </c>
      <c r="D5490" t="inlineStr">
        <is>
          <t>VÄSTERBOTTENS LÄN</t>
        </is>
      </c>
      <c r="E5490" t="inlineStr">
        <is>
          <t>NORSJÖ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47444-2022</t>
        </is>
      </c>
      <c r="B5491" s="1" t="n">
        <v>44851</v>
      </c>
      <c r="C5491" s="1" t="n">
        <v>46145</v>
      </c>
      <c r="D5491" t="inlineStr">
        <is>
          <t>VÄSTERBOTTENS LÄN</t>
        </is>
      </c>
      <c r="E5491" t="inlineStr">
        <is>
          <t>VINDELN</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54375-2022</t>
        </is>
      </c>
      <c r="B5492" s="1" t="n">
        <v>44879</v>
      </c>
      <c r="C5492" s="1" t="n">
        <v>46145</v>
      </c>
      <c r="D5492" t="inlineStr">
        <is>
          <t>VÄSTERBOTTENS LÄN</t>
        </is>
      </c>
      <c r="E5492" t="inlineStr">
        <is>
          <t>SORSELE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48466-2025</t>
        </is>
      </c>
      <c r="B5493" s="1" t="n">
        <v>45936.34415509259</v>
      </c>
      <c r="C5493" s="1" t="n">
        <v>46145</v>
      </c>
      <c r="D5493" t="inlineStr">
        <is>
          <t>VÄSTERBOTTENS LÄN</t>
        </is>
      </c>
      <c r="E5493" t="inlineStr">
        <is>
          <t>ROBERTSFORS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26920-2024</t>
        </is>
      </c>
      <c r="B5494" s="1" t="n">
        <v>45470.9305787037</v>
      </c>
      <c r="C5494" s="1" t="n">
        <v>46145</v>
      </c>
      <c r="D5494" t="inlineStr">
        <is>
          <t>VÄSTERBOTTENS LÄN</t>
        </is>
      </c>
      <c r="E5494" t="inlineStr">
        <is>
          <t>SKELLEFTEÅ</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48140-2025</t>
        </is>
      </c>
      <c r="B5495" s="1" t="n">
        <v>45933.38341435185</v>
      </c>
      <c r="C5495" s="1" t="n">
        <v>46145</v>
      </c>
      <c r="D5495" t="inlineStr">
        <is>
          <t>VÄSTERBOTTENS LÄN</t>
        </is>
      </c>
      <c r="E5495" t="inlineStr">
        <is>
          <t>LYCKSELE</t>
        </is>
      </c>
      <c r="G5495" t="n">
        <v>13.6</v>
      </c>
      <c r="H5495" t="n">
        <v>0</v>
      </c>
      <c r="I5495" t="n">
        <v>0</v>
      </c>
      <c r="J5495" t="n">
        <v>0</v>
      </c>
      <c r="K5495" t="n">
        <v>0</v>
      </c>
      <c r="L5495" t="n">
        <v>0</v>
      </c>
      <c r="M5495" t="n">
        <v>0</v>
      </c>
      <c r="N5495" t="n">
        <v>0</v>
      </c>
      <c r="O5495" t="n">
        <v>0</v>
      </c>
      <c r="P5495" t="n">
        <v>0</v>
      </c>
      <c r="Q5495" t="n">
        <v>0</v>
      </c>
      <c r="R5495" s="2" t="inlineStr"/>
    </row>
    <row r="5496" ht="15" customHeight="1">
      <c r="A5496" t="inlineStr">
        <is>
          <t>A 210-2022</t>
        </is>
      </c>
      <c r="B5496" s="1" t="n">
        <v>44564.80189814815</v>
      </c>
      <c r="C5496" s="1" t="n">
        <v>46145</v>
      </c>
      <c r="D5496" t="inlineStr">
        <is>
          <t>VÄSTERBOTTENS LÄN</t>
        </is>
      </c>
      <c r="E5496" t="inlineStr">
        <is>
          <t>VILHELMINA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26351-2024</t>
        </is>
      </c>
      <c r="B5497" s="1" t="n">
        <v>45469.36478009259</v>
      </c>
      <c r="C5497" s="1" t="n">
        <v>46145</v>
      </c>
      <c r="D5497" t="inlineStr">
        <is>
          <t>VÄSTERBOTTENS LÄN</t>
        </is>
      </c>
      <c r="E5497" t="inlineStr">
        <is>
          <t>UMEÅ</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40898-2021</t>
        </is>
      </c>
      <c r="B5498" s="1" t="n">
        <v>44421.48540509259</v>
      </c>
      <c r="C5498" s="1" t="n">
        <v>46145</v>
      </c>
      <c r="D5498" t="inlineStr">
        <is>
          <t>VÄSTERBOTTENS LÄN</t>
        </is>
      </c>
      <c r="E5498" t="inlineStr">
        <is>
          <t>SKELLEFTEÅ</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48205-2025</t>
        </is>
      </c>
      <c r="B5499" s="1" t="n">
        <v>45933.48515046296</v>
      </c>
      <c r="C5499" s="1" t="n">
        <v>46145</v>
      </c>
      <c r="D5499" t="inlineStr">
        <is>
          <t>VÄSTERBOTTENS LÄN</t>
        </is>
      </c>
      <c r="E5499" t="inlineStr">
        <is>
          <t>LYCKSELE</t>
        </is>
      </c>
      <c r="F5499" t="inlineStr">
        <is>
          <t>Holmen skog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28203-2023</t>
        </is>
      </c>
      <c r="B5500" s="1" t="n">
        <v>45096</v>
      </c>
      <c r="C5500" s="1" t="n">
        <v>46145</v>
      </c>
      <c r="D5500" t="inlineStr">
        <is>
          <t>VÄSTERBOTTENS LÄN</t>
        </is>
      </c>
      <c r="E5500" t="inlineStr">
        <is>
          <t>SKELLEFTEÅ</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29827-2023</t>
        </is>
      </c>
      <c r="B5501" s="1" t="n">
        <v>45107</v>
      </c>
      <c r="C5501" s="1" t="n">
        <v>46145</v>
      </c>
      <c r="D5501" t="inlineStr">
        <is>
          <t>VÄSTERBOTTENS LÄN</t>
        </is>
      </c>
      <c r="E5501" t="inlineStr">
        <is>
          <t>UMEÅ</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48585-2025</t>
        </is>
      </c>
      <c r="B5502" s="1" t="n">
        <v>45936.45859953704</v>
      </c>
      <c r="C5502" s="1" t="n">
        <v>46145</v>
      </c>
      <c r="D5502" t="inlineStr">
        <is>
          <t>VÄSTERBOTTENS LÄN</t>
        </is>
      </c>
      <c r="E5502" t="inlineStr">
        <is>
          <t>LYCKSELE</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42764-2024</t>
        </is>
      </c>
      <c r="B5503" s="1" t="n">
        <v>45566.50524305556</v>
      </c>
      <c r="C5503" s="1" t="n">
        <v>46145</v>
      </c>
      <c r="D5503" t="inlineStr">
        <is>
          <t>VÄSTERBOTTENS LÄN</t>
        </is>
      </c>
      <c r="E5503" t="inlineStr">
        <is>
          <t>SKELLEFTEÅ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49006-2025</t>
        </is>
      </c>
      <c r="B5504" s="1" t="n">
        <v>45936</v>
      </c>
      <c r="C5504" s="1" t="n">
        <v>46145</v>
      </c>
      <c r="D5504" t="inlineStr">
        <is>
          <t>VÄSTERBOTTENS LÄN</t>
        </is>
      </c>
      <c r="E5504" t="inlineStr">
        <is>
          <t>NORSJÖ</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19939-2025</t>
        </is>
      </c>
      <c r="B5505" s="1" t="n">
        <v>45771.64439814815</v>
      </c>
      <c r="C5505" s="1" t="n">
        <v>46145</v>
      </c>
      <c r="D5505" t="inlineStr">
        <is>
          <t>VÄSTERBOTTENS LÄN</t>
        </is>
      </c>
      <c r="E5505" t="inlineStr">
        <is>
          <t>VINDELN</t>
        </is>
      </c>
      <c r="F5505" t="inlineStr">
        <is>
          <t>Holmen skog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48092-2025</t>
        </is>
      </c>
      <c r="B5506" s="1" t="n">
        <v>45933.2931712963</v>
      </c>
      <c r="C5506" s="1" t="n">
        <v>46145</v>
      </c>
      <c r="D5506" t="inlineStr">
        <is>
          <t>VÄSTERBOTTENS LÄN</t>
        </is>
      </c>
      <c r="E5506" t="inlineStr">
        <is>
          <t>SKELLEFTEÅ</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36639-2024</t>
        </is>
      </c>
      <c r="B5507" s="1" t="n">
        <v>45537.59991898148</v>
      </c>
      <c r="C5507" s="1" t="n">
        <v>46145</v>
      </c>
      <c r="D5507" t="inlineStr">
        <is>
          <t>VÄSTERBOTTENS LÄN</t>
        </is>
      </c>
      <c r="E5507" t="inlineStr">
        <is>
          <t>ROBERTSFORS</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4625-2024</t>
        </is>
      </c>
      <c r="B5508" s="1" t="n">
        <v>45328</v>
      </c>
      <c r="C5508" s="1" t="n">
        <v>46145</v>
      </c>
      <c r="D5508" t="inlineStr">
        <is>
          <t>VÄSTERBOTTENS LÄN</t>
        </is>
      </c>
      <c r="E5508" t="inlineStr">
        <is>
          <t>LYCKSELE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36408-2023</t>
        </is>
      </c>
      <c r="B5509" s="1" t="n">
        <v>45152</v>
      </c>
      <c r="C5509" s="1" t="n">
        <v>46145</v>
      </c>
      <c r="D5509" t="inlineStr">
        <is>
          <t>VÄSTERBOTTENS LÄN</t>
        </is>
      </c>
      <c r="E5509" t="inlineStr">
        <is>
          <t>VILHELMINA</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51297-2021</t>
        </is>
      </c>
      <c r="B5510" s="1" t="n">
        <v>44461.59241898148</v>
      </c>
      <c r="C5510" s="1" t="n">
        <v>46145</v>
      </c>
      <c r="D5510" t="inlineStr">
        <is>
          <t>VÄSTERBOTTENS LÄN</t>
        </is>
      </c>
      <c r="E5510" t="inlineStr">
        <is>
          <t>NORSJÖ</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155-2025</t>
        </is>
      </c>
      <c r="B5511" s="1" t="n">
        <v>45659.61873842592</v>
      </c>
      <c r="C5511" s="1" t="n">
        <v>46145</v>
      </c>
      <c r="D5511" t="inlineStr">
        <is>
          <t>VÄSTERBOTTENS LÄN</t>
        </is>
      </c>
      <c r="E5511" t="inlineStr">
        <is>
          <t>ROBERTSFORS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48226-2025</t>
        </is>
      </c>
      <c r="B5512" s="1" t="n">
        <v>45933.51006944444</v>
      </c>
      <c r="C5512" s="1" t="n">
        <v>46145</v>
      </c>
      <c r="D5512" t="inlineStr">
        <is>
          <t>VÄSTERBOTTENS LÄN</t>
        </is>
      </c>
      <c r="E5512" t="inlineStr">
        <is>
          <t>SKELLEFTEÅ</t>
        </is>
      </c>
      <c r="F5512" t="inlineStr">
        <is>
          <t>Holmen skog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55512-2021</t>
        </is>
      </c>
      <c r="B5513" s="1" t="n">
        <v>44475.63670138889</v>
      </c>
      <c r="C5513" s="1" t="n">
        <v>46145</v>
      </c>
      <c r="D5513" t="inlineStr">
        <is>
          <t>VÄSTERBOTTENS LÄN</t>
        </is>
      </c>
      <c r="E5513" t="inlineStr">
        <is>
          <t>BJURHOLM</t>
        </is>
      </c>
      <c r="F5513" t="inlineStr">
        <is>
          <t>Holmen skog AB</t>
        </is>
      </c>
      <c r="G5513" t="n">
        <v>28.3</v>
      </c>
      <c r="H5513" t="n">
        <v>0</v>
      </c>
      <c r="I5513" t="n">
        <v>0</v>
      </c>
      <c r="J5513" t="n">
        <v>0</v>
      </c>
      <c r="K5513" t="n">
        <v>0</v>
      </c>
      <c r="L5513" t="n">
        <v>0</v>
      </c>
      <c r="M5513" t="n">
        <v>0</v>
      </c>
      <c r="N5513" t="n">
        <v>0</v>
      </c>
      <c r="O5513" t="n">
        <v>0</v>
      </c>
      <c r="P5513" t="n">
        <v>0</v>
      </c>
      <c r="Q5513" t="n">
        <v>0</v>
      </c>
      <c r="R5513" s="2" t="inlineStr"/>
    </row>
    <row r="5514" ht="15" customHeight="1">
      <c r="A5514" t="inlineStr">
        <is>
          <t>A 49227-2025</t>
        </is>
      </c>
      <c r="B5514" s="1" t="n">
        <v>45938.46792824074</v>
      </c>
      <c r="C5514" s="1" t="n">
        <v>46145</v>
      </c>
      <c r="D5514" t="inlineStr">
        <is>
          <t>VÄSTERBOTTENS LÄN</t>
        </is>
      </c>
      <c r="E5514" t="inlineStr">
        <is>
          <t>VINDELN</t>
        </is>
      </c>
      <c r="F5514" t="inlineStr">
        <is>
          <t>Sveaskog</t>
        </is>
      </c>
      <c r="G5514" t="n">
        <v>25.3</v>
      </c>
      <c r="H5514" t="n">
        <v>0</v>
      </c>
      <c r="I5514" t="n">
        <v>0</v>
      </c>
      <c r="J5514" t="n">
        <v>0</v>
      </c>
      <c r="K5514" t="n">
        <v>0</v>
      </c>
      <c r="L5514" t="n">
        <v>0</v>
      </c>
      <c r="M5514" t="n">
        <v>0</v>
      </c>
      <c r="N5514" t="n">
        <v>0</v>
      </c>
      <c r="O5514" t="n">
        <v>0</v>
      </c>
      <c r="P5514" t="n">
        <v>0</v>
      </c>
      <c r="Q5514" t="n">
        <v>0</v>
      </c>
      <c r="R5514" s="2" t="inlineStr"/>
    </row>
    <row r="5515" ht="15" customHeight="1">
      <c r="A5515" t="inlineStr">
        <is>
          <t>A 1627-2025</t>
        </is>
      </c>
      <c r="B5515" s="1" t="n">
        <v>45670.6259375</v>
      </c>
      <c r="C5515" s="1" t="n">
        <v>46145</v>
      </c>
      <c r="D5515" t="inlineStr">
        <is>
          <t>VÄSTERBOTTENS LÄN</t>
        </is>
      </c>
      <c r="E5515" t="inlineStr">
        <is>
          <t>SKELLEFTEÅ</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57108-2023</t>
        </is>
      </c>
      <c r="B5516" s="1" t="n">
        <v>45239</v>
      </c>
      <c r="C5516" s="1" t="n">
        <v>46145</v>
      </c>
      <c r="D5516" t="inlineStr">
        <is>
          <t>VÄSTERBOTTENS LÄN</t>
        </is>
      </c>
      <c r="E5516" t="inlineStr">
        <is>
          <t>VILHELMINA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48878-2025</t>
        </is>
      </c>
      <c r="B5517" s="1" t="n">
        <v>45937.45689814815</v>
      </c>
      <c r="C5517" s="1" t="n">
        <v>46145</v>
      </c>
      <c r="D5517" t="inlineStr">
        <is>
          <t>VÄSTERBOTTENS LÄN</t>
        </is>
      </c>
      <c r="E5517" t="inlineStr">
        <is>
          <t>ÅSELE</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39067-2024</t>
        </is>
      </c>
      <c r="B5518" s="1" t="n">
        <v>45548.53137731482</v>
      </c>
      <c r="C5518" s="1" t="n">
        <v>46145</v>
      </c>
      <c r="D5518" t="inlineStr">
        <is>
          <t>VÄSTERBOTTENS LÄN</t>
        </is>
      </c>
      <c r="E5518" t="inlineStr">
        <is>
          <t>NORSJÖ</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48820-2025</t>
        </is>
      </c>
      <c r="B5519" s="1" t="n">
        <v>45937.37208333334</v>
      </c>
      <c r="C5519" s="1" t="n">
        <v>46145</v>
      </c>
      <c r="D5519" t="inlineStr">
        <is>
          <t>VÄSTERBOTTENS LÄN</t>
        </is>
      </c>
      <c r="E5519" t="inlineStr">
        <is>
          <t>ÅSELE</t>
        </is>
      </c>
      <c r="F5519" t="inlineStr">
        <is>
          <t>Holmen skog AB</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48836-2025</t>
        </is>
      </c>
      <c r="B5520" s="1" t="n">
        <v>45937</v>
      </c>
      <c r="C5520" s="1" t="n">
        <v>46145</v>
      </c>
      <c r="D5520" t="inlineStr">
        <is>
          <t>VÄSTERBOTTENS LÄN</t>
        </is>
      </c>
      <c r="E5520" t="inlineStr">
        <is>
          <t>NORSJÖ</t>
        </is>
      </c>
      <c r="F5520" t="inlineStr">
        <is>
          <t>Holmen skog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48859-2025</t>
        </is>
      </c>
      <c r="B5521" s="1" t="n">
        <v>45937</v>
      </c>
      <c r="C5521" s="1" t="n">
        <v>46145</v>
      </c>
      <c r="D5521" t="inlineStr">
        <is>
          <t>VÄSTERBOTTENS LÄN</t>
        </is>
      </c>
      <c r="E5521" t="inlineStr">
        <is>
          <t>VÄNNÄS</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53311-2023</t>
        </is>
      </c>
      <c r="B5522" s="1" t="n">
        <v>45229.59980324074</v>
      </c>
      <c r="C5522" s="1" t="n">
        <v>46145</v>
      </c>
      <c r="D5522" t="inlineStr">
        <is>
          <t>VÄSTERBOTTENS LÄN</t>
        </is>
      </c>
      <c r="E5522" t="inlineStr">
        <is>
          <t>SKELLEFTEÅ</t>
        </is>
      </c>
      <c r="F5522" t="inlineStr">
        <is>
          <t>Holmen skog AB</t>
        </is>
      </c>
      <c r="G5522" t="n">
        <v>9.800000000000001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11945-2023</t>
        </is>
      </c>
      <c r="B5523" s="1" t="n">
        <v>44995</v>
      </c>
      <c r="C5523" s="1" t="n">
        <v>46145</v>
      </c>
      <c r="D5523" t="inlineStr">
        <is>
          <t>VÄSTERBOTTENS LÄN</t>
        </is>
      </c>
      <c r="E5523" t="inlineStr">
        <is>
          <t>SKELLEFTEÅ</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49361-2025</t>
        </is>
      </c>
      <c r="B5524" s="1" t="n">
        <v>45938.61686342592</v>
      </c>
      <c r="C5524" s="1" t="n">
        <v>46145</v>
      </c>
      <c r="D5524" t="inlineStr">
        <is>
          <t>VÄSTERBOTTENS LÄN</t>
        </is>
      </c>
      <c r="E5524" t="inlineStr">
        <is>
          <t>NORDMALING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49371-2025</t>
        </is>
      </c>
      <c r="B5525" s="1" t="n">
        <v>45938.63061342593</v>
      </c>
      <c r="C5525" s="1" t="n">
        <v>46145</v>
      </c>
      <c r="D5525" t="inlineStr">
        <is>
          <t>VÄSTERBOTTENS LÄN</t>
        </is>
      </c>
      <c r="E5525" t="inlineStr">
        <is>
          <t>VÄNNÄS</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48904-2025</t>
        </is>
      </c>
      <c r="B5526" s="1" t="n">
        <v>45937.4828125</v>
      </c>
      <c r="C5526" s="1" t="n">
        <v>46145</v>
      </c>
      <c r="D5526" t="inlineStr">
        <is>
          <t>VÄSTERBOTTENS LÄN</t>
        </is>
      </c>
      <c r="E5526" t="inlineStr">
        <is>
          <t>VILHELMINA</t>
        </is>
      </c>
      <c r="F5526" t="inlineStr">
        <is>
          <t>Sveaskog</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38555-2024</t>
        </is>
      </c>
      <c r="B5527" s="1" t="n">
        <v>45546</v>
      </c>
      <c r="C5527" s="1" t="n">
        <v>46145</v>
      </c>
      <c r="D5527" t="inlineStr">
        <is>
          <t>VÄSTERBOTTENS LÄN</t>
        </is>
      </c>
      <c r="E5527" t="inlineStr">
        <is>
          <t>VILHELMINA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49196-2025</t>
        </is>
      </c>
      <c r="B5528" s="1" t="n">
        <v>45938.40989583333</v>
      </c>
      <c r="C5528" s="1" t="n">
        <v>46145</v>
      </c>
      <c r="D5528" t="inlineStr">
        <is>
          <t>VÄSTERBOTTENS LÄN</t>
        </is>
      </c>
      <c r="E5528" t="inlineStr">
        <is>
          <t>LYCKSELE</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51934-2021</t>
        </is>
      </c>
      <c r="B5529" s="1" t="n">
        <v>44462.95502314815</v>
      </c>
      <c r="C5529" s="1" t="n">
        <v>46145</v>
      </c>
      <c r="D5529" t="inlineStr">
        <is>
          <t>VÄSTERBOTTENS LÄN</t>
        </is>
      </c>
      <c r="E5529" t="inlineStr">
        <is>
          <t>SORSELE</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49210-2025</t>
        </is>
      </c>
      <c r="B5530" s="1" t="n">
        <v>45938.43741898148</v>
      </c>
      <c r="C5530" s="1" t="n">
        <v>46145</v>
      </c>
      <c r="D5530" t="inlineStr">
        <is>
          <t>VÄSTERBOTTENS LÄN</t>
        </is>
      </c>
      <c r="E5530" t="inlineStr">
        <is>
          <t>ÅSELE</t>
        </is>
      </c>
      <c r="F5530" t="inlineStr">
        <is>
          <t>Holmen skog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35291-2023</t>
        </is>
      </c>
      <c r="B5531" s="1" t="n">
        <v>45145.95565972223</v>
      </c>
      <c r="C5531" s="1" t="n">
        <v>46145</v>
      </c>
      <c r="D5531" t="inlineStr">
        <is>
          <t>VÄSTERBOTTENS LÄN</t>
        </is>
      </c>
      <c r="E5531" t="inlineStr">
        <is>
          <t>NORDMALING</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48833-2025</t>
        </is>
      </c>
      <c r="B5532" s="1" t="n">
        <v>45937</v>
      </c>
      <c r="C5532" s="1" t="n">
        <v>46145</v>
      </c>
      <c r="D5532" t="inlineStr">
        <is>
          <t>VÄSTERBOTTENS LÄN</t>
        </is>
      </c>
      <c r="E5532" t="inlineStr">
        <is>
          <t>STORUMAN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48900-2025</t>
        </is>
      </c>
      <c r="B5533" s="1" t="n">
        <v>45937.48125</v>
      </c>
      <c r="C5533" s="1" t="n">
        <v>46145</v>
      </c>
      <c r="D5533" t="inlineStr">
        <is>
          <t>VÄSTERBOTTENS LÄN</t>
        </is>
      </c>
      <c r="E5533" t="inlineStr">
        <is>
          <t>UMEÅ</t>
        </is>
      </c>
      <c r="F5533" t="inlineStr">
        <is>
          <t>Holmen skog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6942-2025</t>
        </is>
      </c>
      <c r="B5534" s="1" t="n">
        <v>45701</v>
      </c>
      <c r="C5534" s="1" t="n">
        <v>46145</v>
      </c>
      <c r="D5534" t="inlineStr">
        <is>
          <t>VÄSTERBOTTENS LÄN</t>
        </is>
      </c>
      <c r="E5534" t="inlineStr">
        <is>
          <t>LYCKSELE</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49185-2025</t>
        </is>
      </c>
      <c r="B5535" s="1" t="n">
        <v>45938.40478009259</v>
      </c>
      <c r="C5535" s="1" t="n">
        <v>46145</v>
      </c>
      <c r="D5535" t="inlineStr">
        <is>
          <t>VÄSTERBOTTENS LÄN</t>
        </is>
      </c>
      <c r="E5535" t="inlineStr">
        <is>
          <t>UMEÅ</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49187-2025</t>
        </is>
      </c>
      <c r="B5536" s="1" t="n">
        <v>45938.40701388889</v>
      </c>
      <c r="C5536" s="1" t="n">
        <v>46145</v>
      </c>
      <c r="D5536" t="inlineStr">
        <is>
          <t>VÄSTERBOTTENS LÄN</t>
        </is>
      </c>
      <c r="E5536" t="inlineStr">
        <is>
          <t>LYCKSELE</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7397-2025</t>
        </is>
      </c>
      <c r="B5537" s="1" t="n">
        <v>45705.3462037037</v>
      </c>
      <c r="C5537" s="1" t="n">
        <v>46145</v>
      </c>
      <c r="D5537" t="inlineStr">
        <is>
          <t>VÄSTERBOTTENS LÄN</t>
        </is>
      </c>
      <c r="E5537" t="inlineStr">
        <is>
          <t>DOROTEA</t>
        </is>
      </c>
      <c r="G5537" t="n">
        <v>13.3</v>
      </c>
      <c r="H5537" t="n">
        <v>0</v>
      </c>
      <c r="I5537" t="n">
        <v>0</v>
      </c>
      <c r="J5537" t="n">
        <v>0</v>
      </c>
      <c r="K5537" t="n">
        <v>0</v>
      </c>
      <c r="L5537" t="n">
        <v>0</v>
      </c>
      <c r="M5537" t="n">
        <v>0</v>
      </c>
      <c r="N5537" t="n">
        <v>0</v>
      </c>
      <c r="O5537" t="n">
        <v>0</v>
      </c>
      <c r="P5537" t="n">
        <v>0</v>
      </c>
      <c r="Q5537" t="n">
        <v>0</v>
      </c>
      <c r="R5537" s="2" t="inlineStr"/>
    </row>
    <row r="5538" ht="15" customHeight="1">
      <c r="A5538" t="inlineStr">
        <is>
          <t>A 48994-2025</t>
        </is>
      </c>
      <c r="B5538" s="1" t="n">
        <v>45937.58686342592</v>
      </c>
      <c r="C5538" s="1" t="n">
        <v>46145</v>
      </c>
      <c r="D5538" t="inlineStr">
        <is>
          <t>VÄSTERBOTTENS LÄN</t>
        </is>
      </c>
      <c r="E5538" t="inlineStr">
        <is>
          <t>MALÅ</t>
        </is>
      </c>
      <c r="F5538" t="inlineStr">
        <is>
          <t>Sveaskog</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49030-2025</t>
        </is>
      </c>
      <c r="B5539" s="1" t="n">
        <v>45937.62387731481</v>
      </c>
      <c r="C5539" s="1" t="n">
        <v>46145</v>
      </c>
      <c r="D5539" t="inlineStr">
        <is>
          <t>VÄSTERBOTTENS LÄN</t>
        </is>
      </c>
      <c r="E5539" t="inlineStr">
        <is>
          <t>UMEÅ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49038-2025</t>
        </is>
      </c>
      <c r="B5540" s="1" t="n">
        <v>45937.63146990741</v>
      </c>
      <c r="C5540" s="1" t="n">
        <v>46145</v>
      </c>
      <c r="D5540" t="inlineStr">
        <is>
          <t>VÄSTERBOTTENS LÄN</t>
        </is>
      </c>
      <c r="E5540" t="inlineStr">
        <is>
          <t>UMEÅ</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49103-2025</t>
        </is>
      </c>
      <c r="B5541" s="1" t="n">
        <v>45937</v>
      </c>
      <c r="C5541" s="1" t="n">
        <v>46145</v>
      </c>
      <c r="D5541" t="inlineStr">
        <is>
          <t>VÄSTERBOTTENS LÄN</t>
        </is>
      </c>
      <c r="E5541" t="inlineStr">
        <is>
          <t>VILHELMINA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49142-2025</t>
        </is>
      </c>
      <c r="B5542" s="1" t="n">
        <v>45938.32196759259</v>
      </c>
      <c r="C5542" s="1" t="n">
        <v>46145</v>
      </c>
      <c r="D5542" t="inlineStr">
        <is>
          <t>VÄSTERBOTTENS LÄN</t>
        </is>
      </c>
      <c r="E5542" t="inlineStr">
        <is>
          <t>UMEÅ</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42317-2023</t>
        </is>
      </c>
      <c r="B5543" s="1" t="n">
        <v>45175</v>
      </c>
      <c r="C5543" s="1" t="n">
        <v>46145</v>
      </c>
      <c r="D5543" t="inlineStr">
        <is>
          <t>VÄSTERBOTTENS LÄN</t>
        </is>
      </c>
      <c r="E5543" t="inlineStr">
        <is>
          <t>VÄNNÄS</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42327-2023</t>
        </is>
      </c>
      <c r="B5544" s="1" t="n">
        <v>45175</v>
      </c>
      <c r="C5544" s="1" t="n">
        <v>46145</v>
      </c>
      <c r="D5544" t="inlineStr">
        <is>
          <t>VÄSTERBOTTENS LÄN</t>
        </is>
      </c>
      <c r="E5544" t="inlineStr">
        <is>
          <t>VÄNNÄS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49148-2025</t>
        </is>
      </c>
      <c r="B5545" s="1" t="n">
        <v>45938.33891203703</v>
      </c>
      <c r="C5545" s="1" t="n">
        <v>46145</v>
      </c>
      <c r="D5545" t="inlineStr">
        <is>
          <t>VÄSTERBOTTENS LÄN</t>
        </is>
      </c>
      <c r="E5545" t="inlineStr">
        <is>
          <t>ROBERTSFORS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49174-2025</t>
        </is>
      </c>
      <c r="B5546" s="1" t="n">
        <v>45938.37679398148</v>
      </c>
      <c r="C5546" s="1" t="n">
        <v>46145</v>
      </c>
      <c r="D5546" t="inlineStr">
        <is>
          <t>VÄSTERBOTTENS LÄN</t>
        </is>
      </c>
      <c r="E5546" t="inlineStr">
        <is>
          <t>ÅSELE</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49182-2025</t>
        </is>
      </c>
      <c r="B5547" s="1" t="n">
        <v>45938.38820601852</v>
      </c>
      <c r="C5547" s="1" t="n">
        <v>46145</v>
      </c>
      <c r="D5547" t="inlineStr">
        <is>
          <t>VÄSTERBOTTENS LÄN</t>
        </is>
      </c>
      <c r="E5547" t="inlineStr">
        <is>
          <t>UMEÅ</t>
        </is>
      </c>
      <c r="F5547" t="inlineStr">
        <is>
          <t>Holmen skog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37468-2024</t>
        </is>
      </c>
      <c r="B5548" s="1" t="n">
        <v>45540</v>
      </c>
      <c r="C5548" s="1" t="n">
        <v>46145</v>
      </c>
      <c r="D5548" t="inlineStr">
        <is>
          <t>VÄSTERBOTTENS LÄN</t>
        </is>
      </c>
      <c r="E5548" t="inlineStr">
        <is>
          <t>MALÅ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48827-2025</t>
        </is>
      </c>
      <c r="B5549" s="1" t="n">
        <v>45937.3825462963</v>
      </c>
      <c r="C5549" s="1" t="n">
        <v>46145</v>
      </c>
      <c r="D5549" t="inlineStr">
        <is>
          <t>VÄSTERBOTTENS LÄN</t>
        </is>
      </c>
      <c r="E5549" t="inlineStr">
        <is>
          <t>ROBERTSFORS</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48886-2025</t>
        </is>
      </c>
      <c r="B5550" s="1" t="n">
        <v>45937.46611111111</v>
      </c>
      <c r="C5550" s="1" t="n">
        <v>46145</v>
      </c>
      <c r="D5550" t="inlineStr">
        <is>
          <t>VÄSTERBOTTENS LÄN</t>
        </is>
      </c>
      <c r="E5550" t="inlineStr">
        <is>
          <t>VÄNNÄS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49207-2025</t>
        </is>
      </c>
      <c r="B5551" s="1" t="n">
        <v>45938.42548611111</v>
      </c>
      <c r="C5551" s="1" t="n">
        <v>46145</v>
      </c>
      <c r="D5551" t="inlineStr">
        <is>
          <t>VÄSTERBOTTENS LÄN</t>
        </is>
      </c>
      <c r="E5551" t="inlineStr">
        <is>
          <t>MALÅ</t>
        </is>
      </c>
      <c r="F5551" t="inlineStr">
        <is>
          <t>Sveaskog</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49208-2025</t>
        </is>
      </c>
      <c r="B5552" s="1" t="n">
        <v>45938.43431712963</v>
      </c>
      <c r="C5552" s="1" t="n">
        <v>46145</v>
      </c>
      <c r="D5552" t="inlineStr">
        <is>
          <t>VÄSTERBOTTENS LÄN</t>
        </is>
      </c>
      <c r="E5552" t="inlineStr">
        <is>
          <t>ÅSELE</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44132-2023</t>
        </is>
      </c>
      <c r="B5553" s="1" t="n">
        <v>45182</v>
      </c>
      <c r="C5553" s="1" t="n">
        <v>46145</v>
      </c>
      <c r="D5553" t="inlineStr">
        <is>
          <t>VÄSTERBOTTENS LÄN</t>
        </is>
      </c>
      <c r="E5553" t="inlineStr">
        <is>
          <t>SORSELE</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49236-2025</t>
        </is>
      </c>
      <c r="B5554" s="1" t="n">
        <v>45938.48</v>
      </c>
      <c r="C5554" s="1" t="n">
        <v>46145</v>
      </c>
      <c r="D5554" t="inlineStr">
        <is>
          <t>VÄSTERBOTTENS LÄN</t>
        </is>
      </c>
      <c r="E5554" t="inlineStr">
        <is>
          <t>BJURHOLM</t>
        </is>
      </c>
      <c r="F5554" t="inlineStr">
        <is>
          <t>Sveaskog</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49408-2025</t>
        </is>
      </c>
      <c r="B5555" s="1" t="n">
        <v>45938.678125</v>
      </c>
      <c r="C5555" s="1" t="n">
        <v>46145</v>
      </c>
      <c r="D5555" t="inlineStr">
        <is>
          <t>VÄSTERBOTTENS LÄN</t>
        </is>
      </c>
      <c r="E5555" t="inlineStr">
        <is>
          <t>DOROTEA</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49416-2025</t>
        </is>
      </c>
      <c r="B5556" s="1" t="n">
        <v>45938.69032407407</v>
      </c>
      <c r="C5556" s="1" t="n">
        <v>46145</v>
      </c>
      <c r="D5556" t="inlineStr">
        <is>
          <t>VÄSTERBOTTENS LÄN</t>
        </is>
      </c>
      <c r="E5556" t="inlineStr">
        <is>
          <t>STORUMAN</t>
        </is>
      </c>
      <c r="F5556" t="inlineStr">
        <is>
          <t>Holmen skog AB</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37796-2023</t>
        </is>
      </c>
      <c r="B5557" s="1" t="n">
        <v>45159.92447916666</v>
      </c>
      <c r="C5557" s="1" t="n">
        <v>46145</v>
      </c>
      <c r="D5557" t="inlineStr">
        <is>
          <t>VÄSTERBOTTENS LÄN</t>
        </is>
      </c>
      <c r="E5557" t="inlineStr">
        <is>
          <t>SKELLEFTEÅ</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19385-2025</t>
        </is>
      </c>
      <c r="B5558" s="1" t="n">
        <v>45769.65708333333</v>
      </c>
      <c r="C5558" s="1" t="n">
        <v>46145</v>
      </c>
      <c r="D5558" t="inlineStr">
        <is>
          <t>VÄSTERBOTTENS LÄN</t>
        </is>
      </c>
      <c r="E5558" t="inlineStr">
        <is>
          <t>ÅSELE</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39603-2021</t>
        </is>
      </c>
      <c r="B5559" s="1" t="n">
        <v>44417</v>
      </c>
      <c r="C5559" s="1" t="n">
        <v>46145</v>
      </c>
      <c r="D5559" t="inlineStr">
        <is>
          <t>VÄSTERBOTTENS LÄN</t>
        </is>
      </c>
      <c r="E5559" t="inlineStr">
        <is>
          <t>DOROTEA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49366-2025</t>
        </is>
      </c>
      <c r="B5560" s="1" t="n">
        <v>45938.62356481481</v>
      </c>
      <c r="C5560" s="1" t="n">
        <v>46145</v>
      </c>
      <c r="D5560" t="inlineStr">
        <is>
          <t>VÄSTERBOTTENS LÄN</t>
        </is>
      </c>
      <c r="E5560" t="inlineStr">
        <is>
          <t>LYCKSELE</t>
        </is>
      </c>
      <c r="F5560" t="inlineStr">
        <is>
          <t>Holmen skog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49028-2025</t>
        </is>
      </c>
      <c r="B5561" s="1" t="n">
        <v>45937.62199074074</v>
      </c>
      <c r="C5561" s="1" t="n">
        <v>46145</v>
      </c>
      <c r="D5561" t="inlineStr">
        <is>
          <t>VÄSTERBOTTENS LÄN</t>
        </is>
      </c>
      <c r="E5561" t="inlineStr">
        <is>
          <t>ÅSELE</t>
        </is>
      </c>
      <c r="F5561" t="inlineStr">
        <is>
          <t>Holmen skog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13202-2022</t>
        </is>
      </c>
      <c r="B5562" s="1" t="n">
        <v>44644.54197916666</v>
      </c>
      <c r="C5562" s="1" t="n">
        <v>46145</v>
      </c>
      <c r="D5562" t="inlineStr">
        <is>
          <t>VÄSTERBOTTENS LÄN</t>
        </is>
      </c>
      <c r="E5562" t="inlineStr">
        <is>
          <t>VINDELN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24532-2023</t>
        </is>
      </c>
      <c r="B5563" s="1" t="n">
        <v>45082.75269675926</v>
      </c>
      <c r="C5563" s="1" t="n">
        <v>46145</v>
      </c>
      <c r="D5563" t="inlineStr">
        <is>
          <t>VÄSTERBOTTENS LÄN</t>
        </is>
      </c>
      <c r="E5563" t="inlineStr">
        <is>
          <t>UMEÅ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24958-2025</t>
        </is>
      </c>
      <c r="B5564" s="1" t="n">
        <v>45799</v>
      </c>
      <c r="C5564" s="1" t="n">
        <v>46145</v>
      </c>
      <c r="D5564" t="inlineStr">
        <is>
          <t>VÄSTERBOTTENS LÄN</t>
        </is>
      </c>
      <c r="E5564" t="inlineStr">
        <is>
          <t>ÅSELE</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49264-2025</t>
        </is>
      </c>
      <c r="B5565" s="1" t="n">
        <v>45938.49991898148</v>
      </c>
      <c r="C5565" s="1" t="n">
        <v>46145</v>
      </c>
      <c r="D5565" t="inlineStr">
        <is>
          <t>VÄSTERBOTTENS LÄN</t>
        </is>
      </c>
      <c r="E5565" t="inlineStr">
        <is>
          <t>UMEÅ</t>
        </is>
      </c>
      <c r="F5565" t="inlineStr">
        <is>
          <t>Sveaskog</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60690-2022</t>
        </is>
      </c>
      <c r="B5566" s="1" t="n">
        <v>44911</v>
      </c>
      <c r="C5566" s="1" t="n">
        <v>46145</v>
      </c>
      <c r="D5566" t="inlineStr">
        <is>
          <t>VÄSTERBOTTENS LÄN</t>
        </is>
      </c>
      <c r="E5566" t="inlineStr">
        <is>
          <t>BJURHOLM</t>
        </is>
      </c>
      <c r="F5566" t="inlineStr">
        <is>
          <t>SCA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51526-2023</t>
        </is>
      </c>
      <c r="B5567" s="1" t="n">
        <v>45222</v>
      </c>
      <c r="C5567" s="1" t="n">
        <v>46145</v>
      </c>
      <c r="D5567" t="inlineStr">
        <is>
          <t>VÄSTERBOTTENS LÄN</t>
        </is>
      </c>
      <c r="E5567" t="inlineStr">
        <is>
          <t>SKELLEFTEÅ</t>
        </is>
      </c>
      <c r="F5567" t="inlineStr">
        <is>
          <t>Holmen skog AB</t>
        </is>
      </c>
      <c r="G5567" t="n">
        <v>14.1</v>
      </c>
      <c r="H5567" t="n">
        <v>0</v>
      </c>
      <c r="I5567" t="n">
        <v>0</v>
      </c>
      <c r="J5567" t="n">
        <v>0</v>
      </c>
      <c r="K5567" t="n">
        <v>0</v>
      </c>
      <c r="L5567" t="n">
        <v>0</v>
      </c>
      <c r="M5567" t="n">
        <v>0</v>
      </c>
      <c r="N5567" t="n">
        <v>0</v>
      </c>
      <c r="O5567" t="n">
        <v>0</v>
      </c>
      <c r="P5567" t="n">
        <v>0</v>
      </c>
      <c r="Q5567" t="n">
        <v>0</v>
      </c>
      <c r="R5567" s="2" t="inlineStr"/>
    </row>
    <row r="5568" ht="15" customHeight="1">
      <c r="A5568" t="inlineStr">
        <is>
          <t>A 49279-2025</t>
        </is>
      </c>
      <c r="B5568" s="1" t="n">
        <v>45938.5106712963</v>
      </c>
      <c r="C5568" s="1" t="n">
        <v>46145</v>
      </c>
      <c r="D5568" t="inlineStr">
        <is>
          <t>VÄSTERBOTTENS LÄN</t>
        </is>
      </c>
      <c r="E5568" t="inlineStr">
        <is>
          <t>UMEÅ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49312-2025</t>
        </is>
      </c>
      <c r="B5569" s="1" t="n">
        <v>45938.56427083333</v>
      </c>
      <c r="C5569" s="1" t="n">
        <v>46145</v>
      </c>
      <c r="D5569" t="inlineStr">
        <is>
          <t>VÄSTERBOTTENS LÄN</t>
        </is>
      </c>
      <c r="E5569" t="inlineStr">
        <is>
          <t>UMEÅ</t>
        </is>
      </c>
      <c r="F5569" t="inlineStr">
        <is>
          <t>Sveaskog</t>
        </is>
      </c>
      <c r="G5569" t="n">
        <v>30.6</v>
      </c>
      <c r="H5569" t="n">
        <v>0</v>
      </c>
      <c r="I5569" t="n">
        <v>0</v>
      </c>
      <c r="J5569" t="n">
        <v>0</v>
      </c>
      <c r="K5569" t="n">
        <v>0</v>
      </c>
      <c r="L5569" t="n">
        <v>0</v>
      </c>
      <c r="M5569" t="n">
        <v>0</v>
      </c>
      <c r="N5569" t="n">
        <v>0</v>
      </c>
      <c r="O5569" t="n">
        <v>0</v>
      </c>
      <c r="P5569" t="n">
        <v>0</v>
      </c>
      <c r="Q5569" t="n">
        <v>0</v>
      </c>
      <c r="R5569" s="2" t="inlineStr"/>
    </row>
    <row r="5570" ht="15" customHeight="1">
      <c r="A5570" t="inlineStr">
        <is>
          <t>A 49501-2025</t>
        </is>
      </c>
      <c r="B5570" s="1" t="n">
        <v>45938</v>
      </c>
      <c r="C5570" s="1" t="n">
        <v>46145</v>
      </c>
      <c r="D5570" t="inlineStr">
        <is>
          <t>VÄSTERBOTTENS LÄN</t>
        </is>
      </c>
      <c r="E5570" t="inlineStr">
        <is>
          <t>NORSJÖ</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52699-2021</t>
        </is>
      </c>
      <c r="B5571" s="1" t="n">
        <v>44466</v>
      </c>
      <c r="C5571" s="1" t="n">
        <v>46145</v>
      </c>
      <c r="D5571" t="inlineStr">
        <is>
          <t>VÄSTERBOTTENS LÄN</t>
        </is>
      </c>
      <c r="E5571" t="inlineStr">
        <is>
          <t>LYCKSELE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49120-2025</t>
        </is>
      </c>
      <c r="B5572" s="1" t="n">
        <v>45937.8341087963</v>
      </c>
      <c r="C5572" s="1" t="n">
        <v>46145</v>
      </c>
      <c r="D5572" t="inlineStr">
        <is>
          <t>VÄSTERBOTTENS LÄN</t>
        </is>
      </c>
      <c r="E5572" t="inlineStr">
        <is>
          <t>UMEÅ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49202-2025</t>
        </is>
      </c>
      <c r="B5573" s="1" t="n">
        <v>45938.41855324074</v>
      </c>
      <c r="C5573" s="1" t="n">
        <v>46145</v>
      </c>
      <c r="D5573" t="inlineStr">
        <is>
          <t>VÄSTERBOTTENS LÄN</t>
        </is>
      </c>
      <c r="E5573" t="inlineStr">
        <is>
          <t>MALÅ</t>
        </is>
      </c>
      <c r="F5573" t="inlineStr">
        <is>
          <t>Sveaskog</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49382-2025</t>
        </is>
      </c>
      <c r="B5574" s="1" t="n">
        <v>45938.63704861111</v>
      </c>
      <c r="C5574" s="1" t="n">
        <v>46145</v>
      </c>
      <c r="D5574" t="inlineStr">
        <is>
          <t>VÄSTERBOTTENS LÄN</t>
        </is>
      </c>
      <c r="E5574" t="inlineStr">
        <is>
          <t>BJURHOLM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49360-2025</t>
        </is>
      </c>
      <c r="B5575" s="1" t="n">
        <v>45938.61684027778</v>
      </c>
      <c r="C5575" s="1" t="n">
        <v>46145</v>
      </c>
      <c r="D5575" t="inlineStr">
        <is>
          <t>VÄSTERBOTTENS LÄN</t>
        </is>
      </c>
      <c r="E5575" t="inlineStr">
        <is>
          <t>NORDMALING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16192-2024</t>
        </is>
      </c>
      <c r="B5576" s="1" t="n">
        <v>45406</v>
      </c>
      <c r="C5576" s="1" t="n">
        <v>46145</v>
      </c>
      <c r="D5576" t="inlineStr">
        <is>
          <t>VÄSTERBOTTENS LÄN</t>
        </is>
      </c>
      <c r="E5576" t="inlineStr">
        <is>
          <t>LYCKSELE</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59860-2022</t>
        </is>
      </c>
      <c r="B5577" s="1" t="n">
        <v>44908.65792824074</v>
      </c>
      <c r="C5577" s="1" t="n">
        <v>46145</v>
      </c>
      <c r="D5577" t="inlineStr">
        <is>
          <t>VÄSTERBOTTENS LÄN</t>
        </is>
      </c>
      <c r="E5577" t="inlineStr">
        <is>
          <t>UMEÅ</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49299-2025</t>
        </is>
      </c>
      <c r="B5578" s="1" t="n">
        <v>45938.54065972222</v>
      </c>
      <c r="C5578" s="1" t="n">
        <v>46145</v>
      </c>
      <c r="D5578" t="inlineStr">
        <is>
          <t>VÄSTERBOTTENS LÄN</t>
        </is>
      </c>
      <c r="E5578" t="inlineStr">
        <is>
          <t>SKELLEFTEÅ</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58594-2022</t>
        </is>
      </c>
      <c r="B5579" s="1" t="n">
        <v>44902.54416666667</v>
      </c>
      <c r="C5579" s="1" t="n">
        <v>46145</v>
      </c>
      <c r="D5579" t="inlineStr">
        <is>
          <t>VÄSTERBOTTENS LÄN</t>
        </is>
      </c>
      <c r="E5579" t="inlineStr">
        <is>
          <t>LYCKSELE</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49070-2025</t>
        </is>
      </c>
      <c r="B5580" s="1" t="n">
        <v>45937.65115740741</v>
      </c>
      <c r="C5580" s="1" t="n">
        <v>46145</v>
      </c>
      <c r="D5580" t="inlineStr">
        <is>
          <t>VÄSTERBOTTENS LÄN</t>
        </is>
      </c>
      <c r="E5580" t="inlineStr">
        <is>
          <t>MALÅ</t>
        </is>
      </c>
      <c r="F5580" t="inlineStr">
        <is>
          <t>Sveaskog</t>
        </is>
      </c>
      <c r="G5580" t="n">
        <v>12.1</v>
      </c>
      <c r="H5580" t="n">
        <v>0</v>
      </c>
      <c r="I5580" t="n">
        <v>0</v>
      </c>
      <c r="J5580" t="n">
        <v>0</v>
      </c>
      <c r="K5580" t="n">
        <v>0</v>
      </c>
      <c r="L5580" t="n">
        <v>0</v>
      </c>
      <c r="M5580" t="n">
        <v>0</v>
      </c>
      <c r="N5580" t="n">
        <v>0</v>
      </c>
      <c r="O5580" t="n">
        <v>0</v>
      </c>
      <c r="P5580" t="n">
        <v>0</v>
      </c>
      <c r="Q5580" t="n">
        <v>0</v>
      </c>
      <c r="R5580" s="2" t="inlineStr"/>
    </row>
    <row r="5581" ht="15" customHeight="1">
      <c r="A5581" t="inlineStr">
        <is>
          <t>A 49140-2025</t>
        </is>
      </c>
      <c r="B5581" s="1" t="n">
        <v>45938.31708333334</v>
      </c>
      <c r="C5581" s="1" t="n">
        <v>46145</v>
      </c>
      <c r="D5581" t="inlineStr">
        <is>
          <t>VÄSTERBOTTENS LÄN</t>
        </is>
      </c>
      <c r="E5581" t="inlineStr">
        <is>
          <t>ROBERTSFORS</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48945-2025</t>
        </is>
      </c>
      <c r="B5582" s="1" t="n">
        <v>45937.53739583334</v>
      </c>
      <c r="C5582" s="1" t="n">
        <v>46145</v>
      </c>
      <c r="D5582" t="inlineStr">
        <is>
          <t>VÄSTERBOTTENS LÄN</t>
        </is>
      </c>
      <c r="E5582" t="inlineStr">
        <is>
          <t>ÅSELE</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48960-2025</t>
        </is>
      </c>
      <c r="B5583" s="1" t="n">
        <v>45937.550625</v>
      </c>
      <c r="C5583" s="1" t="n">
        <v>46145</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48999-2025</t>
        </is>
      </c>
      <c r="B5584" s="1" t="n">
        <v>45937.59449074074</v>
      </c>
      <c r="C5584" s="1" t="n">
        <v>46145</v>
      </c>
      <c r="D5584" t="inlineStr">
        <is>
          <t>VÄSTERBOTTENS LÄN</t>
        </is>
      </c>
      <c r="E5584" t="inlineStr">
        <is>
          <t>NORDMALING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49023-2025</t>
        </is>
      </c>
      <c r="B5585" s="1" t="n">
        <v>45937.61712962963</v>
      </c>
      <c r="C5585" s="1" t="n">
        <v>46145</v>
      </c>
      <c r="D5585" t="inlineStr">
        <is>
          <t>VÄSTERBOTTENS LÄN</t>
        </is>
      </c>
      <c r="E5585" t="inlineStr">
        <is>
          <t>SKELLEFTEÅ</t>
        </is>
      </c>
      <c r="F5585" t="inlineStr">
        <is>
          <t>Holmen skog AB</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48852-2025</t>
        </is>
      </c>
      <c r="B5586" s="1" t="n">
        <v>45937.43040509259</v>
      </c>
      <c r="C5586" s="1" t="n">
        <v>46145</v>
      </c>
      <c r="D5586" t="inlineStr">
        <is>
          <t>VÄSTERBOTTENS LÄN</t>
        </is>
      </c>
      <c r="E5586" t="inlineStr">
        <is>
          <t>VÄNNÄS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61395-2022</t>
        </is>
      </c>
      <c r="B5587" s="1" t="n">
        <v>44915</v>
      </c>
      <c r="C5587" s="1" t="n">
        <v>46145</v>
      </c>
      <c r="D5587" t="inlineStr">
        <is>
          <t>VÄSTERBOTTENS LÄN</t>
        </is>
      </c>
      <c r="E5587" t="inlineStr">
        <is>
          <t>VINDELN</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49044-2025</t>
        </is>
      </c>
      <c r="B5588" s="1" t="n">
        <v>45937.63645833333</v>
      </c>
      <c r="C5588" s="1" t="n">
        <v>46145</v>
      </c>
      <c r="D5588" t="inlineStr">
        <is>
          <t>VÄSTERBOTTENS LÄN</t>
        </is>
      </c>
      <c r="E5588" t="inlineStr">
        <is>
          <t>DOROTEA</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49054-2025</t>
        </is>
      </c>
      <c r="B5589" s="1" t="n">
        <v>45937.64037037037</v>
      </c>
      <c r="C5589" s="1" t="n">
        <v>46145</v>
      </c>
      <c r="D5589" t="inlineStr">
        <is>
          <t>VÄSTERBOTTENS LÄN</t>
        </is>
      </c>
      <c r="E5589" t="inlineStr">
        <is>
          <t>DOROTEA</t>
        </is>
      </c>
      <c r="F5589" t="inlineStr">
        <is>
          <t>SCA</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29104-2024</t>
        </is>
      </c>
      <c r="B5590" s="1" t="n">
        <v>45481.95178240741</v>
      </c>
      <c r="C5590" s="1" t="n">
        <v>46145</v>
      </c>
      <c r="D5590" t="inlineStr">
        <is>
          <t>VÄSTERBOTTENS LÄN</t>
        </is>
      </c>
      <c r="E5590" t="inlineStr">
        <is>
          <t>VILHELMINA</t>
        </is>
      </c>
      <c r="F5590" t="inlineStr">
        <is>
          <t>SCA</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17842-2023</t>
        </is>
      </c>
      <c r="B5591" s="1" t="n">
        <v>45037.65628472222</v>
      </c>
      <c r="C5591" s="1" t="n">
        <v>46145</v>
      </c>
      <c r="D5591" t="inlineStr">
        <is>
          <t>VÄSTERBOTTENS LÄN</t>
        </is>
      </c>
      <c r="E5591" t="inlineStr">
        <is>
          <t>SKELLEFTEÅ</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48786-2025</t>
        </is>
      </c>
      <c r="B5592" s="1" t="n">
        <v>45937.31471064815</v>
      </c>
      <c r="C5592" s="1" t="n">
        <v>46145</v>
      </c>
      <c r="D5592" t="inlineStr">
        <is>
          <t>VÄSTERBOTTENS LÄN</t>
        </is>
      </c>
      <c r="E5592" t="inlineStr">
        <is>
          <t>ÅSELE</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49126-2025</t>
        </is>
      </c>
      <c r="B5593" s="1" t="n">
        <v>45937.8712962963</v>
      </c>
      <c r="C5593" s="1" t="n">
        <v>46145</v>
      </c>
      <c r="D5593" t="inlineStr">
        <is>
          <t>VÄSTERBOTTENS LÄN</t>
        </is>
      </c>
      <c r="E5593" t="inlineStr">
        <is>
          <t>SKELLEFTEÅ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19928-2025</t>
        </is>
      </c>
      <c r="B5594" s="1" t="n">
        <v>45771</v>
      </c>
      <c r="C5594" s="1" t="n">
        <v>46145</v>
      </c>
      <c r="D5594" t="inlineStr">
        <is>
          <t>VÄSTERBOTTENS LÄN</t>
        </is>
      </c>
      <c r="E5594" t="inlineStr">
        <is>
          <t>ÅSELE</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49144-2025</t>
        </is>
      </c>
      <c r="B5595" s="1" t="n">
        <v>45938.32828703704</v>
      </c>
      <c r="C5595" s="1" t="n">
        <v>46145</v>
      </c>
      <c r="D5595" t="inlineStr">
        <is>
          <t>VÄSTERBOTTENS LÄN</t>
        </is>
      </c>
      <c r="E5595" t="inlineStr">
        <is>
          <t>ROBERTSFORS</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49184-2025</t>
        </is>
      </c>
      <c r="B5596" s="1" t="n">
        <v>45938.39759259259</v>
      </c>
      <c r="C5596" s="1" t="n">
        <v>46145</v>
      </c>
      <c r="D5596" t="inlineStr">
        <is>
          <t>VÄSTERBOTTENS LÄN</t>
        </is>
      </c>
      <c r="E5596" t="inlineStr">
        <is>
          <t>SKELLEFTEÅ</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62732-2022</t>
        </is>
      </c>
      <c r="B5597" s="1" t="n">
        <v>44925.66795138889</v>
      </c>
      <c r="C5597" s="1" t="n">
        <v>46145</v>
      </c>
      <c r="D5597" t="inlineStr">
        <is>
          <t>VÄSTERBOTTENS LÄN</t>
        </is>
      </c>
      <c r="E5597" t="inlineStr">
        <is>
          <t>VINDELN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48976-2025</t>
        </is>
      </c>
      <c r="B5598" s="1" t="n">
        <v>45937.56901620371</v>
      </c>
      <c r="C5598" s="1" t="n">
        <v>46145</v>
      </c>
      <c r="D5598" t="inlineStr">
        <is>
          <t>VÄSTERBOTTENS LÄN</t>
        </is>
      </c>
      <c r="E5598" t="inlineStr">
        <is>
          <t>MALÅ</t>
        </is>
      </c>
      <c r="F5598" t="inlineStr">
        <is>
          <t>Sveaskog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48983-2025</t>
        </is>
      </c>
      <c r="B5599" s="1" t="n">
        <v>45937.5740162037</v>
      </c>
      <c r="C5599" s="1" t="n">
        <v>46145</v>
      </c>
      <c r="D5599" t="inlineStr">
        <is>
          <t>VÄSTERBOTTENS LÄN</t>
        </is>
      </c>
      <c r="E5599" t="inlineStr">
        <is>
          <t>MALÅ</t>
        </is>
      </c>
      <c r="F5599" t="inlineStr">
        <is>
          <t>SCA</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49280-2025</t>
        </is>
      </c>
      <c r="B5600" s="1" t="n">
        <v>45938.51097222222</v>
      </c>
      <c r="C5600" s="1" t="n">
        <v>46145</v>
      </c>
      <c r="D5600" t="inlineStr">
        <is>
          <t>VÄSTERBOTTENS LÄN</t>
        </is>
      </c>
      <c r="E5600" t="inlineStr">
        <is>
          <t>NORDMALING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56299-2022</t>
        </is>
      </c>
      <c r="B5601" s="1" t="n">
        <v>44887</v>
      </c>
      <c r="C5601" s="1" t="n">
        <v>46145</v>
      </c>
      <c r="D5601" t="inlineStr">
        <is>
          <t>VÄSTERBOTTENS LÄN</t>
        </is>
      </c>
      <c r="E5601" t="inlineStr">
        <is>
          <t>SKELLEFTEÅ</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53375-2024</t>
        </is>
      </c>
      <c r="B5602" s="1" t="n">
        <v>45614</v>
      </c>
      <c r="C5602" s="1" t="n">
        <v>46145</v>
      </c>
      <c r="D5602" t="inlineStr">
        <is>
          <t>VÄSTERBOTTENS LÄN</t>
        </is>
      </c>
      <c r="E5602" t="inlineStr">
        <is>
          <t>BJURHOLM</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48924-2025</t>
        </is>
      </c>
      <c r="B5603" s="1" t="n">
        <v>45937.50238425926</v>
      </c>
      <c r="C5603" s="1" t="n">
        <v>46145</v>
      </c>
      <c r="D5603" t="inlineStr">
        <is>
          <t>VÄSTERBOTTENS LÄN</t>
        </is>
      </c>
      <c r="E5603" t="inlineStr">
        <is>
          <t>MALÅ</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49158-2025</t>
        </is>
      </c>
      <c r="B5604" s="1" t="n">
        <v>45938.34753472222</v>
      </c>
      <c r="C5604" s="1" t="n">
        <v>46145</v>
      </c>
      <c r="D5604" t="inlineStr">
        <is>
          <t>VÄSTERBOTTENS LÄN</t>
        </is>
      </c>
      <c r="E5604" t="inlineStr">
        <is>
          <t>ROBERTSFORS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49680-2025</t>
        </is>
      </c>
      <c r="B5605" s="1" t="n">
        <v>45939.65079861111</v>
      </c>
      <c r="C5605" s="1" t="n">
        <v>46145</v>
      </c>
      <c r="D5605" t="inlineStr">
        <is>
          <t>VÄSTERBOTTENS LÄN</t>
        </is>
      </c>
      <c r="E5605" t="inlineStr">
        <is>
          <t>VILHELMINA</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49683-2025</t>
        </is>
      </c>
      <c r="B5606" s="1" t="n">
        <v>45939.65457175926</v>
      </c>
      <c r="C5606" s="1" t="n">
        <v>46145</v>
      </c>
      <c r="D5606" t="inlineStr">
        <is>
          <t>VÄSTERBOTTENS LÄN</t>
        </is>
      </c>
      <c r="E5606" t="inlineStr">
        <is>
          <t>SKELLEFTEÅ</t>
        </is>
      </c>
      <c r="F5606" t="inlineStr">
        <is>
          <t>Holmen skog AB</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49686-2025</t>
        </is>
      </c>
      <c r="B5607" s="1" t="n">
        <v>45939</v>
      </c>
      <c r="C5607" s="1" t="n">
        <v>46145</v>
      </c>
      <c r="D5607" t="inlineStr">
        <is>
          <t>VÄSTERBOTTENS LÄN</t>
        </is>
      </c>
      <c r="E5607" t="inlineStr">
        <is>
          <t>LYCKSELE</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49637-2025</t>
        </is>
      </c>
      <c r="B5608" s="1" t="n">
        <v>45939.61072916666</v>
      </c>
      <c r="C5608" s="1" t="n">
        <v>46145</v>
      </c>
      <c r="D5608" t="inlineStr">
        <is>
          <t>VÄSTERBOTTENS LÄN</t>
        </is>
      </c>
      <c r="E5608" t="inlineStr">
        <is>
          <t>ROBERTSFORS</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13842-2025</t>
        </is>
      </c>
      <c r="B5609" s="1" t="n">
        <v>45737.55802083333</v>
      </c>
      <c r="C5609" s="1" t="n">
        <v>46145</v>
      </c>
      <c r="D5609" t="inlineStr">
        <is>
          <t>VÄSTERBOTTENS LÄN</t>
        </is>
      </c>
      <c r="E5609" t="inlineStr">
        <is>
          <t>BJURHOLM</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22257-2023</t>
        </is>
      </c>
      <c r="B5610" s="1" t="n">
        <v>45070</v>
      </c>
      <c r="C5610" s="1" t="n">
        <v>46145</v>
      </c>
      <c r="D5610" t="inlineStr">
        <is>
          <t>VÄSTERBOTTENS LÄN</t>
        </is>
      </c>
      <c r="E5610" t="inlineStr">
        <is>
          <t>ROBERTSFORS</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49691-2025</t>
        </is>
      </c>
      <c r="B5611" s="1" t="n">
        <v>45939.66736111111</v>
      </c>
      <c r="C5611" s="1" t="n">
        <v>46145</v>
      </c>
      <c r="D5611" t="inlineStr">
        <is>
          <t>VÄSTERBOTTENS LÄN</t>
        </is>
      </c>
      <c r="E5611" t="inlineStr">
        <is>
          <t>STORUMAN</t>
        </is>
      </c>
      <c r="F5611" t="inlineStr">
        <is>
          <t>Holmen skog AB</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64361-2023</t>
        </is>
      </c>
      <c r="B5612" s="1" t="n">
        <v>45280</v>
      </c>
      <c r="C5612" s="1" t="n">
        <v>46145</v>
      </c>
      <c r="D5612" t="inlineStr">
        <is>
          <t>VÄSTERBOTTENS LÄN</t>
        </is>
      </c>
      <c r="E5612" t="inlineStr">
        <is>
          <t>SORSELE</t>
        </is>
      </c>
      <c r="G5612" t="n">
        <v>99.59999999999999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49783-2025</t>
        </is>
      </c>
      <c r="B5613" s="1" t="n">
        <v>45940.39555555556</v>
      </c>
      <c r="C5613" s="1" t="n">
        <v>46145</v>
      </c>
      <c r="D5613" t="inlineStr">
        <is>
          <t>VÄSTERBOTTENS LÄN</t>
        </is>
      </c>
      <c r="E5613" t="inlineStr">
        <is>
          <t>LYCKSELE</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49820-2025</t>
        </is>
      </c>
      <c r="B5614" s="1" t="n">
        <v>45940.43907407407</v>
      </c>
      <c r="C5614" s="1" t="n">
        <v>46145</v>
      </c>
      <c r="D5614" t="inlineStr">
        <is>
          <t>VÄSTERBOTTENS LÄN</t>
        </is>
      </c>
      <c r="E5614" t="inlineStr">
        <is>
          <t>VÄNNÄS</t>
        </is>
      </c>
      <c r="F5614" t="inlineStr">
        <is>
          <t>Holmen skog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39790-2023</t>
        </is>
      </c>
      <c r="B5615" s="1" t="n">
        <v>45167</v>
      </c>
      <c r="C5615" s="1" t="n">
        <v>46145</v>
      </c>
      <c r="D5615" t="inlineStr">
        <is>
          <t>VÄSTERBOTTENS LÄN</t>
        </is>
      </c>
      <c r="E5615" t="inlineStr">
        <is>
          <t>MALÅ</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53034-2023</t>
        </is>
      </c>
      <c r="B5616" s="1" t="n">
        <v>45226.96258101852</v>
      </c>
      <c r="C5616" s="1" t="n">
        <v>46145</v>
      </c>
      <c r="D5616" t="inlineStr">
        <is>
          <t>VÄSTERBOTTENS LÄN</t>
        </is>
      </c>
      <c r="E5616" t="inlineStr">
        <is>
          <t>VILHELMINA</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53036-2023</t>
        </is>
      </c>
      <c r="B5617" s="1" t="n">
        <v>45226.96280092592</v>
      </c>
      <c r="C5617" s="1" t="n">
        <v>46145</v>
      </c>
      <c r="D5617" t="inlineStr">
        <is>
          <t>VÄSTERBOTTENS LÄN</t>
        </is>
      </c>
      <c r="E5617" t="inlineStr">
        <is>
          <t>LYCKSELE</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46164-2023</t>
        </is>
      </c>
      <c r="B5618" s="1" t="n">
        <v>45190</v>
      </c>
      <c r="C5618" s="1" t="n">
        <v>46145</v>
      </c>
      <c r="D5618" t="inlineStr">
        <is>
          <t>VÄSTERBOTTENS LÄN</t>
        </is>
      </c>
      <c r="E5618" t="inlineStr">
        <is>
          <t>VILHELMINA</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46176-2023</t>
        </is>
      </c>
      <c r="B5619" s="1" t="n">
        <v>45196.60607638889</v>
      </c>
      <c r="C5619" s="1" t="n">
        <v>46145</v>
      </c>
      <c r="D5619" t="inlineStr">
        <is>
          <t>VÄSTERBOTTENS LÄN</t>
        </is>
      </c>
      <c r="E5619" t="inlineStr">
        <is>
          <t>LYCKSELE</t>
        </is>
      </c>
      <c r="F5619" t="inlineStr">
        <is>
          <t>Sveaskog</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49753-2025</t>
        </is>
      </c>
      <c r="B5620" s="1" t="n">
        <v>45940.34538194445</v>
      </c>
      <c r="C5620" s="1" t="n">
        <v>46145</v>
      </c>
      <c r="D5620" t="inlineStr">
        <is>
          <t>VÄSTERBOTTENS LÄN</t>
        </is>
      </c>
      <c r="E5620" t="inlineStr">
        <is>
          <t>ÅSELE</t>
        </is>
      </c>
      <c r="F5620" t="inlineStr">
        <is>
          <t>SCA</t>
        </is>
      </c>
      <c r="G5620" t="n">
        <v>22.7</v>
      </c>
      <c r="H5620" t="n">
        <v>0</v>
      </c>
      <c r="I5620" t="n">
        <v>0</v>
      </c>
      <c r="J5620" t="n">
        <v>0</v>
      </c>
      <c r="K5620" t="n">
        <v>0</v>
      </c>
      <c r="L5620" t="n">
        <v>0</v>
      </c>
      <c r="M5620" t="n">
        <v>0</v>
      </c>
      <c r="N5620" t="n">
        <v>0</v>
      </c>
      <c r="O5620" t="n">
        <v>0</v>
      </c>
      <c r="P5620" t="n">
        <v>0</v>
      </c>
      <c r="Q5620" t="n">
        <v>0</v>
      </c>
      <c r="R5620" s="2" t="inlineStr"/>
    </row>
    <row r="5621" ht="15" customHeight="1">
      <c r="A5621" t="inlineStr">
        <is>
          <t>A 49841-2025</t>
        </is>
      </c>
      <c r="B5621" s="1" t="n">
        <v>45940.46938657408</v>
      </c>
      <c r="C5621" s="1" t="n">
        <v>46145</v>
      </c>
      <c r="D5621" t="inlineStr">
        <is>
          <t>VÄSTERBOTTENS LÄN</t>
        </is>
      </c>
      <c r="E5621" t="inlineStr">
        <is>
          <t>SKELLEFTEÅ</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49860-2025</t>
        </is>
      </c>
      <c r="B5622" s="1" t="n">
        <v>45940.51144675926</v>
      </c>
      <c r="C5622" s="1" t="n">
        <v>46145</v>
      </c>
      <c r="D5622" t="inlineStr">
        <is>
          <t>VÄSTERBOTTENS LÄN</t>
        </is>
      </c>
      <c r="E5622" t="inlineStr">
        <is>
          <t>UMEÅ</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61559-2024</t>
        </is>
      </c>
      <c r="B5623" s="1" t="n">
        <v>45646.61180555556</v>
      </c>
      <c r="C5623" s="1" t="n">
        <v>46145</v>
      </c>
      <c r="D5623" t="inlineStr">
        <is>
          <t>VÄSTERBOTTENS LÄN</t>
        </is>
      </c>
      <c r="E5623" t="inlineStr">
        <is>
          <t>SKELLEFTEÅ</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49478-2025</t>
        </is>
      </c>
      <c r="B5624" s="1" t="n">
        <v>45939.34556712963</v>
      </c>
      <c r="C5624" s="1" t="n">
        <v>46145</v>
      </c>
      <c r="D5624" t="inlineStr">
        <is>
          <t>VÄSTERBOTTENS LÄN</t>
        </is>
      </c>
      <c r="E5624" t="inlineStr">
        <is>
          <t>SKELLEFTEÅ</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49482-2025</t>
        </is>
      </c>
      <c r="B5625" s="1" t="n">
        <v>45939.35900462963</v>
      </c>
      <c r="C5625" s="1" t="n">
        <v>46145</v>
      </c>
      <c r="D5625" t="inlineStr">
        <is>
          <t>VÄSTERBOTTENS LÄN</t>
        </is>
      </c>
      <c r="E5625" t="inlineStr">
        <is>
          <t>ÅSELE</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49495-2025</t>
        </is>
      </c>
      <c r="B5626" s="1" t="n">
        <v>45939.36635416667</v>
      </c>
      <c r="C5626" s="1" t="n">
        <v>46145</v>
      </c>
      <c r="D5626" t="inlineStr">
        <is>
          <t>VÄSTERBOTTENS LÄN</t>
        </is>
      </c>
      <c r="E5626" t="inlineStr">
        <is>
          <t>MALÅ</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54037-2024</t>
        </is>
      </c>
      <c r="B5627" s="1" t="n">
        <v>45616.42424768519</v>
      </c>
      <c r="C5627" s="1" t="n">
        <v>46145</v>
      </c>
      <c r="D5627" t="inlineStr">
        <is>
          <t>VÄSTERBOTTENS LÄN</t>
        </is>
      </c>
      <c r="E5627" t="inlineStr">
        <is>
          <t>SKELLEFTEÅ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49519-2025</t>
        </is>
      </c>
      <c r="B5628" s="1" t="n">
        <v>45939.39155092592</v>
      </c>
      <c r="C5628" s="1" t="n">
        <v>46145</v>
      </c>
      <c r="D5628" t="inlineStr">
        <is>
          <t>VÄSTERBOTTENS LÄN</t>
        </is>
      </c>
      <c r="E5628" t="inlineStr">
        <is>
          <t>UMEÅ</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49520-2025</t>
        </is>
      </c>
      <c r="B5629" s="1" t="n">
        <v>45939.39337962963</v>
      </c>
      <c r="C5629" s="1" t="n">
        <v>46145</v>
      </c>
      <c r="D5629" t="inlineStr">
        <is>
          <t>VÄSTERBOTTENS LÄN</t>
        </is>
      </c>
      <c r="E5629" t="inlineStr">
        <is>
          <t>VÄNNÄS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49725-2025</t>
        </is>
      </c>
      <c r="B5630" s="1" t="n">
        <v>45939.84310185185</v>
      </c>
      <c r="C5630" s="1" t="n">
        <v>46145</v>
      </c>
      <c r="D5630" t="inlineStr">
        <is>
          <t>VÄSTERBOTTENS LÄN</t>
        </is>
      </c>
      <c r="E5630" t="inlineStr">
        <is>
          <t>VINDELN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745-2022</t>
        </is>
      </c>
      <c r="B5631" s="1" t="n">
        <v>44568.92145833333</v>
      </c>
      <c r="C5631" s="1" t="n">
        <v>46145</v>
      </c>
      <c r="D5631" t="inlineStr">
        <is>
          <t>VÄSTERBOTTENS LÄN</t>
        </is>
      </c>
      <c r="E5631" t="inlineStr">
        <is>
          <t>DOROTEA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49541-2025</t>
        </is>
      </c>
      <c r="B5632" s="1" t="n">
        <v>45939.42748842593</v>
      </c>
      <c r="C5632" s="1" t="n">
        <v>46145</v>
      </c>
      <c r="D5632" t="inlineStr">
        <is>
          <t>VÄSTERBOTTENS LÄN</t>
        </is>
      </c>
      <c r="E5632" t="inlineStr">
        <is>
          <t>MALÅ</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49461-2025</t>
        </is>
      </c>
      <c r="B5633" s="1" t="n">
        <v>45939.32128472222</v>
      </c>
      <c r="C5633" s="1" t="n">
        <v>46145</v>
      </c>
      <c r="D5633" t="inlineStr">
        <is>
          <t>VÄSTERBOTTENS LÄN</t>
        </is>
      </c>
      <c r="E5633" t="inlineStr">
        <is>
          <t>SKELLEFTEÅ</t>
        </is>
      </c>
      <c r="F5633" t="inlineStr">
        <is>
          <t>Holmen skog AB</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49799-2025</t>
        </is>
      </c>
      <c r="B5634" s="1" t="n">
        <v>45940.4083912037</v>
      </c>
      <c r="C5634" s="1" t="n">
        <v>46145</v>
      </c>
      <c r="D5634" t="inlineStr">
        <is>
          <t>VÄSTERBOTTENS LÄN</t>
        </is>
      </c>
      <c r="E5634" t="inlineStr">
        <is>
          <t>UMEÅ</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49684-2025</t>
        </is>
      </c>
      <c r="B5635" s="1" t="n">
        <v>45939.65523148148</v>
      </c>
      <c r="C5635" s="1" t="n">
        <v>46145</v>
      </c>
      <c r="D5635" t="inlineStr">
        <is>
          <t>VÄSTERBOTTENS LÄN</t>
        </is>
      </c>
      <c r="E5635" t="inlineStr">
        <is>
          <t>STORUMAN</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49898-2025</t>
        </is>
      </c>
      <c r="B5636" s="1" t="n">
        <v>45940.58644675926</v>
      </c>
      <c r="C5636" s="1" t="n">
        <v>46145</v>
      </c>
      <c r="D5636" t="inlineStr">
        <is>
          <t>VÄSTERBOTTENS LÄN</t>
        </is>
      </c>
      <c r="E5636" t="inlineStr">
        <is>
          <t>UMEÅ</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49464-2025</t>
        </is>
      </c>
      <c r="B5637" s="1" t="n">
        <v>45939.32709490741</v>
      </c>
      <c r="C5637" s="1" t="n">
        <v>46145</v>
      </c>
      <c r="D5637" t="inlineStr">
        <is>
          <t>VÄSTERBOTTENS LÄN</t>
        </is>
      </c>
      <c r="E5637" t="inlineStr">
        <is>
          <t>ÅSELE</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12585-2025</t>
        </is>
      </c>
      <c r="B5638" s="1" t="n">
        <v>45732</v>
      </c>
      <c r="C5638" s="1" t="n">
        <v>46145</v>
      </c>
      <c r="D5638" t="inlineStr">
        <is>
          <t>VÄSTERBOTTENS LÄN</t>
        </is>
      </c>
      <c r="E5638" t="inlineStr">
        <is>
          <t>LYCKSELE</t>
        </is>
      </c>
      <c r="G5638" t="n">
        <v>15.5</v>
      </c>
      <c r="H5638" t="n">
        <v>0</v>
      </c>
      <c r="I5638" t="n">
        <v>0</v>
      </c>
      <c r="J5638" t="n">
        <v>0</v>
      </c>
      <c r="K5638" t="n">
        <v>0</v>
      </c>
      <c r="L5638" t="n">
        <v>0</v>
      </c>
      <c r="M5638" t="n">
        <v>0</v>
      </c>
      <c r="N5638" t="n">
        <v>0</v>
      </c>
      <c r="O5638" t="n">
        <v>0</v>
      </c>
      <c r="P5638" t="n">
        <v>0</v>
      </c>
      <c r="Q5638" t="n">
        <v>0</v>
      </c>
      <c r="R5638" s="2" t="inlineStr"/>
    </row>
    <row r="5639" ht="15" customHeight="1">
      <c r="A5639" t="inlineStr">
        <is>
          <t>A 49657-2025</t>
        </is>
      </c>
      <c r="B5639" s="1" t="n">
        <v>45939.63013888889</v>
      </c>
      <c r="C5639" s="1" t="n">
        <v>46145</v>
      </c>
      <c r="D5639" t="inlineStr">
        <is>
          <t>VÄSTERBOTTENS LÄN</t>
        </is>
      </c>
      <c r="E5639" t="inlineStr">
        <is>
          <t>MALÅ</t>
        </is>
      </c>
      <c r="F5639" t="inlineStr">
        <is>
          <t>Sveaskog</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46654-2025</t>
        </is>
      </c>
      <c r="B5640" s="1" t="n">
        <v>45926</v>
      </c>
      <c r="C5640" s="1" t="n">
        <v>46145</v>
      </c>
      <c r="D5640" t="inlineStr">
        <is>
          <t>VÄSTERBOTTENS LÄN</t>
        </is>
      </c>
      <c r="E5640" t="inlineStr">
        <is>
          <t>LYCKSELE</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36707-2024</t>
        </is>
      </c>
      <c r="B5641" s="1" t="n">
        <v>45537</v>
      </c>
      <c r="C5641" s="1" t="n">
        <v>46145</v>
      </c>
      <c r="D5641" t="inlineStr">
        <is>
          <t>VÄSTERBOTTENS LÄN</t>
        </is>
      </c>
      <c r="E5641" t="inlineStr">
        <is>
          <t>BJURHOLM</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49465-2025</t>
        </is>
      </c>
      <c r="B5642" s="1" t="n">
        <v>45939.33030092593</v>
      </c>
      <c r="C5642" s="1" t="n">
        <v>46145</v>
      </c>
      <c r="D5642" t="inlineStr">
        <is>
          <t>VÄSTERBOTTENS LÄN</t>
        </is>
      </c>
      <c r="E5642" t="inlineStr">
        <is>
          <t>ÅSELE</t>
        </is>
      </c>
      <c r="F5642" t="inlineStr">
        <is>
          <t>Holmen skog AB</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49803-2025</t>
        </is>
      </c>
      <c r="B5643" s="1" t="n">
        <v>45940.41320601852</v>
      </c>
      <c r="C5643" s="1" t="n">
        <v>46145</v>
      </c>
      <c r="D5643" t="inlineStr">
        <is>
          <t>VÄSTERBOTTENS LÄN</t>
        </is>
      </c>
      <c r="E5643" t="inlineStr">
        <is>
          <t>LYCKSELE</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26462-2023</t>
        </is>
      </c>
      <c r="B5644" s="1" t="n">
        <v>45092.4658449074</v>
      </c>
      <c r="C5644" s="1" t="n">
        <v>46145</v>
      </c>
      <c r="D5644" t="inlineStr">
        <is>
          <t>VÄSTERBOTTENS LÄN</t>
        </is>
      </c>
      <c r="E5644" t="inlineStr">
        <is>
          <t>SKELLEFTEÅ</t>
        </is>
      </c>
      <c r="F5644" t="inlineStr">
        <is>
          <t>Holmen skog AB</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49839-2025</t>
        </is>
      </c>
      <c r="B5645" s="1" t="n">
        <v>45940.4693287037</v>
      </c>
      <c r="C5645" s="1" t="n">
        <v>46145</v>
      </c>
      <c r="D5645" t="inlineStr">
        <is>
          <t>VÄSTERBOTTENS LÄN</t>
        </is>
      </c>
      <c r="E5645" t="inlineStr">
        <is>
          <t>SKELLEFTEÅ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14195-2024</t>
        </is>
      </c>
      <c r="B5646" s="1" t="n">
        <v>45393</v>
      </c>
      <c r="C5646" s="1" t="n">
        <v>46145</v>
      </c>
      <c r="D5646" t="inlineStr">
        <is>
          <t>VÄSTERBOTTENS LÄN</t>
        </is>
      </c>
      <c r="E5646" t="inlineStr">
        <is>
          <t>LYCKSELE</t>
        </is>
      </c>
      <c r="F5646" t="inlineStr">
        <is>
          <t>Holmen skog AB</t>
        </is>
      </c>
      <c r="G5646" t="n">
        <v>22.9</v>
      </c>
      <c r="H5646" t="n">
        <v>0</v>
      </c>
      <c r="I5646" t="n">
        <v>0</v>
      </c>
      <c r="J5646" t="n">
        <v>0</v>
      </c>
      <c r="K5646" t="n">
        <v>0</v>
      </c>
      <c r="L5646" t="n">
        <v>0</v>
      </c>
      <c r="M5646" t="n">
        <v>0</v>
      </c>
      <c r="N5646" t="n">
        <v>0</v>
      </c>
      <c r="O5646" t="n">
        <v>0</v>
      </c>
      <c r="P5646" t="n">
        <v>0</v>
      </c>
      <c r="Q5646" t="n">
        <v>0</v>
      </c>
      <c r="R5646" s="2" t="inlineStr"/>
    </row>
    <row r="5647" ht="15" customHeight="1">
      <c r="A5647" t="inlineStr">
        <is>
          <t>A 49492-2025</t>
        </is>
      </c>
      <c r="B5647" s="1" t="n">
        <v>45939.36616898148</v>
      </c>
      <c r="C5647" s="1" t="n">
        <v>46145</v>
      </c>
      <c r="D5647" t="inlineStr">
        <is>
          <t>VÄSTERBOTTENS LÄN</t>
        </is>
      </c>
      <c r="E5647" t="inlineStr">
        <is>
          <t>UMEÅ</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49506-2025</t>
        </is>
      </c>
      <c r="B5648" s="1" t="n">
        <v>45939.37686342592</v>
      </c>
      <c r="C5648" s="1" t="n">
        <v>46145</v>
      </c>
      <c r="D5648" t="inlineStr">
        <is>
          <t>VÄSTERBOTTENS LÄN</t>
        </is>
      </c>
      <c r="E5648" t="inlineStr">
        <is>
          <t>ÅSELE</t>
        </is>
      </c>
      <c r="F5648" t="inlineStr">
        <is>
          <t>Sveaskog</t>
        </is>
      </c>
      <c r="G5648" t="n">
        <v>22.6</v>
      </c>
      <c r="H5648" t="n">
        <v>0</v>
      </c>
      <c r="I5648" t="n">
        <v>0</v>
      </c>
      <c r="J5648" t="n">
        <v>0</v>
      </c>
      <c r="K5648" t="n">
        <v>0</v>
      </c>
      <c r="L5648" t="n">
        <v>0</v>
      </c>
      <c r="M5648" t="n">
        <v>0</v>
      </c>
      <c r="N5648" t="n">
        <v>0</v>
      </c>
      <c r="O5648" t="n">
        <v>0</v>
      </c>
      <c r="P5648" t="n">
        <v>0</v>
      </c>
      <c r="Q5648" t="n">
        <v>0</v>
      </c>
      <c r="R5648" s="2" t="inlineStr"/>
    </row>
    <row r="5649" ht="15" customHeight="1">
      <c r="A5649" t="inlineStr">
        <is>
          <t>A 14329-2025</t>
        </is>
      </c>
      <c r="B5649" s="1" t="n">
        <v>45740.84127314815</v>
      </c>
      <c r="C5649" s="1" t="n">
        <v>46145</v>
      </c>
      <c r="D5649" t="inlineStr">
        <is>
          <t>VÄSTERBOTTENS LÄN</t>
        </is>
      </c>
      <c r="E5649" t="inlineStr">
        <is>
          <t>DOROTEA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55063-2022</t>
        </is>
      </c>
      <c r="B5650" s="1" t="n">
        <v>44886</v>
      </c>
      <c r="C5650" s="1" t="n">
        <v>46145</v>
      </c>
      <c r="D5650" t="inlineStr">
        <is>
          <t>VÄSTERBOTTENS LÄN</t>
        </is>
      </c>
      <c r="E5650" t="inlineStr">
        <is>
          <t>SKELLEFTEÅ</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6969-2024</t>
        </is>
      </c>
      <c r="B5651" s="1" t="n">
        <v>45343</v>
      </c>
      <c r="C5651" s="1" t="n">
        <v>46145</v>
      </c>
      <c r="D5651" t="inlineStr">
        <is>
          <t>VÄSTERBOTTENS LÄN</t>
        </is>
      </c>
      <c r="E5651" t="inlineStr">
        <is>
          <t>NORDMALING</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17464-2025</t>
        </is>
      </c>
      <c r="B5652" s="1" t="n">
        <v>45757.45982638889</v>
      </c>
      <c r="C5652" s="1" t="n">
        <v>46145</v>
      </c>
      <c r="D5652" t="inlineStr">
        <is>
          <t>VÄSTERBOTTENS LÄN</t>
        </is>
      </c>
      <c r="E5652" t="inlineStr">
        <is>
          <t>ROBERTSFORS</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20795-2023</t>
        </is>
      </c>
      <c r="B5653" s="1" t="n">
        <v>45055</v>
      </c>
      <c r="C5653" s="1" t="n">
        <v>46145</v>
      </c>
      <c r="D5653" t="inlineStr">
        <is>
          <t>VÄSTERBOTTENS LÄN</t>
        </is>
      </c>
      <c r="E5653" t="inlineStr">
        <is>
          <t>UMEÅ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49496-2025</t>
        </is>
      </c>
      <c r="B5654" s="1" t="n">
        <v>45939.36644675926</v>
      </c>
      <c r="C5654" s="1" t="n">
        <v>46145</v>
      </c>
      <c r="D5654" t="inlineStr">
        <is>
          <t>VÄSTERBOTTENS LÄN</t>
        </is>
      </c>
      <c r="E5654" t="inlineStr">
        <is>
          <t>UMEÅ</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17502-2025</t>
        </is>
      </c>
      <c r="B5655" s="1" t="n">
        <v>45757</v>
      </c>
      <c r="C5655" s="1" t="n">
        <v>46145</v>
      </c>
      <c r="D5655" t="inlineStr">
        <is>
          <t>VÄSTERBOTTENS LÄN</t>
        </is>
      </c>
      <c r="E5655" t="inlineStr">
        <is>
          <t>NORDMALING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17511-2025</t>
        </is>
      </c>
      <c r="B5656" s="1" t="n">
        <v>45757</v>
      </c>
      <c r="C5656" s="1" t="n">
        <v>46145</v>
      </c>
      <c r="D5656" t="inlineStr">
        <is>
          <t>VÄSTERBOTTENS LÄN</t>
        </is>
      </c>
      <c r="E5656" t="inlineStr">
        <is>
          <t>VINDELN</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49849-2025</t>
        </is>
      </c>
      <c r="B5657" s="1" t="n">
        <v>45940.48415509259</v>
      </c>
      <c r="C5657" s="1" t="n">
        <v>46145</v>
      </c>
      <c r="D5657" t="inlineStr">
        <is>
          <t>VÄSTERBOTTENS LÄN</t>
        </is>
      </c>
      <c r="E5657" t="inlineStr">
        <is>
          <t>NORDMALING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49859-2025</t>
        </is>
      </c>
      <c r="B5658" s="1" t="n">
        <v>45940.51138888889</v>
      </c>
      <c r="C5658" s="1" t="n">
        <v>46145</v>
      </c>
      <c r="D5658" t="inlineStr">
        <is>
          <t>VÄSTERBOTTENS LÄN</t>
        </is>
      </c>
      <c r="E5658" t="inlineStr">
        <is>
          <t>LYCKSELE</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26472-2021</t>
        </is>
      </c>
      <c r="B5659" s="1" t="n">
        <v>44348.40371527777</v>
      </c>
      <c r="C5659" s="1" t="n">
        <v>46145</v>
      </c>
      <c r="D5659" t="inlineStr">
        <is>
          <t>VÄSTERBOTTENS LÄN</t>
        </is>
      </c>
      <c r="E5659" t="inlineStr">
        <is>
          <t>NORSJÖ</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45515-2022</t>
        </is>
      </c>
      <c r="B5660" s="1" t="n">
        <v>44841</v>
      </c>
      <c r="C5660" s="1" t="n">
        <v>46145</v>
      </c>
      <c r="D5660" t="inlineStr">
        <is>
          <t>VÄSTERBOTTENS LÄN</t>
        </is>
      </c>
      <c r="E5660" t="inlineStr">
        <is>
          <t>SORSELE</t>
        </is>
      </c>
      <c r="G5660" t="n">
        <v>33.5</v>
      </c>
      <c r="H5660" t="n">
        <v>0</v>
      </c>
      <c r="I5660" t="n">
        <v>0</v>
      </c>
      <c r="J5660" t="n">
        <v>0</v>
      </c>
      <c r="K5660" t="n">
        <v>0</v>
      </c>
      <c r="L5660" t="n">
        <v>0</v>
      </c>
      <c r="M5660" t="n">
        <v>0</v>
      </c>
      <c r="N5660" t="n">
        <v>0</v>
      </c>
      <c r="O5660" t="n">
        <v>0</v>
      </c>
      <c r="P5660" t="n">
        <v>0</v>
      </c>
      <c r="Q5660" t="n">
        <v>0</v>
      </c>
      <c r="R5660" s="2" t="inlineStr"/>
    </row>
    <row r="5661" ht="15" customHeight="1">
      <c r="A5661" t="inlineStr">
        <is>
          <t>A 25626-2023</t>
        </is>
      </c>
      <c r="B5661" s="1" t="n">
        <v>45084</v>
      </c>
      <c r="C5661" s="1" t="n">
        <v>46145</v>
      </c>
      <c r="D5661" t="inlineStr">
        <is>
          <t>VÄSTERBOTTENS LÄN</t>
        </is>
      </c>
      <c r="E5661" t="inlineStr">
        <is>
          <t>SKELLEFTEÅ</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29709-2025</t>
        </is>
      </c>
      <c r="B5662" s="1" t="n">
        <v>45825.56317129629</v>
      </c>
      <c r="C5662" s="1" t="n">
        <v>46145</v>
      </c>
      <c r="D5662" t="inlineStr">
        <is>
          <t>VÄSTERBOTTENS LÄN</t>
        </is>
      </c>
      <c r="E5662" t="inlineStr">
        <is>
          <t>LYCKSELE</t>
        </is>
      </c>
      <c r="F5662" t="inlineStr">
        <is>
          <t>Holmen skog AB</t>
        </is>
      </c>
      <c r="G5662" t="n">
        <v>52.4</v>
      </c>
      <c r="H5662" t="n">
        <v>0</v>
      </c>
      <c r="I5662" t="n">
        <v>0</v>
      </c>
      <c r="J5662" t="n">
        <v>0</v>
      </c>
      <c r="K5662" t="n">
        <v>0</v>
      </c>
      <c r="L5662" t="n">
        <v>0</v>
      </c>
      <c r="M5662" t="n">
        <v>0</v>
      </c>
      <c r="N5662" t="n">
        <v>0</v>
      </c>
      <c r="O5662" t="n">
        <v>0</v>
      </c>
      <c r="P5662" t="n">
        <v>0</v>
      </c>
      <c r="Q5662" t="n">
        <v>0</v>
      </c>
      <c r="R5662" s="2" t="inlineStr"/>
    </row>
    <row r="5663" ht="15" customHeight="1">
      <c r="A5663" t="inlineStr">
        <is>
          <t>A 46562-2025</t>
        </is>
      </c>
      <c r="B5663" s="1" t="n">
        <v>45926</v>
      </c>
      <c r="C5663" s="1" t="n">
        <v>46145</v>
      </c>
      <c r="D5663" t="inlineStr">
        <is>
          <t>VÄSTERBOTTENS LÄN</t>
        </is>
      </c>
      <c r="E5663" t="inlineStr">
        <is>
          <t>LYCKSELE</t>
        </is>
      </c>
      <c r="F5663" t="inlineStr">
        <is>
          <t>Holmen skog AB</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47908-2022</t>
        </is>
      </c>
      <c r="B5664" s="1" t="n">
        <v>44855.48153935185</v>
      </c>
      <c r="C5664" s="1" t="n">
        <v>46145</v>
      </c>
      <c r="D5664" t="inlineStr">
        <is>
          <t>VÄSTERBOTTENS LÄN</t>
        </is>
      </c>
      <c r="E5664" t="inlineStr">
        <is>
          <t>SORSELE</t>
        </is>
      </c>
      <c r="F5664" t="inlineStr">
        <is>
          <t>Kyrkan</t>
        </is>
      </c>
      <c r="G5664" t="n">
        <v>22.7</v>
      </c>
      <c r="H5664" t="n">
        <v>0</v>
      </c>
      <c r="I5664" t="n">
        <v>0</v>
      </c>
      <c r="J5664" t="n">
        <v>0</v>
      </c>
      <c r="K5664" t="n">
        <v>0</v>
      </c>
      <c r="L5664" t="n">
        <v>0</v>
      </c>
      <c r="M5664" t="n">
        <v>0</v>
      </c>
      <c r="N5664" t="n">
        <v>0</v>
      </c>
      <c r="O5664" t="n">
        <v>0</v>
      </c>
      <c r="P5664" t="n">
        <v>0</v>
      </c>
      <c r="Q5664" t="n">
        <v>0</v>
      </c>
      <c r="R5664" s="2" t="inlineStr"/>
    </row>
    <row r="5665" ht="15" customHeight="1">
      <c r="A5665" t="inlineStr">
        <is>
          <t>A 49559-2025</t>
        </is>
      </c>
      <c r="B5665" s="1" t="n">
        <v>45939.45946759259</v>
      </c>
      <c r="C5665" s="1" t="n">
        <v>46145</v>
      </c>
      <c r="D5665" t="inlineStr">
        <is>
          <t>VÄSTERBOTTENS LÄN</t>
        </is>
      </c>
      <c r="E5665" t="inlineStr">
        <is>
          <t>VÄNNÄS</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49628-2025</t>
        </is>
      </c>
      <c r="B5666" s="1" t="n">
        <v>45939.59528935186</v>
      </c>
      <c r="C5666" s="1" t="n">
        <v>46145</v>
      </c>
      <c r="D5666" t="inlineStr">
        <is>
          <t>VÄSTERBOTTENS LÄN</t>
        </is>
      </c>
      <c r="E5666" t="inlineStr">
        <is>
          <t>ROBERTSFORS</t>
        </is>
      </c>
      <c r="F5666" t="inlineStr">
        <is>
          <t>Holmen skog AB</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49661-2025</t>
        </is>
      </c>
      <c r="B5667" s="1" t="n">
        <v>45939.63412037037</v>
      </c>
      <c r="C5667" s="1" t="n">
        <v>46145</v>
      </c>
      <c r="D5667" t="inlineStr">
        <is>
          <t>VÄSTERBOTTENS LÄN</t>
        </is>
      </c>
      <c r="E5667" t="inlineStr">
        <is>
          <t>MALÅ</t>
        </is>
      </c>
      <c r="F5667" t="inlineStr">
        <is>
          <t>Sveaskog</t>
        </is>
      </c>
      <c r="G5667" t="n">
        <v>16.7</v>
      </c>
      <c r="H5667" t="n">
        <v>0</v>
      </c>
      <c r="I5667" t="n">
        <v>0</v>
      </c>
      <c r="J5667" t="n">
        <v>0</v>
      </c>
      <c r="K5667" t="n">
        <v>0</v>
      </c>
      <c r="L5667" t="n">
        <v>0</v>
      </c>
      <c r="M5667" t="n">
        <v>0</v>
      </c>
      <c r="N5667" t="n">
        <v>0</v>
      </c>
      <c r="O5667" t="n">
        <v>0</v>
      </c>
      <c r="P5667" t="n">
        <v>0</v>
      </c>
      <c r="Q5667" t="n">
        <v>0</v>
      </c>
      <c r="R5667" s="2" t="inlineStr"/>
    </row>
    <row r="5668" ht="15" customHeight="1">
      <c r="A5668" t="inlineStr">
        <is>
          <t>A 49623-2025</t>
        </is>
      </c>
      <c r="B5668" s="1" t="n">
        <v>45939.59351851852</v>
      </c>
      <c r="C5668" s="1" t="n">
        <v>46145</v>
      </c>
      <c r="D5668" t="inlineStr">
        <is>
          <t>VÄSTERBOTTENS LÄN</t>
        </is>
      </c>
      <c r="E5668" t="inlineStr">
        <is>
          <t>ÅSELE</t>
        </is>
      </c>
      <c r="F5668" t="inlineStr">
        <is>
          <t>Holmen skog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9039-2024</t>
        </is>
      </c>
      <c r="B5669" s="1" t="n">
        <v>45356</v>
      </c>
      <c r="C5669" s="1" t="n">
        <v>46145</v>
      </c>
      <c r="D5669" t="inlineStr">
        <is>
          <t>VÄSTERBOTTENS LÄN</t>
        </is>
      </c>
      <c r="E5669" t="inlineStr">
        <is>
          <t>VÄNNÄS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38274-2022</t>
        </is>
      </c>
      <c r="B5670" s="1" t="n">
        <v>44812</v>
      </c>
      <c r="C5670" s="1" t="n">
        <v>46145</v>
      </c>
      <c r="D5670" t="inlineStr">
        <is>
          <t>VÄSTERBOTTENS LÄN</t>
        </is>
      </c>
      <c r="E5670" t="inlineStr">
        <is>
          <t>NORDMALING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49840-2025</t>
        </is>
      </c>
      <c r="B5671" s="1" t="n">
        <v>45940.46934027778</v>
      </c>
      <c r="C5671" s="1" t="n">
        <v>46145</v>
      </c>
      <c r="D5671" t="inlineStr">
        <is>
          <t>VÄSTERBOTTENS LÄN</t>
        </is>
      </c>
      <c r="E5671" t="inlineStr">
        <is>
          <t>SKELLEFTEÅ</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49769-2025</t>
        </is>
      </c>
      <c r="B5672" s="1" t="n">
        <v>45940.36510416667</v>
      </c>
      <c r="C5672" s="1" t="n">
        <v>46145</v>
      </c>
      <c r="D5672" t="inlineStr">
        <is>
          <t>VÄSTERBOTTENS LÄN</t>
        </is>
      </c>
      <c r="E5672" t="inlineStr">
        <is>
          <t>STORUMAN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49847-2025</t>
        </is>
      </c>
      <c r="B5673" s="1" t="n">
        <v>45940.48208333334</v>
      </c>
      <c r="C5673" s="1" t="n">
        <v>46145</v>
      </c>
      <c r="D5673" t="inlineStr">
        <is>
          <t>VÄSTERBOTTENS LÄN</t>
        </is>
      </c>
      <c r="E5673" t="inlineStr">
        <is>
          <t>NORDMALING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50084-2024</t>
        </is>
      </c>
      <c r="B5674" s="1" t="n">
        <v>45597</v>
      </c>
      <c r="C5674" s="1" t="n">
        <v>46145</v>
      </c>
      <c r="D5674" t="inlineStr">
        <is>
          <t>VÄSTERBOTTENS LÄN</t>
        </is>
      </c>
      <c r="E5674" t="inlineStr">
        <is>
          <t>VINDELN</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41297-2024</t>
        </is>
      </c>
      <c r="B5675" s="1" t="n">
        <v>45559.61015046296</v>
      </c>
      <c r="C5675" s="1" t="n">
        <v>46145</v>
      </c>
      <c r="D5675" t="inlineStr">
        <is>
          <t>VÄSTERBOTTENS LÄN</t>
        </is>
      </c>
      <c r="E5675" t="inlineStr">
        <is>
          <t>SKELLEFTEÅ</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49489-2025</t>
        </is>
      </c>
      <c r="B5676" s="1" t="n">
        <v>45939.36525462963</v>
      </c>
      <c r="C5676" s="1" t="n">
        <v>46145</v>
      </c>
      <c r="D5676" t="inlineStr">
        <is>
          <t>VÄSTERBOTTENS LÄN</t>
        </is>
      </c>
      <c r="E5676" t="inlineStr">
        <is>
          <t>DOROTEA</t>
        </is>
      </c>
      <c r="F5676" t="inlineStr">
        <is>
          <t>SCA</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49494-2025</t>
        </is>
      </c>
      <c r="B5677" s="1" t="n">
        <v>45939.36633101852</v>
      </c>
      <c r="C5677" s="1" t="n">
        <v>46145</v>
      </c>
      <c r="D5677" t="inlineStr">
        <is>
          <t>VÄSTERBOTTENS LÄN</t>
        </is>
      </c>
      <c r="E5677" t="inlineStr">
        <is>
          <t>MALÅ</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50169-2025</t>
        </is>
      </c>
      <c r="B5678" s="1" t="n">
        <v>45943.59478009259</v>
      </c>
      <c r="C5678" s="1" t="n">
        <v>46145</v>
      </c>
      <c r="D5678" t="inlineStr">
        <is>
          <t>VÄSTERBOTTENS LÄN</t>
        </is>
      </c>
      <c r="E5678" t="inlineStr">
        <is>
          <t>NORSJÖ</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50174-2025</t>
        </is>
      </c>
      <c r="B5679" s="1" t="n">
        <v>45943.6072337963</v>
      </c>
      <c r="C5679" s="1" t="n">
        <v>46145</v>
      </c>
      <c r="D5679" t="inlineStr">
        <is>
          <t>VÄSTERBOTTENS LÄN</t>
        </is>
      </c>
      <c r="E5679" t="inlineStr">
        <is>
          <t>VINDELN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40445-2024</t>
        </is>
      </c>
      <c r="B5680" s="1" t="n">
        <v>45555</v>
      </c>
      <c r="C5680" s="1" t="n">
        <v>46145</v>
      </c>
      <c r="D5680" t="inlineStr">
        <is>
          <t>VÄSTERBOTTENS LÄN</t>
        </is>
      </c>
      <c r="E5680" t="inlineStr">
        <is>
          <t>LYCKSELE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26791-2023</t>
        </is>
      </c>
      <c r="B5681" s="1" t="n">
        <v>45090</v>
      </c>
      <c r="C5681" s="1" t="n">
        <v>46145</v>
      </c>
      <c r="D5681" t="inlineStr">
        <is>
          <t>VÄSTERBOTTENS LÄN</t>
        </is>
      </c>
      <c r="E5681" t="inlineStr">
        <is>
          <t>ROBERTSFORS</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50261-2025</t>
        </is>
      </c>
      <c r="B5682" s="1" t="n">
        <v>45944.3453125</v>
      </c>
      <c r="C5682" s="1" t="n">
        <v>46145</v>
      </c>
      <c r="D5682" t="inlineStr">
        <is>
          <t>VÄSTERBOTTENS LÄN</t>
        </is>
      </c>
      <c r="E5682" t="inlineStr">
        <is>
          <t>ÅSELE</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50282-2025</t>
        </is>
      </c>
      <c r="B5683" s="1" t="n">
        <v>45944.3862037037</v>
      </c>
      <c r="C5683" s="1" t="n">
        <v>46145</v>
      </c>
      <c r="D5683" t="inlineStr">
        <is>
          <t>VÄSTERBOTTENS LÄN</t>
        </is>
      </c>
      <c r="E5683" t="inlineStr">
        <is>
          <t>VILHELMINA</t>
        </is>
      </c>
      <c r="F5683" t="inlineStr">
        <is>
          <t>SCA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50296-2025</t>
        </is>
      </c>
      <c r="B5684" s="1" t="n">
        <v>45944.40949074074</v>
      </c>
      <c r="C5684" s="1" t="n">
        <v>46145</v>
      </c>
      <c r="D5684" t="inlineStr">
        <is>
          <t>VÄSTERBOTTENS LÄN</t>
        </is>
      </c>
      <c r="E5684" t="inlineStr">
        <is>
          <t>STORUMAN</t>
        </is>
      </c>
      <c r="F5684" t="inlineStr">
        <is>
          <t>Holmen skog AB</t>
        </is>
      </c>
      <c r="G5684" t="n">
        <v>14.8</v>
      </c>
      <c r="H5684" t="n">
        <v>0</v>
      </c>
      <c r="I5684" t="n">
        <v>0</v>
      </c>
      <c r="J5684" t="n">
        <v>0</v>
      </c>
      <c r="K5684" t="n">
        <v>0</v>
      </c>
      <c r="L5684" t="n">
        <v>0</v>
      </c>
      <c r="M5684" t="n">
        <v>0</v>
      </c>
      <c r="N5684" t="n">
        <v>0</v>
      </c>
      <c r="O5684" t="n">
        <v>0</v>
      </c>
      <c r="P5684" t="n">
        <v>0</v>
      </c>
      <c r="Q5684" t="n">
        <v>0</v>
      </c>
      <c r="R5684" s="2" t="inlineStr"/>
    </row>
    <row r="5685" ht="15" customHeight="1">
      <c r="A5685" t="inlineStr">
        <is>
          <t>A 50278-2025</t>
        </is>
      </c>
      <c r="B5685" s="1" t="n">
        <v>45944.3794212963</v>
      </c>
      <c r="C5685" s="1" t="n">
        <v>46145</v>
      </c>
      <c r="D5685" t="inlineStr">
        <is>
          <t>VÄSTERBOTTENS LÄN</t>
        </is>
      </c>
      <c r="E5685" t="inlineStr">
        <is>
          <t>ÅSELE</t>
        </is>
      </c>
      <c r="F5685" t="inlineStr">
        <is>
          <t>Sveaskog</t>
        </is>
      </c>
      <c r="G5685" t="n">
        <v>18.8</v>
      </c>
      <c r="H5685" t="n">
        <v>0</v>
      </c>
      <c r="I5685" t="n">
        <v>0</v>
      </c>
      <c r="J5685" t="n">
        <v>0</v>
      </c>
      <c r="K5685" t="n">
        <v>0</v>
      </c>
      <c r="L5685" t="n">
        <v>0</v>
      </c>
      <c r="M5685" t="n">
        <v>0</v>
      </c>
      <c r="N5685" t="n">
        <v>0</v>
      </c>
      <c r="O5685" t="n">
        <v>0</v>
      </c>
      <c r="P5685" t="n">
        <v>0</v>
      </c>
      <c r="Q5685" t="n">
        <v>0</v>
      </c>
      <c r="R5685" s="2" t="inlineStr"/>
    </row>
    <row r="5686" ht="15" customHeight="1">
      <c r="A5686" t="inlineStr">
        <is>
          <t>A 50301-2025</t>
        </is>
      </c>
      <c r="B5686" s="1" t="n">
        <v>45944.41266203704</v>
      </c>
      <c r="C5686" s="1" t="n">
        <v>46145</v>
      </c>
      <c r="D5686" t="inlineStr">
        <is>
          <t>VÄSTERBOTTENS LÄN</t>
        </is>
      </c>
      <c r="E5686" t="inlineStr">
        <is>
          <t>ÅSELE</t>
        </is>
      </c>
      <c r="F5686" t="inlineStr">
        <is>
          <t>Sveaskog</t>
        </is>
      </c>
      <c r="G5686" t="n">
        <v>21.8</v>
      </c>
      <c r="H5686" t="n">
        <v>0</v>
      </c>
      <c r="I5686" t="n">
        <v>0</v>
      </c>
      <c r="J5686" t="n">
        <v>0</v>
      </c>
      <c r="K5686" t="n">
        <v>0</v>
      </c>
      <c r="L5686" t="n">
        <v>0</v>
      </c>
      <c r="M5686" t="n">
        <v>0</v>
      </c>
      <c r="N5686" t="n">
        <v>0</v>
      </c>
      <c r="O5686" t="n">
        <v>0</v>
      </c>
      <c r="P5686" t="n">
        <v>0</v>
      </c>
      <c r="Q5686" t="n">
        <v>0</v>
      </c>
      <c r="R5686" s="2" t="inlineStr"/>
    </row>
    <row r="5687" ht="15" customHeight="1">
      <c r="A5687" t="inlineStr">
        <is>
          <t>A 50364-2025</t>
        </is>
      </c>
      <c r="B5687" s="1" t="n">
        <v>45944.56780092593</v>
      </c>
      <c r="C5687" s="1" t="n">
        <v>46145</v>
      </c>
      <c r="D5687" t="inlineStr">
        <is>
          <t>VÄSTERBOTTENS LÄN</t>
        </is>
      </c>
      <c r="E5687" t="inlineStr">
        <is>
          <t>ÅSELE</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7057-2025</t>
        </is>
      </c>
      <c r="B5688" s="1" t="n">
        <v>45701.65417824074</v>
      </c>
      <c r="C5688" s="1" t="n">
        <v>46145</v>
      </c>
      <c r="D5688" t="inlineStr">
        <is>
          <t>VÄSTERBOTTENS LÄN</t>
        </is>
      </c>
      <c r="E5688" t="inlineStr">
        <is>
          <t>MALÅ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59330-2022</t>
        </is>
      </c>
      <c r="B5689" s="1" t="n">
        <v>44904.64789351852</v>
      </c>
      <c r="C5689" s="1" t="n">
        <v>46145</v>
      </c>
      <c r="D5689" t="inlineStr">
        <is>
          <t>VÄSTERBOTTENS LÄN</t>
        </is>
      </c>
      <c r="E5689" t="inlineStr">
        <is>
          <t>LYCKSELE</t>
        </is>
      </c>
      <c r="F5689" t="inlineStr">
        <is>
          <t>Sveaskog</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59333-2022</t>
        </is>
      </c>
      <c r="B5690" s="1" t="n">
        <v>44904.65288194444</v>
      </c>
      <c r="C5690" s="1" t="n">
        <v>46145</v>
      </c>
      <c r="D5690" t="inlineStr">
        <is>
          <t>VÄSTERBOTTENS LÄN</t>
        </is>
      </c>
      <c r="E5690" t="inlineStr">
        <is>
          <t>STORUMAN</t>
        </is>
      </c>
      <c r="F5690" t="inlineStr">
        <is>
          <t>Sveaskog</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50148-2025</t>
        </is>
      </c>
      <c r="B5691" s="1" t="n">
        <v>45943.57296296296</v>
      </c>
      <c r="C5691" s="1" t="n">
        <v>46145</v>
      </c>
      <c r="D5691" t="inlineStr">
        <is>
          <t>VÄSTERBOTTENS LÄN</t>
        </is>
      </c>
      <c r="E5691" t="inlineStr">
        <is>
          <t>VILHELMINA</t>
        </is>
      </c>
      <c r="G5691" t="n">
        <v>18.9</v>
      </c>
      <c r="H5691" t="n">
        <v>0</v>
      </c>
      <c r="I5691" t="n">
        <v>0</v>
      </c>
      <c r="J5691" t="n">
        <v>0</v>
      </c>
      <c r="K5691" t="n">
        <v>0</v>
      </c>
      <c r="L5691" t="n">
        <v>0</v>
      </c>
      <c r="M5691" t="n">
        <v>0</v>
      </c>
      <c r="N5691" t="n">
        <v>0</v>
      </c>
      <c r="O5691" t="n">
        <v>0</v>
      </c>
      <c r="P5691" t="n">
        <v>0</v>
      </c>
      <c r="Q5691" t="n">
        <v>0</v>
      </c>
      <c r="R5691" s="2" t="inlineStr"/>
    </row>
    <row r="5692" ht="15" customHeight="1">
      <c r="A5692" t="inlineStr">
        <is>
          <t>A 50028-2025</t>
        </is>
      </c>
      <c r="B5692" s="1" t="n">
        <v>45943.38590277778</v>
      </c>
      <c r="C5692" s="1" t="n">
        <v>46145</v>
      </c>
      <c r="D5692" t="inlineStr">
        <is>
          <t>VÄSTERBOTTENS LÄN</t>
        </is>
      </c>
      <c r="E5692" t="inlineStr">
        <is>
          <t>NORSJÖ</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50046-2025</t>
        </is>
      </c>
      <c r="B5693" s="1" t="n">
        <v>45943.40912037037</v>
      </c>
      <c r="C5693" s="1" t="n">
        <v>46145</v>
      </c>
      <c r="D5693" t="inlineStr">
        <is>
          <t>VÄSTERBOTTENS LÄN</t>
        </is>
      </c>
      <c r="E5693" t="inlineStr">
        <is>
          <t>BJURHOLM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50039-2025</t>
        </is>
      </c>
      <c r="B5694" s="1" t="n">
        <v>45943.40211805556</v>
      </c>
      <c r="C5694" s="1" t="n">
        <v>46145</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50365-2025</t>
        </is>
      </c>
      <c r="B5695" s="1" t="n">
        <v>45944.5691087963</v>
      </c>
      <c r="C5695" s="1" t="n">
        <v>46145</v>
      </c>
      <c r="D5695" t="inlineStr">
        <is>
          <t>VÄSTERBOTTENS LÄN</t>
        </is>
      </c>
      <c r="E5695" t="inlineStr">
        <is>
          <t>UMEÅ</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50368-2025</t>
        </is>
      </c>
      <c r="B5696" s="1" t="n">
        <v>45944.57844907408</v>
      </c>
      <c r="C5696" s="1" t="n">
        <v>46145</v>
      </c>
      <c r="D5696" t="inlineStr">
        <is>
          <t>VÄSTERBOTTENS LÄN</t>
        </is>
      </c>
      <c r="E5696" t="inlineStr">
        <is>
          <t>ÅSELE</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50299-2025</t>
        </is>
      </c>
      <c r="B5697" s="1" t="n">
        <v>45944.41221064814</v>
      </c>
      <c r="C5697" s="1" t="n">
        <v>46145</v>
      </c>
      <c r="D5697" t="inlineStr">
        <is>
          <t>VÄSTERBOTTENS LÄN</t>
        </is>
      </c>
      <c r="E5697" t="inlineStr">
        <is>
          <t>SKELLEFTEÅ</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50412-2025</t>
        </is>
      </c>
      <c r="B5698" s="1" t="n">
        <v>45944.64483796297</v>
      </c>
      <c r="C5698" s="1" t="n">
        <v>46145</v>
      </c>
      <c r="D5698" t="inlineStr">
        <is>
          <t>VÄSTERBOTTENS LÄN</t>
        </is>
      </c>
      <c r="E5698" t="inlineStr">
        <is>
          <t>VINDELN</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12375-2024</t>
        </is>
      </c>
      <c r="B5699" s="1" t="n">
        <v>45378</v>
      </c>
      <c r="C5699" s="1" t="n">
        <v>46145</v>
      </c>
      <c r="D5699" t="inlineStr">
        <is>
          <t>VÄSTERBOTTENS LÄN</t>
        </is>
      </c>
      <c r="E5699" t="inlineStr">
        <is>
          <t>NORDMALING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50239-2025</t>
        </is>
      </c>
      <c r="B5700" s="1" t="n">
        <v>45943.79672453704</v>
      </c>
      <c r="C5700" s="1" t="n">
        <v>46145</v>
      </c>
      <c r="D5700" t="inlineStr">
        <is>
          <t>VÄSTERBOTTENS LÄN</t>
        </is>
      </c>
      <c r="E5700" t="inlineStr">
        <is>
          <t>ÅSELE</t>
        </is>
      </c>
      <c r="F5700" t="inlineStr">
        <is>
          <t>Holmen skog AB</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50250-2025</t>
        </is>
      </c>
      <c r="B5701" s="1" t="n">
        <v>45944.31614583333</v>
      </c>
      <c r="C5701" s="1" t="n">
        <v>46145</v>
      </c>
      <c r="D5701" t="inlineStr">
        <is>
          <t>VÄSTERBOTTENS LÄN</t>
        </is>
      </c>
      <c r="E5701" t="inlineStr">
        <is>
          <t>UMEÅ</t>
        </is>
      </c>
      <c r="G5701" t="n">
        <v>9.1</v>
      </c>
      <c r="H5701" t="n">
        <v>0</v>
      </c>
      <c r="I5701" t="n">
        <v>0</v>
      </c>
      <c r="J5701" t="n">
        <v>0</v>
      </c>
      <c r="K5701" t="n">
        <v>0</v>
      </c>
      <c r="L5701" t="n">
        <v>0</v>
      </c>
      <c r="M5701" t="n">
        <v>0</v>
      </c>
      <c r="N5701" t="n">
        <v>0</v>
      </c>
      <c r="O5701" t="n">
        <v>0</v>
      </c>
      <c r="P5701" t="n">
        <v>0</v>
      </c>
      <c r="Q5701" t="n">
        <v>0</v>
      </c>
      <c r="R5701" s="2" t="inlineStr"/>
    </row>
    <row r="5702" ht="15" customHeight="1">
      <c r="A5702" t="inlineStr">
        <is>
          <t>A 50037-2025</t>
        </is>
      </c>
      <c r="B5702" s="1" t="n">
        <v>45943</v>
      </c>
      <c r="C5702" s="1" t="n">
        <v>46145</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47874-2025</t>
        </is>
      </c>
      <c r="B5703" s="1" t="n">
        <v>45932</v>
      </c>
      <c r="C5703" s="1" t="n">
        <v>46145</v>
      </c>
      <c r="D5703" t="inlineStr">
        <is>
          <t>VÄSTERBOTTENS LÄN</t>
        </is>
      </c>
      <c r="E5703" t="inlineStr">
        <is>
          <t>SKELLEFTEÅ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51734-2021</t>
        </is>
      </c>
      <c r="B5704" s="1" t="n">
        <v>44461</v>
      </c>
      <c r="C5704" s="1" t="n">
        <v>46145</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50061-2025</t>
        </is>
      </c>
      <c r="B5705" s="1" t="n">
        <v>45943.44413194444</v>
      </c>
      <c r="C5705" s="1" t="n">
        <v>46145</v>
      </c>
      <c r="D5705" t="inlineStr">
        <is>
          <t>VÄSTERBOTTENS LÄN</t>
        </is>
      </c>
      <c r="E5705" t="inlineStr">
        <is>
          <t>SKELLEFTEÅ</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50087-2025</t>
        </is>
      </c>
      <c r="B5706" s="1" t="n">
        <v>45943.47863425926</v>
      </c>
      <c r="C5706" s="1" t="n">
        <v>46145</v>
      </c>
      <c r="D5706" t="inlineStr">
        <is>
          <t>VÄSTERBOTTENS LÄN</t>
        </is>
      </c>
      <c r="E5706" t="inlineStr">
        <is>
          <t>STORUMAN</t>
        </is>
      </c>
      <c r="F5706" t="inlineStr">
        <is>
          <t>Sveaskog</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50166-2025</t>
        </is>
      </c>
      <c r="B5707" s="1" t="n">
        <v>45943</v>
      </c>
      <c r="C5707" s="1" t="n">
        <v>46145</v>
      </c>
      <c r="D5707" t="inlineStr">
        <is>
          <t>VÄSTERBOTTENS LÄN</t>
        </is>
      </c>
      <c r="E5707" t="inlineStr">
        <is>
          <t>SKELLEFTEÅ</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17890-2024</t>
        </is>
      </c>
      <c r="B5708" s="1" t="n">
        <v>45419.47606481481</v>
      </c>
      <c r="C5708" s="1" t="n">
        <v>46145</v>
      </c>
      <c r="D5708" t="inlineStr">
        <is>
          <t>VÄSTERBOTTENS LÄN</t>
        </is>
      </c>
      <c r="E5708" t="inlineStr">
        <is>
          <t>NORDMALING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50319-2025</t>
        </is>
      </c>
      <c r="B5709" s="1" t="n">
        <v>45944.45122685185</v>
      </c>
      <c r="C5709" s="1" t="n">
        <v>46145</v>
      </c>
      <c r="D5709" t="inlineStr">
        <is>
          <t>VÄSTERBOTTENS LÄN</t>
        </is>
      </c>
      <c r="E5709" t="inlineStr">
        <is>
          <t>ÅSELE</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50323-2025</t>
        </is>
      </c>
      <c r="B5710" s="1" t="n">
        <v>45944.45759259259</v>
      </c>
      <c r="C5710" s="1" t="n">
        <v>46145</v>
      </c>
      <c r="D5710" t="inlineStr">
        <is>
          <t>VÄSTERBOTTENS LÄN</t>
        </is>
      </c>
      <c r="E5710" t="inlineStr">
        <is>
          <t>ÅSELE</t>
        </is>
      </c>
      <c r="F5710" t="inlineStr">
        <is>
          <t>Sveaskog</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50326-2025</t>
        </is>
      </c>
      <c r="B5711" s="1" t="n">
        <v>45944.46233796296</v>
      </c>
      <c r="C5711" s="1" t="n">
        <v>46145</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50354-2025</t>
        </is>
      </c>
      <c r="B5712" s="1" t="n">
        <v>45944.55519675926</v>
      </c>
      <c r="C5712" s="1" t="n">
        <v>46145</v>
      </c>
      <c r="D5712" t="inlineStr">
        <is>
          <t>VÄSTERBOTTENS LÄN</t>
        </is>
      </c>
      <c r="E5712" t="inlineStr">
        <is>
          <t>ÅSELE</t>
        </is>
      </c>
      <c r="F5712" t="inlineStr">
        <is>
          <t>Sveaskog</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50369-2025</t>
        </is>
      </c>
      <c r="B5713" s="1" t="n">
        <v>45944.58130787037</v>
      </c>
      <c r="C5713" s="1" t="n">
        <v>46145</v>
      </c>
      <c r="D5713" t="inlineStr">
        <is>
          <t>VÄSTERBOTTENS LÄN</t>
        </is>
      </c>
      <c r="E5713" t="inlineStr">
        <is>
          <t>SKELLEFTEÅ</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50379-2025</t>
        </is>
      </c>
      <c r="B5714" s="1" t="n">
        <v>45944.59688657407</v>
      </c>
      <c r="C5714" s="1" t="n">
        <v>46145</v>
      </c>
      <c r="D5714" t="inlineStr">
        <is>
          <t>VÄSTERBOTTENS LÄN</t>
        </is>
      </c>
      <c r="E5714" t="inlineStr">
        <is>
          <t>UMEÅ</t>
        </is>
      </c>
      <c r="F5714" t="inlineStr">
        <is>
          <t>Holmen skog AB</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50381-2025</t>
        </is>
      </c>
      <c r="B5715" s="1" t="n">
        <v>45944.59734953703</v>
      </c>
      <c r="C5715" s="1" t="n">
        <v>46145</v>
      </c>
      <c r="D5715" t="inlineStr">
        <is>
          <t>VÄSTERBOTTENS LÄN</t>
        </is>
      </c>
      <c r="E5715" t="inlineStr">
        <is>
          <t>SKELLEFTEÅ</t>
        </is>
      </c>
      <c r="F5715" t="inlineStr">
        <is>
          <t>Holmen skog AB</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58961-2022</t>
        </is>
      </c>
      <c r="B5716" s="1" t="n">
        <v>44903</v>
      </c>
      <c r="C5716" s="1" t="n">
        <v>46145</v>
      </c>
      <c r="D5716" t="inlineStr">
        <is>
          <t>VÄSTERBOTTENS LÄN</t>
        </is>
      </c>
      <c r="E5716" t="inlineStr">
        <is>
          <t>LYCKSELE</t>
        </is>
      </c>
      <c r="F5716" t="inlineStr">
        <is>
          <t>Holmen skog AB</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59833-2022</t>
        </is>
      </c>
      <c r="B5717" s="1" t="n">
        <v>44901</v>
      </c>
      <c r="C5717" s="1" t="n">
        <v>46145</v>
      </c>
      <c r="D5717" t="inlineStr">
        <is>
          <t>VÄSTERBOTTENS LÄN</t>
        </is>
      </c>
      <c r="E5717" t="inlineStr">
        <is>
          <t>ROBERTSFORS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49970-2025</t>
        </is>
      </c>
      <c r="B5718" s="1" t="n">
        <v>45941.82208333333</v>
      </c>
      <c r="C5718" s="1" t="n">
        <v>46145</v>
      </c>
      <c r="D5718" t="inlineStr">
        <is>
          <t>VÄSTERBOTTENS LÄN</t>
        </is>
      </c>
      <c r="E5718" t="inlineStr">
        <is>
          <t>SKELLEFTEÅ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50159-2025</t>
        </is>
      </c>
      <c r="B5719" s="1" t="n">
        <v>45943.58391203704</v>
      </c>
      <c r="C5719" s="1" t="n">
        <v>46145</v>
      </c>
      <c r="D5719" t="inlineStr">
        <is>
          <t>VÄSTERBOTTENS LÄN</t>
        </is>
      </c>
      <c r="E5719" t="inlineStr">
        <is>
          <t>UMEÅ</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50158-2025</t>
        </is>
      </c>
      <c r="B5720" s="1" t="n">
        <v>45943.58369212963</v>
      </c>
      <c r="C5720" s="1" t="n">
        <v>46145</v>
      </c>
      <c r="D5720" t="inlineStr">
        <is>
          <t>VÄSTERBOTTENS LÄN</t>
        </is>
      </c>
      <c r="E5720" t="inlineStr">
        <is>
          <t>SKELLEFTEÅ</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40485-2024</t>
        </is>
      </c>
      <c r="B5721" s="1" t="n">
        <v>45555.55734953703</v>
      </c>
      <c r="C5721" s="1" t="n">
        <v>46145</v>
      </c>
      <c r="D5721" t="inlineStr">
        <is>
          <t>VÄSTERBOTTENS LÄN</t>
        </is>
      </c>
      <c r="E5721" t="inlineStr">
        <is>
          <t>VINDELN</t>
        </is>
      </c>
      <c r="F5721" t="inlineStr">
        <is>
          <t>Holmen skog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40488-2024</t>
        </is>
      </c>
      <c r="B5722" s="1" t="n">
        <v>45555.55739583333</v>
      </c>
      <c r="C5722" s="1" t="n">
        <v>46145</v>
      </c>
      <c r="D5722" t="inlineStr">
        <is>
          <t>VÄSTERBOTTENS LÄN</t>
        </is>
      </c>
      <c r="E5722" t="inlineStr">
        <is>
          <t>LYCKSELE</t>
        </is>
      </c>
      <c r="F5722" t="inlineStr">
        <is>
          <t>Sveaskog</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49971-2025</t>
        </is>
      </c>
      <c r="B5723" s="1" t="n">
        <v>45941.83613425926</v>
      </c>
      <c r="C5723" s="1" t="n">
        <v>46145</v>
      </c>
      <c r="D5723" t="inlineStr">
        <is>
          <t>VÄSTERBOTTENS LÄN</t>
        </is>
      </c>
      <c r="E5723" t="inlineStr">
        <is>
          <t>SKELLEFTEÅ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27372-2023</t>
        </is>
      </c>
      <c r="B5724" s="1" t="n">
        <v>45096.93851851852</v>
      </c>
      <c r="C5724" s="1" t="n">
        <v>46145</v>
      </c>
      <c r="D5724" t="inlineStr">
        <is>
          <t>VÄSTERBOTTENS LÄN</t>
        </is>
      </c>
      <c r="E5724" t="inlineStr">
        <is>
          <t>NORDMALING</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36070-2023</t>
        </is>
      </c>
      <c r="B5725" s="1" t="n">
        <v>45149</v>
      </c>
      <c r="C5725" s="1" t="n">
        <v>46145</v>
      </c>
      <c r="D5725" t="inlineStr">
        <is>
          <t>VÄSTERBOTTENS LÄN</t>
        </is>
      </c>
      <c r="E5725" t="inlineStr">
        <is>
          <t>ÅSELE</t>
        </is>
      </c>
      <c r="F5725" t="inlineStr">
        <is>
          <t>Holmen skog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29747-2023</t>
        </is>
      </c>
      <c r="B5726" s="1" t="n">
        <v>45107</v>
      </c>
      <c r="C5726" s="1" t="n">
        <v>46145</v>
      </c>
      <c r="D5726" t="inlineStr">
        <is>
          <t>VÄSTERBOTTENS LÄN</t>
        </is>
      </c>
      <c r="E5726" t="inlineStr">
        <is>
          <t>STORUMAN</t>
        </is>
      </c>
      <c r="F5726" t="inlineStr">
        <is>
          <t>Holmen skog AB</t>
        </is>
      </c>
      <c r="G5726" t="n">
        <v>13.3</v>
      </c>
      <c r="H5726" t="n">
        <v>0</v>
      </c>
      <c r="I5726" t="n">
        <v>0</v>
      </c>
      <c r="J5726" t="n">
        <v>0</v>
      </c>
      <c r="K5726" t="n">
        <v>0</v>
      </c>
      <c r="L5726" t="n">
        <v>0</v>
      </c>
      <c r="M5726" t="n">
        <v>0</v>
      </c>
      <c r="N5726" t="n">
        <v>0</v>
      </c>
      <c r="O5726" t="n">
        <v>0</v>
      </c>
      <c r="P5726" t="n">
        <v>0</v>
      </c>
      <c r="Q5726" t="n">
        <v>0</v>
      </c>
      <c r="R5726" s="2" t="inlineStr"/>
    </row>
    <row r="5727" ht="15" customHeight="1">
      <c r="A5727" t="inlineStr">
        <is>
          <t>A 50029-2025</t>
        </is>
      </c>
      <c r="B5727" s="1" t="n">
        <v>45943.38599537037</v>
      </c>
      <c r="C5727" s="1" t="n">
        <v>46145</v>
      </c>
      <c r="D5727" t="inlineStr">
        <is>
          <t>VÄSTERBOTTENS LÄN</t>
        </is>
      </c>
      <c r="E5727" t="inlineStr">
        <is>
          <t>NORSJÖ</t>
        </is>
      </c>
      <c r="G5727" t="n">
        <v>25.3</v>
      </c>
      <c r="H5727" t="n">
        <v>0</v>
      </c>
      <c r="I5727" t="n">
        <v>0</v>
      </c>
      <c r="J5727" t="n">
        <v>0</v>
      </c>
      <c r="K5727" t="n">
        <v>0</v>
      </c>
      <c r="L5727" t="n">
        <v>0</v>
      </c>
      <c r="M5727" t="n">
        <v>0</v>
      </c>
      <c r="N5727" t="n">
        <v>0</v>
      </c>
      <c r="O5727" t="n">
        <v>0</v>
      </c>
      <c r="P5727" t="n">
        <v>0</v>
      </c>
      <c r="Q5727" t="n">
        <v>0</v>
      </c>
      <c r="R5727" s="2" t="inlineStr"/>
    </row>
    <row r="5728" ht="15" customHeight="1">
      <c r="A5728" t="inlineStr">
        <is>
          <t>A 49968-2025</t>
        </is>
      </c>
      <c r="B5728" s="1" t="n">
        <v>45941.80741898148</v>
      </c>
      <c r="C5728" s="1" t="n">
        <v>46145</v>
      </c>
      <c r="D5728" t="inlineStr">
        <is>
          <t>VÄSTERBOTTENS LÄN</t>
        </is>
      </c>
      <c r="E5728" t="inlineStr">
        <is>
          <t>LYCKSELE</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50027-2025</t>
        </is>
      </c>
      <c r="B5729" s="1" t="n">
        <v>45943.38288194445</v>
      </c>
      <c r="C5729" s="1" t="n">
        <v>46145</v>
      </c>
      <c r="D5729" t="inlineStr">
        <is>
          <t>VÄSTERBOTTENS LÄN</t>
        </is>
      </c>
      <c r="E5729" t="inlineStr">
        <is>
          <t>BJURHOLM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50374-2025</t>
        </is>
      </c>
      <c r="B5730" s="1" t="n">
        <v>45944.59637731482</v>
      </c>
      <c r="C5730" s="1" t="n">
        <v>46145</v>
      </c>
      <c r="D5730" t="inlineStr">
        <is>
          <t>VÄSTERBOTTENS LÄN</t>
        </is>
      </c>
      <c r="E5730" t="inlineStr">
        <is>
          <t>ÅSELE</t>
        </is>
      </c>
      <c r="F5730" t="inlineStr">
        <is>
          <t>Holmen skog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52680-2021</t>
        </is>
      </c>
      <c r="B5731" s="1" t="n">
        <v>44466</v>
      </c>
      <c r="C5731" s="1" t="n">
        <v>46145</v>
      </c>
      <c r="D5731" t="inlineStr">
        <is>
          <t>VÄSTERBOTTENS LÄN</t>
        </is>
      </c>
      <c r="E5731" t="inlineStr">
        <is>
          <t>SORSELE</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50386-2025</t>
        </is>
      </c>
      <c r="B5732" s="1" t="n">
        <v>45944.61359953704</v>
      </c>
      <c r="C5732" s="1" t="n">
        <v>46145</v>
      </c>
      <c r="D5732" t="inlineStr">
        <is>
          <t>VÄSTERBOTTENS LÄN</t>
        </is>
      </c>
      <c r="E5732" t="inlineStr">
        <is>
          <t>NORDMALING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14276-2025</t>
        </is>
      </c>
      <c r="B5733" s="1" t="n">
        <v>45740.64665509259</v>
      </c>
      <c r="C5733" s="1" t="n">
        <v>46145</v>
      </c>
      <c r="D5733" t="inlineStr">
        <is>
          <t>VÄSTERBOTTENS LÄN</t>
        </is>
      </c>
      <c r="E5733" t="inlineStr">
        <is>
          <t>LYCKSELE</t>
        </is>
      </c>
      <c r="G5733" t="n">
        <v>34.9</v>
      </c>
      <c r="H5733" t="n">
        <v>0</v>
      </c>
      <c r="I5733" t="n">
        <v>0</v>
      </c>
      <c r="J5733" t="n">
        <v>0</v>
      </c>
      <c r="K5733" t="n">
        <v>0</v>
      </c>
      <c r="L5733" t="n">
        <v>0</v>
      </c>
      <c r="M5733" t="n">
        <v>0</v>
      </c>
      <c r="N5733" t="n">
        <v>0</v>
      </c>
      <c r="O5733" t="n">
        <v>0</v>
      </c>
      <c r="P5733" t="n">
        <v>0</v>
      </c>
      <c r="Q5733" t="n">
        <v>0</v>
      </c>
      <c r="R5733" s="2" t="inlineStr"/>
    </row>
    <row r="5734" ht="15" customHeight="1">
      <c r="A5734" t="inlineStr">
        <is>
          <t>A 489-2024</t>
        </is>
      </c>
      <c r="B5734" s="1" t="n">
        <v>45298</v>
      </c>
      <c r="C5734" s="1" t="n">
        <v>46145</v>
      </c>
      <c r="D5734" t="inlineStr">
        <is>
          <t>VÄSTERBOTTENS LÄN</t>
        </is>
      </c>
      <c r="E5734" t="inlineStr">
        <is>
          <t>UMEÅ</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41160-2024</t>
        </is>
      </c>
      <c r="B5735" s="1" t="n">
        <v>45559.47989583333</v>
      </c>
      <c r="C5735" s="1" t="n">
        <v>46145</v>
      </c>
      <c r="D5735" t="inlineStr">
        <is>
          <t>VÄSTERBOTTENS LÄN</t>
        </is>
      </c>
      <c r="E5735" t="inlineStr">
        <is>
          <t>ÅSELE</t>
        </is>
      </c>
      <c r="F5735" t="inlineStr">
        <is>
          <t>Sveaskog</t>
        </is>
      </c>
      <c r="G5735" t="n">
        <v>18.8</v>
      </c>
      <c r="H5735" t="n">
        <v>0</v>
      </c>
      <c r="I5735" t="n">
        <v>0</v>
      </c>
      <c r="J5735" t="n">
        <v>0</v>
      </c>
      <c r="K5735" t="n">
        <v>0</v>
      </c>
      <c r="L5735" t="n">
        <v>0</v>
      </c>
      <c r="M5735" t="n">
        <v>0</v>
      </c>
      <c r="N5735" t="n">
        <v>0</v>
      </c>
      <c r="O5735" t="n">
        <v>0</v>
      </c>
      <c r="P5735" t="n">
        <v>0</v>
      </c>
      <c r="Q5735" t="n">
        <v>0</v>
      </c>
      <c r="R5735" s="2" t="inlineStr"/>
    </row>
    <row r="5736" ht="15" customHeight="1">
      <c r="A5736" t="inlineStr">
        <is>
          <t>A 50083-2025</t>
        </is>
      </c>
      <c r="B5736" s="1" t="n">
        <v>45943.47158564815</v>
      </c>
      <c r="C5736" s="1" t="n">
        <v>46145</v>
      </c>
      <c r="D5736" t="inlineStr">
        <is>
          <t>VÄSTERBOTTENS LÄN</t>
        </is>
      </c>
      <c r="E5736" t="inlineStr">
        <is>
          <t>STORUMAN</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18339-2025</t>
        </is>
      </c>
      <c r="B5737" s="1" t="n">
        <v>45762.51096064815</v>
      </c>
      <c r="C5737" s="1" t="n">
        <v>46145</v>
      </c>
      <c r="D5737" t="inlineStr">
        <is>
          <t>VÄSTERBOTTENS LÄN</t>
        </is>
      </c>
      <c r="E5737" t="inlineStr">
        <is>
          <t>LYCKSELE</t>
        </is>
      </c>
      <c r="F5737" t="inlineStr">
        <is>
          <t>Naturvårdsverket</t>
        </is>
      </c>
      <c r="G5737" t="n">
        <v>13.4</v>
      </c>
      <c r="H5737" t="n">
        <v>0</v>
      </c>
      <c r="I5737" t="n">
        <v>0</v>
      </c>
      <c r="J5737" t="n">
        <v>0</v>
      </c>
      <c r="K5737" t="n">
        <v>0</v>
      </c>
      <c r="L5737" t="n">
        <v>0</v>
      </c>
      <c r="M5737" t="n">
        <v>0</v>
      </c>
      <c r="N5737" t="n">
        <v>0</v>
      </c>
      <c r="O5737" t="n">
        <v>0</v>
      </c>
      <c r="P5737" t="n">
        <v>0</v>
      </c>
      <c r="Q5737" t="n">
        <v>0</v>
      </c>
      <c r="R5737" s="2" t="inlineStr"/>
    </row>
    <row r="5738" ht="15" customHeight="1">
      <c r="A5738" t="inlineStr">
        <is>
          <t>A 50360-2025</t>
        </is>
      </c>
      <c r="B5738" s="1" t="n">
        <v>45944.56261574074</v>
      </c>
      <c r="C5738" s="1" t="n">
        <v>46145</v>
      </c>
      <c r="D5738" t="inlineStr">
        <is>
          <t>VÄSTERBOTTENS LÄN</t>
        </is>
      </c>
      <c r="E5738" t="inlineStr">
        <is>
          <t>DOROTEA</t>
        </is>
      </c>
      <c r="F5738" t="inlineStr">
        <is>
          <t>Sveaskog</t>
        </is>
      </c>
      <c r="G5738" t="n">
        <v>17.7</v>
      </c>
      <c r="H5738" t="n">
        <v>0</v>
      </c>
      <c r="I5738" t="n">
        <v>0</v>
      </c>
      <c r="J5738" t="n">
        <v>0</v>
      </c>
      <c r="K5738" t="n">
        <v>0</v>
      </c>
      <c r="L5738" t="n">
        <v>0</v>
      </c>
      <c r="M5738" t="n">
        <v>0</v>
      </c>
      <c r="N5738" t="n">
        <v>0</v>
      </c>
      <c r="O5738" t="n">
        <v>0</v>
      </c>
      <c r="P5738" t="n">
        <v>0</v>
      </c>
      <c r="Q5738" t="n">
        <v>0</v>
      </c>
      <c r="R5738" s="2" t="inlineStr"/>
    </row>
    <row r="5739" ht="15" customHeight="1">
      <c r="A5739" t="inlineStr">
        <is>
          <t>A 50036-2025</t>
        </is>
      </c>
      <c r="B5739" s="1" t="n">
        <v>45943.39673611111</v>
      </c>
      <c r="C5739" s="1" t="n">
        <v>46145</v>
      </c>
      <c r="D5739" t="inlineStr">
        <is>
          <t>VÄSTERBOTTENS LÄN</t>
        </is>
      </c>
      <c r="E5739" t="inlineStr">
        <is>
          <t>SKELLEFTEÅ</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50041-2025</t>
        </is>
      </c>
      <c r="B5740" s="1" t="n">
        <v>45943.40491898148</v>
      </c>
      <c r="C5740" s="1" t="n">
        <v>46145</v>
      </c>
      <c r="D5740" t="inlineStr">
        <is>
          <t>VÄSTERBOTTENS LÄN</t>
        </is>
      </c>
      <c r="E5740" t="inlineStr">
        <is>
          <t>BJURHOLM</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48945-2022</t>
        </is>
      </c>
      <c r="B5741" s="1" t="n">
        <v>44859.95755787037</v>
      </c>
      <c r="C5741" s="1" t="n">
        <v>46145</v>
      </c>
      <c r="D5741" t="inlineStr">
        <is>
          <t>VÄSTERBOTTENS LÄN</t>
        </is>
      </c>
      <c r="E5741" t="inlineStr">
        <is>
          <t>NORDMALING</t>
        </is>
      </c>
      <c r="F5741" t="inlineStr">
        <is>
          <t>SCA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50071-2025</t>
        </is>
      </c>
      <c r="B5742" s="1" t="n">
        <v>45943.45949074074</v>
      </c>
      <c r="C5742" s="1" t="n">
        <v>46145</v>
      </c>
      <c r="D5742" t="inlineStr">
        <is>
          <t>VÄSTERBOTTENS LÄN</t>
        </is>
      </c>
      <c r="E5742" t="inlineStr">
        <is>
          <t>STORUMAN</t>
        </is>
      </c>
      <c r="F5742" t="inlineStr">
        <is>
          <t>Sveaskog</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957-2023</t>
        </is>
      </c>
      <c r="B5743" s="1" t="n">
        <v>44934.85548611111</v>
      </c>
      <c r="C5743" s="1" t="n">
        <v>46145</v>
      </c>
      <c r="D5743" t="inlineStr">
        <is>
          <t>VÄSTERBOTTENS LÄN</t>
        </is>
      </c>
      <c r="E5743" t="inlineStr">
        <is>
          <t>LYCKSELE</t>
        </is>
      </c>
      <c r="F5743" t="inlineStr">
        <is>
          <t>Sveaskog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50234-2025</t>
        </is>
      </c>
      <c r="B5744" s="1" t="n">
        <v>45943.71912037037</v>
      </c>
      <c r="C5744" s="1" t="n">
        <v>46145</v>
      </c>
      <c r="D5744" t="inlineStr">
        <is>
          <t>VÄSTERBOTTENS LÄN</t>
        </is>
      </c>
      <c r="E5744" t="inlineStr">
        <is>
          <t>ÅSELE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50235-2025</t>
        </is>
      </c>
      <c r="B5745" s="1" t="n">
        <v>45943.73505787037</v>
      </c>
      <c r="C5745" s="1" t="n">
        <v>46145</v>
      </c>
      <c r="D5745" t="inlineStr">
        <is>
          <t>VÄSTERBOTTENS LÄN</t>
        </is>
      </c>
      <c r="E5745" t="inlineStr">
        <is>
          <t>SKELLEFTEÅ</t>
        </is>
      </c>
      <c r="F5745" t="inlineStr">
        <is>
          <t>Sveaskog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59022-2024</t>
        </is>
      </c>
      <c r="B5746" s="1" t="n">
        <v>45636</v>
      </c>
      <c r="C5746" s="1" t="n">
        <v>46145</v>
      </c>
      <c r="D5746" t="inlineStr">
        <is>
          <t>VÄSTERBOTTENS LÄN</t>
        </is>
      </c>
      <c r="E5746" t="inlineStr">
        <is>
          <t>VILHELMINA</t>
        </is>
      </c>
      <c r="F5746" t="inlineStr">
        <is>
          <t>Allmännings- och besparingsskogar</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59011-2024</t>
        </is>
      </c>
      <c r="B5747" s="1" t="n">
        <v>45636</v>
      </c>
      <c r="C5747" s="1" t="n">
        <v>46145</v>
      </c>
      <c r="D5747" t="inlineStr">
        <is>
          <t>VÄSTERBOTTENS LÄN</t>
        </is>
      </c>
      <c r="E5747" t="inlineStr">
        <is>
          <t>VILHELMINA</t>
        </is>
      </c>
      <c r="F5747" t="inlineStr">
        <is>
          <t>Allmännings- och besparingsskogar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59003-2024</t>
        </is>
      </c>
      <c r="B5748" s="1" t="n">
        <v>45636</v>
      </c>
      <c r="C5748" s="1" t="n">
        <v>46145</v>
      </c>
      <c r="D5748" t="inlineStr">
        <is>
          <t>VÄSTERBOTTENS LÄN</t>
        </is>
      </c>
      <c r="E5748" t="inlineStr">
        <is>
          <t>VILHELMINA</t>
        </is>
      </c>
      <c r="F5748" t="inlineStr">
        <is>
          <t>Allmännings- och besparingsskogar</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56629-2024</t>
        </is>
      </c>
      <c r="B5749" s="1" t="n">
        <v>45625</v>
      </c>
      <c r="C5749" s="1" t="n">
        <v>46145</v>
      </c>
      <c r="D5749" t="inlineStr">
        <is>
          <t>VÄSTERBOTTENS LÄN</t>
        </is>
      </c>
      <c r="E5749" t="inlineStr">
        <is>
          <t>VILHELMINA</t>
        </is>
      </c>
      <c r="F5749" t="inlineStr">
        <is>
          <t>Allmännings- och besparingsskogar</t>
        </is>
      </c>
      <c r="G5749" t="n">
        <v>20</v>
      </c>
      <c r="H5749" t="n">
        <v>0</v>
      </c>
      <c r="I5749" t="n">
        <v>0</v>
      </c>
      <c r="J5749" t="n">
        <v>0</v>
      </c>
      <c r="K5749" t="n">
        <v>0</v>
      </c>
      <c r="L5749" t="n">
        <v>0</v>
      </c>
      <c r="M5749" t="n">
        <v>0</v>
      </c>
      <c r="N5749" t="n">
        <v>0</v>
      </c>
      <c r="O5749" t="n">
        <v>0</v>
      </c>
      <c r="P5749" t="n">
        <v>0</v>
      </c>
      <c r="Q5749" t="n">
        <v>0</v>
      </c>
      <c r="R5749" s="2" t="inlineStr"/>
    </row>
    <row r="5750" ht="15" customHeight="1">
      <c r="A5750" t="inlineStr">
        <is>
          <t>A 15221-2025</t>
        </is>
      </c>
      <c r="B5750" s="1" t="n">
        <v>45744.58421296296</v>
      </c>
      <c r="C5750" s="1" t="n">
        <v>46145</v>
      </c>
      <c r="D5750" t="inlineStr">
        <is>
          <t>VÄSTERBOTTENS LÄN</t>
        </is>
      </c>
      <c r="E5750" t="inlineStr">
        <is>
          <t>LYCKSELE</t>
        </is>
      </c>
      <c r="F5750" t="inlineStr">
        <is>
          <t>Holmen skog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28158-2023</t>
        </is>
      </c>
      <c r="B5751" s="1" t="n">
        <v>45096</v>
      </c>
      <c r="C5751" s="1" t="n">
        <v>46145</v>
      </c>
      <c r="D5751" t="inlineStr">
        <is>
          <t>VÄSTERBOTTENS LÄN</t>
        </is>
      </c>
      <c r="E5751" t="inlineStr">
        <is>
          <t>SKELLEFTEÅ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50298-2025</t>
        </is>
      </c>
      <c r="B5752" s="1" t="n">
        <v>45944.41163194444</v>
      </c>
      <c r="C5752" s="1" t="n">
        <v>46145</v>
      </c>
      <c r="D5752" t="inlineStr">
        <is>
          <t>VÄSTERBOTTENS LÄN</t>
        </is>
      </c>
      <c r="E5752" t="inlineStr">
        <is>
          <t>ÅSELE</t>
        </is>
      </c>
      <c r="F5752" t="inlineStr">
        <is>
          <t>Sveaskog</t>
        </is>
      </c>
      <c r="G5752" t="n">
        <v>21.6</v>
      </c>
      <c r="H5752" t="n">
        <v>0</v>
      </c>
      <c r="I5752" t="n">
        <v>0</v>
      </c>
      <c r="J5752" t="n">
        <v>0</v>
      </c>
      <c r="K5752" t="n">
        <v>0</v>
      </c>
      <c r="L5752" t="n">
        <v>0</v>
      </c>
      <c r="M5752" t="n">
        <v>0</v>
      </c>
      <c r="N5752" t="n">
        <v>0</v>
      </c>
      <c r="O5752" t="n">
        <v>0</v>
      </c>
      <c r="P5752" t="n">
        <v>0</v>
      </c>
      <c r="Q5752" t="n">
        <v>0</v>
      </c>
      <c r="R5752" s="2" t="inlineStr"/>
    </row>
    <row r="5753" ht="15" customHeight="1">
      <c r="A5753" t="inlineStr">
        <is>
          <t>A 50305-2025</t>
        </is>
      </c>
      <c r="B5753" s="1" t="n">
        <v>45944.42415509259</v>
      </c>
      <c r="C5753" s="1" t="n">
        <v>46145</v>
      </c>
      <c r="D5753" t="inlineStr">
        <is>
          <t>VÄSTERBOTTENS LÄN</t>
        </is>
      </c>
      <c r="E5753" t="inlineStr">
        <is>
          <t>VILHELMINA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28192-2023</t>
        </is>
      </c>
      <c r="B5754" s="1" t="n">
        <v>45096</v>
      </c>
      <c r="C5754" s="1" t="n">
        <v>46145</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14231-2025</t>
        </is>
      </c>
      <c r="B5755" s="1" t="n">
        <v>45740.6012962963</v>
      </c>
      <c r="C5755" s="1" t="n">
        <v>46145</v>
      </c>
      <c r="D5755" t="inlineStr">
        <is>
          <t>VÄSTERBOTTENS LÄN</t>
        </is>
      </c>
      <c r="E5755" t="inlineStr">
        <is>
          <t>VINDELN</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50346-2025</t>
        </is>
      </c>
      <c r="B5756" s="1" t="n">
        <v>45944.5444212963</v>
      </c>
      <c r="C5756" s="1" t="n">
        <v>46145</v>
      </c>
      <c r="D5756" t="inlineStr">
        <is>
          <t>VÄSTERBOTTENS LÄN</t>
        </is>
      </c>
      <c r="E5756" t="inlineStr">
        <is>
          <t>VINDELN</t>
        </is>
      </c>
      <c r="F5756" t="inlineStr">
        <is>
          <t>Holmen skog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50357-2025</t>
        </is>
      </c>
      <c r="B5757" s="1" t="n">
        <v>45944.55862268519</v>
      </c>
      <c r="C5757" s="1" t="n">
        <v>46145</v>
      </c>
      <c r="D5757" t="inlineStr">
        <is>
          <t>VÄSTERBOTTENS LÄN</t>
        </is>
      </c>
      <c r="E5757" t="inlineStr">
        <is>
          <t>ÅSELE</t>
        </is>
      </c>
      <c r="F5757" t="inlineStr">
        <is>
          <t>Sveaskog</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50367-2025</t>
        </is>
      </c>
      <c r="B5758" s="1" t="n">
        <v>45944.57620370371</v>
      </c>
      <c r="C5758" s="1" t="n">
        <v>46145</v>
      </c>
      <c r="D5758" t="inlineStr">
        <is>
          <t>VÄSTERBOTTENS LÄN</t>
        </is>
      </c>
      <c r="E5758" t="inlineStr">
        <is>
          <t>LYCKSELE</t>
        </is>
      </c>
      <c r="F5758" t="inlineStr">
        <is>
          <t>Holmen skog AB</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28160-2023</t>
        </is>
      </c>
      <c r="B5759" s="1" t="n">
        <v>45099.49787037037</v>
      </c>
      <c r="C5759" s="1" t="n">
        <v>46145</v>
      </c>
      <c r="D5759" t="inlineStr">
        <is>
          <t>VÄSTERBOTTENS LÄN</t>
        </is>
      </c>
      <c r="E5759" t="inlineStr">
        <is>
          <t>SKELLEFTEÅ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28171-2023</t>
        </is>
      </c>
      <c r="B5760" s="1" t="n">
        <v>45096</v>
      </c>
      <c r="C5760" s="1" t="n">
        <v>46145</v>
      </c>
      <c r="D5760" t="inlineStr">
        <is>
          <t>VÄSTERBOTTENS LÄN</t>
        </is>
      </c>
      <c r="E5760" t="inlineStr">
        <is>
          <t>SKELLEFTEÅ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50396-2025</t>
        </is>
      </c>
      <c r="B5761" s="1" t="n">
        <v>45944.61931712963</v>
      </c>
      <c r="C5761" s="1" t="n">
        <v>46145</v>
      </c>
      <c r="D5761" t="inlineStr">
        <is>
          <t>VÄSTERBOTTENS LÄN</t>
        </is>
      </c>
      <c r="E5761" t="inlineStr">
        <is>
          <t>NORDMALING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50306-2025</t>
        </is>
      </c>
      <c r="B5762" s="1" t="n">
        <v>45944.42739583334</v>
      </c>
      <c r="C5762" s="1" t="n">
        <v>46145</v>
      </c>
      <c r="D5762" t="inlineStr">
        <is>
          <t>VÄSTERBOTTENS LÄN</t>
        </is>
      </c>
      <c r="E5762" t="inlineStr">
        <is>
          <t>VINDELN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2485-2023</t>
        </is>
      </c>
      <c r="B5763" s="1" t="n">
        <v>44943.50074074074</v>
      </c>
      <c r="C5763" s="1" t="n">
        <v>46145</v>
      </c>
      <c r="D5763" t="inlineStr">
        <is>
          <t>VÄSTERBOTTENS LÄN</t>
        </is>
      </c>
      <c r="E5763" t="inlineStr">
        <is>
          <t>ÅSELE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55173-2023</t>
        </is>
      </c>
      <c r="B5764" s="1" t="n">
        <v>45237</v>
      </c>
      <c r="C5764" s="1" t="n">
        <v>46145</v>
      </c>
      <c r="D5764" t="inlineStr">
        <is>
          <t>VÄSTERBOTTENS LÄN</t>
        </is>
      </c>
      <c r="E5764" t="inlineStr">
        <is>
          <t>VÄNNÄS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14294-2025</t>
        </is>
      </c>
      <c r="B5765" s="1" t="n">
        <v>45740.67822916667</v>
      </c>
      <c r="C5765" s="1" t="n">
        <v>46145</v>
      </c>
      <c r="D5765" t="inlineStr">
        <is>
          <t>VÄSTERBOTTENS LÄN</t>
        </is>
      </c>
      <c r="E5765" t="inlineStr">
        <is>
          <t>DOROTEA</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49969-2025</t>
        </is>
      </c>
      <c r="B5766" s="1" t="n">
        <v>45941.81591435185</v>
      </c>
      <c r="C5766" s="1" t="n">
        <v>46145</v>
      </c>
      <c r="D5766" t="inlineStr">
        <is>
          <t>VÄSTERBOTTENS LÄN</t>
        </is>
      </c>
      <c r="E5766" t="inlineStr">
        <is>
          <t>NORSJÖ</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59160-2021</t>
        </is>
      </c>
      <c r="B5767" s="1" t="n">
        <v>44490</v>
      </c>
      <c r="C5767" s="1" t="n">
        <v>46145</v>
      </c>
      <c r="D5767" t="inlineStr">
        <is>
          <t>VÄSTERBOTTENS LÄN</t>
        </is>
      </c>
      <c r="E5767" t="inlineStr">
        <is>
          <t>VINDELN</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49977-2025</t>
        </is>
      </c>
      <c r="B5768" s="1" t="n">
        <v>45942.61509259259</v>
      </c>
      <c r="C5768" s="1" t="n">
        <v>46145</v>
      </c>
      <c r="D5768" t="inlineStr">
        <is>
          <t>VÄSTERBOTTENS LÄN</t>
        </is>
      </c>
      <c r="E5768" t="inlineStr">
        <is>
          <t>LYCKSELE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50021-2025</t>
        </is>
      </c>
      <c r="B5769" s="1" t="n">
        <v>45943.37326388889</v>
      </c>
      <c r="C5769" s="1" t="n">
        <v>46145</v>
      </c>
      <c r="D5769" t="inlineStr">
        <is>
          <t>VÄSTERBOTTENS LÄN</t>
        </is>
      </c>
      <c r="E5769" t="inlineStr">
        <is>
          <t>LYCKSELE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55889-2022</t>
        </is>
      </c>
      <c r="B5770" s="1" t="n">
        <v>44888</v>
      </c>
      <c r="C5770" s="1" t="n">
        <v>46145</v>
      </c>
      <c r="D5770" t="inlineStr">
        <is>
          <t>VÄSTERBOTTENS LÄN</t>
        </is>
      </c>
      <c r="E5770" t="inlineStr">
        <is>
          <t>DOROTEA</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50060-2025</t>
        </is>
      </c>
      <c r="B5771" s="1" t="n">
        <v>45943.4414699074</v>
      </c>
      <c r="C5771" s="1" t="n">
        <v>46145</v>
      </c>
      <c r="D5771" t="inlineStr">
        <is>
          <t>VÄSTERBOTTENS LÄN</t>
        </is>
      </c>
      <c r="E5771" t="inlineStr">
        <is>
          <t>SKELLEFTEÅ</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50075-2025</t>
        </is>
      </c>
      <c r="B5772" s="1" t="n">
        <v>45943.46447916667</v>
      </c>
      <c r="C5772" s="1" t="n">
        <v>46145</v>
      </c>
      <c r="D5772" t="inlineStr">
        <is>
          <t>VÄSTERBOTTENS LÄN</t>
        </is>
      </c>
      <c r="E5772" t="inlineStr">
        <is>
          <t>STORUMAN</t>
        </is>
      </c>
      <c r="F5772" t="inlineStr">
        <is>
          <t>Sveaskog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2024-2024</t>
        </is>
      </c>
      <c r="B5773" s="1" t="n">
        <v>45308</v>
      </c>
      <c r="C5773" s="1" t="n">
        <v>46145</v>
      </c>
      <c r="D5773" t="inlineStr">
        <is>
          <t>VÄSTERBOTTENS LÄN</t>
        </is>
      </c>
      <c r="E5773" t="inlineStr">
        <is>
          <t>STORUMAN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50336-2025</t>
        </is>
      </c>
      <c r="B5774" s="1" t="n">
        <v>45944</v>
      </c>
      <c r="C5774" s="1" t="n">
        <v>46145</v>
      </c>
      <c r="D5774" t="inlineStr">
        <is>
          <t>VÄSTERBOTTENS LÄN</t>
        </is>
      </c>
      <c r="E5774" t="inlineStr">
        <is>
          <t>SKELLEFTEÅ</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50284-2025</t>
        </is>
      </c>
      <c r="B5775" s="1" t="n">
        <v>45944.39328703703</v>
      </c>
      <c r="C5775" s="1" t="n">
        <v>46145</v>
      </c>
      <c r="D5775" t="inlineStr">
        <is>
          <t>VÄSTERBOTTENS LÄN</t>
        </is>
      </c>
      <c r="E5775" t="inlineStr">
        <is>
          <t>UMEÅ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2091-2024</t>
        </is>
      </c>
      <c r="B5776" s="1" t="n">
        <v>45309</v>
      </c>
      <c r="C5776" s="1" t="n">
        <v>46145</v>
      </c>
      <c r="D5776" t="inlineStr">
        <is>
          <t>VÄSTERBOTTENS LÄN</t>
        </is>
      </c>
      <c r="E5776" t="inlineStr">
        <is>
          <t>ÅSELE</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50288-2025</t>
        </is>
      </c>
      <c r="B5777" s="1" t="n">
        <v>45944.39729166667</v>
      </c>
      <c r="C5777" s="1" t="n">
        <v>46145</v>
      </c>
      <c r="D5777" t="inlineStr">
        <is>
          <t>VÄSTERBOTTENS LÄN</t>
        </is>
      </c>
      <c r="E5777" t="inlineStr">
        <is>
          <t>ÅSELE</t>
        </is>
      </c>
      <c r="F5777" t="inlineStr">
        <is>
          <t>Sveaskog</t>
        </is>
      </c>
      <c r="G5777" t="n">
        <v>25.2</v>
      </c>
      <c r="H5777" t="n">
        <v>0</v>
      </c>
      <c r="I5777" t="n">
        <v>0</v>
      </c>
      <c r="J5777" t="n">
        <v>0</v>
      </c>
      <c r="K5777" t="n">
        <v>0</v>
      </c>
      <c r="L5777" t="n">
        <v>0</v>
      </c>
      <c r="M5777" t="n">
        <v>0</v>
      </c>
      <c r="N5777" t="n">
        <v>0</v>
      </c>
      <c r="O5777" t="n">
        <v>0</v>
      </c>
      <c r="P5777" t="n">
        <v>0</v>
      </c>
      <c r="Q5777" t="n">
        <v>0</v>
      </c>
      <c r="R5777" s="2" t="inlineStr"/>
    </row>
    <row r="5778" ht="15" customHeight="1">
      <c r="A5778" t="inlineStr">
        <is>
          <t>A 50317-2025</t>
        </is>
      </c>
      <c r="B5778" s="1" t="n">
        <v>45944.44858796296</v>
      </c>
      <c r="C5778" s="1" t="n">
        <v>46145</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50322-2025</t>
        </is>
      </c>
      <c r="B5779" s="1" t="n">
        <v>45944.45733796297</v>
      </c>
      <c r="C5779" s="1" t="n">
        <v>46145</v>
      </c>
      <c r="D5779" t="inlineStr">
        <is>
          <t>VÄSTERBOTTENS LÄN</t>
        </is>
      </c>
      <c r="E5779" t="inlineStr">
        <is>
          <t>ÅSELE</t>
        </is>
      </c>
      <c r="F5779" t="inlineStr">
        <is>
          <t>Sveaskog</t>
        </is>
      </c>
      <c r="G5779" t="n">
        <v>13.8</v>
      </c>
      <c r="H5779" t="n">
        <v>0</v>
      </c>
      <c r="I5779" t="n">
        <v>0</v>
      </c>
      <c r="J5779" t="n">
        <v>0</v>
      </c>
      <c r="K5779" t="n">
        <v>0</v>
      </c>
      <c r="L5779" t="n">
        <v>0</v>
      </c>
      <c r="M5779" t="n">
        <v>0</v>
      </c>
      <c r="N5779" t="n">
        <v>0</v>
      </c>
      <c r="O5779" t="n">
        <v>0</v>
      </c>
      <c r="P5779" t="n">
        <v>0</v>
      </c>
      <c r="Q5779" t="n">
        <v>0</v>
      </c>
      <c r="R5779" s="2" t="inlineStr"/>
    </row>
    <row r="5780" ht="15" customHeight="1">
      <c r="A5780" t="inlineStr">
        <is>
          <t>A 61697-2022</t>
        </is>
      </c>
      <c r="B5780" s="1" t="n">
        <v>44911</v>
      </c>
      <c r="C5780" s="1" t="n">
        <v>46145</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50494-2025</t>
        </is>
      </c>
      <c r="B5781" s="1" t="n">
        <v>45945.40693287037</v>
      </c>
      <c r="C5781" s="1" t="n">
        <v>46145</v>
      </c>
      <c r="D5781" t="inlineStr">
        <is>
          <t>VÄSTERBOTTENS LÄN</t>
        </is>
      </c>
      <c r="E5781" t="inlineStr">
        <is>
          <t>BJURHOLM</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58790-2022</t>
        </is>
      </c>
      <c r="B5782" s="1" t="n">
        <v>44895</v>
      </c>
      <c r="C5782" s="1" t="n">
        <v>46145</v>
      </c>
      <c r="D5782" t="inlineStr">
        <is>
          <t>VÄSTERBOTTENS LÄN</t>
        </is>
      </c>
      <c r="E5782" t="inlineStr">
        <is>
          <t>ROBERTSFORS</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16539-2025</t>
        </is>
      </c>
      <c r="B5783" s="1" t="n">
        <v>45751.66283564815</v>
      </c>
      <c r="C5783" s="1" t="n">
        <v>46145</v>
      </c>
      <c r="D5783" t="inlineStr">
        <is>
          <t>VÄSTERBOTTENS LÄN</t>
        </is>
      </c>
      <c r="E5783" t="inlineStr">
        <is>
          <t>SKELLEFTEÅ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31485-2025</t>
        </is>
      </c>
      <c r="B5784" s="1" t="n">
        <v>45833</v>
      </c>
      <c r="C5784" s="1" t="n">
        <v>46145</v>
      </c>
      <c r="D5784" t="inlineStr">
        <is>
          <t>VÄSTERBOTTENS LÄN</t>
        </is>
      </c>
      <c r="E5784" t="inlineStr">
        <is>
          <t>VILHELMINA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21397-2025</t>
        </is>
      </c>
      <c r="B5785" s="1" t="n">
        <v>45782</v>
      </c>
      <c r="C5785" s="1" t="n">
        <v>46145</v>
      </c>
      <c r="D5785" t="inlineStr">
        <is>
          <t>VÄSTERBOTTENS LÄN</t>
        </is>
      </c>
      <c r="E5785" t="inlineStr">
        <is>
          <t>ROBERTSFORS</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50646-2025</t>
        </is>
      </c>
      <c r="B5786" s="1" t="n">
        <v>45945.65694444445</v>
      </c>
      <c r="C5786" s="1" t="n">
        <v>46145</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50661-2025</t>
        </is>
      </c>
      <c r="B5787" s="1" t="n">
        <v>45945</v>
      </c>
      <c r="C5787" s="1" t="n">
        <v>46145</v>
      </c>
      <c r="D5787" t="inlineStr">
        <is>
          <t>VÄSTERBOTTENS LÄN</t>
        </is>
      </c>
      <c r="E5787" t="inlineStr">
        <is>
          <t>VINDELN</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41847-2024</t>
        </is>
      </c>
      <c r="B5788" s="1" t="n">
        <v>45561.43010416667</v>
      </c>
      <c r="C5788" s="1" t="n">
        <v>46145</v>
      </c>
      <c r="D5788" t="inlineStr">
        <is>
          <t>VÄSTERBOTTENS LÄN</t>
        </is>
      </c>
      <c r="E5788" t="inlineStr">
        <is>
          <t>STORUMAN</t>
        </is>
      </c>
      <c r="F5788" t="inlineStr">
        <is>
          <t>Sveaskog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2177-2023</t>
        </is>
      </c>
      <c r="B5789" s="1" t="n">
        <v>44942.29836805556</v>
      </c>
      <c r="C5789" s="1" t="n">
        <v>46145</v>
      </c>
      <c r="D5789" t="inlineStr">
        <is>
          <t>VÄSTERBOTTENS LÄN</t>
        </is>
      </c>
      <c r="E5789" t="inlineStr">
        <is>
          <t>SKELLEFTEÅ</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50790-2025</t>
        </is>
      </c>
      <c r="B5790" s="1" t="n">
        <v>45946.47287037037</v>
      </c>
      <c r="C5790" s="1" t="n">
        <v>46145</v>
      </c>
      <c r="D5790" t="inlineStr">
        <is>
          <t>VÄSTERBOTTENS LÄN</t>
        </is>
      </c>
      <c r="E5790" t="inlineStr">
        <is>
          <t>UMEÅ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44820-2024</t>
        </is>
      </c>
      <c r="B5791" s="1" t="n">
        <v>45574</v>
      </c>
      <c r="C5791" s="1" t="n">
        <v>46145</v>
      </c>
      <c r="D5791" t="inlineStr">
        <is>
          <t>VÄSTERBOTTENS LÄN</t>
        </is>
      </c>
      <c r="E5791" t="inlineStr">
        <is>
          <t>DOROTEA</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63779-2023</t>
        </is>
      </c>
      <c r="B5792" s="1" t="n">
        <v>45275</v>
      </c>
      <c r="C5792" s="1" t="n">
        <v>46145</v>
      </c>
      <c r="D5792" t="inlineStr">
        <is>
          <t>VÄSTERBOTTENS LÄN</t>
        </is>
      </c>
      <c r="E5792" t="inlineStr">
        <is>
          <t>NORDMALING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50694-2025</t>
        </is>
      </c>
      <c r="B5793" s="1" t="n">
        <v>45945.86091435186</v>
      </c>
      <c r="C5793" s="1" t="n">
        <v>46145</v>
      </c>
      <c r="D5793" t="inlineStr">
        <is>
          <t>VÄSTERBOTTENS LÄN</t>
        </is>
      </c>
      <c r="E5793" t="inlineStr">
        <is>
          <t>NORDMALING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50725-2025</t>
        </is>
      </c>
      <c r="B5794" s="1" t="n">
        <v>45946.3471875</v>
      </c>
      <c r="C5794" s="1" t="n">
        <v>46145</v>
      </c>
      <c r="D5794" t="inlineStr">
        <is>
          <t>VÄSTERBOTTENS LÄN</t>
        </is>
      </c>
      <c r="E5794" t="inlineStr">
        <is>
          <t>NORDMALING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50738-2025</t>
        </is>
      </c>
      <c r="B5795" s="1" t="n">
        <v>45946.37640046296</v>
      </c>
      <c r="C5795" s="1" t="n">
        <v>46145</v>
      </c>
      <c r="D5795" t="inlineStr">
        <is>
          <t>VÄSTERBOTTENS LÄN</t>
        </is>
      </c>
      <c r="E5795" t="inlineStr">
        <is>
          <t>STORUMAN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6682-2024</t>
        </is>
      </c>
      <c r="B5796" s="1" t="n">
        <v>45341.92533564815</v>
      </c>
      <c r="C5796" s="1" t="n">
        <v>46145</v>
      </c>
      <c r="D5796" t="inlineStr">
        <is>
          <t>VÄSTERBOTTENS LÄN</t>
        </is>
      </c>
      <c r="E5796" t="inlineStr">
        <is>
          <t>ÅSELE</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50864-2025</t>
        </is>
      </c>
      <c r="B5797" s="1" t="n">
        <v>45946.59537037037</v>
      </c>
      <c r="C5797" s="1" t="n">
        <v>46145</v>
      </c>
      <c r="D5797" t="inlineStr">
        <is>
          <t>VÄSTERBOTTENS LÄN</t>
        </is>
      </c>
      <c r="E5797" t="inlineStr">
        <is>
          <t>ÅSELE</t>
        </is>
      </c>
      <c r="F5797" t="inlineStr">
        <is>
          <t>SCA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41267-2022</t>
        </is>
      </c>
      <c r="B5798" s="1" t="n">
        <v>44825</v>
      </c>
      <c r="C5798" s="1" t="n">
        <v>46145</v>
      </c>
      <c r="D5798" t="inlineStr">
        <is>
          <t>VÄSTERBOTTENS LÄN</t>
        </is>
      </c>
      <c r="E5798" t="inlineStr">
        <is>
          <t>UMEÅ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13026-2025</t>
        </is>
      </c>
      <c r="B5799" s="1" t="n">
        <v>45734.5574537037</v>
      </c>
      <c r="C5799" s="1" t="n">
        <v>46145</v>
      </c>
      <c r="D5799" t="inlineStr">
        <is>
          <t>VÄSTERBOTTENS LÄN</t>
        </is>
      </c>
      <c r="E5799" t="inlineStr">
        <is>
          <t>ROBERTSFORS</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50505-2023</t>
        </is>
      </c>
      <c r="B5800" s="1" t="n">
        <v>45216.95800925926</v>
      </c>
      <c r="C5800" s="1" t="n">
        <v>46145</v>
      </c>
      <c r="D5800" t="inlineStr">
        <is>
          <t>VÄSTERBOTTENS LÄN</t>
        </is>
      </c>
      <c r="E5800" t="inlineStr">
        <is>
          <t>VILHELMINA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6369-2024</t>
        </is>
      </c>
      <c r="B5801" s="1" t="n">
        <v>45338</v>
      </c>
      <c r="C5801" s="1" t="n">
        <v>46145</v>
      </c>
      <c r="D5801" t="inlineStr">
        <is>
          <t>VÄSTERBOTTENS LÄN</t>
        </is>
      </c>
      <c r="E5801" t="inlineStr">
        <is>
          <t>VILHELMINA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14235-2025</t>
        </is>
      </c>
      <c r="B5802" s="1" t="n">
        <v>45740.60420138889</v>
      </c>
      <c r="C5802" s="1" t="n">
        <v>46145</v>
      </c>
      <c r="D5802" t="inlineStr">
        <is>
          <t>VÄSTERBOTTENS LÄN</t>
        </is>
      </c>
      <c r="E5802" t="inlineStr">
        <is>
          <t>VINDELN</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50442-2025</t>
        </is>
      </c>
      <c r="B5803" s="1" t="n">
        <v>45944.86627314815</v>
      </c>
      <c r="C5803" s="1" t="n">
        <v>46145</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50801-2025</t>
        </is>
      </c>
      <c r="B5804" s="1" t="n">
        <v>45946.490625</v>
      </c>
      <c r="C5804" s="1" t="n">
        <v>46145</v>
      </c>
      <c r="D5804" t="inlineStr">
        <is>
          <t>VÄSTERBOTTENS LÄN</t>
        </is>
      </c>
      <c r="E5804" t="inlineStr">
        <is>
          <t>BJURHOLM</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50848-2025</t>
        </is>
      </c>
      <c r="B5805" s="1" t="n">
        <v>45946.57664351852</v>
      </c>
      <c r="C5805" s="1" t="n">
        <v>46145</v>
      </c>
      <c r="D5805" t="inlineStr">
        <is>
          <t>VÄSTERBOTTENS LÄN</t>
        </is>
      </c>
      <c r="E5805" t="inlineStr">
        <is>
          <t>SKELLEFTEÅ</t>
        </is>
      </c>
      <c r="F5805" t="inlineStr">
        <is>
          <t>Holmen skog AB</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50923-2025</t>
        </is>
      </c>
      <c r="B5806" s="1" t="n">
        <v>45946.67513888889</v>
      </c>
      <c r="C5806" s="1" t="n">
        <v>46145</v>
      </c>
      <c r="D5806" t="inlineStr">
        <is>
          <t>VÄSTERBOTTENS LÄN</t>
        </is>
      </c>
      <c r="E5806" t="inlineStr">
        <is>
          <t>UMEÅ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44817-2021</t>
        </is>
      </c>
      <c r="B5807" s="1" t="n">
        <v>44438</v>
      </c>
      <c r="C5807" s="1" t="n">
        <v>46145</v>
      </c>
      <c r="D5807" t="inlineStr">
        <is>
          <t>VÄSTERBOTTENS LÄN</t>
        </is>
      </c>
      <c r="E5807" t="inlineStr">
        <is>
          <t>UMEÅ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50506-2025</t>
        </is>
      </c>
      <c r="B5808" s="1" t="n">
        <v>45945.42958333333</v>
      </c>
      <c r="C5808" s="1" t="n">
        <v>46145</v>
      </c>
      <c r="D5808" t="inlineStr">
        <is>
          <t>VÄSTERBOTTENS LÄN</t>
        </is>
      </c>
      <c r="E5808" t="inlineStr">
        <is>
          <t>SKELLEFTEÅ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50523-2025</t>
        </is>
      </c>
      <c r="B5809" s="1" t="n">
        <v>45945.46711805555</v>
      </c>
      <c r="C5809" s="1" t="n">
        <v>46145</v>
      </c>
      <c r="D5809" t="inlineStr">
        <is>
          <t>VÄSTERBOTTENS LÄN</t>
        </is>
      </c>
      <c r="E5809" t="inlineStr">
        <is>
          <t>LYCKSELE</t>
        </is>
      </c>
      <c r="G5809" t="n">
        <v>22.4</v>
      </c>
      <c r="H5809" t="n">
        <v>0</v>
      </c>
      <c r="I5809" t="n">
        <v>0</v>
      </c>
      <c r="J5809" t="n">
        <v>0</v>
      </c>
      <c r="K5809" t="n">
        <v>0</v>
      </c>
      <c r="L5809" t="n">
        <v>0</v>
      </c>
      <c r="M5809" t="n">
        <v>0</v>
      </c>
      <c r="N5809" t="n">
        <v>0</v>
      </c>
      <c r="O5809" t="n">
        <v>0</v>
      </c>
      <c r="P5809" t="n">
        <v>0</v>
      </c>
      <c r="Q5809" t="n">
        <v>0</v>
      </c>
      <c r="R5809" s="2" t="inlineStr"/>
    </row>
    <row r="5810" ht="15" customHeight="1">
      <c r="A5810" t="inlineStr">
        <is>
          <t>A 7431-2024</t>
        </is>
      </c>
      <c r="B5810" s="1" t="n">
        <v>45345</v>
      </c>
      <c r="C5810" s="1" t="n">
        <v>46145</v>
      </c>
      <c r="D5810" t="inlineStr">
        <is>
          <t>VÄSTERBOTTENS LÄN</t>
        </is>
      </c>
      <c r="E5810" t="inlineStr">
        <is>
          <t>BJURHOLM</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17284-2025</t>
        </is>
      </c>
      <c r="B5811" s="1" t="n">
        <v>45756.57346064815</v>
      </c>
      <c r="C5811" s="1" t="n">
        <v>46145</v>
      </c>
      <c r="D5811" t="inlineStr">
        <is>
          <t>VÄSTERBOTTENS LÄN</t>
        </is>
      </c>
      <c r="E5811" t="inlineStr">
        <is>
          <t>ÅSELE</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50810-2025</t>
        </is>
      </c>
      <c r="B5812" s="1" t="n">
        <v>45946.51113425926</v>
      </c>
      <c r="C5812" s="1" t="n">
        <v>46145</v>
      </c>
      <c r="D5812" t="inlineStr">
        <is>
          <t>VÄSTERBOTTENS LÄN</t>
        </is>
      </c>
      <c r="E5812" t="inlineStr">
        <is>
          <t>BJURHOLM</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11954-2024</t>
        </is>
      </c>
      <c r="B5813" s="1" t="n">
        <v>45376</v>
      </c>
      <c r="C5813" s="1" t="n">
        <v>46145</v>
      </c>
      <c r="D5813" t="inlineStr">
        <is>
          <t>VÄSTERBOTTENS LÄN</t>
        </is>
      </c>
      <c r="E5813" t="inlineStr">
        <is>
          <t>UMEÅ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40471-2024</t>
        </is>
      </c>
      <c r="B5814" s="1" t="n">
        <v>45555</v>
      </c>
      <c r="C5814" s="1" t="n">
        <v>46145</v>
      </c>
      <c r="D5814" t="inlineStr">
        <is>
          <t>VÄSTERBOTTENS LÄN</t>
        </is>
      </c>
      <c r="E5814" t="inlineStr">
        <is>
          <t>SORSELE</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50840-2025</t>
        </is>
      </c>
      <c r="B5815" s="1" t="n">
        <v>45946.57048611111</v>
      </c>
      <c r="C5815" s="1" t="n">
        <v>46145</v>
      </c>
      <c r="D5815" t="inlineStr">
        <is>
          <t>VÄSTERBOTTENS LÄN</t>
        </is>
      </c>
      <c r="E5815" t="inlineStr">
        <is>
          <t>VINDELN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50559-2025</t>
        </is>
      </c>
      <c r="B5816" s="1" t="n">
        <v>45945</v>
      </c>
      <c r="C5816" s="1" t="n">
        <v>46145</v>
      </c>
      <c r="D5816" t="inlineStr">
        <is>
          <t>VÄSTERBOTTENS LÄN</t>
        </is>
      </c>
      <c r="E5816" t="inlineStr">
        <is>
          <t>VINDELN</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50560-2025</t>
        </is>
      </c>
      <c r="B5817" s="1" t="n">
        <v>45945</v>
      </c>
      <c r="C5817" s="1" t="n">
        <v>46145</v>
      </c>
      <c r="D5817" t="inlineStr">
        <is>
          <t>VÄSTERBOTTENS LÄN</t>
        </is>
      </c>
      <c r="E5817" t="inlineStr">
        <is>
          <t>VINDELN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34411-2024</t>
        </is>
      </c>
      <c r="B5818" s="1" t="n">
        <v>45525.48208333334</v>
      </c>
      <c r="C5818" s="1" t="n">
        <v>46145</v>
      </c>
      <c r="D5818" t="inlineStr">
        <is>
          <t>VÄSTERBOTTENS LÄN</t>
        </is>
      </c>
      <c r="E5818" t="inlineStr">
        <is>
          <t>UMEÅ</t>
        </is>
      </c>
      <c r="F5818" t="inlineStr">
        <is>
          <t>Holmen skog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25719-2024</t>
        </is>
      </c>
      <c r="B5819" s="1" t="n">
        <v>45463</v>
      </c>
      <c r="C5819" s="1" t="n">
        <v>46145</v>
      </c>
      <c r="D5819" t="inlineStr">
        <is>
          <t>VÄSTERBOTTENS LÄN</t>
        </is>
      </c>
      <c r="E5819" t="inlineStr">
        <is>
          <t>DOROTEA</t>
        </is>
      </c>
      <c r="F5819" t="inlineStr">
        <is>
          <t>SCA</t>
        </is>
      </c>
      <c r="G5819" t="n">
        <v>16.2</v>
      </c>
      <c r="H5819" t="n">
        <v>0</v>
      </c>
      <c r="I5819" t="n">
        <v>0</v>
      </c>
      <c r="J5819" t="n">
        <v>0</v>
      </c>
      <c r="K5819" t="n">
        <v>0</v>
      </c>
      <c r="L5819" t="n">
        <v>0</v>
      </c>
      <c r="M5819" t="n">
        <v>0</v>
      </c>
      <c r="N5819" t="n">
        <v>0</v>
      </c>
      <c r="O5819" t="n">
        <v>0</v>
      </c>
      <c r="P5819" t="n">
        <v>0</v>
      </c>
      <c r="Q5819" t="n">
        <v>0</v>
      </c>
      <c r="R5819" s="2" t="inlineStr"/>
    </row>
    <row r="5820" ht="15" customHeight="1">
      <c r="A5820" t="inlineStr">
        <is>
          <t>A 37105-2024</t>
        </is>
      </c>
      <c r="B5820" s="1" t="n">
        <v>45539</v>
      </c>
      <c r="C5820" s="1" t="n">
        <v>46145</v>
      </c>
      <c r="D5820" t="inlineStr">
        <is>
          <t>VÄSTERBOTTENS LÄN</t>
        </is>
      </c>
      <c r="E5820" t="inlineStr">
        <is>
          <t>DOROTEA</t>
        </is>
      </c>
      <c r="F5820" t="inlineStr">
        <is>
          <t>SCA</t>
        </is>
      </c>
      <c r="G5820" t="n">
        <v>12.3</v>
      </c>
      <c r="H5820" t="n">
        <v>0</v>
      </c>
      <c r="I5820" t="n">
        <v>0</v>
      </c>
      <c r="J5820" t="n">
        <v>0</v>
      </c>
      <c r="K5820" t="n">
        <v>0</v>
      </c>
      <c r="L5820" t="n">
        <v>0</v>
      </c>
      <c r="M5820" t="n">
        <v>0</v>
      </c>
      <c r="N5820" t="n">
        <v>0</v>
      </c>
      <c r="O5820" t="n">
        <v>0</v>
      </c>
      <c r="P5820" t="n">
        <v>0</v>
      </c>
      <c r="Q5820" t="n">
        <v>0</v>
      </c>
      <c r="R5820" s="2" t="inlineStr"/>
    </row>
    <row r="5821" ht="15" customHeight="1">
      <c r="A5821" t="inlineStr">
        <is>
          <t>A 50811-2025</t>
        </is>
      </c>
      <c r="B5821" s="1" t="n">
        <v>45946.51122685185</v>
      </c>
      <c r="C5821" s="1" t="n">
        <v>46145</v>
      </c>
      <c r="D5821" t="inlineStr">
        <is>
          <t>VÄSTERBOTTENS LÄN</t>
        </is>
      </c>
      <c r="E5821" t="inlineStr">
        <is>
          <t>BJURHOLM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50462-2025</t>
        </is>
      </c>
      <c r="B5822" s="1" t="n">
        <v>45945.34512731482</v>
      </c>
      <c r="C5822" s="1" t="n">
        <v>46145</v>
      </c>
      <c r="D5822" t="inlineStr">
        <is>
          <t>VÄSTERBOTTENS LÄN</t>
        </is>
      </c>
      <c r="E5822" t="inlineStr">
        <is>
          <t>NORSJÖ</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52126-2022</t>
        </is>
      </c>
      <c r="B5823" s="1" t="n">
        <v>44873.43465277777</v>
      </c>
      <c r="C5823" s="1" t="n">
        <v>46145</v>
      </c>
      <c r="D5823" t="inlineStr">
        <is>
          <t>VÄSTERBOTTENS LÄN</t>
        </is>
      </c>
      <c r="E5823" t="inlineStr">
        <is>
          <t>UMEÅ</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52129-2022</t>
        </is>
      </c>
      <c r="B5824" s="1" t="n">
        <v>44868</v>
      </c>
      <c r="C5824" s="1" t="n">
        <v>46145</v>
      </c>
      <c r="D5824" t="inlineStr">
        <is>
          <t>VÄSTERBOTTENS LÄN</t>
        </is>
      </c>
      <c r="E5824" t="inlineStr">
        <is>
          <t>SKELLEFTEÅ</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30657-2025</t>
        </is>
      </c>
      <c r="B5825" s="1" t="n">
        <v>45831.50638888889</v>
      </c>
      <c r="C5825" s="1" t="n">
        <v>46145</v>
      </c>
      <c r="D5825" t="inlineStr">
        <is>
          <t>VÄSTERBOTTENS LÄN</t>
        </is>
      </c>
      <c r="E5825" t="inlineStr">
        <is>
          <t>VINDELN</t>
        </is>
      </c>
      <c r="F5825" t="inlineStr">
        <is>
          <t>Holmen skog AB</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50653-2025</t>
        </is>
      </c>
      <c r="B5826" s="1" t="n">
        <v>45945</v>
      </c>
      <c r="C5826" s="1" t="n">
        <v>46145</v>
      </c>
      <c r="D5826" t="inlineStr">
        <is>
          <t>VÄSTERBOTTENS LÄN</t>
        </is>
      </c>
      <c r="E5826" t="inlineStr">
        <is>
          <t>VINDELN</t>
        </is>
      </c>
      <c r="G5826" t="n">
        <v>13.4</v>
      </c>
      <c r="H5826" t="n">
        <v>0</v>
      </c>
      <c r="I5826" t="n">
        <v>0</v>
      </c>
      <c r="J5826" t="n">
        <v>0</v>
      </c>
      <c r="K5826" t="n">
        <v>0</v>
      </c>
      <c r="L5826" t="n">
        <v>0</v>
      </c>
      <c r="M5826" t="n">
        <v>0</v>
      </c>
      <c r="N5826" t="n">
        <v>0</v>
      </c>
      <c r="O5826" t="n">
        <v>0</v>
      </c>
      <c r="P5826" t="n">
        <v>0</v>
      </c>
      <c r="Q5826" t="n">
        <v>0</v>
      </c>
      <c r="R5826" s="2" t="inlineStr"/>
    </row>
    <row r="5827" ht="15" customHeight="1">
      <c r="A5827" t="inlineStr">
        <is>
          <t>A 50693-2025</t>
        </is>
      </c>
      <c r="B5827" s="1" t="n">
        <v>45945.85396990741</v>
      </c>
      <c r="C5827" s="1" t="n">
        <v>46145</v>
      </c>
      <c r="D5827" t="inlineStr">
        <is>
          <t>VÄSTERBOTTENS LÄN</t>
        </is>
      </c>
      <c r="E5827" t="inlineStr">
        <is>
          <t>SKELLEFTEÅ</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50737-2025</t>
        </is>
      </c>
      <c r="B5828" s="1" t="n">
        <v>45946.36891203704</v>
      </c>
      <c r="C5828" s="1" t="n">
        <v>46145</v>
      </c>
      <c r="D5828" t="inlineStr">
        <is>
          <t>VÄSTERBOTTENS LÄN</t>
        </is>
      </c>
      <c r="E5828" t="inlineStr">
        <is>
          <t>STORUMAN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50600-2025</t>
        </is>
      </c>
      <c r="B5829" s="1" t="n">
        <v>45945.61237268519</v>
      </c>
      <c r="C5829" s="1" t="n">
        <v>46145</v>
      </c>
      <c r="D5829" t="inlineStr">
        <is>
          <t>VÄSTERBOTTENS LÄN</t>
        </is>
      </c>
      <c r="E5829" t="inlineStr">
        <is>
          <t>SORSELE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50877-2025</t>
        </is>
      </c>
      <c r="B5830" s="1" t="n">
        <v>45946.61516203704</v>
      </c>
      <c r="C5830" s="1" t="n">
        <v>46145</v>
      </c>
      <c r="D5830" t="inlineStr">
        <is>
          <t>VÄSTERBOTTENS LÄN</t>
        </is>
      </c>
      <c r="E5830" t="inlineStr">
        <is>
          <t>BJURHOLM</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50882-2025</t>
        </is>
      </c>
      <c r="B5831" s="1" t="n">
        <v>45946.63017361111</v>
      </c>
      <c r="C5831" s="1" t="n">
        <v>46145</v>
      </c>
      <c r="D5831" t="inlineStr">
        <is>
          <t>VÄSTERBOTTENS LÄN</t>
        </is>
      </c>
      <c r="E5831" t="inlineStr">
        <is>
          <t>SKELLEFTEÅ</t>
        </is>
      </c>
      <c r="F5831" t="inlineStr">
        <is>
          <t>Holmen skog AB</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50638-2025</t>
        </is>
      </c>
      <c r="B5832" s="1" t="n">
        <v>45945.65354166667</v>
      </c>
      <c r="C5832" s="1" t="n">
        <v>46145</v>
      </c>
      <c r="D5832" t="inlineStr">
        <is>
          <t>VÄSTERBOTTENS LÄN</t>
        </is>
      </c>
      <c r="E5832" t="inlineStr">
        <is>
          <t>SKELLEFTEÅ</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50438-2025</t>
        </is>
      </c>
      <c r="B5833" s="1" t="n">
        <v>45944.75725694445</v>
      </c>
      <c r="C5833" s="1" t="n">
        <v>46145</v>
      </c>
      <c r="D5833" t="inlineStr">
        <is>
          <t>VÄSTERBOTTENS LÄN</t>
        </is>
      </c>
      <c r="E5833" t="inlineStr">
        <is>
          <t>ÅSELE</t>
        </is>
      </c>
      <c r="F5833" t="inlineStr">
        <is>
          <t>Holmen skog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50920-2025</t>
        </is>
      </c>
      <c r="B5834" s="1" t="n">
        <v>45946.67005787037</v>
      </c>
      <c r="C5834" s="1" t="n">
        <v>46145</v>
      </c>
      <c r="D5834" t="inlineStr">
        <is>
          <t>VÄSTERBOTTENS LÄN</t>
        </is>
      </c>
      <c r="E5834" t="inlineStr">
        <is>
          <t>MALÅ</t>
        </is>
      </c>
      <c r="F5834" t="inlineStr">
        <is>
          <t>Sveaskog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50922-2025</t>
        </is>
      </c>
      <c r="B5835" s="1" t="n">
        <v>45946.67149305555</v>
      </c>
      <c r="C5835" s="1" t="n">
        <v>46145</v>
      </c>
      <c r="D5835" t="inlineStr">
        <is>
          <t>VÄSTERBOTTENS LÄN</t>
        </is>
      </c>
      <c r="E5835" t="inlineStr">
        <is>
          <t>VILHELMINA</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17591-2025</t>
        </is>
      </c>
      <c r="B5836" s="1" t="n">
        <v>45757.69819444444</v>
      </c>
      <c r="C5836" s="1" t="n">
        <v>46145</v>
      </c>
      <c r="D5836" t="inlineStr">
        <is>
          <t>VÄSTERBOTTENS LÄN</t>
        </is>
      </c>
      <c r="E5836" t="inlineStr">
        <is>
          <t>DOROTEA</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28628-2023</t>
        </is>
      </c>
      <c r="B5837" s="1" t="n">
        <v>45103</v>
      </c>
      <c r="C5837" s="1" t="n">
        <v>46145</v>
      </c>
      <c r="D5837" t="inlineStr">
        <is>
          <t>VÄSTERBOTTENS LÄN</t>
        </is>
      </c>
      <c r="E5837" t="inlineStr">
        <is>
          <t>UMEÅ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61497-2022</t>
        </is>
      </c>
      <c r="B5838" s="1" t="n">
        <v>44910</v>
      </c>
      <c r="C5838" s="1" t="n">
        <v>46145</v>
      </c>
      <c r="D5838" t="inlineStr">
        <is>
          <t>VÄSTERBOTTENS LÄN</t>
        </is>
      </c>
      <c r="E5838" t="inlineStr">
        <is>
          <t>VINDELN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25505-2023</t>
        </is>
      </c>
      <c r="B5839" s="1" t="n">
        <v>45089.49538194444</v>
      </c>
      <c r="C5839" s="1" t="n">
        <v>46145</v>
      </c>
      <c r="D5839" t="inlineStr">
        <is>
          <t>VÄSTERBOTTENS LÄN</t>
        </is>
      </c>
      <c r="E5839" t="inlineStr">
        <is>
          <t>UMEÅ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12589-2024</t>
        </is>
      </c>
      <c r="B5840" s="1" t="n">
        <v>45379.93677083333</v>
      </c>
      <c r="C5840" s="1" t="n">
        <v>46145</v>
      </c>
      <c r="D5840" t="inlineStr">
        <is>
          <t>VÄSTERBOTTENS LÄN</t>
        </is>
      </c>
      <c r="E5840" t="inlineStr">
        <is>
          <t>ÅSELE</t>
        </is>
      </c>
      <c r="F5840" t="inlineStr">
        <is>
          <t>SCA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50507-2025</t>
        </is>
      </c>
      <c r="B5841" s="1" t="n">
        <v>45945.43255787037</v>
      </c>
      <c r="C5841" s="1" t="n">
        <v>46145</v>
      </c>
      <c r="D5841" t="inlineStr">
        <is>
          <t>VÄSTERBOTTENS LÄN</t>
        </is>
      </c>
      <c r="E5841" t="inlineStr">
        <is>
          <t>SKELLEFTEÅ</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50548-2025</t>
        </is>
      </c>
      <c r="B5842" s="1" t="n">
        <v>45945.51137731481</v>
      </c>
      <c r="C5842" s="1" t="n">
        <v>46145</v>
      </c>
      <c r="D5842" t="inlineStr">
        <is>
          <t>VÄSTERBOTTENS LÄN</t>
        </is>
      </c>
      <c r="E5842" t="inlineStr">
        <is>
          <t>SKELLEFTEÅ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5937-2025</t>
        </is>
      </c>
      <c r="B5843" s="1" t="n">
        <v>45695.45655092593</v>
      </c>
      <c r="C5843" s="1" t="n">
        <v>46145</v>
      </c>
      <c r="D5843" t="inlineStr">
        <is>
          <t>VÄSTERBOTTENS LÄN</t>
        </is>
      </c>
      <c r="E5843" t="inlineStr">
        <is>
          <t>ROBERTSFORS</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51437-2023</t>
        </is>
      </c>
      <c r="B5844" s="1" t="n">
        <v>45219.96467592593</v>
      </c>
      <c r="C5844" s="1" t="n">
        <v>46145</v>
      </c>
      <c r="D5844" t="inlineStr">
        <is>
          <t>VÄSTERBOTTENS LÄN</t>
        </is>
      </c>
      <c r="E5844" t="inlineStr">
        <is>
          <t>SORSELE</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50530-2025</t>
        </is>
      </c>
      <c r="B5845" s="1" t="n">
        <v>45945.47358796297</v>
      </c>
      <c r="C5845" s="1" t="n">
        <v>46145</v>
      </c>
      <c r="D5845" t="inlineStr">
        <is>
          <t>VÄSTERBOTTENS LÄN</t>
        </is>
      </c>
      <c r="E5845" t="inlineStr">
        <is>
          <t>DOROTEA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17787-2023</t>
        </is>
      </c>
      <c r="B5846" s="1" t="n">
        <v>45036</v>
      </c>
      <c r="C5846" s="1" t="n">
        <v>46145</v>
      </c>
      <c r="D5846" t="inlineStr">
        <is>
          <t>VÄSTERBOTTENS LÄN</t>
        </is>
      </c>
      <c r="E5846" t="inlineStr">
        <is>
          <t>DOROTEA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55170-2022</t>
        </is>
      </c>
      <c r="B5847" s="1" t="n">
        <v>44886</v>
      </c>
      <c r="C5847" s="1" t="n">
        <v>46145</v>
      </c>
      <c r="D5847" t="inlineStr">
        <is>
          <t>VÄSTERBOTTENS LÄN</t>
        </is>
      </c>
      <c r="E5847" t="inlineStr">
        <is>
          <t>LYCKSELE</t>
        </is>
      </c>
      <c r="F5847" t="inlineStr">
        <is>
          <t>Holmen skog AB</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41498-2024</t>
        </is>
      </c>
      <c r="B5848" s="1" t="n">
        <v>45560.46020833333</v>
      </c>
      <c r="C5848" s="1" t="n">
        <v>46145</v>
      </c>
      <c r="D5848" t="inlineStr">
        <is>
          <t>VÄSTERBOTTENS LÄN</t>
        </is>
      </c>
      <c r="E5848" t="inlineStr">
        <is>
          <t>VINDELN</t>
        </is>
      </c>
      <c r="F5848" t="inlineStr">
        <is>
          <t>Holmen skog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50635-2025</t>
        </is>
      </c>
      <c r="B5849" s="1" t="n">
        <v>45945.65</v>
      </c>
      <c r="C5849" s="1" t="n">
        <v>46145</v>
      </c>
      <c r="D5849" t="inlineStr">
        <is>
          <t>VÄSTERBOTTENS LÄN</t>
        </is>
      </c>
      <c r="E5849" t="inlineStr">
        <is>
          <t>VINDELN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23803-2025</t>
        </is>
      </c>
      <c r="B5850" s="1" t="n">
        <v>45793.55854166667</v>
      </c>
      <c r="C5850" s="1" t="n">
        <v>46145</v>
      </c>
      <c r="D5850" t="inlineStr">
        <is>
          <t>VÄSTERBOTTENS LÄN</t>
        </is>
      </c>
      <c r="E5850" t="inlineStr">
        <is>
          <t>ÅSELE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29640-2023</t>
        </is>
      </c>
      <c r="B5851" s="1" t="n">
        <v>45106</v>
      </c>
      <c r="C5851" s="1" t="n">
        <v>46145</v>
      </c>
      <c r="D5851" t="inlineStr">
        <is>
          <t>VÄSTERBOTTENS LÄN</t>
        </is>
      </c>
      <c r="E5851" t="inlineStr">
        <is>
          <t>UMEÅ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50875-2025</t>
        </is>
      </c>
      <c r="B5852" s="1" t="n">
        <v>45946.61502314815</v>
      </c>
      <c r="C5852" s="1" t="n">
        <v>46145</v>
      </c>
      <c r="D5852" t="inlineStr">
        <is>
          <t>VÄSTERBOTTENS LÄN</t>
        </is>
      </c>
      <c r="E5852" t="inlineStr">
        <is>
          <t>DOROTEA</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60601-2023</t>
        </is>
      </c>
      <c r="B5853" s="1" t="n">
        <v>45260</v>
      </c>
      <c r="C5853" s="1" t="n">
        <v>46145</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10188-2023</t>
        </is>
      </c>
      <c r="B5854" s="1" t="n">
        <v>44980</v>
      </c>
      <c r="C5854" s="1" t="n">
        <v>46145</v>
      </c>
      <c r="D5854" t="inlineStr">
        <is>
          <t>VÄSTERBOTTENS LÄN</t>
        </is>
      </c>
      <c r="E5854" t="inlineStr">
        <is>
          <t>ROBERTSFORS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50939-2025</t>
        </is>
      </c>
      <c r="B5855" s="1" t="n">
        <v>45946.71021990741</v>
      </c>
      <c r="C5855" s="1" t="n">
        <v>46145</v>
      </c>
      <c r="D5855" t="inlineStr">
        <is>
          <t>VÄSTERBOTTENS LÄN</t>
        </is>
      </c>
      <c r="E5855" t="inlineStr">
        <is>
          <t>UMEÅ</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50695-2025</t>
        </is>
      </c>
      <c r="B5856" s="1" t="n">
        <v>45945.8869212963</v>
      </c>
      <c r="C5856" s="1" t="n">
        <v>46145</v>
      </c>
      <c r="D5856" t="inlineStr">
        <is>
          <t>VÄSTERBOTTENS LÄN</t>
        </is>
      </c>
      <c r="E5856" t="inlineStr">
        <is>
          <t>VINDELN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50705-2025</t>
        </is>
      </c>
      <c r="B5857" s="1" t="n">
        <v>45946.28255787037</v>
      </c>
      <c r="C5857" s="1" t="n">
        <v>46145</v>
      </c>
      <c r="D5857" t="inlineStr">
        <is>
          <t>VÄSTERBOTTENS LÄN</t>
        </is>
      </c>
      <c r="E5857" t="inlineStr">
        <is>
          <t>VINDELN</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50726-2025</t>
        </is>
      </c>
      <c r="B5858" s="1" t="n">
        <v>45946.3472337963</v>
      </c>
      <c r="C5858" s="1" t="n">
        <v>46145</v>
      </c>
      <c r="D5858" t="inlineStr">
        <is>
          <t>VÄSTERBOTTENS LÄN</t>
        </is>
      </c>
      <c r="E5858" t="inlineStr">
        <is>
          <t>NORDMALING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50734-2025</t>
        </is>
      </c>
      <c r="B5859" s="1" t="n">
        <v>45946.36549768518</v>
      </c>
      <c r="C5859" s="1" t="n">
        <v>46145</v>
      </c>
      <c r="D5859" t="inlineStr">
        <is>
          <t>VÄSTERBOTTENS LÄN</t>
        </is>
      </c>
      <c r="E5859" t="inlineStr">
        <is>
          <t>NORDMALING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50740-2025</t>
        </is>
      </c>
      <c r="B5860" s="1" t="n">
        <v>45946.37814814815</v>
      </c>
      <c r="C5860" s="1" t="n">
        <v>46145</v>
      </c>
      <c r="D5860" t="inlineStr">
        <is>
          <t>VÄSTERBOTTENS LÄN</t>
        </is>
      </c>
      <c r="E5860" t="inlineStr">
        <is>
          <t>STORUMAN</t>
        </is>
      </c>
      <c r="G5860" t="n">
        <v>11.8</v>
      </c>
      <c r="H5860" t="n">
        <v>0</v>
      </c>
      <c r="I5860" t="n">
        <v>0</v>
      </c>
      <c r="J5860" t="n">
        <v>0</v>
      </c>
      <c r="K5860" t="n">
        <v>0</v>
      </c>
      <c r="L5860" t="n">
        <v>0</v>
      </c>
      <c r="M5860" t="n">
        <v>0</v>
      </c>
      <c r="N5860" t="n">
        <v>0</v>
      </c>
      <c r="O5860" t="n">
        <v>0</v>
      </c>
      <c r="P5860" t="n">
        <v>0</v>
      </c>
      <c r="Q5860" t="n">
        <v>0</v>
      </c>
      <c r="R5860" s="2" t="inlineStr"/>
    </row>
    <row r="5861" ht="15" customHeight="1">
      <c r="A5861" t="inlineStr">
        <is>
          <t>A 50443-2025</t>
        </is>
      </c>
      <c r="B5861" s="1" t="n">
        <v>45944.86888888889</v>
      </c>
      <c r="C5861" s="1" t="n">
        <v>46145</v>
      </c>
      <c r="D5861" t="inlineStr">
        <is>
          <t>VÄSTERBOTTENS LÄN</t>
        </is>
      </c>
      <c r="E5861" t="inlineStr">
        <is>
          <t>UMEÅ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29344-2023</t>
        </is>
      </c>
      <c r="B5862" s="1" t="n">
        <v>45105.94471064815</v>
      </c>
      <c r="C5862" s="1" t="n">
        <v>46145</v>
      </c>
      <c r="D5862" t="inlineStr">
        <is>
          <t>VÄSTERBOTTENS LÄN</t>
        </is>
      </c>
      <c r="E5862" t="inlineStr">
        <is>
          <t>NORDMALING</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50729-2025</t>
        </is>
      </c>
      <c r="B5863" s="1" t="n">
        <v>45946.36190972223</v>
      </c>
      <c r="C5863" s="1" t="n">
        <v>46145</v>
      </c>
      <c r="D5863" t="inlineStr">
        <is>
          <t>VÄSTERBOTTENS LÄN</t>
        </is>
      </c>
      <c r="E5863" t="inlineStr">
        <is>
          <t>STORUMAN</t>
        </is>
      </c>
      <c r="G5863" t="n">
        <v>35.2</v>
      </c>
      <c r="H5863" t="n">
        <v>0</v>
      </c>
      <c r="I5863" t="n">
        <v>0</v>
      </c>
      <c r="J5863" t="n">
        <v>0</v>
      </c>
      <c r="K5863" t="n">
        <v>0</v>
      </c>
      <c r="L5863" t="n">
        <v>0</v>
      </c>
      <c r="M5863" t="n">
        <v>0</v>
      </c>
      <c r="N5863" t="n">
        <v>0</v>
      </c>
      <c r="O5863" t="n">
        <v>0</v>
      </c>
      <c r="P5863" t="n">
        <v>0</v>
      </c>
      <c r="Q5863" t="n">
        <v>0</v>
      </c>
      <c r="R5863" s="2" t="inlineStr"/>
    </row>
    <row r="5864" ht="15" customHeight="1">
      <c r="A5864" t="inlineStr">
        <is>
          <t>A 30439-2024</t>
        </is>
      </c>
      <c r="B5864" s="1" t="n">
        <v>45491.74201388889</v>
      </c>
      <c r="C5864" s="1" t="n">
        <v>46145</v>
      </c>
      <c r="D5864" t="inlineStr">
        <is>
          <t>VÄSTERBOTTENS LÄN</t>
        </is>
      </c>
      <c r="E5864" t="inlineStr">
        <is>
          <t>NORDMALING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62874-2023</t>
        </is>
      </c>
      <c r="B5865" s="1" t="n">
        <v>45271</v>
      </c>
      <c r="C5865" s="1" t="n">
        <v>46145</v>
      </c>
      <c r="D5865" t="inlineStr">
        <is>
          <t>VÄSTERBOTTENS LÄN</t>
        </is>
      </c>
      <c r="E5865" t="inlineStr">
        <is>
          <t>LYCKSELE</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41977-2024</t>
        </is>
      </c>
      <c r="B5866" s="1" t="n">
        <v>45561.62664351852</v>
      </c>
      <c r="C5866" s="1" t="n">
        <v>46145</v>
      </c>
      <c r="D5866" t="inlineStr">
        <is>
          <t>VÄSTERBOTTENS LÄN</t>
        </is>
      </c>
      <c r="E5866" t="inlineStr">
        <is>
          <t>LYCKSELE</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41982-2024</t>
        </is>
      </c>
      <c r="B5867" s="1" t="n">
        <v>45561.63295138889</v>
      </c>
      <c r="C5867" s="1" t="n">
        <v>46145</v>
      </c>
      <c r="D5867" t="inlineStr">
        <is>
          <t>VÄSTERBOTTENS LÄN</t>
        </is>
      </c>
      <c r="E5867" t="inlineStr">
        <is>
          <t>LYCKSELE</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41562-2024</t>
        </is>
      </c>
      <c r="B5868" s="1" t="n">
        <v>45560.53184027778</v>
      </c>
      <c r="C5868" s="1" t="n">
        <v>46145</v>
      </c>
      <c r="D5868" t="inlineStr">
        <is>
          <t>VÄSTERBOTTENS LÄN</t>
        </is>
      </c>
      <c r="E5868" t="inlineStr">
        <is>
          <t>DOROTEA</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28408-2023</t>
        </is>
      </c>
      <c r="B5869" s="1" t="n">
        <v>45101</v>
      </c>
      <c r="C5869" s="1" t="n">
        <v>46145</v>
      </c>
      <c r="D5869" t="inlineStr">
        <is>
          <t>VÄSTERBOTTENS LÄN</t>
        </is>
      </c>
      <c r="E5869" t="inlineStr">
        <is>
          <t>LYCKSELE</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71517-2021</t>
        </is>
      </c>
      <c r="B5870" s="1" t="n">
        <v>44538</v>
      </c>
      <c r="C5870" s="1" t="n">
        <v>46145</v>
      </c>
      <c r="D5870" t="inlineStr">
        <is>
          <t>VÄSTERBOTTENS LÄN</t>
        </is>
      </c>
      <c r="E5870" t="inlineStr">
        <is>
          <t>SORSELE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51348-2025</t>
        </is>
      </c>
      <c r="B5871" s="1" t="n">
        <v>45950.43511574074</v>
      </c>
      <c r="C5871" s="1" t="n">
        <v>46145</v>
      </c>
      <c r="D5871" t="inlineStr">
        <is>
          <t>VÄSTERBOTTENS LÄN</t>
        </is>
      </c>
      <c r="E5871" t="inlineStr">
        <is>
          <t>SKELLEFTEÅ</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51339-2025</t>
        </is>
      </c>
      <c r="B5872" s="1" t="n">
        <v>45950.42702546297</v>
      </c>
      <c r="C5872" s="1" t="n">
        <v>46145</v>
      </c>
      <c r="D5872" t="inlineStr">
        <is>
          <t>VÄSTERBOTTENS LÄN</t>
        </is>
      </c>
      <c r="E5872" t="inlineStr">
        <is>
          <t>UMEÅ</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49587-2024</t>
        </is>
      </c>
      <c r="B5873" s="1" t="n">
        <v>45596</v>
      </c>
      <c r="C5873" s="1" t="n">
        <v>46145</v>
      </c>
      <c r="D5873" t="inlineStr">
        <is>
          <t>VÄSTERBOTTENS LÄN</t>
        </is>
      </c>
      <c r="E5873" t="inlineStr">
        <is>
          <t>VINDELN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51420-2025</t>
        </is>
      </c>
      <c r="B5874" s="1" t="n">
        <v>45950.51708333333</v>
      </c>
      <c r="C5874" s="1" t="n">
        <v>46145</v>
      </c>
      <c r="D5874" t="inlineStr">
        <is>
          <t>VÄSTERBOTTENS LÄN</t>
        </is>
      </c>
      <c r="E5874" t="inlineStr">
        <is>
          <t>SKELLEFTEÅ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51438-2025</t>
        </is>
      </c>
      <c r="B5875" s="1" t="n">
        <v>45950.56954861111</v>
      </c>
      <c r="C5875" s="1" t="n">
        <v>46145</v>
      </c>
      <c r="D5875" t="inlineStr">
        <is>
          <t>VÄSTERBOTTENS LÄN</t>
        </is>
      </c>
      <c r="E5875" t="inlineStr">
        <is>
          <t>SKELLEFTEÅ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51511-2025</t>
        </is>
      </c>
      <c r="B5876" s="1" t="n">
        <v>45950.64607638889</v>
      </c>
      <c r="C5876" s="1" t="n">
        <v>46145</v>
      </c>
      <c r="D5876" t="inlineStr">
        <is>
          <t>VÄSTERBOTTENS LÄN</t>
        </is>
      </c>
      <c r="E5876" t="inlineStr">
        <is>
          <t>NORDMALING</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51518-2025</t>
        </is>
      </c>
      <c r="B5877" s="1" t="n">
        <v>45950.65675925926</v>
      </c>
      <c r="C5877" s="1" t="n">
        <v>46145</v>
      </c>
      <c r="D5877" t="inlineStr">
        <is>
          <t>VÄSTERBOTTENS LÄN</t>
        </is>
      </c>
      <c r="E5877" t="inlineStr">
        <is>
          <t>ÅSELE</t>
        </is>
      </c>
      <c r="F5877" t="inlineStr">
        <is>
          <t>SCA</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54793-2023</t>
        </is>
      </c>
      <c r="B5878" s="1" t="n">
        <v>45229</v>
      </c>
      <c r="C5878" s="1" t="n">
        <v>46145</v>
      </c>
      <c r="D5878" t="inlineStr">
        <is>
          <t>VÄSTERBOTTENS LÄN</t>
        </is>
      </c>
      <c r="E5878" t="inlineStr">
        <is>
          <t>VÄNNÄS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53775-2023</t>
        </is>
      </c>
      <c r="B5879" s="1" t="n">
        <v>45231.27434027778</v>
      </c>
      <c r="C5879" s="1" t="n">
        <v>46145</v>
      </c>
      <c r="D5879" t="inlineStr">
        <is>
          <t>VÄSTERBOTTENS LÄN</t>
        </is>
      </c>
      <c r="E5879" t="inlineStr">
        <is>
          <t>NORDMALING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51194-2025</t>
        </is>
      </c>
      <c r="B5880" s="1" t="n">
        <v>45947.62954861111</v>
      </c>
      <c r="C5880" s="1" t="n">
        <v>46145</v>
      </c>
      <c r="D5880" t="inlineStr">
        <is>
          <t>VÄSTERBOTTENS LÄN</t>
        </is>
      </c>
      <c r="E5880" t="inlineStr">
        <is>
          <t>SKELLEFTEÅ</t>
        </is>
      </c>
      <c r="F5880" t="inlineStr">
        <is>
          <t>Sveaskog</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51207-2025</t>
        </is>
      </c>
      <c r="B5881" s="1" t="n">
        <v>45947.6377199074</v>
      </c>
      <c r="C5881" s="1" t="n">
        <v>46145</v>
      </c>
      <c r="D5881" t="inlineStr">
        <is>
          <t>VÄSTERBOTTENS LÄN</t>
        </is>
      </c>
      <c r="E5881" t="inlineStr">
        <is>
          <t>LYCKSELE</t>
        </is>
      </c>
      <c r="F5881" t="inlineStr">
        <is>
          <t>Holmen skog AB</t>
        </is>
      </c>
      <c r="G5881" t="n">
        <v>7.8</v>
      </c>
      <c r="H5881" t="n">
        <v>0</v>
      </c>
      <c r="I5881" t="n">
        <v>0</v>
      </c>
      <c r="J5881" t="n">
        <v>0</v>
      </c>
      <c r="K5881" t="n">
        <v>0</v>
      </c>
      <c r="L5881" t="n">
        <v>0</v>
      </c>
      <c r="M5881" t="n">
        <v>0</v>
      </c>
      <c r="N5881" t="n">
        <v>0</v>
      </c>
      <c r="O5881" t="n">
        <v>0</v>
      </c>
      <c r="P5881" t="n">
        <v>0</v>
      </c>
      <c r="Q5881" t="n">
        <v>0</v>
      </c>
      <c r="R5881" s="2" t="inlineStr"/>
    </row>
    <row r="5882" ht="15" customHeight="1">
      <c r="A5882" t="inlineStr">
        <is>
          <t>A 53839-2023</t>
        </is>
      </c>
      <c r="B5882" s="1" t="n">
        <v>45231.43283564815</v>
      </c>
      <c r="C5882" s="1" t="n">
        <v>46145</v>
      </c>
      <c r="D5882" t="inlineStr">
        <is>
          <t>VÄSTERBOTTENS LÄN</t>
        </is>
      </c>
      <c r="E5882" t="inlineStr">
        <is>
          <t>LYCKSELE</t>
        </is>
      </c>
      <c r="F5882" t="inlineStr">
        <is>
          <t>Sveaskog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51289-2025</t>
        </is>
      </c>
      <c r="B5883" s="1" t="n">
        <v>45950.34569444445</v>
      </c>
      <c r="C5883" s="1" t="n">
        <v>46145</v>
      </c>
      <c r="D5883" t="inlineStr">
        <is>
          <t>VÄSTERBOTTENS LÄN</t>
        </is>
      </c>
      <c r="E5883" t="inlineStr">
        <is>
          <t>SKELLEFTEÅ</t>
        </is>
      </c>
      <c r="F5883" t="inlineStr">
        <is>
          <t>SCA</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51305-2025</t>
        </is>
      </c>
      <c r="B5884" s="1" t="n">
        <v>45950.36554398148</v>
      </c>
      <c r="C5884" s="1" t="n">
        <v>46145</v>
      </c>
      <c r="D5884" t="inlineStr">
        <is>
          <t>VÄSTERBOTTENS LÄN</t>
        </is>
      </c>
      <c r="E5884" t="inlineStr">
        <is>
          <t>ÅSELE</t>
        </is>
      </c>
      <c r="F5884" t="inlineStr">
        <is>
          <t>SCA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18009-2025</t>
        </is>
      </c>
      <c r="B5885" s="1" t="n">
        <v>45761</v>
      </c>
      <c r="C5885" s="1" t="n">
        <v>46145</v>
      </c>
      <c r="D5885" t="inlineStr">
        <is>
          <t>VÄSTERBOTTENS LÄN</t>
        </is>
      </c>
      <c r="E5885" t="inlineStr">
        <is>
          <t>ÅSELE</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51351-2025</t>
        </is>
      </c>
      <c r="B5886" s="1" t="n">
        <v>45950.43614583334</v>
      </c>
      <c r="C5886" s="1" t="n">
        <v>46145</v>
      </c>
      <c r="D5886" t="inlineStr">
        <is>
          <t>VÄSTERBOTTENS LÄN</t>
        </is>
      </c>
      <c r="E5886" t="inlineStr">
        <is>
          <t>SKELLEFTEÅ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24756-2024</t>
        </is>
      </c>
      <c r="B5887" s="1" t="n">
        <v>45460</v>
      </c>
      <c r="C5887" s="1" t="n">
        <v>46145</v>
      </c>
      <c r="D5887" t="inlineStr">
        <is>
          <t>VÄSTERBOTTENS LÄN</t>
        </is>
      </c>
      <c r="E5887" t="inlineStr">
        <is>
          <t>VINDELN</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51045-2025</t>
        </is>
      </c>
      <c r="B5888" s="1" t="n">
        <v>45947.4275462963</v>
      </c>
      <c r="C5888" s="1" t="n">
        <v>46145</v>
      </c>
      <c r="D5888" t="inlineStr">
        <is>
          <t>VÄSTERBOTTENS LÄN</t>
        </is>
      </c>
      <c r="E5888" t="inlineStr">
        <is>
          <t>STORUMAN</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42848-2024</t>
        </is>
      </c>
      <c r="B5889" s="1" t="n">
        <v>45566.63563657407</v>
      </c>
      <c r="C5889" s="1" t="n">
        <v>46145</v>
      </c>
      <c r="D5889" t="inlineStr">
        <is>
          <t>VÄSTERBOTTENS LÄN</t>
        </is>
      </c>
      <c r="E5889" t="inlineStr">
        <is>
          <t>SKELLEFTEÅ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42852-2024</t>
        </is>
      </c>
      <c r="B5890" s="1" t="n">
        <v>45566.64449074074</v>
      </c>
      <c r="C5890" s="1" t="n">
        <v>46145</v>
      </c>
      <c r="D5890" t="inlineStr">
        <is>
          <t>VÄSTERBOTTENS LÄN</t>
        </is>
      </c>
      <c r="E5890" t="inlineStr">
        <is>
          <t>SKELLEFTEÅ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51089-2025</t>
        </is>
      </c>
      <c r="B5891" s="1" t="n">
        <v>45947.4724074074</v>
      </c>
      <c r="C5891" s="1" t="n">
        <v>46145</v>
      </c>
      <c r="D5891" t="inlineStr">
        <is>
          <t>VÄSTERBOTTENS LÄN</t>
        </is>
      </c>
      <c r="E5891" t="inlineStr">
        <is>
          <t>VINDELN</t>
        </is>
      </c>
      <c r="F5891" t="inlineStr">
        <is>
          <t>Holmen skog AB</t>
        </is>
      </c>
      <c r="G5891" t="n">
        <v>13.3</v>
      </c>
      <c r="H5891" t="n">
        <v>0</v>
      </c>
      <c r="I5891" t="n">
        <v>0</v>
      </c>
      <c r="J5891" t="n">
        <v>0</v>
      </c>
      <c r="K5891" t="n">
        <v>0</v>
      </c>
      <c r="L5891" t="n">
        <v>0</v>
      </c>
      <c r="M5891" t="n">
        <v>0</v>
      </c>
      <c r="N5891" t="n">
        <v>0</v>
      </c>
      <c r="O5891" t="n">
        <v>0</v>
      </c>
      <c r="P5891" t="n">
        <v>0</v>
      </c>
      <c r="Q5891" t="n">
        <v>0</v>
      </c>
      <c r="R5891" s="2" t="inlineStr"/>
    </row>
    <row r="5892" ht="15" customHeight="1">
      <c r="A5892" t="inlineStr">
        <is>
          <t>A 51376-2025</t>
        </is>
      </c>
      <c r="B5892" s="1" t="n">
        <v>45947</v>
      </c>
      <c r="C5892" s="1" t="n">
        <v>46145</v>
      </c>
      <c r="D5892" t="inlineStr">
        <is>
          <t>VÄSTERBOTTENS LÄN</t>
        </is>
      </c>
      <c r="E5892" t="inlineStr">
        <is>
          <t>NORSJÖ</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56734-2022</t>
        </is>
      </c>
      <c r="B5893" s="1" t="n">
        <v>44893.94988425926</v>
      </c>
      <c r="C5893" s="1" t="n">
        <v>46145</v>
      </c>
      <c r="D5893" t="inlineStr">
        <is>
          <t>VÄSTERBOTTENS LÄN</t>
        </is>
      </c>
      <c r="E5893" t="inlineStr">
        <is>
          <t>NORDMALING</t>
        </is>
      </c>
      <c r="F5893" t="inlineStr">
        <is>
          <t>SCA</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6344-2025</t>
        </is>
      </c>
      <c r="B5894" s="1" t="n">
        <v>45699.3434837963</v>
      </c>
      <c r="C5894" s="1" t="n">
        <v>46145</v>
      </c>
      <c r="D5894" t="inlineStr">
        <is>
          <t>VÄSTERBOTTENS LÄN</t>
        </is>
      </c>
      <c r="E5894" t="inlineStr">
        <is>
          <t>NORSJÖ</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51127-2025</t>
        </is>
      </c>
      <c r="B5895" s="1" t="n">
        <v>45947.55271990741</v>
      </c>
      <c r="C5895" s="1" t="n">
        <v>46145</v>
      </c>
      <c r="D5895" t="inlineStr">
        <is>
          <t>VÄSTERBOTTENS LÄN</t>
        </is>
      </c>
      <c r="E5895" t="inlineStr">
        <is>
          <t>NORSJÖ</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51445-2025</t>
        </is>
      </c>
      <c r="B5896" s="1" t="n">
        <v>45950.58671296296</v>
      </c>
      <c r="C5896" s="1" t="n">
        <v>46145</v>
      </c>
      <c r="D5896" t="inlineStr">
        <is>
          <t>VÄSTERBOTTENS LÄN</t>
        </is>
      </c>
      <c r="E5896" t="inlineStr">
        <is>
          <t>UMEÅ</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51119-2025</t>
        </is>
      </c>
      <c r="B5897" s="1" t="n">
        <v>45947.53201388889</v>
      </c>
      <c r="C5897" s="1" t="n">
        <v>46145</v>
      </c>
      <c r="D5897" t="inlineStr">
        <is>
          <t>VÄSTERBOTTENS LÄN</t>
        </is>
      </c>
      <c r="E5897" t="inlineStr">
        <is>
          <t>NORSJÖ</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41960-2024</t>
        </is>
      </c>
      <c r="B5898" s="1" t="n">
        <v>45561</v>
      </c>
      <c r="C5898" s="1" t="n">
        <v>46145</v>
      </c>
      <c r="D5898" t="inlineStr">
        <is>
          <t>VÄSTERBOTTENS LÄN</t>
        </is>
      </c>
      <c r="E5898" t="inlineStr">
        <is>
          <t>ÅSELE</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51042-2025</t>
        </is>
      </c>
      <c r="B5899" s="1" t="n">
        <v>45947.42334490741</v>
      </c>
      <c r="C5899" s="1" t="n">
        <v>46145</v>
      </c>
      <c r="D5899" t="inlineStr">
        <is>
          <t>VÄSTERBOTTENS LÄN</t>
        </is>
      </c>
      <c r="E5899" t="inlineStr">
        <is>
          <t>VILHELMINA</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17961-2025</t>
        </is>
      </c>
      <c r="B5900" s="1" t="n">
        <v>45761.32622685185</v>
      </c>
      <c r="C5900" s="1" t="n">
        <v>46145</v>
      </c>
      <c r="D5900" t="inlineStr">
        <is>
          <t>VÄSTERBOTTENS LÄN</t>
        </is>
      </c>
      <c r="E5900" t="inlineStr">
        <is>
          <t>SKELLEFTEÅ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3250-2025</t>
        </is>
      </c>
      <c r="B5901" s="1" t="n">
        <v>45679</v>
      </c>
      <c r="C5901" s="1" t="n">
        <v>46145</v>
      </c>
      <c r="D5901" t="inlineStr">
        <is>
          <t>VÄSTERBOTTENS LÄN</t>
        </is>
      </c>
      <c r="E5901" t="inlineStr">
        <is>
          <t>ÅSELE</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11822-2023</t>
        </is>
      </c>
      <c r="B5902" s="1" t="n">
        <v>44994.94163194444</v>
      </c>
      <c r="C5902" s="1" t="n">
        <v>46145</v>
      </c>
      <c r="D5902" t="inlineStr">
        <is>
          <t>VÄSTERBOTTENS LÄN</t>
        </is>
      </c>
      <c r="E5902" t="inlineStr">
        <is>
          <t>LYCKSELE</t>
        </is>
      </c>
      <c r="F5902" t="inlineStr">
        <is>
          <t>SCA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51216-2025</t>
        </is>
      </c>
      <c r="B5903" s="1" t="n">
        <v>45947.6441550926</v>
      </c>
      <c r="C5903" s="1" t="n">
        <v>46145</v>
      </c>
      <c r="D5903" t="inlineStr">
        <is>
          <t>VÄSTERBOTTENS LÄN</t>
        </is>
      </c>
      <c r="E5903" t="inlineStr">
        <is>
          <t>SKELLEFTEÅ</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28688-2023</t>
        </is>
      </c>
      <c r="B5904" s="1" t="n">
        <v>45103</v>
      </c>
      <c r="C5904" s="1" t="n">
        <v>46145</v>
      </c>
      <c r="D5904" t="inlineStr">
        <is>
          <t>VÄSTERBOTTENS LÄN</t>
        </is>
      </c>
      <c r="E5904" t="inlineStr">
        <is>
          <t>SORSELE</t>
        </is>
      </c>
      <c r="F5904" t="inlineStr">
        <is>
          <t>Sveaskog</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51280-2025</t>
        </is>
      </c>
      <c r="B5905" s="1" t="n">
        <v>45950.3259837963</v>
      </c>
      <c r="C5905" s="1" t="n">
        <v>46145</v>
      </c>
      <c r="D5905" t="inlineStr">
        <is>
          <t>VÄSTERBOTTENS LÄN</t>
        </is>
      </c>
      <c r="E5905" t="inlineStr">
        <is>
          <t>UMEÅ</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28550-2023</t>
        </is>
      </c>
      <c r="B5906" s="1" t="n">
        <v>45103.50481481481</v>
      </c>
      <c r="C5906" s="1" t="n">
        <v>46145</v>
      </c>
      <c r="D5906" t="inlineStr">
        <is>
          <t>VÄSTERBOTTENS LÄN</t>
        </is>
      </c>
      <c r="E5906" t="inlineStr">
        <is>
          <t>LYCKSELE</t>
        </is>
      </c>
      <c r="F5906" t="inlineStr">
        <is>
          <t>Sveaskog</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41251-2024</t>
        </is>
      </c>
      <c r="B5907" s="1" t="n">
        <v>45559</v>
      </c>
      <c r="C5907" s="1" t="n">
        <v>46145</v>
      </c>
      <c r="D5907" t="inlineStr">
        <is>
          <t>VÄSTERBOTTENS LÄN</t>
        </is>
      </c>
      <c r="E5907" t="inlineStr">
        <is>
          <t>SORSELE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51369-2025</t>
        </is>
      </c>
      <c r="B5908" s="1" t="n">
        <v>45947</v>
      </c>
      <c r="C5908" s="1" t="n">
        <v>46145</v>
      </c>
      <c r="D5908" t="inlineStr">
        <is>
          <t>VÄSTERBOTTENS LÄN</t>
        </is>
      </c>
      <c r="E5908" t="inlineStr">
        <is>
          <t>NORSJÖ</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51473-2025</t>
        </is>
      </c>
      <c r="B5909" s="1" t="n">
        <v>45950.61760416667</v>
      </c>
      <c r="C5909" s="1" t="n">
        <v>46145</v>
      </c>
      <c r="D5909" t="inlineStr">
        <is>
          <t>VÄSTERBOTTENS LÄN</t>
        </is>
      </c>
      <c r="E5909" t="inlineStr">
        <is>
          <t>LYCKSELE</t>
        </is>
      </c>
      <c r="F5909" t="inlineStr">
        <is>
          <t>Sveaskog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51542-2025</t>
        </is>
      </c>
      <c r="B5910" s="1" t="n">
        <v>45950.73994212963</v>
      </c>
      <c r="C5910" s="1" t="n">
        <v>46145</v>
      </c>
      <c r="D5910" t="inlineStr">
        <is>
          <t>VÄSTERBOTTENS LÄN</t>
        </is>
      </c>
      <c r="E5910" t="inlineStr">
        <is>
          <t>NORDMALING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16461-2025</t>
        </is>
      </c>
      <c r="B5911" s="1" t="n">
        <v>45750</v>
      </c>
      <c r="C5911" s="1" t="n">
        <v>46145</v>
      </c>
      <c r="D5911" t="inlineStr">
        <is>
          <t>VÄSTERBOTTENS LÄN</t>
        </is>
      </c>
      <c r="E5911" t="inlineStr">
        <is>
          <t>SKELLEFTEÅ</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51543-2025</t>
        </is>
      </c>
      <c r="B5912" s="1" t="n">
        <v>45950.74270833333</v>
      </c>
      <c r="C5912" s="1" t="n">
        <v>46145</v>
      </c>
      <c r="D5912" t="inlineStr">
        <is>
          <t>VÄSTERBOTTENS LÄN</t>
        </is>
      </c>
      <c r="E5912" t="inlineStr">
        <is>
          <t>NORDMALING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50995-2025</t>
        </is>
      </c>
      <c r="B5913" s="1" t="n">
        <v>45947.34706018519</v>
      </c>
      <c r="C5913" s="1" t="n">
        <v>46145</v>
      </c>
      <c r="D5913" t="inlineStr">
        <is>
          <t>VÄSTERBOTTENS LÄN</t>
        </is>
      </c>
      <c r="E5913" t="inlineStr">
        <is>
          <t>ROBERTSFORS</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14746-2025</t>
        </is>
      </c>
      <c r="B5914" s="1" t="n">
        <v>45742.65662037037</v>
      </c>
      <c r="C5914" s="1" t="n">
        <v>46145</v>
      </c>
      <c r="D5914" t="inlineStr">
        <is>
          <t>VÄSTERBOTTENS LÄN</t>
        </is>
      </c>
      <c r="E5914" t="inlineStr">
        <is>
          <t>NORSJÖ</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59133-2024</t>
        </is>
      </c>
      <c r="B5915" s="1" t="n">
        <v>45636</v>
      </c>
      <c r="C5915" s="1" t="n">
        <v>46145</v>
      </c>
      <c r="D5915" t="inlineStr">
        <is>
          <t>VÄSTERBOTTENS LÄN</t>
        </is>
      </c>
      <c r="E5915" t="inlineStr">
        <is>
          <t>NORSJÖ</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51197-2025</t>
        </is>
      </c>
      <c r="B5916" s="1" t="n">
        <v>45947.63258101852</v>
      </c>
      <c r="C5916" s="1" t="n">
        <v>46145</v>
      </c>
      <c r="D5916" t="inlineStr">
        <is>
          <t>VÄSTERBOTTENS LÄN</t>
        </is>
      </c>
      <c r="E5916" t="inlineStr">
        <is>
          <t>ÅSELE</t>
        </is>
      </c>
      <c r="F5916" t="inlineStr">
        <is>
          <t>Holmen skog AB</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51291-2025</t>
        </is>
      </c>
      <c r="B5917" s="1" t="n">
        <v>45950.34607638889</v>
      </c>
      <c r="C5917" s="1" t="n">
        <v>46145</v>
      </c>
      <c r="D5917" t="inlineStr">
        <is>
          <t>VÄSTERBOTTENS LÄN</t>
        </is>
      </c>
      <c r="E5917" t="inlineStr">
        <is>
          <t>VINDELN</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14795-2025</t>
        </is>
      </c>
      <c r="B5918" s="1" t="n">
        <v>45742.87837962963</v>
      </c>
      <c r="C5918" s="1" t="n">
        <v>46145</v>
      </c>
      <c r="D5918" t="inlineStr">
        <is>
          <t>VÄSTERBOTTENS LÄN</t>
        </is>
      </c>
      <c r="E5918" t="inlineStr">
        <is>
          <t>LYCKSELE</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51295-2025</t>
        </is>
      </c>
      <c r="B5919" s="1" t="n">
        <v>45950.35725694444</v>
      </c>
      <c r="C5919" s="1" t="n">
        <v>46145</v>
      </c>
      <c r="D5919" t="inlineStr">
        <is>
          <t>VÄSTERBOTTENS LÄN</t>
        </is>
      </c>
      <c r="E5919" t="inlineStr">
        <is>
          <t>LYCKSELE</t>
        </is>
      </c>
      <c r="G5919" t="n">
        <v>22.8</v>
      </c>
      <c r="H5919" t="n">
        <v>0</v>
      </c>
      <c r="I5919" t="n">
        <v>0</v>
      </c>
      <c r="J5919" t="n">
        <v>0</v>
      </c>
      <c r="K5919" t="n">
        <v>0</v>
      </c>
      <c r="L5919" t="n">
        <v>0</v>
      </c>
      <c r="M5919" t="n">
        <v>0</v>
      </c>
      <c r="N5919" t="n">
        <v>0</v>
      </c>
      <c r="O5919" t="n">
        <v>0</v>
      </c>
      <c r="P5919" t="n">
        <v>0</v>
      </c>
      <c r="Q5919" t="n">
        <v>0</v>
      </c>
      <c r="R5919" s="2" t="inlineStr"/>
    </row>
    <row r="5920" ht="15" customHeight="1">
      <c r="A5920" t="inlineStr">
        <is>
          <t>A 51159-2025</t>
        </is>
      </c>
      <c r="B5920" s="1" t="n">
        <v>45947.58113425926</v>
      </c>
      <c r="C5920" s="1" t="n">
        <v>46145</v>
      </c>
      <c r="D5920" t="inlineStr">
        <is>
          <t>VÄSTERBOTTENS LÄN</t>
        </is>
      </c>
      <c r="E5920" t="inlineStr">
        <is>
          <t>NORSJÖ</t>
        </is>
      </c>
      <c r="F5920" t="inlineStr">
        <is>
          <t>Sveaskog</t>
        </is>
      </c>
      <c r="G5920" t="n">
        <v>18.5</v>
      </c>
      <c r="H5920" t="n">
        <v>0</v>
      </c>
      <c r="I5920" t="n">
        <v>0</v>
      </c>
      <c r="J5920" t="n">
        <v>0</v>
      </c>
      <c r="K5920" t="n">
        <v>0</v>
      </c>
      <c r="L5920" t="n">
        <v>0</v>
      </c>
      <c r="M5920" t="n">
        <v>0</v>
      </c>
      <c r="N5920" t="n">
        <v>0</v>
      </c>
      <c r="O5920" t="n">
        <v>0</v>
      </c>
      <c r="P5920" t="n">
        <v>0</v>
      </c>
      <c r="Q5920" t="n">
        <v>0</v>
      </c>
      <c r="R5920" s="2" t="inlineStr"/>
    </row>
    <row r="5921" ht="15" customHeight="1">
      <c r="A5921" t="inlineStr">
        <is>
          <t>A 10978-2025</t>
        </is>
      </c>
      <c r="B5921" s="1" t="n">
        <v>45723</v>
      </c>
      <c r="C5921" s="1" t="n">
        <v>46145</v>
      </c>
      <c r="D5921" t="inlineStr">
        <is>
          <t>VÄSTERBOTTENS LÄN</t>
        </is>
      </c>
      <c r="E5921" t="inlineStr">
        <is>
          <t>SKELLEFTEÅ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10980-2025</t>
        </is>
      </c>
      <c r="B5922" s="1" t="n">
        <v>45723</v>
      </c>
      <c r="C5922" s="1" t="n">
        <v>46145</v>
      </c>
      <c r="D5922" t="inlineStr">
        <is>
          <t>VÄSTERBOTTENS LÄN</t>
        </is>
      </c>
      <c r="E5922" t="inlineStr">
        <is>
          <t>SKELLEFTEÅ</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51419-2025</t>
        </is>
      </c>
      <c r="B5923" s="1" t="n">
        <v>45950.51460648148</v>
      </c>
      <c r="C5923" s="1" t="n">
        <v>46145</v>
      </c>
      <c r="D5923" t="inlineStr">
        <is>
          <t>VÄSTERBOTTENS LÄN</t>
        </is>
      </c>
      <c r="E5923" t="inlineStr">
        <is>
          <t>ROBERTSFORS</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51038-2025</t>
        </is>
      </c>
      <c r="B5924" s="1" t="n">
        <v>45947.40744212963</v>
      </c>
      <c r="C5924" s="1" t="n">
        <v>46145</v>
      </c>
      <c r="D5924" t="inlineStr">
        <is>
          <t>VÄSTERBOTTENS LÄN</t>
        </is>
      </c>
      <c r="E5924" t="inlineStr">
        <is>
          <t>STORUMAN</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51099-2025</t>
        </is>
      </c>
      <c r="B5925" s="1" t="n">
        <v>45947.48685185185</v>
      </c>
      <c r="C5925" s="1" t="n">
        <v>46145</v>
      </c>
      <c r="D5925" t="inlineStr">
        <is>
          <t>VÄSTERBOTTENS LÄN</t>
        </is>
      </c>
      <c r="E5925" t="inlineStr">
        <is>
          <t>ÅSELE</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41096-2024</t>
        </is>
      </c>
      <c r="B5926" s="1" t="n">
        <v>45559.43212962963</v>
      </c>
      <c r="C5926" s="1" t="n">
        <v>46145</v>
      </c>
      <c r="D5926" t="inlineStr">
        <is>
          <t>VÄSTERBOTTENS LÄN</t>
        </is>
      </c>
      <c r="E5926" t="inlineStr">
        <is>
          <t>VINDELN</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41105-2024</t>
        </is>
      </c>
      <c r="B5927" s="1" t="n">
        <v>45559.44234953704</v>
      </c>
      <c r="C5927" s="1" t="n">
        <v>46145</v>
      </c>
      <c r="D5927" t="inlineStr">
        <is>
          <t>VÄSTERBOTTENS LÄN</t>
        </is>
      </c>
      <c r="E5927" t="inlineStr">
        <is>
          <t>LYCKSELE</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51120-2025</t>
        </is>
      </c>
      <c r="B5928" s="1" t="n">
        <v>45947.53204861111</v>
      </c>
      <c r="C5928" s="1" t="n">
        <v>46145</v>
      </c>
      <c r="D5928" t="inlineStr">
        <is>
          <t>VÄSTERBOTTENS LÄN</t>
        </is>
      </c>
      <c r="E5928" t="inlineStr">
        <is>
          <t>NORSJÖ</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41107-2024</t>
        </is>
      </c>
      <c r="B5929" s="1" t="n">
        <v>45559.44841435185</v>
      </c>
      <c r="C5929" s="1" t="n">
        <v>46145</v>
      </c>
      <c r="D5929" t="inlineStr">
        <is>
          <t>VÄSTERBOTTENS LÄN</t>
        </is>
      </c>
      <c r="E5929" t="inlineStr">
        <is>
          <t>VINDELN</t>
        </is>
      </c>
      <c r="F5929" t="inlineStr">
        <is>
          <t>Sveaskog</t>
        </is>
      </c>
      <c r="G5929" t="n">
        <v>10.2</v>
      </c>
      <c r="H5929" t="n">
        <v>0</v>
      </c>
      <c r="I5929" t="n">
        <v>0</v>
      </c>
      <c r="J5929" t="n">
        <v>0</v>
      </c>
      <c r="K5929" t="n">
        <v>0</v>
      </c>
      <c r="L5929" t="n">
        <v>0</v>
      </c>
      <c r="M5929" t="n">
        <v>0</v>
      </c>
      <c r="N5929" t="n">
        <v>0</v>
      </c>
      <c r="O5929" t="n">
        <v>0</v>
      </c>
      <c r="P5929" t="n">
        <v>0</v>
      </c>
      <c r="Q5929" t="n">
        <v>0</v>
      </c>
      <c r="R5929" s="2" t="inlineStr"/>
    </row>
    <row r="5930" ht="15" customHeight="1">
      <c r="A5930" t="inlineStr">
        <is>
          <t>A 41113-2024</t>
        </is>
      </c>
      <c r="B5930" s="1" t="n">
        <v>45559.45069444444</v>
      </c>
      <c r="C5930" s="1" t="n">
        <v>46145</v>
      </c>
      <c r="D5930" t="inlineStr">
        <is>
          <t>VÄSTERBOTTENS LÄN</t>
        </is>
      </c>
      <c r="E5930" t="inlineStr">
        <is>
          <t>VINDELN</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41771-2024</t>
        </is>
      </c>
      <c r="B5931" s="1" t="n">
        <v>45561.34652777778</v>
      </c>
      <c r="C5931" s="1" t="n">
        <v>46145</v>
      </c>
      <c r="D5931" t="inlineStr">
        <is>
          <t>VÄSTERBOTTENS LÄN</t>
        </is>
      </c>
      <c r="E5931" t="inlineStr">
        <is>
          <t>DOROTEA</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33080-2024</t>
        </is>
      </c>
      <c r="B5932" s="1" t="n">
        <v>45517.67284722222</v>
      </c>
      <c r="C5932" s="1" t="n">
        <v>46145</v>
      </c>
      <c r="D5932" t="inlineStr">
        <is>
          <t>VÄSTERBOTTENS LÄN</t>
        </is>
      </c>
      <c r="E5932" t="inlineStr">
        <is>
          <t>NORSJÖ</t>
        </is>
      </c>
      <c r="F5932" t="inlineStr">
        <is>
          <t>Holmen skog AB</t>
        </is>
      </c>
      <c r="G5932" t="n">
        <v>25.2</v>
      </c>
      <c r="H5932" t="n">
        <v>0</v>
      </c>
      <c r="I5932" t="n">
        <v>0</v>
      </c>
      <c r="J5932" t="n">
        <v>0</v>
      </c>
      <c r="K5932" t="n">
        <v>0</v>
      </c>
      <c r="L5932" t="n">
        <v>0</v>
      </c>
      <c r="M5932" t="n">
        <v>0</v>
      </c>
      <c r="N5932" t="n">
        <v>0</v>
      </c>
      <c r="O5932" t="n">
        <v>0</v>
      </c>
      <c r="P5932" t="n">
        <v>0</v>
      </c>
      <c r="Q5932" t="n">
        <v>0</v>
      </c>
      <c r="R5932" s="2" t="inlineStr"/>
    </row>
    <row r="5933" ht="15" customHeight="1">
      <c r="A5933" t="inlineStr">
        <is>
          <t>A 28957-2023</t>
        </is>
      </c>
      <c r="B5933" s="1" t="n">
        <v>45104</v>
      </c>
      <c r="C5933" s="1" t="n">
        <v>46145</v>
      </c>
      <c r="D5933" t="inlineStr">
        <is>
          <t>VÄSTERBOTTENS LÄN</t>
        </is>
      </c>
      <c r="E5933" t="inlineStr">
        <is>
          <t>STORUMAN</t>
        </is>
      </c>
      <c r="F5933" t="inlineStr">
        <is>
          <t>Sveaskog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55919-2023</t>
        </is>
      </c>
      <c r="B5934" s="1" t="n">
        <v>45239.9687962963</v>
      </c>
      <c r="C5934" s="1" t="n">
        <v>46145</v>
      </c>
      <c r="D5934" t="inlineStr">
        <is>
          <t>VÄSTERBOTTENS LÄN</t>
        </is>
      </c>
      <c r="E5934" t="inlineStr">
        <is>
          <t>DOROTEA</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28959-2023</t>
        </is>
      </c>
      <c r="B5935" s="1" t="n">
        <v>45104</v>
      </c>
      <c r="C5935" s="1" t="n">
        <v>46145</v>
      </c>
      <c r="D5935" t="inlineStr">
        <is>
          <t>VÄSTERBOTTENS LÄN</t>
        </is>
      </c>
      <c r="E5935" t="inlineStr">
        <is>
          <t>SORSELE</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28966-2023</t>
        </is>
      </c>
      <c r="B5936" s="1" t="n">
        <v>45104</v>
      </c>
      <c r="C5936" s="1" t="n">
        <v>46145</v>
      </c>
      <c r="D5936" t="inlineStr">
        <is>
          <t>VÄSTERBOTTENS LÄN</t>
        </is>
      </c>
      <c r="E5936" t="inlineStr">
        <is>
          <t>NORSJÖ</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48204-2024</t>
        </is>
      </c>
      <c r="B5937" s="1" t="n">
        <v>45589</v>
      </c>
      <c r="C5937" s="1" t="n">
        <v>46145</v>
      </c>
      <c r="D5937" t="inlineStr">
        <is>
          <t>VÄSTERBOTTENS LÄN</t>
        </is>
      </c>
      <c r="E5937" t="inlineStr">
        <is>
          <t>SKELLEFTEÅ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16013-2025</t>
        </is>
      </c>
      <c r="B5938" s="1" t="n">
        <v>45749.60484953703</v>
      </c>
      <c r="C5938" s="1" t="n">
        <v>46145</v>
      </c>
      <c r="D5938" t="inlineStr">
        <is>
          <t>VÄSTERBOTTENS LÄN</t>
        </is>
      </c>
      <c r="E5938" t="inlineStr">
        <is>
          <t>BJURHOLM</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16030-2025</t>
        </is>
      </c>
      <c r="B5939" s="1" t="n">
        <v>45748</v>
      </c>
      <c r="C5939" s="1" t="n">
        <v>46145</v>
      </c>
      <c r="D5939" t="inlineStr">
        <is>
          <t>VÄSTERBOTTENS LÄN</t>
        </is>
      </c>
      <c r="E5939" t="inlineStr">
        <is>
          <t>NORSJÖ</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51544-2025</t>
        </is>
      </c>
      <c r="B5940" s="1" t="n">
        <v>45950.74530092593</v>
      </c>
      <c r="C5940" s="1" t="n">
        <v>46145</v>
      </c>
      <c r="D5940" t="inlineStr">
        <is>
          <t>VÄSTERBOTTENS LÄN</t>
        </is>
      </c>
      <c r="E5940" t="inlineStr">
        <is>
          <t>NORDMALING</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51059-2025</t>
        </is>
      </c>
      <c r="B5941" s="1" t="n">
        <v>45947.44662037037</v>
      </c>
      <c r="C5941" s="1" t="n">
        <v>46145</v>
      </c>
      <c r="D5941" t="inlineStr">
        <is>
          <t>VÄSTERBOTTENS LÄN</t>
        </is>
      </c>
      <c r="E5941" t="inlineStr">
        <is>
          <t>ÅSELE</t>
        </is>
      </c>
      <c r="F5941" t="inlineStr">
        <is>
          <t>Holmen skog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51506-2025</t>
        </is>
      </c>
      <c r="B5942" s="1" t="n">
        <v>45950.64244212963</v>
      </c>
      <c r="C5942" s="1" t="n">
        <v>46145</v>
      </c>
      <c r="D5942" t="inlineStr">
        <is>
          <t>VÄSTERBOTTENS LÄN</t>
        </is>
      </c>
      <c r="E5942" t="inlineStr">
        <is>
          <t>NORSJÖ</t>
        </is>
      </c>
      <c r="F5942" t="inlineStr">
        <is>
          <t>Holmen skog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51128-2025</t>
        </is>
      </c>
      <c r="B5943" s="1" t="n">
        <v>45947.55287037037</v>
      </c>
      <c r="C5943" s="1" t="n">
        <v>46145</v>
      </c>
      <c r="D5943" t="inlineStr">
        <is>
          <t>VÄSTERBOTTENS LÄN</t>
        </is>
      </c>
      <c r="E5943" t="inlineStr">
        <is>
          <t>NORSJÖ</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51130-2025</t>
        </is>
      </c>
      <c r="B5944" s="1" t="n">
        <v>45947.55298611111</v>
      </c>
      <c r="C5944" s="1" t="n">
        <v>46145</v>
      </c>
      <c r="D5944" t="inlineStr">
        <is>
          <t>VÄSTERBOTTENS LÄN</t>
        </is>
      </c>
      <c r="E5944" t="inlineStr">
        <is>
          <t>NORSJÖ</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34029-2023</t>
        </is>
      </c>
      <c r="B5945" s="1" t="n">
        <v>45135</v>
      </c>
      <c r="C5945" s="1" t="n">
        <v>46145</v>
      </c>
      <c r="D5945" t="inlineStr">
        <is>
          <t>VÄSTERBOTTENS LÄN</t>
        </is>
      </c>
      <c r="E5945" t="inlineStr">
        <is>
          <t>ROBERTSFORS</t>
        </is>
      </c>
      <c r="F5945" t="inlineStr">
        <is>
          <t>Holmen skog AB</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51093-2025</t>
        </is>
      </c>
      <c r="B5946" s="1" t="n">
        <v>45947.4753125</v>
      </c>
      <c r="C5946" s="1" t="n">
        <v>46145</v>
      </c>
      <c r="D5946" t="inlineStr">
        <is>
          <t>VÄSTERBOTTENS LÄN</t>
        </is>
      </c>
      <c r="E5946" t="inlineStr">
        <is>
          <t>ÅSELE</t>
        </is>
      </c>
      <c r="F5946" t="inlineStr">
        <is>
          <t>Holmen skog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35734-2024</t>
        </is>
      </c>
      <c r="B5947" s="1" t="n">
        <v>45532</v>
      </c>
      <c r="C5947" s="1" t="n">
        <v>46145</v>
      </c>
      <c r="D5947" t="inlineStr">
        <is>
          <t>VÄSTERBOTTENS LÄN</t>
        </is>
      </c>
      <c r="E5947" t="inlineStr">
        <is>
          <t>VÄNNÄS</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69458-2021</t>
        </is>
      </c>
      <c r="B5948" s="1" t="n">
        <v>44531</v>
      </c>
      <c r="C5948" s="1" t="n">
        <v>46145</v>
      </c>
      <c r="D5948" t="inlineStr">
        <is>
          <t>VÄSTERBOTTENS LÄN</t>
        </is>
      </c>
      <c r="E5948" t="inlineStr">
        <is>
          <t>SORSELE</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51290-2025</t>
        </is>
      </c>
      <c r="B5949" s="1" t="n">
        <v>45950.34587962963</v>
      </c>
      <c r="C5949" s="1" t="n">
        <v>46145</v>
      </c>
      <c r="D5949" t="inlineStr">
        <is>
          <t>VÄSTERBOTTENS LÄN</t>
        </is>
      </c>
      <c r="E5949" t="inlineStr">
        <is>
          <t>SKELLEFTEÅ</t>
        </is>
      </c>
      <c r="F5949" t="inlineStr">
        <is>
          <t>SCA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51319-2025</t>
        </is>
      </c>
      <c r="B5950" s="1" t="n">
        <v>45950.38591435185</v>
      </c>
      <c r="C5950" s="1" t="n">
        <v>46145</v>
      </c>
      <c r="D5950" t="inlineStr">
        <is>
          <t>VÄSTERBOTTENS LÄN</t>
        </is>
      </c>
      <c r="E5950" t="inlineStr">
        <is>
          <t>ÅSELE</t>
        </is>
      </c>
      <c r="F5950" t="inlineStr">
        <is>
          <t>SCA</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10655-2024</t>
        </is>
      </c>
      <c r="B5951" s="1" t="n">
        <v>45368</v>
      </c>
      <c r="C5951" s="1" t="n">
        <v>46145</v>
      </c>
      <c r="D5951" t="inlineStr">
        <is>
          <t>VÄSTERBOTTENS LÄN</t>
        </is>
      </c>
      <c r="E5951" t="inlineStr">
        <is>
          <t>SKELLEFTEÅ</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19397-2023</t>
        </is>
      </c>
      <c r="B5952" s="1" t="n">
        <v>45048</v>
      </c>
      <c r="C5952" s="1" t="n">
        <v>46145</v>
      </c>
      <c r="D5952" t="inlineStr">
        <is>
          <t>VÄSTERBOTTENS LÄN</t>
        </is>
      </c>
      <c r="E5952" t="inlineStr">
        <is>
          <t>VILHELMINA</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51312-2025</t>
        </is>
      </c>
      <c r="B5953" s="1" t="n">
        <v>45950.37475694445</v>
      </c>
      <c r="C5953" s="1" t="n">
        <v>46145</v>
      </c>
      <c r="D5953" t="inlineStr">
        <is>
          <t>VÄSTERBOTTENS LÄN</t>
        </is>
      </c>
      <c r="E5953" t="inlineStr">
        <is>
          <t>SKELLEFTEÅ</t>
        </is>
      </c>
      <c r="F5953" t="inlineStr">
        <is>
          <t>Holmen skog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51327-2025</t>
        </is>
      </c>
      <c r="B5954" s="1" t="n">
        <v>45950.40690972222</v>
      </c>
      <c r="C5954" s="1" t="n">
        <v>46145</v>
      </c>
      <c r="D5954" t="inlineStr">
        <is>
          <t>VÄSTERBOTTENS LÄN</t>
        </is>
      </c>
      <c r="E5954" t="inlineStr">
        <is>
          <t>UMEÅ</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34614-2024</t>
        </is>
      </c>
      <c r="B5955" s="1" t="n">
        <v>45526</v>
      </c>
      <c r="C5955" s="1" t="n">
        <v>46145</v>
      </c>
      <c r="D5955" t="inlineStr">
        <is>
          <t>VÄSTERBOTTENS LÄN</t>
        </is>
      </c>
      <c r="E5955" t="inlineStr">
        <is>
          <t>SKELLEFTEÅ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22568-2023</t>
        </is>
      </c>
      <c r="B5956" s="1" t="n">
        <v>45069</v>
      </c>
      <c r="C5956" s="1" t="n">
        <v>46145</v>
      </c>
      <c r="D5956" t="inlineStr">
        <is>
          <t>VÄSTERBOTTENS LÄN</t>
        </is>
      </c>
      <c r="E5956" t="inlineStr">
        <is>
          <t>SORSELE</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51129-2025</t>
        </is>
      </c>
      <c r="B5957" s="1" t="n">
        <v>45947.55290509259</v>
      </c>
      <c r="C5957" s="1" t="n">
        <v>46145</v>
      </c>
      <c r="D5957" t="inlineStr">
        <is>
          <t>VÄSTERBOTTENS LÄN</t>
        </is>
      </c>
      <c r="E5957" t="inlineStr">
        <is>
          <t>NORSJÖ</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51150-2025</t>
        </is>
      </c>
      <c r="B5958" s="1" t="n">
        <v>45947.57334490741</v>
      </c>
      <c r="C5958" s="1" t="n">
        <v>46145</v>
      </c>
      <c r="D5958" t="inlineStr">
        <is>
          <t>VÄSTERBOTTENS LÄN</t>
        </is>
      </c>
      <c r="E5958" t="inlineStr">
        <is>
          <t>NORSJÖ</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22580-2023</t>
        </is>
      </c>
      <c r="B5959" s="1" t="n">
        <v>45069</v>
      </c>
      <c r="C5959" s="1" t="n">
        <v>46145</v>
      </c>
      <c r="D5959" t="inlineStr">
        <is>
          <t>VÄSTERBOTTENS LÄN</t>
        </is>
      </c>
      <c r="E5959" t="inlineStr">
        <is>
          <t>DOROTEA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51164-2025</t>
        </is>
      </c>
      <c r="B5960" s="1" t="n">
        <v>45947.59458333333</v>
      </c>
      <c r="C5960" s="1" t="n">
        <v>46145</v>
      </c>
      <c r="D5960" t="inlineStr">
        <is>
          <t>VÄSTERBOTTENS LÄN</t>
        </is>
      </c>
      <c r="E5960" t="inlineStr">
        <is>
          <t>NORSJÖ</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51165-2025</t>
        </is>
      </c>
      <c r="B5961" s="1" t="n">
        <v>45947.5946875</v>
      </c>
      <c r="C5961" s="1" t="n">
        <v>46145</v>
      </c>
      <c r="D5961" t="inlineStr">
        <is>
          <t>VÄSTERBOTTENS LÄN</t>
        </is>
      </c>
      <c r="E5961" t="inlineStr">
        <is>
          <t>MALÅ</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51250-2025</t>
        </is>
      </c>
      <c r="B5962" s="1" t="n">
        <v>45948.46230324074</v>
      </c>
      <c r="C5962" s="1" t="n">
        <v>46145</v>
      </c>
      <c r="D5962" t="inlineStr">
        <is>
          <t>VÄSTERBOTTENS LÄN</t>
        </is>
      </c>
      <c r="E5962" t="inlineStr">
        <is>
          <t>SKELLEFTEÅ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51021-2025</t>
        </is>
      </c>
      <c r="B5963" s="1" t="n">
        <v>45947.38876157408</v>
      </c>
      <c r="C5963" s="1" t="n">
        <v>46145</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56500-2024</t>
        </is>
      </c>
      <c r="B5964" s="1" t="n">
        <v>45625.49765046296</v>
      </c>
      <c r="C5964" s="1" t="n">
        <v>46145</v>
      </c>
      <c r="D5964" t="inlineStr">
        <is>
          <t>VÄSTERBOTTENS LÄN</t>
        </is>
      </c>
      <c r="E5964" t="inlineStr">
        <is>
          <t>SKELLEFTEÅ</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51408-2025</t>
        </is>
      </c>
      <c r="B5965" s="1" t="n">
        <v>45950.49023148148</v>
      </c>
      <c r="C5965" s="1" t="n">
        <v>46145</v>
      </c>
      <c r="D5965" t="inlineStr">
        <is>
          <t>VÄSTERBOTTENS LÄN</t>
        </is>
      </c>
      <c r="E5965" t="inlineStr">
        <is>
          <t>ÅSELE</t>
        </is>
      </c>
      <c r="F5965" t="inlineStr">
        <is>
          <t>SCA</t>
        </is>
      </c>
      <c r="G5965" t="n">
        <v>19.4</v>
      </c>
      <c r="H5965" t="n">
        <v>0</v>
      </c>
      <c r="I5965" t="n">
        <v>0</v>
      </c>
      <c r="J5965" t="n">
        <v>0</v>
      </c>
      <c r="K5965" t="n">
        <v>0</v>
      </c>
      <c r="L5965" t="n">
        <v>0</v>
      </c>
      <c r="M5965" t="n">
        <v>0</v>
      </c>
      <c r="N5965" t="n">
        <v>0</v>
      </c>
      <c r="O5965" t="n">
        <v>0</v>
      </c>
      <c r="P5965" t="n">
        <v>0</v>
      </c>
      <c r="Q5965" t="n">
        <v>0</v>
      </c>
      <c r="R5965" s="2" t="inlineStr"/>
    </row>
    <row r="5966" ht="15" customHeight="1">
      <c r="A5966" t="inlineStr">
        <is>
          <t>A 28854-2023</t>
        </is>
      </c>
      <c r="B5966" s="1" t="n">
        <v>45104</v>
      </c>
      <c r="C5966" s="1" t="n">
        <v>46145</v>
      </c>
      <c r="D5966" t="inlineStr">
        <is>
          <t>VÄSTERBOTTENS LÄN</t>
        </is>
      </c>
      <c r="E5966" t="inlineStr">
        <is>
          <t>ÅSELE</t>
        </is>
      </c>
      <c r="F5966" t="inlineStr">
        <is>
          <t>Naturvårdsverket</t>
        </is>
      </c>
      <c r="G5966" t="n">
        <v>15.8</v>
      </c>
      <c r="H5966" t="n">
        <v>0</v>
      </c>
      <c r="I5966" t="n">
        <v>0</v>
      </c>
      <c r="J5966" t="n">
        <v>0</v>
      </c>
      <c r="K5966" t="n">
        <v>0</v>
      </c>
      <c r="L5966" t="n">
        <v>0</v>
      </c>
      <c r="M5966" t="n">
        <v>0</v>
      </c>
      <c r="N5966" t="n">
        <v>0</v>
      </c>
      <c r="O5966" t="n">
        <v>0</v>
      </c>
      <c r="P5966" t="n">
        <v>0</v>
      </c>
      <c r="Q5966" t="n">
        <v>0</v>
      </c>
      <c r="R5966" s="2" t="inlineStr"/>
    </row>
    <row r="5967" ht="15" customHeight="1">
      <c r="A5967" t="inlineStr">
        <is>
          <t>A 45408-2024</t>
        </is>
      </c>
      <c r="B5967" s="1" t="n">
        <v>45576.58743055556</v>
      </c>
      <c r="C5967" s="1" t="n">
        <v>46145</v>
      </c>
      <c r="D5967" t="inlineStr">
        <is>
          <t>VÄSTERBOTTENS LÄN</t>
        </is>
      </c>
      <c r="E5967" t="inlineStr">
        <is>
          <t>VINDELN</t>
        </is>
      </c>
      <c r="F5967" t="inlineStr">
        <is>
          <t>Holmen skog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36959-2024</t>
        </is>
      </c>
      <c r="B5968" s="1" t="n">
        <v>45538</v>
      </c>
      <c r="C5968" s="1" t="n">
        <v>46145</v>
      </c>
      <c r="D5968" t="inlineStr">
        <is>
          <t>VÄSTERBOTTENS LÄN</t>
        </is>
      </c>
      <c r="E5968" t="inlineStr">
        <is>
          <t>ÅSELE</t>
        </is>
      </c>
      <c r="F5968" t="inlineStr">
        <is>
          <t>Naturvårdsverket</t>
        </is>
      </c>
      <c r="G5968" t="n">
        <v>13.4</v>
      </c>
      <c r="H5968" t="n">
        <v>0</v>
      </c>
      <c r="I5968" t="n">
        <v>0</v>
      </c>
      <c r="J5968" t="n">
        <v>0</v>
      </c>
      <c r="K5968" t="n">
        <v>0</v>
      </c>
      <c r="L5968" t="n">
        <v>0</v>
      </c>
      <c r="M5968" t="n">
        <v>0</v>
      </c>
      <c r="N5968" t="n">
        <v>0</v>
      </c>
      <c r="O5968" t="n">
        <v>0</v>
      </c>
      <c r="P5968" t="n">
        <v>0</v>
      </c>
      <c r="Q5968" t="n">
        <v>0</v>
      </c>
      <c r="R5968" s="2" t="inlineStr"/>
    </row>
    <row r="5969" ht="15" customHeight="1">
      <c r="A5969" t="inlineStr">
        <is>
          <t>A 51455-2025</t>
        </is>
      </c>
      <c r="B5969" s="1" t="n">
        <v>45950.59583333333</v>
      </c>
      <c r="C5969" s="1" t="n">
        <v>46145</v>
      </c>
      <c r="D5969" t="inlineStr">
        <is>
          <t>VÄSTERBOTTENS LÄN</t>
        </is>
      </c>
      <c r="E5969" t="inlineStr">
        <is>
          <t>UMEÅ</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51502-2025</t>
        </is>
      </c>
      <c r="B5970" s="1" t="n">
        <v>45950.63775462963</v>
      </c>
      <c r="C5970" s="1" t="n">
        <v>46145</v>
      </c>
      <c r="D5970" t="inlineStr">
        <is>
          <t>VÄSTERBOTTENS LÄN</t>
        </is>
      </c>
      <c r="E5970" t="inlineStr">
        <is>
          <t>SKELLEFTEÅ</t>
        </is>
      </c>
      <c r="F5970" t="inlineStr">
        <is>
          <t>Holmen skog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70851-2021</t>
        </is>
      </c>
      <c r="B5971" s="1" t="n">
        <v>44536</v>
      </c>
      <c r="C5971" s="1" t="n">
        <v>46145</v>
      </c>
      <c r="D5971" t="inlineStr">
        <is>
          <t>VÄSTERBOTTENS LÄN</t>
        </is>
      </c>
      <c r="E5971" t="inlineStr">
        <is>
          <t>SKELLEFTEÅ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23704-2023</t>
        </is>
      </c>
      <c r="B5972" s="1" t="n">
        <v>45075</v>
      </c>
      <c r="C5972" s="1" t="n">
        <v>46145</v>
      </c>
      <c r="D5972" t="inlineStr">
        <is>
          <t>VÄSTERBOTTENS LÄN</t>
        </is>
      </c>
      <c r="E5972" t="inlineStr">
        <is>
          <t>SKELLEFTEÅ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51126-2025</t>
        </is>
      </c>
      <c r="B5973" s="1" t="n">
        <v>45947.55268518518</v>
      </c>
      <c r="C5973" s="1" t="n">
        <v>46145</v>
      </c>
      <c r="D5973" t="inlineStr">
        <is>
          <t>VÄSTERBOTTENS LÄN</t>
        </is>
      </c>
      <c r="E5973" t="inlineStr">
        <is>
          <t>NORSJÖ</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23710-2023</t>
        </is>
      </c>
      <c r="B5974" s="1" t="n">
        <v>45075</v>
      </c>
      <c r="C5974" s="1" t="n">
        <v>46145</v>
      </c>
      <c r="D5974" t="inlineStr">
        <is>
          <t>VÄSTERBOTTENS LÄN</t>
        </is>
      </c>
      <c r="E5974" t="inlineStr">
        <is>
          <t>SKELLEFTEÅ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51350-2025</t>
        </is>
      </c>
      <c r="B5975" s="1" t="n">
        <v>45950.43576388889</v>
      </c>
      <c r="C5975" s="1" t="n">
        <v>46145</v>
      </c>
      <c r="D5975" t="inlineStr">
        <is>
          <t>VÄSTERBOTTENS LÄN</t>
        </is>
      </c>
      <c r="E5975" t="inlineStr">
        <is>
          <t>SKELLEFTEÅ</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51352-2025</t>
        </is>
      </c>
      <c r="B5976" s="1" t="n">
        <v>45950.43679398148</v>
      </c>
      <c r="C5976" s="1" t="n">
        <v>46145</v>
      </c>
      <c r="D5976" t="inlineStr">
        <is>
          <t>VÄSTERBOTTENS LÄN</t>
        </is>
      </c>
      <c r="E5976" t="inlineStr">
        <is>
          <t>UMEÅ</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51512-2025</t>
        </is>
      </c>
      <c r="B5977" s="1" t="n">
        <v>45950.65011574074</v>
      </c>
      <c r="C5977" s="1" t="n">
        <v>46145</v>
      </c>
      <c r="D5977" t="inlineStr">
        <is>
          <t>VÄSTERBOTTENS LÄN</t>
        </is>
      </c>
      <c r="E5977" t="inlineStr">
        <is>
          <t>NORDMALING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51930-2025</t>
        </is>
      </c>
      <c r="B5978" s="1" t="n">
        <v>45952.49821759259</v>
      </c>
      <c r="C5978" s="1" t="n">
        <v>46145</v>
      </c>
      <c r="D5978" t="inlineStr">
        <is>
          <t>VÄSTERBOTTENS LÄN</t>
        </is>
      </c>
      <c r="E5978" t="inlineStr">
        <is>
          <t>UMEÅ</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51948-2025</t>
        </is>
      </c>
      <c r="B5979" s="1" t="n">
        <v>45952.53190972222</v>
      </c>
      <c r="C5979" s="1" t="n">
        <v>46145</v>
      </c>
      <c r="D5979" t="inlineStr">
        <is>
          <t>VÄSTERBOTTENS LÄN</t>
        </is>
      </c>
      <c r="E5979" t="inlineStr">
        <is>
          <t>MALÅ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51573-2025</t>
        </is>
      </c>
      <c r="B5980" s="1" t="n">
        <v>45951.33599537037</v>
      </c>
      <c r="C5980" s="1" t="n">
        <v>46145</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54344-2024</t>
        </is>
      </c>
      <c r="B5981" s="1" t="n">
        <v>45617.39003472222</v>
      </c>
      <c r="C5981" s="1" t="n">
        <v>46145</v>
      </c>
      <c r="D5981" t="inlineStr">
        <is>
          <t>VÄSTERBOTTENS LÄN</t>
        </is>
      </c>
      <c r="E5981" t="inlineStr">
        <is>
          <t>ROBERTSFORS</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47603-2022</t>
        </is>
      </c>
      <c r="B5982" s="1" t="n">
        <v>44852</v>
      </c>
      <c r="C5982" s="1" t="n">
        <v>46145</v>
      </c>
      <c r="D5982" t="inlineStr">
        <is>
          <t>VÄSTERBOTTENS LÄN</t>
        </is>
      </c>
      <c r="E5982" t="inlineStr">
        <is>
          <t>SORSELE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54395-2024</t>
        </is>
      </c>
      <c r="B5983" s="1" t="n">
        <v>45617.4600462963</v>
      </c>
      <c r="C5983" s="1" t="n">
        <v>46145</v>
      </c>
      <c r="D5983" t="inlineStr">
        <is>
          <t>VÄSTERBOTTENS LÄN</t>
        </is>
      </c>
      <c r="E5983" t="inlineStr">
        <is>
          <t>ROBERTSFORS</t>
        </is>
      </c>
      <c r="F5983" t="inlineStr">
        <is>
          <t>Holmen skog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51762-2025</t>
        </is>
      </c>
      <c r="B5984" s="1" t="n">
        <v>45951.63605324074</v>
      </c>
      <c r="C5984" s="1" t="n">
        <v>46145</v>
      </c>
      <c r="D5984" t="inlineStr">
        <is>
          <t>VÄSTERBOTTENS LÄN</t>
        </is>
      </c>
      <c r="E5984" t="inlineStr">
        <is>
          <t>NORDMALING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51605-2025</t>
        </is>
      </c>
      <c r="B5985" s="1" t="n">
        <v>45951.38592592593</v>
      </c>
      <c r="C5985" s="1" t="n">
        <v>46145</v>
      </c>
      <c r="D5985" t="inlineStr">
        <is>
          <t>VÄSTERBOTTENS LÄN</t>
        </is>
      </c>
      <c r="E5985" t="inlineStr">
        <is>
          <t>VÄNNÄS</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51624-2025</t>
        </is>
      </c>
      <c r="B5986" s="1" t="n">
        <v>45951.41597222222</v>
      </c>
      <c r="C5986" s="1" t="n">
        <v>46145</v>
      </c>
      <c r="D5986" t="inlineStr">
        <is>
          <t>VÄSTERBOTTENS LÄN</t>
        </is>
      </c>
      <c r="E5986" t="inlineStr">
        <is>
          <t>SKELLEFTEÅ</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43133-2023</t>
        </is>
      </c>
      <c r="B5987" s="1" t="n">
        <v>45182</v>
      </c>
      <c r="C5987" s="1" t="n">
        <v>46145</v>
      </c>
      <c r="D5987" t="inlineStr">
        <is>
          <t>VÄSTERBOTTENS LÄN</t>
        </is>
      </c>
      <c r="E5987" t="inlineStr">
        <is>
          <t>ÅSELE</t>
        </is>
      </c>
      <c r="F5987" t="inlineStr">
        <is>
          <t>SCA</t>
        </is>
      </c>
      <c r="G5987" t="n">
        <v>14.1</v>
      </c>
      <c r="H5987" t="n">
        <v>0</v>
      </c>
      <c r="I5987" t="n">
        <v>0</v>
      </c>
      <c r="J5987" t="n">
        <v>0</v>
      </c>
      <c r="K5987" t="n">
        <v>0</v>
      </c>
      <c r="L5987" t="n">
        <v>0</v>
      </c>
      <c r="M5987" t="n">
        <v>0</v>
      </c>
      <c r="N5987" t="n">
        <v>0</v>
      </c>
      <c r="O5987" t="n">
        <v>0</v>
      </c>
      <c r="P5987" t="n">
        <v>0</v>
      </c>
      <c r="Q5987" t="n">
        <v>0</v>
      </c>
      <c r="R5987" s="2" t="inlineStr"/>
    </row>
    <row r="5988" ht="15" customHeight="1">
      <c r="A5988" t="inlineStr">
        <is>
          <t>A 32992-2023</t>
        </is>
      </c>
      <c r="B5988" s="1" t="n">
        <v>45113</v>
      </c>
      <c r="C5988" s="1" t="n">
        <v>46145</v>
      </c>
      <c r="D5988" t="inlineStr">
        <is>
          <t>VÄSTERBOTTENS LÄN</t>
        </is>
      </c>
      <c r="E5988" t="inlineStr">
        <is>
          <t>VINDELN</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52064-2025</t>
        </is>
      </c>
      <c r="B5989" s="1" t="n">
        <v>45952.63707175926</v>
      </c>
      <c r="C5989" s="1" t="n">
        <v>46145</v>
      </c>
      <c r="D5989" t="inlineStr">
        <is>
          <t>VÄSTERBOTTENS LÄN</t>
        </is>
      </c>
      <c r="E5989" t="inlineStr">
        <is>
          <t>ÅSELE</t>
        </is>
      </c>
      <c r="G5989" t="n">
        <v>14.7</v>
      </c>
      <c r="H5989" t="n">
        <v>0</v>
      </c>
      <c r="I5989" t="n">
        <v>0</v>
      </c>
      <c r="J5989" t="n">
        <v>0</v>
      </c>
      <c r="K5989" t="n">
        <v>0</v>
      </c>
      <c r="L5989" t="n">
        <v>0</v>
      </c>
      <c r="M5989" t="n">
        <v>0</v>
      </c>
      <c r="N5989" t="n">
        <v>0</v>
      </c>
      <c r="O5989" t="n">
        <v>0</v>
      </c>
      <c r="P5989" t="n">
        <v>0</v>
      </c>
      <c r="Q5989" t="n">
        <v>0</v>
      </c>
      <c r="R5989" s="2" t="inlineStr"/>
    </row>
    <row r="5990" ht="15" customHeight="1">
      <c r="A5990" t="inlineStr">
        <is>
          <t>A 32993-2023</t>
        </is>
      </c>
      <c r="B5990" s="1" t="n">
        <v>45113</v>
      </c>
      <c r="C5990" s="1" t="n">
        <v>46145</v>
      </c>
      <c r="D5990" t="inlineStr">
        <is>
          <t>VÄSTERBOTTENS LÄN</t>
        </is>
      </c>
      <c r="E5990" t="inlineStr">
        <is>
          <t>ÅSELE</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32876-2023</t>
        </is>
      </c>
      <c r="B5991" s="1" t="n">
        <v>45124</v>
      </c>
      <c r="C5991" s="1" t="n">
        <v>46145</v>
      </c>
      <c r="D5991" t="inlineStr">
        <is>
          <t>VÄSTERBOTTENS LÄN</t>
        </is>
      </c>
      <c r="E5991" t="inlineStr">
        <is>
          <t>ROBERTSFORS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52079-2025</t>
        </is>
      </c>
      <c r="B5992" s="1" t="n">
        <v>45952.65930555556</v>
      </c>
      <c r="C5992" s="1" t="n">
        <v>46145</v>
      </c>
      <c r="D5992" t="inlineStr">
        <is>
          <t>VÄSTERBOTTENS LÄN</t>
        </is>
      </c>
      <c r="E5992" t="inlineStr">
        <is>
          <t>VINDELN</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51651-2025</t>
        </is>
      </c>
      <c r="B5993" s="1" t="n">
        <v>45951.46043981481</v>
      </c>
      <c r="C5993" s="1" t="n">
        <v>46145</v>
      </c>
      <c r="D5993" t="inlineStr">
        <is>
          <t>VÄSTERBOTTENS LÄN</t>
        </is>
      </c>
      <c r="E5993" t="inlineStr">
        <is>
          <t>VILHELMINA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50652-2021</t>
        </is>
      </c>
      <c r="B5994" s="1" t="n">
        <v>44459.92047453704</v>
      </c>
      <c r="C5994" s="1" t="n">
        <v>46145</v>
      </c>
      <c r="D5994" t="inlineStr">
        <is>
          <t>VÄSTERBOTTENS LÄN</t>
        </is>
      </c>
      <c r="E5994" t="inlineStr">
        <is>
          <t>LYCKSELE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51657-2025</t>
        </is>
      </c>
      <c r="B5995" s="1" t="n">
        <v>45951.47362268518</v>
      </c>
      <c r="C5995" s="1" t="n">
        <v>46145</v>
      </c>
      <c r="D5995" t="inlineStr">
        <is>
          <t>VÄSTERBOTTENS LÄN</t>
        </is>
      </c>
      <c r="E5995" t="inlineStr">
        <is>
          <t>VILHELMINA</t>
        </is>
      </c>
      <c r="G5995" t="n">
        <v>14.4</v>
      </c>
      <c r="H5995" t="n">
        <v>0</v>
      </c>
      <c r="I5995" t="n">
        <v>0</v>
      </c>
      <c r="J5995" t="n">
        <v>0</v>
      </c>
      <c r="K5995" t="n">
        <v>0</v>
      </c>
      <c r="L5995" t="n">
        <v>0</v>
      </c>
      <c r="M5995" t="n">
        <v>0</v>
      </c>
      <c r="N5995" t="n">
        <v>0</v>
      </c>
      <c r="O5995" t="n">
        <v>0</v>
      </c>
      <c r="P5995" t="n">
        <v>0</v>
      </c>
      <c r="Q5995" t="n">
        <v>0</v>
      </c>
      <c r="R5995" s="2" t="inlineStr"/>
    </row>
    <row r="5996" ht="15" customHeight="1">
      <c r="A5996" t="inlineStr">
        <is>
          <t>A 51689-2025</t>
        </is>
      </c>
      <c r="B5996" s="1" t="n">
        <v>45951.53252314815</v>
      </c>
      <c r="C5996" s="1" t="n">
        <v>46145</v>
      </c>
      <c r="D5996" t="inlineStr">
        <is>
          <t>VÄSTERBOTTENS LÄN</t>
        </is>
      </c>
      <c r="E5996" t="inlineStr">
        <is>
          <t>UMEÅ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51547-2025</t>
        </is>
      </c>
      <c r="B5997" s="1" t="n">
        <v>45950.78769675926</v>
      </c>
      <c r="C5997" s="1" t="n">
        <v>46145</v>
      </c>
      <c r="D5997" t="inlineStr">
        <is>
          <t>VÄSTERBOTTENS LÄN</t>
        </is>
      </c>
      <c r="E5997" t="inlineStr">
        <is>
          <t>UMEÅ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3449-2023</t>
        </is>
      </c>
      <c r="B5998" s="1" t="n">
        <v>44949.61246527778</v>
      </c>
      <c r="C5998" s="1" t="n">
        <v>46145</v>
      </c>
      <c r="D5998" t="inlineStr">
        <is>
          <t>VÄSTERBOTTENS LÄN</t>
        </is>
      </c>
      <c r="E5998" t="inlineStr">
        <is>
          <t>NORDMALING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51967-2025</t>
        </is>
      </c>
      <c r="B5999" s="1" t="n">
        <v>45952.55361111111</v>
      </c>
      <c r="C5999" s="1" t="n">
        <v>46145</v>
      </c>
      <c r="D5999" t="inlineStr">
        <is>
          <t>VÄSTERBOTTENS LÄN</t>
        </is>
      </c>
      <c r="E5999" t="inlineStr">
        <is>
          <t>MALÅ</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51935-2025</t>
        </is>
      </c>
      <c r="B6000" s="1" t="n">
        <v>45952.51190972222</v>
      </c>
      <c r="C6000" s="1" t="n">
        <v>46145</v>
      </c>
      <c r="D6000" t="inlineStr">
        <is>
          <t>VÄSTERBOTTENS LÄN</t>
        </is>
      </c>
      <c r="E6000" t="inlineStr">
        <is>
          <t>MALÅ</t>
        </is>
      </c>
      <c r="G6000" t="n">
        <v>18.6</v>
      </c>
      <c r="H6000" t="n">
        <v>0</v>
      </c>
      <c r="I6000" t="n">
        <v>0</v>
      </c>
      <c r="J6000" t="n">
        <v>0</v>
      </c>
      <c r="K6000" t="n">
        <v>0</v>
      </c>
      <c r="L6000" t="n">
        <v>0</v>
      </c>
      <c r="M6000" t="n">
        <v>0</v>
      </c>
      <c r="N6000" t="n">
        <v>0</v>
      </c>
      <c r="O6000" t="n">
        <v>0</v>
      </c>
      <c r="P6000" t="n">
        <v>0</v>
      </c>
      <c r="Q6000" t="n">
        <v>0</v>
      </c>
      <c r="R6000" s="2" t="inlineStr"/>
    </row>
    <row r="6001" ht="15" customHeight="1">
      <c r="A6001" t="inlineStr">
        <is>
          <t>A 51936-2025</t>
        </is>
      </c>
      <c r="B6001" s="1" t="n">
        <v>45952.5119675926</v>
      </c>
      <c r="C6001" s="1" t="n">
        <v>46145</v>
      </c>
      <c r="D6001" t="inlineStr">
        <is>
          <t>VÄSTERBOTTENS LÄN</t>
        </is>
      </c>
      <c r="E6001" t="inlineStr">
        <is>
          <t>MALÅ</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52095-2025</t>
        </is>
      </c>
      <c r="B6002" s="1" t="n">
        <v>45952.67899305555</v>
      </c>
      <c r="C6002" s="1" t="n">
        <v>46145</v>
      </c>
      <c r="D6002" t="inlineStr">
        <is>
          <t>VÄSTERBOTTENS LÄN</t>
        </is>
      </c>
      <c r="E6002" t="inlineStr">
        <is>
          <t>SKELLEFTEÅ</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51859-2025</t>
        </is>
      </c>
      <c r="B6003" s="1" t="n">
        <v>45952.3653587963</v>
      </c>
      <c r="C6003" s="1" t="n">
        <v>46145</v>
      </c>
      <c r="D6003" t="inlineStr">
        <is>
          <t>VÄSTERBOTTENS LÄN</t>
        </is>
      </c>
      <c r="E6003" t="inlineStr">
        <is>
          <t>LYCKSELE</t>
        </is>
      </c>
      <c r="G6003" t="n">
        <v>13.5</v>
      </c>
      <c r="H6003" t="n">
        <v>0</v>
      </c>
      <c r="I6003" t="n">
        <v>0</v>
      </c>
      <c r="J6003" t="n">
        <v>0</v>
      </c>
      <c r="K6003" t="n">
        <v>0</v>
      </c>
      <c r="L6003" t="n">
        <v>0</v>
      </c>
      <c r="M6003" t="n">
        <v>0</v>
      </c>
      <c r="N6003" t="n">
        <v>0</v>
      </c>
      <c r="O6003" t="n">
        <v>0</v>
      </c>
      <c r="P6003" t="n">
        <v>0</v>
      </c>
      <c r="Q6003" t="n">
        <v>0</v>
      </c>
      <c r="R6003" s="2" t="inlineStr"/>
    </row>
    <row r="6004" ht="15" customHeight="1">
      <c r="A6004" t="inlineStr">
        <is>
          <t>A 52034-2025</t>
        </is>
      </c>
      <c r="B6004" s="1" t="n">
        <v>45952.61252314815</v>
      </c>
      <c r="C6004" s="1" t="n">
        <v>46145</v>
      </c>
      <c r="D6004" t="inlineStr">
        <is>
          <t>VÄSTERBOTTENS LÄN</t>
        </is>
      </c>
      <c r="E6004" t="inlineStr">
        <is>
          <t>VILHELMINA</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52037-2025</t>
        </is>
      </c>
      <c r="B6005" s="1" t="n">
        <v>45952.61508101852</v>
      </c>
      <c r="C6005" s="1" t="n">
        <v>46145</v>
      </c>
      <c r="D6005" t="inlineStr">
        <is>
          <t>VÄSTERBOTTENS LÄN</t>
        </is>
      </c>
      <c r="E6005" t="inlineStr">
        <is>
          <t>SKELLEFTEÅ</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52039-2025</t>
        </is>
      </c>
      <c r="B6006" s="1" t="n">
        <v>45952.61512731481</v>
      </c>
      <c r="C6006" s="1" t="n">
        <v>46145</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52042-2025</t>
        </is>
      </c>
      <c r="B6007" s="1" t="n">
        <v>45952.61533564814</v>
      </c>
      <c r="C6007" s="1" t="n">
        <v>46145</v>
      </c>
      <c r="D6007" t="inlineStr">
        <is>
          <t>VÄSTERBOTTENS LÄN</t>
        </is>
      </c>
      <c r="E6007" t="inlineStr">
        <is>
          <t>SKELLEFTEÅ</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52076-2025</t>
        </is>
      </c>
      <c r="B6008" s="1" t="n">
        <v>45952.65568287037</v>
      </c>
      <c r="C6008" s="1" t="n">
        <v>46145</v>
      </c>
      <c r="D6008" t="inlineStr">
        <is>
          <t>VÄSTERBOTTENS LÄN</t>
        </is>
      </c>
      <c r="E6008" t="inlineStr">
        <is>
          <t>UMEÅ</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5373-2023</t>
        </is>
      </c>
      <c r="B6009" s="1" t="n">
        <v>44957</v>
      </c>
      <c r="C6009" s="1" t="n">
        <v>46145</v>
      </c>
      <c r="D6009" t="inlineStr">
        <is>
          <t>VÄSTERBOTTENS LÄN</t>
        </is>
      </c>
      <c r="E6009" t="inlineStr">
        <is>
          <t>SKELLEFTEÅ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3630-2024</t>
        </is>
      </c>
      <c r="B6010" s="1" t="n">
        <v>45320.95357638889</v>
      </c>
      <c r="C6010" s="1" t="n">
        <v>46145</v>
      </c>
      <c r="D6010" t="inlineStr">
        <is>
          <t>VÄSTERBOTTENS LÄN</t>
        </is>
      </c>
      <c r="E6010" t="inlineStr">
        <is>
          <t>VINDELN</t>
        </is>
      </c>
      <c r="F6010" t="inlineStr">
        <is>
          <t>SCA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51872-2025</t>
        </is>
      </c>
      <c r="B6011" s="1" t="n">
        <v>45952</v>
      </c>
      <c r="C6011" s="1" t="n">
        <v>46145</v>
      </c>
      <c r="D6011" t="inlineStr">
        <is>
          <t>VÄSTERBOTTENS LÄN</t>
        </is>
      </c>
      <c r="E6011" t="inlineStr">
        <is>
          <t>VINDELN</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59788-2023</t>
        </is>
      </c>
      <c r="B6012" s="1" t="n">
        <v>45257.44923611111</v>
      </c>
      <c r="C6012" s="1" t="n">
        <v>46145</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51891-2025</t>
        </is>
      </c>
      <c r="B6013" s="1" t="n">
        <v>45952.42099537037</v>
      </c>
      <c r="C6013" s="1" t="n">
        <v>46145</v>
      </c>
      <c r="D6013" t="inlineStr">
        <is>
          <t>VÄSTERBOTTENS LÄN</t>
        </is>
      </c>
      <c r="E6013" t="inlineStr">
        <is>
          <t>NORSJÖ</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51977-2025</t>
        </is>
      </c>
      <c r="B6014" s="1" t="n">
        <v>45952.56453703704</v>
      </c>
      <c r="C6014" s="1" t="n">
        <v>46145</v>
      </c>
      <c r="D6014" t="inlineStr">
        <is>
          <t>VÄSTERBOTTENS LÄN</t>
        </is>
      </c>
      <c r="E6014" t="inlineStr">
        <is>
          <t>SKELLEFTEÅ</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52006-2025</t>
        </is>
      </c>
      <c r="B6015" s="1" t="n">
        <v>45952.593125</v>
      </c>
      <c r="C6015" s="1" t="n">
        <v>46145</v>
      </c>
      <c r="D6015" t="inlineStr">
        <is>
          <t>VÄSTERBOTTENS LÄN</t>
        </is>
      </c>
      <c r="E6015" t="inlineStr">
        <is>
          <t>UMEÅ</t>
        </is>
      </c>
      <c r="F6015" t="inlineStr">
        <is>
          <t>Holmen skog AB</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52038-2025</t>
        </is>
      </c>
      <c r="B6016" s="1" t="n">
        <v>45952.61511574074</v>
      </c>
      <c r="C6016" s="1" t="n">
        <v>46145</v>
      </c>
      <c r="D6016" t="inlineStr">
        <is>
          <t>VÄSTERBOTTENS LÄN</t>
        </is>
      </c>
      <c r="E6016" t="inlineStr">
        <is>
          <t>SKELLEFTEÅ</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51629-2025</t>
        </is>
      </c>
      <c r="B6017" s="1" t="n">
        <v>45951.42306712963</v>
      </c>
      <c r="C6017" s="1" t="n">
        <v>46145</v>
      </c>
      <c r="D6017" t="inlineStr">
        <is>
          <t>VÄSTERBOTTENS LÄN</t>
        </is>
      </c>
      <c r="E6017" t="inlineStr">
        <is>
          <t>UMEÅ</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51632-2025</t>
        </is>
      </c>
      <c r="B6018" s="1" t="n">
        <v>45951.42534722222</v>
      </c>
      <c r="C6018" s="1" t="n">
        <v>46145</v>
      </c>
      <c r="D6018" t="inlineStr">
        <is>
          <t>VÄSTERBOTTENS LÄN</t>
        </is>
      </c>
      <c r="E6018" t="inlineStr">
        <is>
          <t>SKELLEFTEÅ</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51635-2025</t>
        </is>
      </c>
      <c r="B6019" s="1" t="n">
        <v>45951.43149305556</v>
      </c>
      <c r="C6019" s="1" t="n">
        <v>46145</v>
      </c>
      <c r="D6019" t="inlineStr">
        <is>
          <t>VÄSTERBOTTENS LÄN</t>
        </is>
      </c>
      <c r="E6019" t="inlineStr">
        <is>
          <t>SKELLEFTEÅ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51971-2025</t>
        </is>
      </c>
      <c r="B6020" s="1" t="n">
        <v>45952.55809027778</v>
      </c>
      <c r="C6020" s="1" t="n">
        <v>46145</v>
      </c>
      <c r="D6020" t="inlineStr">
        <is>
          <t>VÄSTERBOTTENS LÄN</t>
        </is>
      </c>
      <c r="E6020" t="inlineStr">
        <is>
          <t>UMEÅ</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62124-2024</t>
        </is>
      </c>
      <c r="B6021" s="1" t="n">
        <v>45646</v>
      </c>
      <c r="C6021" s="1" t="n">
        <v>46145</v>
      </c>
      <c r="D6021" t="inlineStr">
        <is>
          <t>VÄSTERBOTTENS LÄN</t>
        </is>
      </c>
      <c r="E6021" t="inlineStr">
        <is>
          <t>MALÅ</t>
        </is>
      </c>
      <c r="F6021" t="inlineStr">
        <is>
          <t>Sveaskog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60871-2024</t>
        </is>
      </c>
      <c r="B6022" s="1" t="n">
        <v>45644.70871527777</v>
      </c>
      <c r="C6022" s="1" t="n">
        <v>46145</v>
      </c>
      <c r="D6022" t="inlineStr">
        <is>
          <t>VÄSTERBOTTENS LÄN</t>
        </is>
      </c>
      <c r="E6022" t="inlineStr">
        <is>
          <t>VINDELN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6596-2023</t>
        </is>
      </c>
      <c r="B6023" s="1" t="n">
        <v>44963</v>
      </c>
      <c r="C6023" s="1" t="n">
        <v>46145</v>
      </c>
      <c r="D6023" t="inlineStr">
        <is>
          <t>VÄSTERBOTTENS LÄN</t>
        </is>
      </c>
      <c r="E6023" t="inlineStr">
        <is>
          <t>SKELLEFTEÅ</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51736-2025</t>
        </is>
      </c>
      <c r="B6024" s="1" t="n">
        <v>45951.595625</v>
      </c>
      <c r="C6024" s="1" t="n">
        <v>46145</v>
      </c>
      <c r="D6024" t="inlineStr">
        <is>
          <t>VÄSTERBOTTENS LÄN</t>
        </is>
      </c>
      <c r="E6024" t="inlineStr">
        <is>
          <t>NORDMALING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51737-2025</t>
        </is>
      </c>
      <c r="B6025" s="1" t="n">
        <v>45951.59630787037</v>
      </c>
      <c r="C6025" s="1" t="n">
        <v>46145</v>
      </c>
      <c r="D6025" t="inlineStr">
        <is>
          <t>VÄSTERBOTTENS LÄN</t>
        </is>
      </c>
      <c r="E6025" t="inlineStr">
        <is>
          <t>VÄNNÄS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32586-2023</t>
        </is>
      </c>
      <c r="B6026" s="1" t="n">
        <v>45121</v>
      </c>
      <c r="C6026" s="1" t="n">
        <v>46145</v>
      </c>
      <c r="D6026" t="inlineStr">
        <is>
          <t>VÄSTERBOTTENS LÄN</t>
        </is>
      </c>
      <c r="E6026" t="inlineStr">
        <is>
          <t>ÅSELE</t>
        </is>
      </c>
      <c r="F6026" t="inlineStr">
        <is>
          <t>Holmen skog AB</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51763-2025</t>
        </is>
      </c>
      <c r="B6027" s="1" t="n">
        <v>45951.63616898148</v>
      </c>
      <c r="C6027" s="1" t="n">
        <v>46145</v>
      </c>
      <c r="D6027" t="inlineStr">
        <is>
          <t>VÄSTERBOTTENS LÄN</t>
        </is>
      </c>
      <c r="E6027" t="inlineStr">
        <is>
          <t>NORSJÖ</t>
        </is>
      </c>
      <c r="G6027" t="n">
        <v>10.9</v>
      </c>
      <c r="H6027" t="n">
        <v>0</v>
      </c>
      <c r="I6027" t="n">
        <v>0</v>
      </c>
      <c r="J6027" t="n">
        <v>0</v>
      </c>
      <c r="K6027" t="n">
        <v>0</v>
      </c>
      <c r="L6027" t="n">
        <v>0</v>
      </c>
      <c r="M6027" t="n">
        <v>0</v>
      </c>
      <c r="N6027" t="n">
        <v>0</v>
      </c>
      <c r="O6027" t="n">
        <v>0</v>
      </c>
      <c r="P6027" t="n">
        <v>0</v>
      </c>
      <c r="Q6027" t="n">
        <v>0</v>
      </c>
      <c r="R6027" s="2" t="inlineStr"/>
    </row>
    <row r="6028" ht="15" customHeight="1">
      <c r="A6028" t="inlineStr">
        <is>
          <t>A 51778-2025</t>
        </is>
      </c>
      <c r="B6028" s="1" t="n">
        <v>45951.65707175926</v>
      </c>
      <c r="C6028" s="1" t="n">
        <v>46145</v>
      </c>
      <c r="D6028" t="inlineStr">
        <is>
          <t>VÄSTERBOTTENS LÄN</t>
        </is>
      </c>
      <c r="E6028" t="inlineStr">
        <is>
          <t>ROBERTSFORS</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32628-2023</t>
        </is>
      </c>
      <c r="B6029" s="1" t="n">
        <v>45112</v>
      </c>
      <c r="C6029" s="1" t="n">
        <v>46145</v>
      </c>
      <c r="D6029" t="inlineStr">
        <is>
          <t>VÄSTERBOTTENS LÄN</t>
        </is>
      </c>
      <c r="E6029" t="inlineStr">
        <is>
          <t>UMEÅ</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35844-2023</t>
        </is>
      </c>
      <c r="B6030" s="1" t="n">
        <v>45148</v>
      </c>
      <c r="C6030" s="1" t="n">
        <v>46145</v>
      </c>
      <c r="D6030" t="inlineStr">
        <is>
          <t>VÄSTERBOTTENS LÄN</t>
        </is>
      </c>
      <c r="E6030" t="inlineStr">
        <is>
          <t>MALÅ</t>
        </is>
      </c>
      <c r="G6030" t="n">
        <v>26.3</v>
      </c>
      <c r="H6030" t="n">
        <v>0</v>
      </c>
      <c r="I6030" t="n">
        <v>0</v>
      </c>
      <c r="J6030" t="n">
        <v>0</v>
      </c>
      <c r="K6030" t="n">
        <v>0</v>
      </c>
      <c r="L6030" t="n">
        <v>0</v>
      </c>
      <c r="M6030" t="n">
        <v>0</v>
      </c>
      <c r="N6030" t="n">
        <v>0</v>
      </c>
      <c r="O6030" t="n">
        <v>0</v>
      </c>
      <c r="P6030" t="n">
        <v>0</v>
      </c>
      <c r="Q6030" t="n">
        <v>0</v>
      </c>
      <c r="R6030" s="2" t="inlineStr"/>
    </row>
    <row r="6031" ht="15" customHeight="1">
      <c r="A6031" t="inlineStr">
        <is>
          <t>A 64898-2023</t>
        </is>
      </c>
      <c r="B6031" s="1" t="n">
        <v>45282.61475694444</v>
      </c>
      <c r="C6031" s="1" t="n">
        <v>46145</v>
      </c>
      <c r="D6031" t="inlineStr">
        <is>
          <t>VÄSTERBOTTENS LÄN</t>
        </is>
      </c>
      <c r="E6031" t="inlineStr">
        <is>
          <t>ÅSELE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64966-2023</t>
        </is>
      </c>
      <c r="B6032" s="1" t="n">
        <v>45283</v>
      </c>
      <c r="C6032" s="1" t="n">
        <v>46145</v>
      </c>
      <c r="D6032" t="inlineStr">
        <is>
          <t>VÄSTERBOTTENS LÄN</t>
        </is>
      </c>
      <c r="E6032" t="inlineStr">
        <is>
          <t>VÄNNÄS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35006-2024</t>
        </is>
      </c>
      <c r="B6033" s="1" t="n">
        <v>45527</v>
      </c>
      <c r="C6033" s="1" t="n">
        <v>46145</v>
      </c>
      <c r="D6033" t="inlineStr">
        <is>
          <t>VÄSTERBOTTENS LÄN</t>
        </is>
      </c>
      <c r="E6033" t="inlineStr">
        <is>
          <t>VÄNNÄS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22121-2023</t>
        </is>
      </c>
      <c r="B6034" s="1" t="n">
        <v>45069.57740740741</v>
      </c>
      <c r="C6034" s="1" t="n">
        <v>46145</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62088-2022</t>
        </is>
      </c>
      <c r="B6035" s="1" t="n">
        <v>44919</v>
      </c>
      <c r="C6035" s="1" t="n">
        <v>46145</v>
      </c>
      <c r="D6035" t="inlineStr">
        <is>
          <t>VÄSTERBOTTENS LÄN</t>
        </is>
      </c>
      <c r="E6035" t="inlineStr">
        <is>
          <t>BJURHOLM</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51621-2025</t>
        </is>
      </c>
      <c r="B6036" s="1" t="n">
        <v>45951.41319444445</v>
      </c>
      <c r="C6036" s="1" t="n">
        <v>46145</v>
      </c>
      <c r="D6036" t="inlineStr">
        <is>
          <t>VÄSTERBOTTENS LÄN</t>
        </is>
      </c>
      <c r="E6036" t="inlineStr">
        <is>
          <t>UMEÅ</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51630-2025</t>
        </is>
      </c>
      <c r="B6037" s="1" t="n">
        <v>45951.42327546296</v>
      </c>
      <c r="C6037" s="1" t="n">
        <v>46145</v>
      </c>
      <c r="D6037" t="inlineStr">
        <is>
          <t>VÄSTERBOTTENS LÄN</t>
        </is>
      </c>
      <c r="E6037" t="inlineStr">
        <is>
          <t>SKELLEFTEÅ</t>
        </is>
      </c>
      <c r="F6037" t="inlineStr">
        <is>
          <t>Sveaskog</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51665-2025</t>
        </is>
      </c>
      <c r="B6038" s="1" t="n">
        <v>45951.49236111111</v>
      </c>
      <c r="C6038" s="1" t="n">
        <v>46145</v>
      </c>
      <c r="D6038" t="inlineStr">
        <is>
          <t>VÄSTERBOTTENS LÄN</t>
        </is>
      </c>
      <c r="E6038" t="inlineStr">
        <is>
          <t>SKELLEFTEÅ</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51748-2025</t>
        </is>
      </c>
      <c r="B6039" s="1" t="n">
        <v>45951.61508101852</v>
      </c>
      <c r="C6039" s="1" t="n">
        <v>46145</v>
      </c>
      <c r="D6039" t="inlineStr">
        <is>
          <t>VÄSTERBOTTENS LÄN</t>
        </is>
      </c>
      <c r="E6039" t="inlineStr">
        <is>
          <t>LYCKSELE</t>
        </is>
      </c>
      <c r="F6039" t="inlineStr">
        <is>
          <t>SCA</t>
        </is>
      </c>
      <c r="G6039" t="n">
        <v>19.8</v>
      </c>
      <c r="H6039" t="n">
        <v>0</v>
      </c>
      <c r="I6039" t="n">
        <v>0</v>
      </c>
      <c r="J6039" t="n">
        <v>0</v>
      </c>
      <c r="K6039" t="n">
        <v>0</v>
      </c>
      <c r="L6039" t="n">
        <v>0</v>
      </c>
      <c r="M6039" t="n">
        <v>0</v>
      </c>
      <c r="N6039" t="n">
        <v>0</v>
      </c>
      <c r="O6039" t="n">
        <v>0</v>
      </c>
      <c r="P6039" t="n">
        <v>0</v>
      </c>
      <c r="Q6039" t="n">
        <v>0</v>
      </c>
      <c r="R6039" s="2" t="inlineStr"/>
    </row>
    <row r="6040" ht="15" customHeight="1">
      <c r="A6040" t="inlineStr">
        <is>
          <t>A 33400-2023</t>
        </is>
      </c>
      <c r="B6040" s="1" t="n">
        <v>45128.64351851852</v>
      </c>
      <c r="C6040" s="1" t="n">
        <v>46145</v>
      </c>
      <c r="D6040" t="inlineStr">
        <is>
          <t>VÄSTERBOTTENS LÄN</t>
        </is>
      </c>
      <c r="E6040" t="inlineStr">
        <is>
          <t>LYCKSELE</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33412-2023</t>
        </is>
      </c>
      <c r="B6041" s="1" t="n">
        <v>45117</v>
      </c>
      <c r="C6041" s="1" t="n">
        <v>46145</v>
      </c>
      <c r="D6041" t="inlineStr">
        <is>
          <t>VÄSTERBOTTENS LÄN</t>
        </is>
      </c>
      <c r="E6041" t="inlineStr">
        <is>
          <t>VILHELMINA</t>
        </is>
      </c>
      <c r="F6041" t="inlineStr">
        <is>
          <t>Övriga Aktiebolag</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5239-2024</t>
        </is>
      </c>
      <c r="B6042" s="1" t="n">
        <v>45330.85105324074</v>
      </c>
      <c r="C6042" s="1" t="n">
        <v>46145</v>
      </c>
      <c r="D6042" t="inlineStr">
        <is>
          <t>VÄSTERBOTTENS LÄN</t>
        </is>
      </c>
      <c r="E6042" t="inlineStr">
        <is>
          <t>SKELLEFTEÅ</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51704-2025</t>
        </is>
      </c>
      <c r="B6043" s="1" t="n">
        <v>45951.55436342592</v>
      </c>
      <c r="C6043" s="1" t="n">
        <v>46145</v>
      </c>
      <c r="D6043" t="inlineStr">
        <is>
          <t>VÄSTERBOTTENS LÄN</t>
        </is>
      </c>
      <c r="E6043" t="inlineStr">
        <is>
          <t>VILHELMINA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51722-2025</t>
        </is>
      </c>
      <c r="B6044" s="1" t="n">
        <v>45951.58085648148</v>
      </c>
      <c r="C6044" s="1" t="n">
        <v>46145</v>
      </c>
      <c r="D6044" t="inlineStr">
        <is>
          <t>VÄSTERBOTTENS LÄN</t>
        </is>
      </c>
      <c r="E6044" t="inlineStr">
        <is>
          <t>VÄNNÄS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7910-2024</t>
        </is>
      </c>
      <c r="B6045" s="1" t="n">
        <v>45349</v>
      </c>
      <c r="C6045" s="1" t="n">
        <v>46145</v>
      </c>
      <c r="D6045" t="inlineStr">
        <is>
          <t>VÄSTERBOTTENS LÄN</t>
        </is>
      </c>
      <c r="E6045" t="inlineStr">
        <is>
          <t>UMEÅ</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51594-2025</t>
        </is>
      </c>
      <c r="B6046" s="1" t="n">
        <v>45951.36555555555</v>
      </c>
      <c r="C6046" s="1" t="n">
        <v>46145</v>
      </c>
      <c r="D6046" t="inlineStr">
        <is>
          <t>VÄSTERBOTTENS LÄN</t>
        </is>
      </c>
      <c r="E6046" t="inlineStr">
        <is>
          <t>SKELLEFTEÅ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51968-2025</t>
        </is>
      </c>
      <c r="B6047" s="1" t="n">
        <v>45952.55365740741</v>
      </c>
      <c r="C6047" s="1" t="n">
        <v>46145</v>
      </c>
      <c r="D6047" t="inlineStr">
        <is>
          <t>VÄSTERBOTTENS LÄN</t>
        </is>
      </c>
      <c r="E6047" t="inlineStr">
        <is>
          <t>MALÅ</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51667-2025</t>
        </is>
      </c>
      <c r="B6048" s="1" t="n">
        <v>45951.4958449074</v>
      </c>
      <c r="C6048" s="1" t="n">
        <v>46145</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14070-2024</t>
        </is>
      </c>
      <c r="B6049" s="1" t="n">
        <v>45392.57258101852</v>
      </c>
      <c r="C6049" s="1" t="n">
        <v>46145</v>
      </c>
      <c r="D6049" t="inlineStr">
        <is>
          <t>VÄSTERBOTTENS LÄN</t>
        </is>
      </c>
      <c r="E6049" t="inlineStr">
        <is>
          <t>LYCKSELE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24763-2023</t>
        </is>
      </c>
      <c r="B6050" s="1" t="n">
        <v>45084.63084490741</v>
      </c>
      <c r="C6050" s="1" t="n">
        <v>46145</v>
      </c>
      <c r="D6050" t="inlineStr">
        <is>
          <t>VÄSTERBOTTENS LÄN</t>
        </is>
      </c>
      <c r="E6050" t="inlineStr">
        <is>
          <t>NORSJÖ</t>
        </is>
      </c>
      <c r="F6050" t="inlineStr">
        <is>
          <t>Holmen skog AB</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51670-2025</t>
        </is>
      </c>
      <c r="B6051" s="1" t="n">
        <v>45951.49685185185</v>
      </c>
      <c r="C6051" s="1" t="n">
        <v>46145</v>
      </c>
      <c r="D6051" t="inlineStr">
        <is>
          <t>VÄSTERBOTTENS LÄN</t>
        </is>
      </c>
      <c r="E6051" t="inlineStr">
        <is>
          <t>SKELLEFTEÅ</t>
        </is>
      </c>
      <c r="F6051" t="inlineStr">
        <is>
          <t>Holmen skog AB</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51970-2025</t>
        </is>
      </c>
      <c r="B6052" s="1" t="n">
        <v>45952.5571875</v>
      </c>
      <c r="C6052" s="1" t="n">
        <v>46145</v>
      </c>
      <c r="D6052" t="inlineStr">
        <is>
          <t>VÄSTERBOTTENS LÄN</t>
        </is>
      </c>
      <c r="E6052" t="inlineStr">
        <is>
          <t>UMEÅ</t>
        </is>
      </c>
      <c r="F6052" t="inlineStr">
        <is>
          <t>Holmen skog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51552-2025</t>
        </is>
      </c>
      <c r="B6053" s="1" t="n">
        <v>45950.85929398148</v>
      </c>
      <c r="C6053" s="1" t="n">
        <v>46145</v>
      </c>
      <c r="D6053" t="inlineStr">
        <is>
          <t>VÄSTERBOTTENS LÄN</t>
        </is>
      </c>
      <c r="E6053" t="inlineStr">
        <is>
          <t>NORDMALING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51553-2025</t>
        </is>
      </c>
      <c r="B6054" s="1" t="n">
        <v>45950.87297453704</v>
      </c>
      <c r="C6054" s="1" t="n">
        <v>46145</v>
      </c>
      <c r="D6054" t="inlineStr">
        <is>
          <t>VÄSTERBOTTENS LÄN</t>
        </is>
      </c>
      <c r="E6054" t="inlineStr">
        <is>
          <t>VÄNNÄS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51669-2025</t>
        </is>
      </c>
      <c r="B6055" s="1" t="n">
        <v>45951.4962037037</v>
      </c>
      <c r="C6055" s="1" t="n">
        <v>46145</v>
      </c>
      <c r="D6055" t="inlineStr">
        <is>
          <t>VÄSTERBOTTENS LÄN</t>
        </is>
      </c>
      <c r="E6055" t="inlineStr">
        <is>
          <t>ÅSELE</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52009-2025</t>
        </is>
      </c>
      <c r="B6056" s="1" t="n">
        <v>45952.59457175926</v>
      </c>
      <c r="C6056" s="1" t="n">
        <v>46145</v>
      </c>
      <c r="D6056" t="inlineStr">
        <is>
          <t>VÄSTERBOTTENS LÄN</t>
        </is>
      </c>
      <c r="E6056" t="inlineStr">
        <is>
          <t>SKELLEFTEÅ</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52010-2025</t>
        </is>
      </c>
      <c r="B6057" s="1" t="n">
        <v>45952.59462962963</v>
      </c>
      <c r="C6057" s="1" t="n">
        <v>46145</v>
      </c>
      <c r="D6057" t="inlineStr">
        <is>
          <t>VÄSTERBOTTENS LÄN</t>
        </is>
      </c>
      <c r="E6057" t="inlineStr">
        <is>
          <t>SKELLEFTEÅ</t>
        </is>
      </c>
      <c r="G6057" t="n">
        <v>19.2</v>
      </c>
      <c r="H6057" t="n">
        <v>0</v>
      </c>
      <c r="I6057" t="n">
        <v>0</v>
      </c>
      <c r="J6057" t="n">
        <v>0</v>
      </c>
      <c r="K6057" t="n">
        <v>0</v>
      </c>
      <c r="L6057" t="n">
        <v>0</v>
      </c>
      <c r="M6057" t="n">
        <v>0</v>
      </c>
      <c r="N6057" t="n">
        <v>0</v>
      </c>
      <c r="O6057" t="n">
        <v>0</v>
      </c>
      <c r="P6057" t="n">
        <v>0</v>
      </c>
      <c r="Q6057" t="n">
        <v>0</v>
      </c>
      <c r="R6057" s="2" t="inlineStr"/>
    </row>
    <row r="6058" ht="15" customHeight="1">
      <c r="A6058" t="inlineStr">
        <is>
          <t>A 46379-2024</t>
        </is>
      </c>
      <c r="B6058" s="1" t="n">
        <v>45582.38579861111</v>
      </c>
      <c r="C6058" s="1" t="n">
        <v>46145</v>
      </c>
      <c r="D6058" t="inlineStr">
        <is>
          <t>VÄSTERBOTTENS LÄN</t>
        </is>
      </c>
      <c r="E6058" t="inlineStr">
        <is>
          <t>DOROTEA</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51934-2025</t>
        </is>
      </c>
      <c r="B6059" s="1" t="n">
        <v>45952.51155092593</v>
      </c>
      <c r="C6059" s="1" t="n">
        <v>46145</v>
      </c>
      <c r="D6059" t="inlineStr">
        <is>
          <t>VÄSTERBOTTENS LÄN</t>
        </is>
      </c>
      <c r="E6059" t="inlineStr">
        <is>
          <t>SKELLEFTEÅ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52040-2025</t>
        </is>
      </c>
      <c r="B6060" s="1" t="n">
        <v>45952.61515046296</v>
      </c>
      <c r="C6060" s="1" t="n">
        <v>46145</v>
      </c>
      <c r="D6060" t="inlineStr">
        <is>
          <t>VÄSTERBOTTENS LÄN</t>
        </is>
      </c>
      <c r="E6060" t="inlineStr">
        <is>
          <t>SKELLEFTEÅ</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52025-2025</t>
        </is>
      </c>
      <c r="B6061" s="1" t="n">
        <v>45952.60319444445</v>
      </c>
      <c r="C6061" s="1" t="n">
        <v>46145</v>
      </c>
      <c r="D6061" t="inlineStr">
        <is>
          <t>VÄSTERBOTTENS LÄN</t>
        </is>
      </c>
      <c r="E6061" t="inlineStr">
        <is>
          <t>SKELLEFTEÅ</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52041-2025</t>
        </is>
      </c>
      <c r="B6062" s="1" t="n">
        <v>45952.61530092593</v>
      </c>
      <c r="C6062" s="1" t="n">
        <v>46145</v>
      </c>
      <c r="D6062" t="inlineStr">
        <is>
          <t>VÄSTERBOTTENS LÄN</t>
        </is>
      </c>
      <c r="E6062" t="inlineStr">
        <is>
          <t>SKELLEFTEÅ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57246-2023</t>
        </is>
      </c>
      <c r="B6063" s="1" t="n">
        <v>45239</v>
      </c>
      <c r="C6063" s="1" t="n">
        <v>46145</v>
      </c>
      <c r="D6063" t="inlineStr">
        <is>
          <t>VÄSTERBOTTENS LÄN</t>
        </is>
      </c>
      <c r="E6063" t="inlineStr">
        <is>
          <t>VILHELMINA</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52082-2025</t>
        </is>
      </c>
      <c r="B6064" s="1" t="n">
        <v>45952.66583333333</v>
      </c>
      <c r="C6064" s="1" t="n">
        <v>46145</v>
      </c>
      <c r="D6064" t="inlineStr">
        <is>
          <t>VÄSTERBOTTENS LÄN</t>
        </is>
      </c>
      <c r="E6064" t="inlineStr">
        <is>
          <t>UMEÅ</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51847-2025</t>
        </is>
      </c>
      <c r="B6065" s="1" t="n">
        <v>45952.34993055555</v>
      </c>
      <c r="C6065" s="1" t="n">
        <v>46145</v>
      </c>
      <c r="D6065" t="inlineStr">
        <is>
          <t>VÄSTERBOTTENS LÄN</t>
        </is>
      </c>
      <c r="E6065" t="inlineStr">
        <is>
          <t>NORSJÖ</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57251-2023</t>
        </is>
      </c>
      <c r="B6066" s="1" t="n">
        <v>45245.56866898148</v>
      </c>
      <c r="C6066" s="1" t="n">
        <v>46145</v>
      </c>
      <c r="D6066" t="inlineStr">
        <is>
          <t>VÄSTERBOTTENS LÄN</t>
        </is>
      </c>
      <c r="E6066" t="inlineStr">
        <is>
          <t>NORDMALING</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57303-2023</t>
        </is>
      </c>
      <c r="B6067" s="1" t="n">
        <v>45245</v>
      </c>
      <c r="C6067" s="1" t="n">
        <v>46145</v>
      </c>
      <c r="D6067" t="inlineStr">
        <is>
          <t>VÄSTERBOTTENS LÄN</t>
        </is>
      </c>
      <c r="E6067" t="inlineStr">
        <is>
          <t>MALÅ</t>
        </is>
      </c>
      <c r="F6067" t="inlineStr">
        <is>
          <t>Sveaskog</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51660-2025</t>
        </is>
      </c>
      <c r="B6068" s="1" t="n">
        <v>45951.4765162037</v>
      </c>
      <c r="C6068" s="1" t="n">
        <v>46145</v>
      </c>
      <c r="D6068" t="inlineStr">
        <is>
          <t>VÄSTERBOTTENS LÄN</t>
        </is>
      </c>
      <c r="E6068" t="inlineStr">
        <is>
          <t>SKELLEFTEÅ</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56246-2023</t>
        </is>
      </c>
      <c r="B6069" s="1" t="n">
        <v>45240</v>
      </c>
      <c r="C6069" s="1" t="n">
        <v>46145</v>
      </c>
      <c r="D6069" t="inlineStr">
        <is>
          <t>VÄSTERBOTTENS LÄN</t>
        </is>
      </c>
      <c r="E6069" t="inlineStr">
        <is>
          <t>VILHELMINA</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52094-2025</t>
        </is>
      </c>
      <c r="B6070" s="1" t="n">
        <v>45952.67895833333</v>
      </c>
      <c r="C6070" s="1" t="n">
        <v>46145</v>
      </c>
      <c r="D6070" t="inlineStr">
        <is>
          <t>VÄSTERBOTTENS LÄN</t>
        </is>
      </c>
      <c r="E6070" t="inlineStr">
        <is>
          <t>SKELLEFTEÅ</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51701-2025</t>
        </is>
      </c>
      <c r="B6071" s="1" t="n">
        <v>45951.55298611111</v>
      </c>
      <c r="C6071" s="1" t="n">
        <v>46145</v>
      </c>
      <c r="D6071" t="inlineStr">
        <is>
          <t>VÄSTERBOTTENS LÄN</t>
        </is>
      </c>
      <c r="E6071" t="inlineStr">
        <is>
          <t>VILHELMINA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51961-2025</t>
        </is>
      </c>
      <c r="B6072" s="1" t="n">
        <v>45952.54824074074</v>
      </c>
      <c r="C6072" s="1" t="n">
        <v>46145</v>
      </c>
      <c r="D6072" t="inlineStr">
        <is>
          <t>VÄSTERBOTTENS LÄN</t>
        </is>
      </c>
      <c r="E6072" t="inlineStr">
        <is>
          <t>UMEÅ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51963-2025</t>
        </is>
      </c>
      <c r="B6073" s="1" t="n">
        <v>45952.55270833334</v>
      </c>
      <c r="C6073" s="1" t="n">
        <v>46145</v>
      </c>
      <c r="D6073" t="inlineStr">
        <is>
          <t>VÄSTERBOTTENS LÄN</t>
        </is>
      </c>
      <c r="E6073" t="inlineStr">
        <is>
          <t>MALÅ</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51641-2025</t>
        </is>
      </c>
      <c r="B6074" s="1" t="n">
        <v>45951.44424768518</v>
      </c>
      <c r="C6074" s="1" t="n">
        <v>46145</v>
      </c>
      <c r="D6074" t="inlineStr">
        <is>
          <t>VÄSTERBOTTENS LÄN</t>
        </is>
      </c>
      <c r="E6074" t="inlineStr">
        <is>
          <t>SKELLEFTEÅ</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52056-2025</t>
        </is>
      </c>
      <c r="B6075" s="1" t="n">
        <v>45952.63239583333</v>
      </c>
      <c r="C6075" s="1" t="n">
        <v>46145</v>
      </c>
      <c r="D6075" t="inlineStr">
        <is>
          <t>VÄSTERBOTTENS LÄN</t>
        </is>
      </c>
      <c r="E6075" t="inlineStr">
        <is>
          <t>UMEÅ</t>
        </is>
      </c>
      <c r="F6075" t="inlineStr">
        <is>
          <t>Holmen skog AB</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12866-2023</t>
        </is>
      </c>
      <c r="B6076" s="1" t="n">
        <v>45000</v>
      </c>
      <c r="C6076" s="1" t="n">
        <v>46145</v>
      </c>
      <c r="D6076" t="inlineStr">
        <is>
          <t>VÄSTERBOTTENS LÄN</t>
        </is>
      </c>
      <c r="E6076" t="inlineStr">
        <is>
          <t>VILHELMINA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7709-2023</t>
        </is>
      </c>
      <c r="B6077" s="1" t="n">
        <v>44969</v>
      </c>
      <c r="C6077" s="1" t="n">
        <v>46145</v>
      </c>
      <c r="D6077" t="inlineStr">
        <is>
          <t>VÄSTERBOTTENS LÄN</t>
        </is>
      </c>
      <c r="E6077" t="inlineStr">
        <is>
          <t>SORSELE</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62975-2021</t>
        </is>
      </c>
      <c r="B6078" s="1" t="n">
        <v>44505</v>
      </c>
      <c r="C6078" s="1" t="n">
        <v>46145</v>
      </c>
      <c r="D6078" t="inlineStr">
        <is>
          <t>VÄSTERBOTTENS LÄN</t>
        </is>
      </c>
      <c r="E6078" t="inlineStr">
        <is>
          <t>ÅSELE</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63060-2023</t>
        </is>
      </c>
      <c r="B6079" s="1" t="n">
        <v>45272.95590277778</v>
      </c>
      <c r="C6079" s="1" t="n">
        <v>46145</v>
      </c>
      <c r="D6079" t="inlineStr">
        <is>
          <t>VÄSTERBOTTENS LÄN</t>
        </is>
      </c>
      <c r="E6079" t="inlineStr">
        <is>
          <t>ÅSELE</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32746-2023</t>
        </is>
      </c>
      <c r="B6080" s="1" t="n">
        <v>45122</v>
      </c>
      <c r="C6080" s="1" t="n">
        <v>46145</v>
      </c>
      <c r="D6080" t="inlineStr">
        <is>
          <t>VÄSTERBOTTENS LÄN</t>
        </is>
      </c>
      <c r="E6080" t="inlineStr">
        <is>
          <t>SKELLEFTEÅ</t>
        </is>
      </c>
      <c r="F6080" t="inlineStr">
        <is>
          <t>Holmen skog AB</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34485-2023</t>
        </is>
      </c>
      <c r="B6081" s="1" t="n">
        <v>45139.94703703704</v>
      </c>
      <c r="C6081" s="1" t="n">
        <v>46145</v>
      </c>
      <c r="D6081" t="inlineStr">
        <is>
          <t>VÄSTERBOTTENS LÄN</t>
        </is>
      </c>
      <c r="E6081" t="inlineStr">
        <is>
          <t>NORDMALING</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51889-2025</t>
        </is>
      </c>
      <c r="B6082" s="1" t="n">
        <v>45952.41400462963</v>
      </c>
      <c r="C6082" s="1" t="n">
        <v>46145</v>
      </c>
      <c r="D6082" t="inlineStr">
        <is>
          <t>VÄSTERBOTTENS LÄN</t>
        </is>
      </c>
      <c r="E6082" t="inlineStr">
        <is>
          <t>UMEÅ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51952-2025</t>
        </is>
      </c>
      <c r="B6083" s="1" t="n">
        <v>45952</v>
      </c>
      <c r="C6083" s="1" t="n">
        <v>46145</v>
      </c>
      <c r="D6083" t="inlineStr">
        <is>
          <t>VÄSTERBOTTENS LÄN</t>
        </is>
      </c>
      <c r="E6083" t="inlineStr">
        <is>
          <t>MALÅ</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51958-2025</t>
        </is>
      </c>
      <c r="B6084" s="1" t="n">
        <v>45952.54373842593</v>
      </c>
      <c r="C6084" s="1" t="n">
        <v>46145</v>
      </c>
      <c r="D6084" t="inlineStr">
        <is>
          <t>VÄSTERBOTTENS LÄN</t>
        </is>
      </c>
      <c r="E6084" t="inlineStr">
        <is>
          <t>UMEÅ</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4900-2024</t>
        </is>
      </c>
      <c r="B6085" s="1" t="n">
        <v>45329</v>
      </c>
      <c r="C6085" s="1" t="n">
        <v>46145</v>
      </c>
      <c r="D6085" t="inlineStr">
        <is>
          <t>VÄSTERBOTTENS LÄN</t>
        </is>
      </c>
      <c r="E6085" t="inlineStr">
        <is>
          <t>SKELLEFTEÅ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51716-2025</t>
        </is>
      </c>
      <c r="B6086" s="1" t="n">
        <v>45951.5771875</v>
      </c>
      <c r="C6086" s="1" t="n">
        <v>46145</v>
      </c>
      <c r="D6086" t="inlineStr">
        <is>
          <t>VÄSTERBOTTENS LÄN</t>
        </is>
      </c>
      <c r="E6086" t="inlineStr">
        <is>
          <t>UMEÅ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7150-2024</t>
        </is>
      </c>
      <c r="B6087" s="1" t="n">
        <v>45344</v>
      </c>
      <c r="C6087" s="1" t="n">
        <v>46145</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51901-2025</t>
        </is>
      </c>
      <c r="B6088" s="1" t="n">
        <v>45952.44668981482</v>
      </c>
      <c r="C6088" s="1" t="n">
        <v>46145</v>
      </c>
      <c r="D6088" t="inlineStr">
        <is>
          <t>VÄSTERBOTTENS LÄN</t>
        </is>
      </c>
      <c r="E6088" t="inlineStr">
        <is>
          <t>UMEÅ</t>
        </is>
      </c>
      <c r="F6088" t="inlineStr">
        <is>
          <t>Holmen skog AB</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51905-2025</t>
        </is>
      </c>
      <c r="B6089" s="1" t="n">
        <v>45952.44921296297</v>
      </c>
      <c r="C6089" s="1" t="n">
        <v>46145</v>
      </c>
      <c r="D6089" t="inlineStr">
        <is>
          <t>VÄSTERBOTTENS LÄN</t>
        </is>
      </c>
      <c r="E6089" t="inlineStr">
        <is>
          <t>NORSJÖ</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51950-2025</t>
        </is>
      </c>
      <c r="B6090" s="1" t="n">
        <v>45952.53225694445</v>
      </c>
      <c r="C6090" s="1" t="n">
        <v>46145</v>
      </c>
      <c r="D6090" t="inlineStr">
        <is>
          <t>VÄSTERBOTTENS LÄN</t>
        </is>
      </c>
      <c r="E6090" t="inlineStr">
        <is>
          <t>MALÅ</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36892-2024</t>
        </is>
      </c>
      <c r="B6091" s="1" t="n">
        <v>45538.61142361111</v>
      </c>
      <c r="C6091" s="1" t="n">
        <v>46145</v>
      </c>
      <c r="D6091" t="inlineStr">
        <is>
          <t>VÄSTERBOTTENS LÄN</t>
        </is>
      </c>
      <c r="E6091" t="inlineStr">
        <is>
          <t>VINDELN</t>
        </is>
      </c>
      <c r="F6091" t="inlineStr">
        <is>
          <t>Holmen skog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41661-2024</t>
        </is>
      </c>
      <c r="B6092" s="1" t="n">
        <v>45560.64589120371</v>
      </c>
      <c r="C6092" s="1" t="n">
        <v>46145</v>
      </c>
      <c r="D6092" t="inlineStr">
        <is>
          <t>VÄSTERBOTTENS LÄN</t>
        </is>
      </c>
      <c r="E6092" t="inlineStr">
        <is>
          <t>VINDELN</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33694-2024</t>
        </is>
      </c>
      <c r="B6093" s="1" t="n">
        <v>45520.51614583333</v>
      </c>
      <c r="C6093" s="1" t="n">
        <v>46145</v>
      </c>
      <c r="D6093" t="inlineStr">
        <is>
          <t>VÄSTERBOTTENS LÄN</t>
        </is>
      </c>
      <c r="E6093" t="inlineStr">
        <is>
          <t>MALÅ</t>
        </is>
      </c>
      <c r="F6093" t="inlineStr">
        <is>
          <t>Sveaskog</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33706-2024</t>
        </is>
      </c>
      <c r="B6094" s="1" t="n">
        <v>45520.52563657407</v>
      </c>
      <c r="C6094" s="1" t="n">
        <v>46145</v>
      </c>
      <c r="D6094" t="inlineStr">
        <is>
          <t>VÄSTERBOTTENS LÄN</t>
        </is>
      </c>
      <c r="E6094" t="inlineStr">
        <is>
          <t>LYCKSELE</t>
        </is>
      </c>
      <c r="F6094" t="inlineStr">
        <is>
          <t>Sveaskog</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33713-2024</t>
        </is>
      </c>
      <c r="B6095" s="1" t="n">
        <v>45520.53105324074</v>
      </c>
      <c r="C6095" s="1" t="n">
        <v>46145</v>
      </c>
      <c r="D6095" t="inlineStr">
        <is>
          <t>VÄSTERBOTTENS LÄN</t>
        </is>
      </c>
      <c r="E6095" t="inlineStr">
        <is>
          <t>LYCKSELE</t>
        </is>
      </c>
      <c r="F6095" t="inlineStr">
        <is>
          <t>Sveaskog</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17285-2025</t>
        </is>
      </c>
      <c r="B6096" s="1" t="n">
        <v>45756.57349537037</v>
      </c>
      <c r="C6096" s="1" t="n">
        <v>46145</v>
      </c>
      <c r="D6096" t="inlineStr">
        <is>
          <t>VÄSTERBOTTENS LÄN</t>
        </is>
      </c>
      <c r="E6096" t="inlineStr">
        <is>
          <t>ÅSELE</t>
        </is>
      </c>
      <c r="F6096" t="inlineStr">
        <is>
          <t>SCA</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51842-2025</t>
        </is>
      </c>
      <c r="B6097" s="1" t="n">
        <v>45952.34488425926</v>
      </c>
      <c r="C6097" s="1" t="n">
        <v>46145</v>
      </c>
      <c r="D6097" t="inlineStr">
        <is>
          <t>VÄSTERBOTTENS LÄN</t>
        </is>
      </c>
      <c r="E6097" t="inlineStr">
        <is>
          <t>LYCKSELE</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50707-2025</t>
        </is>
      </c>
      <c r="B6098" s="1" t="n">
        <v>45946.30732638889</v>
      </c>
      <c r="C6098" s="1" t="n">
        <v>46145</v>
      </c>
      <c r="D6098" t="inlineStr">
        <is>
          <t>VÄSTERBOTTENS LÄN</t>
        </is>
      </c>
      <c r="E6098" t="inlineStr">
        <is>
          <t>VINDELN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52441-2025</t>
        </is>
      </c>
      <c r="B6099" s="1" t="n">
        <v>45954.41210648148</v>
      </c>
      <c r="C6099" s="1" t="n">
        <v>46145</v>
      </c>
      <c r="D6099" t="inlineStr">
        <is>
          <t>VÄSTERBOTTENS LÄN</t>
        </is>
      </c>
      <c r="E6099" t="inlineStr">
        <is>
          <t>NORSJÖ</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52339-2025</t>
        </is>
      </c>
      <c r="B6100" s="1" t="n">
        <v>45953.69837962963</v>
      </c>
      <c r="C6100" s="1" t="n">
        <v>46145</v>
      </c>
      <c r="D6100" t="inlineStr">
        <is>
          <t>VÄSTERBOTTENS LÄN</t>
        </is>
      </c>
      <c r="E6100" t="inlineStr">
        <is>
          <t>DOROTEA</t>
        </is>
      </c>
      <c r="F6100" t="inlineStr">
        <is>
          <t>SCA</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61161-2024</t>
        </is>
      </c>
      <c r="B6101" s="1" t="n">
        <v>45645.59473379629</v>
      </c>
      <c r="C6101" s="1" t="n">
        <v>46145</v>
      </c>
      <c r="D6101" t="inlineStr">
        <is>
          <t>VÄSTERBOTTENS LÄN</t>
        </is>
      </c>
      <c r="E6101" t="inlineStr">
        <is>
          <t>LYCKSELE</t>
        </is>
      </c>
      <c r="F6101" t="inlineStr">
        <is>
          <t>SCA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61170-2024</t>
        </is>
      </c>
      <c r="B6102" s="1" t="n">
        <v>45645.60092592592</v>
      </c>
      <c r="C6102" s="1" t="n">
        <v>46145</v>
      </c>
      <c r="D6102" t="inlineStr">
        <is>
          <t>VÄSTERBOTTENS LÄN</t>
        </is>
      </c>
      <c r="E6102" t="inlineStr">
        <is>
          <t>BJURHOLM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61225-2024</t>
        </is>
      </c>
      <c r="B6103" s="1" t="n">
        <v>45645.66707175926</v>
      </c>
      <c r="C6103" s="1" t="n">
        <v>46145</v>
      </c>
      <c r="D6103" t="inlineStr">
        <is>
          <t>VÄSTERBOTTENS LÄN</t>
        </is>
      </c>
      <c r="E6103" t="inlineStr">
        <is>
          <t>UMEÅ</t>
        </is>
      </c>
      <c r="F6103" t="inlineStr">
        <is>
          <t>Holmen skog AB</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61229-2024</t>
        </is>
      </c>
      <c r="B6104" s="1" t="n">
        <v>45645.66908564815</v>
      </c>
      <c r="C6104" s="1" t="n">
        <v>46145</v>
      </c>
      <c r="D6104" t="inlineStr">
        <is>
          <t>VÄSTERBOTTENS LÄN</t>
        </is>
      </c>
      <c r="E6104" t="inlineStr">
        <is>
          <t>BJURHOLM</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44950-2023</t>
        </is>
      </c>
      <c r="B6105" s="1" t="n">
        <v>45187</v>
      </c>
      <c r="C6105" s="1" t="n">
        <v>46145</v>
      </c>
      <c r="D6105" t="inlineStr">
        <is>
          <t>VÄSTERBOTTENS LÄN</t>
        </is>
      </c>
      <c r="E6105" t="inlineStr">
        <is>
          <t>NORDMALING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44952-2023</t>
        </is>
      </c>
      <c r="B6106" s="1" t="n">
        <v>45187</v>
      </c>
      <c r="C6106" s="1" t="n">
        <v>46145</v>
      </c>
      <c r="D6106" t="inlineStr">
        <is>
          <t>VÄSTERBOTTENS LÄN</t>
        </is>
      </c>
      <c r="E6106" t="inlineStr">
        <is>
          <t>NORDMALING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52210-2025</t>
        </is>
      </c>
      <c r="B6107" s="1" t="n">
        <v>45953.42037037037</v>
      </c>
      <c r="C6107" s="1" t="n">
        <v>46145</v>
      </c>
      <c r="D6107" t="inlineStr">
        <is>
          <t>VÄSTERBOTTENS LÄN</t>
        </is>
      </c>
      <c r="E6107" t="inlineStr">
        <is>
          <t>UMEÅ</t>
        </is>
      </c>
      <c r="F6107" t="inlineStr">
        <is>
          <t>Holmen skog AB</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7025-2025</t>
        </is>
      </c>
      <c r="B6108" s="1" t="n">
        <v>45701.62719907407</v>
      </c>
      <c r="C6108" s="1" t="n">
        <v>46145</v>
      </c>
      <c r="D6108" t="inlineStr">
        <is>
          <t>VÄSTERBOTTENS LÄN</t>
        </is>
      </c>
      <c r="E6108" t="inlineStr">
        <is>
          <t>SKELLEFTEÅ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50044-2021</t>
        </is>
      </c>
      <c r="B6109" s="1" t="n">
        <v>44456.50484953704</v>
      </c>
      <c r="C6109" s="1" t="n">
        <v>46145</v>
      </c>
      <c r="D6109" t="inlineStr">
        <is>
          <t>VÄSTERBOTTENS LÄN</t>
        </is>
      </c>
      <c r="E6109" t="inlineStr">
        <is>
          <t>LYCKSELE</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29054-2023</t>
        </is>
      </c>
      <c r="B6110" s="1" t="n">
        <v>45104.92340277778</v>
      </c>
      <c r="C6110" s="1" t="n">
        <v>46145</v>
      </c>
      <c r="D6110" t="inlineStr">
        <is>
          <t>VÄSTERBOTTENS LÄN</t>
        </is>
      </c>
      <c r="E6110" t="inlineStr">
        <is>
          <t>ÅSELE</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29055-2023</t>
        </is>
      </c>
      <c r="B6111" s="1" t="n">
        <v>45104.9234375</v>
      </c>
      <c r="C6111" s="1" t="n">
        <v>46145</v>
      </c>
      <c r="D6111" t="inlineStr">
        <is>
          <t>VÄSTERBOTTENS LÄN</t>
        </is>
      </c>
      <c r="E6111" t="inlineStr">
        <is>
          <t>ÅSELE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42320-2024</t>
        </is>
      </c>
      <c r="B6112" s="1" t="n">
        <v>45562.64625</v>
      </c>
      <c r="C6112" s="1" t="n">
        <v>46145</v>
      </c>
      <c r="D6112" t="inlineStr">
        <is>
          <t>VÄSTERBOTTENS LÄN</t>
        </is>
      </c>
      <c r="E6112" t="inlineStr">
        <is>
          <t>NORDMALING</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52589-2025</t>
        </is>
      </c>
      <c r="B6113" s="1" t="n">
        <v>45954</v>
      </c>
      <c r="C6113" s="1" t="n">
        <v>46145</v>
      </c>
      <c r="D6113" t="inlineStr">
        <is>
          <t>VÄSTERBOTTENS LÄN</t>
        </is>
      </c>
      <c r="E6113" t="inlineStr">
        <is>
          <t>NORSJÖ</t>
        </is>
      </c>
      <c r="F6113" t="inlineStr">
        <is>
          <t>Holmen skog AB</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50090-2021</t>
        </is>
      </c>
      <c r="B6114" s="1" t="n">
        <v>44455</v>
      </c>
      <c r="C6114" s="1" t="n">
        <v>46145</v>
      </c>
      <c r="D6114" t="inlineStr">
        <is>
          <t>VÄSTERBOTTENS LÄN</t>
        </is>
      </c>
      <c r="E6114" t="inlineStr">
        <is>
          <t>VINDELN</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52864-2025</t>
        </is>
      </c>
      <c r="B6115" s="1" t="n">
        <v>45954</v>
      </c>
      <c r="C6115" s="1" t="n">
        <v>46145</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30258-2023</t>
        </is>
      </c>
      <c r="B6116" s="1" t="n">
        <v>45110.70980324074</v>
      </c>
      <c r="C6116" s="1" t="n">
        <v>46145</v>
      </c>
      <c r="D6116" t="inlineStr">
        <is>
          <t>VÄSTERBOTTENS LÄN</t>
        </is>
      </c>
      <c r="E6116" t="inlineStr">
        <is>
          <t>UMEÅ</t>
        </is>
      </c>
      <c r="F6116" t="inlineStr">
        <is>
          <t>Holmen skog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4227-2023</t>
        </is>
      </c>
      <c r="B6117" s="1" t="n">
        <v>44953.47570601852</v>
      </c>
      <c r="C6117" s="1" t="n">
        <v>46145</v>
      </c>
      <c r="D6117" t="inlineStr">
        <is>
          <t>VÄSTERBOTTENS LÄN</t>
        </is>
      </c>
      <c r="E6117" t="inlineStr">
        <is>
          <t>ROBERTSFORS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72494-2021</t>
        </is>
      </c>
      <c r="B6118" s="1" t="n">
        <v>44545.92059027778</v>
      </c>
      <c r="C6118" s="1" t="n">
        <v>46145</v>
      </c>
      <c r="D6118" t="inlineStr">
        <is>
          <t>VÄSTERBOTTENS LÄN</t>
        </is>
      </c>
      <c r="E6118" t="inlineStr">
        <is>
          <t>VILHELMINA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52163-2025</t>
        </is>
      </c>
      <c r="B6119" s="1" t="n">
        <v>45953.36163194444</v>
      </c>
      <c r="C6119" s="1" t="n">
        <v>46145</v>
      </c>
      <c r="D6119" t="inlineStr">
        <is>
          <t>VÄSTERBOTTENS LÄN</t>
        </is>
      </c>
      <c r="E6119" t="inlineStr">
        <is>
          <t>UMEÅ</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52143-2025</t>
        </is>
      </c>
      <c r="B6120" s="1" t="n">
        <v>45953.3316550926</v>
      </c>
      <c r="C6120" s="1" t="n">
        <v>46145</v>
      </c>
      <c r="D6120" t="inlineStr">
        <is>
          <t>VÄSTERBOTTENS LÄN</t>
        </is>
      </c>
      <c r="E6120" t="inlineStr">
        <is>
          <t>ÅSELE</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52165-2025</t>
        </is>
      </c>
      <c r="B6121" s="1" t="n">
        <v>45953.36392361111</v>
      </c>
      <c r="C6121" s="1" t="n">
        <v>46145</v>
      </c>
      <c r="D6121" t="inlineStr">
        <is>
          <t>VÄSTERBOTTENS LÄN</t>
        </is>
      </c>
      <c r="E6121" t="inlineStr">
        <is>
          <t>ÅSELE</t>
        </is>
      </c>
      <c r="G6121" t="n">
        <v>12.6</v>
      </c>
      <c r="H6121" t="n">
        <v>0</v>
      </c>
      <c r="I6121" t="n">
        <v>0</v>
      </c>
      <c r="J6121" t="n">
        <v>0</v>
      </c>
      <c r="K6121" t="n">
        <v>0</v>
      </c>
      <c r="L6121" t="n">
        <v>0</v>
      </c>
      <c r="M6121" t="n">
        <v>0</v>
      </c>
      <c r="N6121" t="n">
        <v>0</v>
      </c>
      <c r="O6121" t="n">
        <v>0</v>
      </c>
      <c r="P6121" t="n">
        <v>0</v>
      </c>
      <c r="Q6121" t="n">
        <v>0</v>
      </c>
      <c r="R6121" s="2" t="inlineStr"/>
    </row>
    <row r="6122" ht="15" customHeight="1">
      <c r="A6122" t="inlineStr">
        <is>
          <t>A 57590-2022</t>
        </is>
      </c>
      <c r="B6122" s="1" t="n">
        <v>44896.97822916666</v>
      </c>
      <c r="C6122" s="1" t="n">
        <v>46145</v>
      </c>
      <c r="D6122" t="inlineStr">
        <is>
          <t>VÄSTERBOTTENS LÄN</t>
        </is>
      </c>
      <c r="E6122" t="inlineStr">
        <is>
          <t>NORDMALING</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52588-2025</t>
        </is>
      </c>
      <c r="B6123" s="1" t="n">
        <v>45954.6333912037</v>
      </c>
      <c r="C6123" s="1" t="n">
        <v>46145</v>
      </c>
      <c r="D6123" t="inlineStr">
        <is>
          <t>VÄSTERBOTTENS LÄN</t>
        </is>
      </c>
      <c r="E6123" t="inlineStr">
        <is>
          <t>SKELLEFTEÅ</t>
        </is>
      </c>
      <c r="F6123" t="inlineStr">
        <is>
          <t>Holmen skog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52596-2025</t>
        </is>
      </c>
      <c r="B6124" s="1" t="n">
        <v>45954.65212962963</v>
      </c>
      <c r="C6124" s="1" t="n">
        <v>46145</v>
      </c>
      <c r="D6124" t="inlineStr">
        <is>
          <t>VÄSTERBOTTENS LÄN</t>
        </is>
      </c>
      <c r="E6124" t="inlineStr">
        <is>
          <t>SKELLEFTEÅ</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52155-2025</t>
        </is>
      </c>
      <c r="B6125" s="1" t="n">
        <v>45953.3543287037</v>
      </c>
      <c r="C6125" s="1" t="n">
        <v>46145</v>
      </c>
      <c r="D6125" t="inlineStr">
        <is>
          <t>VÄSTERBOTTENS LÄN</t>
        </is>
      </c>
      <c r="E6125" t="inlineStr">
        <is>
          <t>UMEÅ</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9233-2024</t>
        </is>
      </c>
      <c r="B6126" s="1" t="n">
        <v>45358</v>
      </c>
      <c r="C6126" s="1" t="n">
        <v>46145</v>
      </c>
      <c r="D6126" t="inlineStr">
        <is>
          <t>VÄSTERBOTTENS LÄN</t>
        </is>
      </c>
      <c r="E6126" t="inlineStr">
        <is>
          <t>SKELLEFTEÅ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58207-2022</t>
        </is>
      </c>
      <c r="B6127" s="1" t="n">
        <v>44901</v>
      </c>
      <c r="C6127" s="1" t="n">
        <v>46145</v>
      </c>
      <c r="D6127" t="inlineStr">
        <is>
          <t>VÄSTERBOTTENS LÄN</t>
        </is>
      </c>
      <c r="E6127" t="inlineStr">
        <is>
          <t>VILHELMINA</t>
        </is>
      </c>
      <c r="G6127" t="n">
        <v>143.2</v>
      </c>
      <c r="H6127" t="n">
        <v>0</v>
      </c>
      <c r="I6127" t="n">
        <v>0</v>
      </c>
      <c r="J6127" t="n">
        <v>0</v>
      </c>
      <c r="K6127" t="n">
        <v>0</v>
      </c>
      <c r="L6127" t="n">
        <v>0</v>
      </c>
      <c r="M6127" t="n">
        <v>0</v>
      </c>
      <c r="N6127" t="n">
        <v>0</v>
      </c>
      <c r="O6127" t="n">
        <v>0</v>
      </c>
      <c r="P6127" t="n">
        <v>0</v>
      </c>
      <c r="Q6127" t="n">
        <v>0</v>
      </c>
      <c r="R6127" s="2" t="inlineStr"/>
    </row>
    <row r="6128" ht="15" customHeight="1">
      <c r="A6128" t="inlineStr">
        <is>
          <t>A 52419-2025</t>
        </is>
      </c>
      <c r="B6128" s="1" t="n">
        <v>45954.36858796296</v>
      </c>
      <c r="C6128" s="1" t="n">
        <v>46145</v>
      </c>
      <c r="D6128" t="inlineStr">
        <is>
          <t>VÄSTERBOTTENS LÄN</t>
        </is>
      </c>
      <c r="E6128" t="inlineStr">
        <is>
          <t>SKELLEFTEÅ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38944-2024</t>
        </is>
      </c>
      <c r="B6129" s="1" t="n">
        <v>45548.34501157407</v>
      </c>
      <c r="C6129" s="1" t="n">
        <v>46145</v>
      </c>
      <c r="D6129" t="inlineStr">
        <is>
          <t>VÄSTERBOTTENS LÄN</t>
        </is>
      </c>
      <c r="E6129" t="inlineStr">
        <is>
          <t>SORSELE</t>
        </is>
      </c>
      <c r="F6129" t="inlineStr">
        <is>
          <t>SCA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52214-2025</t>
        </is>
      </c>
      <c r="B6130" s="1" t="n">
        <v>45953.4275</v>
      </c>
      <c r="C6130" s="1" t="n">
        <v>46145</v>
      </c>
      <c r="D6130" t="inlineStr">
        <is>
          <t>VÄSTERBOTTENS LÄN</t>
        </is>
      </c>
      <c r="E6130" t="inlineStr">
        <is>
          <t>STORUMAN</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52192-2025</t>
        </is>
      </c>
      <c r="B6131" s="1" t="n">
        <v>45953.38861111111</v>
      </c>
      <c r="C6131" s="1" t="n">
        <v>46145</v>
      </c>
      <c r="D6131" t="inlineStr">
        <is>
          <t>VÄSTERBOTTENS LÄN</t>
        </is>
      </c>
      <c r="E6131" t="inlineStr">
        <is>
          <t>ÅSELE</t>
        </is>
      </c>
      <c r="F6131" t="inlineStr">
        <is>
          <t>Holmen skog AB</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52326-2025</t>
        </is>
      </c>
      <c r="B6132" s="1" t="n">
        <v>45953.67081018518</v>
      </c>
      <c r="C6132" s="1" t="n">
        <v>46145</v>
      </c>
      <c r="D6132" t="inlineStr">
        <is>
          <t>VÄSTERBOTTENS LÄN</t>
        </is>
      </c>
      <c r="E6132" t="inlineStr">
        <is>
          <t>ÅSELE</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46264-2024</t>
        </is>
      </c>
      <c r="B6133" s="1" t="n">
        <v>45581.615</v>
      </c>
      <c r="C6133" s="1" t="n">
        <v>46145</v>
      </c>
      <c r="D6133" t="inlineStr">
        <is>
          <t>VÄSTERBOTTENS LÄN</t>
        </is>
      </c>
      <c r="E6133" t="inlineStr">
        <is>
          <t>VINDELN</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52186-2025</t>
        </is>
      </c>
      <c r="B6134" s="1" t="n">
        <v>45953.38614583333</v>
      </c>
      <c r="C6134" s="1" t="n">
        <v>46145</v>
      </c>
      <c r="D6134" t="inlineStr">
        <is>
          <t>VÄSTERBOTTENS LÄN</t>
        </is>
      </c>
      <c r="E6134" t="inlineStr">
        <is>
          <t>DOROTEA</t>
        </is>
      </c>
      <c r="F6134" t="inlineStr">
        <is>
          <t>SCA</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52201-2025</t>
        </is>
      </c>
      <c r="B6135" s="1" t="n">
        <v>45953.40626157408</v>
      </c>
      <c r="C6135" s="1" t="n">
        <v>46145</v>
      </c>
      <c r="D6135" t="inlineStr">
        <is>
          <t>VÄSTERBOTTENS LÄN</t>
        </is>
      </c>
      <c r="E6135" t="inlineStr">
        <is>
          <t>NORDMALING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52208-2025</t>
        </is>
      </c>
      <c r="B6136" s="1" t="n">
        <v>45953.41458333333</v>
      </c>
      <c r="C6136" s="1" t="n">
        <v>46145</v>
      </c>
      <c r="D6136" t="inlineStr">
        <is>
          <t>VÄSTERBOTTENS LÄN</t>
        </is>
      </c>
      <c r="E6136" t="inlineStr">
        <is>
          <t>BJURHOLM</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15198-2023</t>
        </is>
      </c>
      <c r="B6137" s="1" t="n">
        <v>45016</v>
      </c>
      <c r="C6137" s="1" t="n">
        <v>46145</v>
      </c>
      <c r="D6137" t="inlineStr">
        <is>
          <t>VÄSTERBOTTENS LÄN</t>
        </is>
      </c>
      <c r="E6137" t="inlineStr">
        <is>
          <t>NORSJÖ</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11528-2024</t>
        </is>
      </c>
      <c r="B6138" s="1" t="n">
        <v>45372</v>
      </c>
      <c r="C6138" s="1" t="n">
        <v>46145</v>
      </c>
      <c r="D6138" t="inlineStr">
        <is>
          <t>VÄSTERBOTTENS LÄN</t>
        </is>
      </c>
      <c r="E6138" t="inlineStr">
        <is>
          <t>SKELLEFTEÅ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11531-2024</t>
        </is>
      </c>
      <c r="B6139" s="1" t="n">
        <v>45372.92850694444</v>
      </c>
      <c r="C6139" s="1" t="n">
        <v>46145</v>
      </c>
      <c r="D6139" t="inlineStr">
        <is>
          <t>VÄSTERBOTTENS LÄN</t>
        </is>
      </c>
      <c r="E6139" t="inlineStr">
        <is>
          <t>NORSJÖ</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11875-2024</t>
        </is>
      </c>
      <c r="B6140" s="1" t="n">
        <v>45376</v>
      </c>
      <c r="C6140" s="1" t="n">
        <v>46145</v>
      </c>
      <c r="D6140" t="inlineStr">
        <is>
          <t>VÄSTERBOTTENS LÄN</t>
        </is>
      </c>
      <c r="E6140" t="inlineStr">
        <is>
          <t>SKELLEFTEÅ</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52558-2025</t>
        </is>
      </c>
      <c r="B6141" s="1" t="n">
        <v>45954.56898148148</v>
      </c>
      <c r="C6141" s="1" t="n">
        <v>46145</v>
      </c>
      <c r="D6141" t="inlineStr">
        <is>
          <t>VÄSTERBOTTENS LÄN</t>
        </is>
      </c>
      <c r="E6141" t="inlineStr">
        <is>
          <t>SKELLEFTEÅ</t>
        </is>
      </c>
      <c r="F6141" t="inlineStr">
        <is>
          <t>Holmen skog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10911-2024</t>
        </is>
      </c>
      <c r="B6142" s="1" t="n">
        <v>45370</v>
      </c>
      <c r="C6142" s="1" t="n">
        <v>46145</v>
      </c>
      <c r="D6142" t="inlineStr">
        <is>
          <t>VÄSTERBOTTENS LÄN</t>
        </is>
      </c>
      <c r="E6142" t="inlineStr">
        <is>
          <t>SKELLEFTEÅ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52232-2025</t>
        </is>
      </c>
      <c r="B6143" s="1" t="n">
        <v>45953.45091435185</v>
      </c>
      <c r="C6143" s="1" t="n">
        <v>46145</v>
      </c>
      <c r="D6143" t="inlineStr">
        <is>
          <t>VÄSTERBOTTENS LÄN</t>
        </is>
      </c>
      <c r="E6143" t="inlineStr">
        <is>
          <t>UMEÅ</t>
        </is>
      </c>
      <c r="F6143" t="inlineStr">
        <is>
          <t>Holmen skog AB</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52412-2025</t>
        </is>
      </c>
      <c r="B6144" s="1" t="n">
        <v>45954.36586805555</v>
      </c>
      <c r="C6144" s="1" t="n">
        <v>46145</v>
      </c>
      <c r="D6144" t="inlineStr">
        <is>
          <t>VÄSTERBOTTENS LÄN</t>
        </is>
      </c>
      <c r="E6144" t="inlineStr">
        <is>
          <t>DOROTEA</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1964-2025</t>
        </is>
      </c>
      <c r="B6145" s="1" t="n">
        <v>45672.37693287037</v>
      </c>
      <c r="C6145" s="1" t="n">
        <v>46145</v>
      </c>
      <c r="D6145" t="inlineStr">
        <is>
          <t>VÄSTERBOTTENS LÄN</t>
        </is>
      </c>
      <c r="E6145" t="inlineStr">
        <is>
          <t>SKELLEFTEÅ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52139-2025</t>
        </is>
      </c>
      <c r="B6146" s="1" t="n">
        <v>45953.32070601852</v>
      </c>
      <c r="C6146" s="1" t="n">
        <v>46145</v>
      </c>
      <c r="D6146" t="inlineStr">
        <is>
          <t>VÄSTERBOTTENS LÄN</t>
        </is>
      </c>
      <c r="E6146" t="inlineStr">
        <is>
          <t>ÅSELE</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248-2025</t>
        </is>
      </c>
      <c r="B6147" s="1" t="n">
        <v>45660.419375</v>
      </c>
      <c r="C6147" s="1" t="n">
        <v>46145</v>
      </c>
      <c r="D6147" t="inlineStr">
        <is>
          <t>VÄSTERBOTTENS LÄN</t>
        </is>
      </c>
      <c r="E6147" t="inlineStr">
        <is>
          <t>VILHELMINA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52388-2025</t>
        </is>
      </c>
      <c r="B6148" s="1" t="n">
        <v>45954.32572916667</v>
      </c>
      <c r="C6148" s="1" t="n">
        <v>46145</v>
      </c>
      <c r="D6148" t="inlineStr">
        <is>
          <t>VÄSTERBOTTENS LÄN</t>
        </is>
      </c>
      <c r="E6148" t="inlineStr">
        <is>
          <t>SKELLEFTEÅ</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55698-2024</t>
        </is>
      </c>
      <c r="B6149" s="1" t="n">
        <v>45622.68798611111</v>
      </c>
      <c r="C6149" s="1" t="n">
        <v>46145</v>
      </c>
      <c r="D6149" t="inlineStr">
        <is>
          <t>VÄSTERBOTTENS LÄN</t>
        </is>
      </c>
      <c r="E6149" t="inlineStr">
        <is>
          <t>NORDMALING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52213-2025</t>
        </is>
      </c>
      <c r="B6150" s="1" t="n">
        <v>45953.42744212963</v>
      </c>
      <c r="C6150" s="1" t="n">
        <v>46145</v>
      </c>
      <c r="D6150" t="inlineStr">
        <is>
          <t>VÄSTERBOTTENS LÄN</t>
        </is>
      </c>
      <c r="E6150" t="inlineStr">
        <is>
          <t>SORSELE</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52215-2025</t>
        </is>
      </c>
      <c r="B6151" s="1" t="n">
        <v>45953.42755787037</v>
      </c>
      <c r="C6151" s="1" t="n">
        <v>46145</v>
      </c>
      <c r="D6151" t="inlineStr">
        <is>
          <t>VÄSTERBOTTENS LÄN</t>
        </is>
      </c>
      <c r="E6151" t="inlineStr">
        <is>
          <t>SORSELE</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52234-2025</t>
        </is>
      </c>
      <c r="B6152" s="1" t="n">
        <v>45953.45195601852</v>
      </c>
      <c r="C6152" s="1" t="n">
        <v>46145</v>
      </c>
      <c r="D6152" t="inlineStr">
        <is>
          <t>VÄSTERBOTTENS LÄN</t>
        </is>
      </c>
      <c r="E6152" t="inlineStr">
        <is>
          <t>NORDMALING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52235-2025</t>
        </is>
      </c>
      <c r="B6153" s="1" t="n">
        <v>45953.4543287037</v>
      </c>
      <c r="C6153" s="1" t="n">
        <v>46145</v>
      </c>
      <c r="D6153" t="inlineStr">
        <is>
          <t>VÄSTERBOTTENS LÄN</t>
        </is>
      </c>
      <c r="E6153" t="inlineStr">
        <is>
          <t>BJURHOLM</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52238-2025</t>
        </is>
      </c>
      <c r="B6154" s="1" t="n">
        <v>45953.46032407408</v>
      </c>
      <c r="C6154" s="1" t="n">
        <v>46145</v>
      </c>
      <c r="D6154" t="inlineStr">
        <is>
          <t>VÄSTERBOTTENS LÄN</t>
        </is>
      </c>
      <c r="E6154" t="inlineStr">
        <is>
          <t>UMEÅ</t>
        </is>
      </c>
      <c r="F6154" t="inlineStr">
        <is>
          <t>Holmen skog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55701-2024</t>
        </is>
      </c>
      <c r="B6155" s="1" t="n">
        <v>45622.69039351852</v>
      </c>
      <c r="C6155" s="1" t="n">
        <v>46145</v>
      </c>
      <c r="D6155" t="inlineStr">
        <is>
          <t>VÄSTERBOTTENS LÄN</t>
        </is>
      </c>
      <c r="E6155" t="inlineStr">
        <is>
          <t>NORDMALING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32464-2023</t>
        </is>
      </c>
      <c r="B6156" s="1" t="n">
        <v>45120.92650462963</v>
      </c>
      <c r="C6156" s="1" t="n">
        <v>46145</v>
      </c>
      <c r="D6156" t="inlineStr">
        <is>
          <t>VÄSTERBOTTENS LÄN</t>
        </is>
      </c>
      <c r="E6156" t="inlineStr">
        <is>
          <t>UMEÅ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44836-2024</t>
        </is>
      </c>
      <c r="B6157" s="1" t="n">
        <v>45574.70622685185</v>
      </c>
      <c r="C6157" s="1" t="n">
        <v>46145</v>
      </c>
      <c r="D6157" t="inlineStr">
        <is>
          <t>VÄSTERBOTTENS LÄN</t>
        </is>
      </c>
      <c r="E6157" t="inlineStr">
        <is>
          <t>UMEÅ</t>
        </is>
      </c>
      <c r="F6157" t="inlineStr">
        <is>
          <t>Holmen skog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46287-2022</t>
        </is>
      </c>
      <c r="B6158" s="1" t="n">
        <v>44847</v>
      </c>
      <c r="C6158" s="1" t="n">
        <v>46145</v>
      </c>
      <c r="D6158" t="inlineStr">
        <is>
          <t>VÄSTERBOTTENS LÄN</t>
        </is>
      </c>
      <c r="E6158" t="inlineStr">
        <is>
          <t>UMEÅ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46316-2022</t>
        </is>
      </c>
      <c r="B6159" s="1" t="n">
        <v>44847</v>
      </c>
      <c r="C6159" s="1" t="n">
        <v>46145</v>
      </c>
      <c r="D6159" t="inlineStr">
        <is>
          <t>VÄSTERBOTTENS LÄN</t>
        </is>
      </c>
      <c r="E6159" t="inlineStr">
        <is>
          <t>VILHELMINA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13090-2024</t>
        </is>
      </c>
      <c r="B6160" s="1" t="n">
        <v>45385</v>
      </c>
      <c r="C6160" s="1" t="n">
        <v>46145</v>
      </c>
      <c r="D6160" t="inlineStr">
        <is>
          <t>VÄSTERBOTTENS LÄN</t>
        </is>
      </c>
      <c r="E6160" t="inlineStr">
        <is>
          <t>UMEÅ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52229-2025</t>
        </is>
      </c>
      <c r="B6161" s="1" t="n">
        <v>45953.44894675926</v>
      </c>
      <c r="C6161" s="1" t="n">
        <v>46145</v>
      </c>
      <c r="D6161" t="inlineStr">
        <is>
          <t>VÄSTERBOTTENS LÄN</t>
        </is>
      </c>
      <c r="E6161" t="inlineStr">
        <is>
          <t>NORDMALING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14983-2023</t>
        </is>
      </c>
      <c r="B6162" s="1" t="n">
        <v>45014</v>
      </c>
      <c r="C6162" s="1" t="n">
        <v>46145</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10121-2025</t>
        </is>
      </c>
      <c r="B6163" s="1" t="n">
        <v>45719</v>
      </c>
      <c r="C6163" s="1" t="n">
        <v>46145</v>
      </c>
      <c r="D6163" t="inlineStr">
        <is>
          <t>VÄSTERBOTTENS LÄN</t>
        </is>
      </c>
      <c r="E6163" t="inlineStr">
        <is>
          <t>MALÅ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35630-2023</t>
        </is>
      </c>
      <c r="B6164" s="1" t="n">
        <v>45147</v>
      </c>
      <c r="C6164" s="1" t="n">
        <v>46145</v>
      </c>
      <c r="D6164" t="inlineStr">
        <is>
          <t>VÄSTERBOTTENS LÄN</t>
        </is>
      </c>
      <c r="E6164" t="inlineStr">
        <is>
          <t>NORSJÖ</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977-2022</t>
        </is>
      </c>
      <c r="B6165" s="1" t="n">
        <v>44571</v>
      </c>
      <c r="C6165" s="1" t="n">
        <v>46145</v>
      </c>
      <c r="D6165" t="inlineStr">
        <is>
          <t>VÄSTERBOTTENS LÄN</t>
        </is>
      </c>
      <c r="E6165" t="inlineStr">
        <is>
          <t>ROBERTSFORS</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23971-2024</t>
        </is>
      </c>
      <c r="B6166" s="1" t="n">
        <v>45455</v>
      </c>
      <c r="C6166" s="1" t="n">
        <v>46145</v>
      </c>
      <c r="D6166" t="inlineStr">
        <is>
          <t>VÄSTERBOTTENS LÄN</t>
        </is>
      </c>
      <c r="E6166" t="inlineStr">
        <is>
          <t>LYCKSELE</t>
        </is>
      </c>
      <c r="F6166" t="inlineStr">
        <is>
          <t>SCA</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52334-2025</t>
        </is>
      </c>
      <c r="B6167" s="1" t="n">
        <v>45953.68225694444</v>
      </c>
      <c r="C6167" s="1" t="n">
        <v>46145</v>
      </c>
      <c r="D6167" t="inlineStr">
        <is>
          <t>VÄSTERBOTTENS LÄN</t>
        </is>
      </c>
      <c r="E6167" t="inlineStr">
        <is>
          <t>VILHELMINA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52632-2025</t>
        </is>
      </c>
      <c r="B6168" s="1" t="n">
        <v>45954.71922453704</v>
      </c>
      <c r="C6168" s="1" t="n">
        <v>46145</v>
      </c>
      <c r="D6168" t="inlineStr">
        <is>
          <t>VÄSTERBOTTENS LÄN</t>
        </is>
      </c>
      <c r="E6168" t="inlineStr">
        <is>
          <t>ÅSELE</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47420-2024</t>
        </is>
      </c>
      <c r="B6169" s="1" t="n">
        <v>45587</v>
      </c>
      <c r="C6169" s="1" t="n">
        <v>46145</v>
      </c>
      <c r="D6169" t="inlineStr">
        <is>
          <t>VÄSTERBOTTENS LÄN</t>
        </is>
      </c>
      <c r="E6169" t="inlineStr">
        <is>
          <t>ROBERTSFORS</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53136-2025</t>
        </is>
      </c>
      <c r="B6170" s="1" t="n">
        <v>45958.46975694445</v>
      </c>
      <c r="C6170" s="1" t="n">
        <v>46145</v>
      </c>
      <c r="D6170" t="inlineStr">
        <is>
          <t>VÄSTERBOTTENS LÄN</t>
        </is>
      </c>
      <c r="E6170" t="inlineStr">
        <is>
          <t>NORSJÖ</t>
        </is>
      </c>
      <c r="G6170" t="n">
        <v>15.8</v>
      </c>
      <c r="H6170" t="n">
        <v>0</v>
      </c>
      <c r="I6170" t="n">
        <v>0</v>
      </c>
      <c r="J6170" t="n">
        <v>0</v>
      </c>
      <c r="K6170" t="n">
        <v>0</v>
      </c>
      <c r="L6170" t="n">
        <v>0</v>
      </c>
      <c r="M6170" t="n">
        <v>0</v>
      </c>
      <c r="N6170" t="n">
        <v>0</v>
      </c>
      <c r="O6170" t="n">
        <v>0</v>
      </c>
      <c r="P6170" t="n">
        <v>0</v>
      </c>
      <c r="Q6170" t="n">
        <v>0</v>
      </c>
      <c r="R6170" s="2" t="inlineStr"/>
    </row>
    <row r="6171" ht="15" customHeight="1">
      <c r="A6171" t="inlineStr">
        <is>
          <t>A 53137-2025</t>
        </is>
      </c>
      <c r="B6171" s="1" t="n">
        <v>45958.46978009259</v>
      </c>
      <c r="C6171" s="1" t="n">
        <v>46145</v>
      </c>
      <c r="D6171" t="inlineStr">
        <is>
          <t>VÄSTERBOTTENS LÄN</t>
        </is>
      </c>
      <c r="E6171" t="inlineStr">
        <is>
          <t>NORSJÖ</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53010-2025</t>
        </is>
      </c>
      <c r="B6172" s="1" t="n">
        <v>45957</v>
      </c>
      <c r="C6172" s="1" t="n">
        <v>46145</v>
      </c>
      <c r="D6172" t="inlineStr">
        <is>
          <t>VÄSTERBOTTENS LÄN</t>
        </is>
      </c>
      <c r="E6172" t="inlineStr">
        <is>
          <t>NORSJÖ</t>
        </is>
      </c>
      <c r="G6172" t="n">
        <v>41.8</v>
      </c>
      <c r="H6172" t="n">
        <v>0</v>
      </c>
      <c r="I6172" t="n">
        <v>0</v>
      </c>
      <c r="J6172" t="n">
        <v>0</v>
      </c>
      <c r="K6172" t="n">
        <v>0</v>
      </c>
      <c r="L6172" t="n">
        <v>0</v>
      </c>
      <c r="M6172" t="n">
        <v>0</v>
      </c>
      <c r="N6172" t="n">
        <v>0</v>
      </c>
      <c r="O6172" t="n">
        <v>0</v>
      </c>
      <c r="P6172" t="n">
        <v>0</v>
      </c>
      <c r="Q6172" t="n">
        <v>0</v>
      </c>
      <c r="R6172" s="2" t="inlineStr"/>
    </row>
    <row r="6173" ht="15" customHeight="1">
      <c r="A6173" t="inlineStr">
        <is>
          <t>A 11184-2024</t>
        </is>
      </c>
      <c r="B6173" s="1" t="n">
        <v>45371</v>
      </c>
      <c r="C6173" s="1" t="n">
        <v>46145</v>
      </c>
      <c r="D6173" t="inlineStr">
        <is>
          <t>VÄSTERBOTTENS LÄN</t>
        </is>
      </c>
      <c r="E6173" t="inlineStr">
        <is>
          <t>UMEÅ</t>
        </is>
      </c>
      <c r="F6173" t="inlineStr">
        <is>
          <t>Övriga statliga verk och myndigheter</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55542-2022</t>
        </is>
      </c>
      <c r="B6174" s="1" t="n">
        <v>44887</v>
      </c>
      <c r="C6174" s="1" t="n">
        <v>46145</v>
      </c>
      <c r="D6174" t="inlineStr">
        <is>
          <t>VÄSTERBOTTENS LÄN</t>
        </is>
      </c>
      <c r="E6174" t="inlineStr">
        <is>
          <t>BJURHOLM</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52663-2025</t>
        </is>
      </c>
      <c r="B6175" s="1" t="n">
        <v>45955.49012731481</v>
      </c>
      <c r="C6175" s="1" t="n">
        <v>46145</v>
      </c>
      <c r="D6175" t="inlineStr">
        <is>
          <t>VÄSTERBOTTENS LÄN</t>
        </is>
      </c>
      <c r="E6175" t="inlineStr">
        <is>
          <t>ÅSELE</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52710-2025</t>
        </is>
      </c>
      <c r="B6176" s="1" t="n">
        <v>45957.29408564815</v>
      </c>
      <c r="C6176" s="1" t="n">
        <v>46145</v>
      </c>
      <c r="D6176" t="inlineStr">
        <is>
          <t>VÄSTERBOTTENS LÄN</t>
        </is>
      </c>
      <c r="E6176" t="inlineStr">
        <is>
          <t>UMEÅ</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52748-2025</t>
        </is>
      </c>
      <c r="B6177" s="1" t="n">
        <v>45957</v>
      </c>
      <c r="C6177" s="1" t="n">
        <v>46145</v>
      </c>
      <c r="D6177" t="inlineStr">
        <is>
          <t>VÄSTERBOTTENS LÄN</t>
        </is>
      </c>
      <c r="E6177" t="inlineStr">
        <is>
          <t>SKELLEFTEÅ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53026-2025</t>
        </is>
      </c>
      <c r="B6178" s="1" t="n">
        <v>45958.34028935185</v>
      </c>
      <c r="C6178" s="1" t="n">
        <v>46145</v>
      </c>
      <c r="D6178" t="inlineStr">
        <is>
          <t>VÄSTERBOTTENS LÄN</t>
        </is>
      </c>
      <c r="E6178" t="inlineStr">
        <is>
          <t>SKELLEFTEÅ</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53027-2025</t>
        </is>
      </c>
      <c r="B6179" s="1" t="n">
        <v>45958.34142361111</v>
      </c>
      <c r="C6179" s="1" t="n">
        <v>46145</v>
      </c>
      <c r="D6179" t="inlineStr">
        <is>
          <t>VÄSTERBOTTENS LÄN</t>
        </is>
      </c>
      <c r="E6179" t="inlineStr">
        <is>
          <t>SKELLEFTEÅ</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52919-2025</t>
        </is>
      </c>
      <c r="B6180" s="1" t="n">
        <v>45957.61322916667</v>
      </c>
      <c r="C6180" s="1" t="n">
        <v>46145</v>
      </c>
      <c r="D6180" t="inlineStr">
        <is>
          <t>VÄSTERBOTTENS LÄN</t>
        </is>
      </c>
      <c r="E6180" t="inlineStr">
        <is>
          <t>UMEÅ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52926-2025</t>
        </is>
      </c>
      <c r="B6181" s="1" t="n">
        <v>45957.6184375</v>
      </c>
      <c r="C6181" s="1" t="n">
        <v>46145</v>
      </c>
      <c r="D6181" t="inlineStr">
        <is>
          <t>VÄSTERBOTTENS LÄN</t>
        </is>
      </c>
      <c r="E6181" t="inlineStr">
        <is>
          <t>UMEÅ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39319-2024</t>
        </is>
      </c>
      <c r="B6182" s="1" t="n">
        <v>45551.41037037037</v>
      </c>
      <c r="C6182" s="1" t="n">
        <v>46145</v>
      </c>
      <c r="D6182" t="inlineStr">
        <is>
          <t>VÄSTERBOTTENS LÄN</t>
        </is>
      </c>
      <c r="E6182" t="inlineStr">
        <is>
          <t>VINDELN</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52592-2025</t>
        </is>
      </c>
      <c r="B6183" s="1" t="n">
        <v>45954.63608796296</v>
      </c>
      <c r="C6183" s="1" t="n">
        <v>46145</v>
      </c>
      <c r="D6183" t="inlineStr">
        <is>
          <t>VÄSTERBOTTENS LÄN</t>
        </is>
      </c>
      <c r="E6183" t="inlineStr">
        <is>
          <t>LYCKSELE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31738-2023</t>
        </is>
      </c>
      <c r="B6184" s="1" t="n">
        <v>45117.95247685185</v>
      </c>
      <c r="C6184" s="1" t="n">
        <v>46145</v>
      </c>
      <c r="D6184" t="inlineStr">
        <is>
          <t>VÄSTERBOTTENS LÄN</t>
        </is>
      </c>
      <c r="E6184" t="inlineStr">
        <is>
          <t>BJURHOLM</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53015-2025</t>
        </is>
      </c>
      <c r="B6185" s="1" t="n">
        <v>45957.82777777778</v>
      </c>
      <c r="C6185" s="1" t="n">
        <v>46145</v>
      </c>
      <c r="D6185" t="inlineStr">
        <is>
          <t>VÄSTERBOTTENS LÄN</t>
        </is>
      </c>
      <c r="E6185" t="inlineStr">
        <is>
          <t>VILHELMINA</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28279-2023</t>
        </is>
      </c>
      <c r="B6186" s="1" t="n">
        <v>45099.62826388889</v>
      </c>
      <c r="C6186" s="1" t="n">
        <v>46145</v>
      </c>
      <c r="D6186" t="inlineStr">
        <is>
          <t>VÄSTERBOTTENS LÄN</t>
        </is>
      </c>
      <c r="E6186" t="inlineStr">
        <is>
          <t>ÅSELE</t>
        </is>
      </c>
      <c r="F6186" t="inlineStr">
        <is>
          <t>Sveaskog</t>
        </is>
      </c>
      <c r="G6186" t="n">
        <v>16.6</v>
      </c>
      <c r="H6186" t="n">
        <v>0</v>
      </c>
      <c r="I6186" t="n">
        <v>0</v>
      </c>
      <c r="J6186" t="n">
        <v>0</v>
      </c>
      <c r="K6186" t="n">
        <v>0</v>
      </c>
      <c r="L6186" t="n">
        <v>0</v>
      </c>
      <c r="M6186" t="n">
        <v>0</v>
      </c>
      <c r="N6186" t="n">
        <v>0</v>
      </c>
      <c r="O6186" t="n">
        <v>0</v>
      </c>
      <c r="P6186" t="n">
        <v>0</v>
      </c>
      <c r="Q6186" t="n">
        <v>0</v>
      </c>
      <c r="R6186" s="2" t="inlineStr"/>
    </row>
    <row r="6187" ht="15" customHeight="1">
      <c r="A6187" t="inlineStr">
        <is>
          <t>A 58456-2023</t>
        </is>
      </c>
      <c r="B6187" s="1" t="n">
        <v>45250.96092592592</v>
      </c>
      <c r="C6187" s="1" t="n">
        <v>46145</v>
      </c>
      <c r="D6187" t="inlineStr">
        <is>
          <t>VÄSTERBOTTENS LÄN</t>
        </is>
      </c>
      <c r="E6187" t="inlineStr">
        <is>
          <t>VILHELMINA</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53101-2025</t>
        </is>
      </c>
      <c r="B6188" s="1" t="n">
        <v>45958.42988425926</v>
      </c>
      <c r="C6188" s="1" t="n">
        <v>46145</v>
      </c>
      <c r="D6188" t="inlineStr">
        <is>
          <t>VÄSTERBOTTENS LÄN</t>
        </is>
      </c>
      <c r="E6188" t="inlineStr">
        <is>
          <t>LYCKSELE</t>
        </is>
      </c>
      <c r="F6188" t="inlineStr">
        <is>
          <t>Sveaskog</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49992-2022</t>
        </is>
      </c>
      <c r="B6189" s="1" t="n">
        <v>44860</v>
      </c>
      <c r="C6189" s="1" t="n">
        <v>46145</v>
      </c>
      <c r="D6189" t="inlineStr">
        <is>
          <t>VÄSTERBOTTENS LÄN</t>
        </is>
      </c>
      <c r="E6189" t="inlineStr">
        <is>
          <t>SKELLEFTEÅ</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19765-2025</t>
        </is>
      </c>
      <c r="B6190" s="1" t="n">
        <v>45771.4071875</v>
      </c>
      <c r="C6190" s="1" t="n">
        <v>46145</v>
      </c>
      <c r="D6190" t="inlineStr">
        <is>
          <t>VÄSTERBOTTENS LÄN</t>
        </is>
      </c>
      <c r="E6190" t="inlineStr">
        <is>
          <t>SKELLEFTEÅ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31068-2023</t>
        </is>
      </c>
      <c r="B6191" s="1" t="n">
        <v>45113</v>
      </c>
      <c r="C6191" s="1" t="n">
        <v>46145</v>
      </c>
      <c r="D6191" t="inlineStr">
        <is>
          <t>VÄSTERBOTTENS LÄN</t>
        </is>
      </c>
      <c r="E6191" t="inlineStr">
        <is>
          <t>UMEÅ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36473-2024</t>
        </is>
      </c>
      <c r="B6192" s="1" t="n">
        <v>45537.36001157408</v>
      </c>
      <c r="C6192" s="1" t="n">
        <v>46145</v>
      </c>
      <c r="D6192" t="inlineStr">
        <is>
          <t>VÄSTERBOTTENS LÄN</t>
        </is>
      </c>
      <c r="E6192" t="inlineStr">
        <is>
          <t>NORSJÖ</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73995-2021</t>
        </is>
      </c>
      <c r="B6193" s="1" t="n">
        <v>44556.8244212963</v>
      </c>
      <c r="C6193" s="1" t="n">
        <v>46145</v>
      </c>
      <c r="D6193" t="inlineStr">
        <is>
          <t>VÄSTERBOTTENS LÄN</t>
        </is>
      </c>
      <c r="E6193" t="inlineStr">
        <is>
          <t>NORSJÖ</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52882-2025</t>
        </is>
      </c>
      <c r="B6194" s="1" t="n">
        <v>45957.55465277778</v>
      </c>
      <c r="C6194" s="1" t="n">
        <v>46145</v>
      </c>
      <c r="D6194" t="inlineStr">
        <is>
          <t>VÄSTERBOTTENS LÄN</t>
        </is>
      </c>
      <c r="E6194" t="inlineStr">
        <is>
          <t>UMEÅ</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52925-2025</t>
        </is>
      </c>
      <c r="B6195" s="1" t="n">
        <v>45957.6162962963</v>
      </c>
      <c r="C6195" s="1" t="n">
        <v>46145</v>
      </c>
      <c r="D6195" t="inlineStr">
        <is>
          <t>VÄSTERBOTTENS LÄN</t>
        </is>
      </c>
      <c r="E6195" t="inlineStr">
        <is>
          <t>UMEÅ</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52941-2025</t>
        </is>
      </c>
      <c r="B6196" s="1" t="n">
        <v>45957.64256944445</v>
      </c>
      <c r="C6196" s="1" t="n">
        <v>46145</v>
      </c>
      <c r="D6196" t="inlineStr">
        <is>
          <t>VÄSTERBOTTENS LÄN</t>
        </is>
      </c>
      <c r="E6196" t="inlineStr">
        <is>
          <t>LYCKSELE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52928-2025</t>
        </is>
      </c>
      <c r="B6197" s="1" t="n">
        <v>45957.62016203703</v>
      </c>
      <c r="C6197" s="1" t="n">
        <v>46145</v>
      </c>
      <c r="D6197" t="inlineStr">
        <is>
          <t>VÄSTERBOTTENS LÄN</t>
        </is>
      </c>
      <c r="E6197" t="inlineStr">
        <is>
          <t>UMEÅ</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45944-2024</t>
        </is>
      </c>
      <c r="B6198" s="1" t="n">
        <v>45580.54452546296</v>
      </c>
      <c r="C6198" s="1" t="n">
        <v>46145</v>
      </c>
      <c r="D6198" t="inlineStr">
        <is>
          <t>VÄSTERBOTTENS LÄN</t>
        </is>
      </c>
      <c r="E6198" t="inlineStr">
        <is>
          <t>NORSJÖ</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53095-2025</t>
        </is>
      </c>
      <c r="B6199" s="1" t="n">
        <v>45958.42641203704</v>
      </c>
      <c r="C6199" s="1" t="n">
        <v>46145</v>
      </c>
      <c r="D6199" t="inlineStr">
        <is>
          <t>VÄSTERBOTTENS LÄN</t>
        </is>
      </c>
      <c r="E6199" t="inlineStr">
        <is>
          <t>LYCKSELE</t>
        </is>
      </c>
      <c r="F6199" t="inlineStr">
        <is>
          <t>Sveaskog</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9465-2024</t>
        </is>
      </c>
      <c r="B6200" s="1" t="n">
        <v>45359.54578703704</v>
      </c>
      <c r="C6200" s="1" t="n">
        <v>46145</v>
      </c>
      <c r="D6200" t="inlineStr">
        <is>
          <t>VÄSTERBOTTENS LÄN</t>
        </is>
      </c>
      <c r="E6200" t="inlineStr">
        <is>
          <t>SKELLEFTEÅ</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53192-2025</t>
        </is>
      </c>
      <c r="B6201" s="1" t="n">
        <v>45958.56741898148</v>
      </c>
      <c r="C6201" s="1" t="n">
        <v>46145</v>
      </c>
      <c r="D6201" t="inlineStr">
        <is>
          <t>VÄSTERBOTTENS LÄN</t>
        </is>
      </c>
      <c r="E6201" t="inlineStr">
        <is>
          <t>ÅSELE</t>
        </is>
      </c>
      <c r="F6201" t="inlineStr">
        <is>
          <t>Holmen skog AB</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31664-2023</t>
        </is>
      </c>
      <c r="B6202" s="1" t="n">
        <v>45105</v>
      </c>
      <c r="C6202" s="1" t="n">
        <v>46145</v>
      </c>
      <c r="D6202" t="inlineStr">
        <is>
          <t>VÄSTERBOTTENS LÄN</t>
        </is>
      </c>
      <c r="E6202" t="inlineStr">
        <is>
          <t>VINDELN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31672-2023</t>
        </is>
      </c>
      <c r="B6203" s="1" t="n">
        <v>45117.65966435185</v>
      </c>
      <c r="C6203" s="1" t="n">
        <v>46145</v>
      </c>
      <c r="D6203" t="inlineStr">
        <is>
          <t>VÄSTERBOTTENS LÄN</t>
        </is>
      </c>
      <c r="E6203" t="inlineStr">
        <is>
          <t>SKELLEFTEÅ</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43388-2024</t>
        </is>
      </c>
      <c r="B6204" s="1" t="n">
        <v>45568</v>
      </c>
      <c r="C6204" s="1" t="n">
        <v>46145</v>
      </c>
      <c r="D6204" t="inlineStr">
        <is>
          <t>VÄSTERBOTTENS LÄN</t>
        </is>
      </c>
      <c r="E6204" t="inlineStr">
        <is>
          <t>SORSELE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52990-2025</t>
        </is>
      </c>
      <c r="B6205" s="1" t="n">
        <v>45957.71711805555</v>
      </c>
      <c r="C6205" s="1" t="n">
        <v>46145</v>
      </c>
      <c r="D6205" t="inlineStr">
        <is>
          <t>VÄSTERBOTTENS LÄN</t>
        </is>
      </c>
      <c r="E6205" t="inlineStr">
        <is>
          <t>UMEÅ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52736-2025</t>
        </is>
      </c>
      <c r="B6206" s="1" t="n">
        <v>45957.37329861111</v>
      </c>
      <c r="C6206" s="1" t="n">
        <v>46145</v>
      </c>
      <c r="D6206" t="inlineStr">
        <is>
          <t>VÄSTERBOTTENS LÄN</t>
        </is>
      </c>
      <c r="E6206" t="inlineStr">
        <is>
          <t>SKELLEFTEÅ</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52789-2025</t>
        </is>
      </c>
      <c r="B6207" s="1" t="n">
        <v>45957.42777777778</v>
      </c>
      <c r="C6207" s="1" t="n">
        <v>46145</v>
      </c>
      <c r="D6207" t="inlineStr">
        <is>
          <t>VÄSTERBOTTENS LÄN</t>
        </is>
      </c>
      <c r="E6207" t="inlineStr">
        <is>
          <t>VILHELMINA</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52706-2025</t>
        </is>
      </c>
      <c r="B6208" s="1" t="n">
        <v>45957.28523148148</v>
      </c>
      <c r="C6208" s="1" t="n">
        <v>46145</v>
      </c>
      <c r="D6208" t="inlineStr">
        <is>
          <t>VÄSTERBOTTENS LÄN</t>
        </is>
      </c>
      <c r="E6208" t="inlineStr">
        <is>
          <t>UMEÅ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60558-2022</t>
        </is>
      </c>
      <c r="B6209" s="1" t="n">
        <v>44904</v>
      </c>
      <c r="C6209" s="1" t="n">
        <v>46145</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53023-2025</t>
        </is>
      </c>
      <c r="B6210" s="1" t="n">
        <v>45958.3203125</v>
      </c>
      <c r="C6210" s="1" t="n">
        <v>46145</v>
      </c>
      <c r="D6210" t="inlineStr">
        <is>
          <t>VÄSTERBOTTENS LÄN</t>
        </is>
      </c>
      <c r="E6210" t="inlineStr">
        <is>
          <t>SKELLEFTEÅ</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53031-2025</t>
        </is>
      </c>
      <c r="B6211" s="1" t="n">
        <v>45958.34454861111</v>
      </c>
      <c r="C6211" s="1" t="n">
        <v>46145</v>
      </c>
      <c r="D6211" t="inlineStr">
        <is>
          <t>VÄSTERBOTTENS LÄN</t>
        </is>
      </c>
      <c r="E6211" t="inlineStr">
        <is>
          <t>VINDELN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52722-2025</t>
        </is>
      </c>
      <c r="B6212" s="1" t="n">
        <v>45957.3443287037</v>
      </c>
      <c r="C6212" s="1" t="n">
        <v>46145</v>
      </c>
      <c r="D6212" t="inlineStr">
        <is>
          <t>VÄSTERBOTTENS LÄN</t>
        </is>
      </c>
      <c r="E6212" t="inlineStr">
        <is>
          <t>NORSJÖ</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52842-2025</t>
        </is>
      </c>
      <c r="B6213" s="1" t="n">
        <v>45957.47827546296</v>
      </c>
      <c r="C6213" s="1" t="n">
        <v>46145</v>
      </c>
      <c r="D6213" t="inlineStr">
        <is>
          <t>VÄSTERBOTTENS LÄN</t>
        </is>
      </c>
      <c r="E6213" t="inlineStr">
        <is>
          <t>VÄNNÄS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52793-2025</t>
        </is>
      </c>
      <c r="B6214" s="1" t="n">
        <v>45957.43465277777</v>
      </c>
      <c r="C6214" s="1" t="n">
        <v>46145</v>
      </c>
      <c r="D6214" t="inlineStr">
        <is>
          <t>VÄSTERBOTTENS LÄN</t>
        </is>
      </c>
      <c r="E6214" t="inlineStr">
        <is>
          <t>SKELLEFTEÅ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14043-2024</t>
        </is>
      </c>
      <c r="B6215" s="1" t="n">
        <v>45392</v>
      </c>
      <c r="C6215" s="1" t="n">
        <v>46145</v>
      </c>
      <c r="D6215" t="inlineStr">
        <is>
          <t>VÄSTERBOTTENS LÄN</t>
        </is>
      </c>
      <c r="E6215" t="inlineStr">
        <is>
          <t>UMEÅ</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52355-2025</t>
        </is>
      </c>
      <c r="B6216" s="1" t="n">
        <v>45953.79050925926</v>
      </c>
      <c r="C6216" s="1" t="n">
        <v>46145</v>
      </c>
      <c r="D6216" t="inlineStr">
        <is>
          <t>VÄSTERBOTTENS LÄN</t>
        </is>
      </c>
      <c r="E6216" t="inlineStr">
        <is>
          <t>BJURHOLM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52791-2025</t>
        </is>
      </c>
      <c r="B6217" s="1" t="n">
        <v>45957</v>
      </c>
      <c r="C6217" s="1" t="n">
        <v>46145</v>
      </c>
      <c r="D6217" t="inlineStr">
        <is>
          <t>VÄSTERBOTTENS LÄN</t>
        </is>
      </c>
      <c r="E6217" t="inlineStr">
        <is>
          <t>LYCKSELE</t>
        </is>
      </c>
      <c r="F6217" t="inlineStr">
        <is>
          <t>Naturvårdsverket</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52565-2025</t>
        </is>
      </c>
      <c r="B6218" s="1" t="n">
        <v>45954.59429398148</v>
      </c>
      <c r="C6218" s="1" t="n">
        <v>46145</v>
      </c>
      <c r="D6218" t="inlineStr">
        <is>
          <t>VÄSTERBOTTENS LÄN</t>
        </is>
      </c>
      <c r="E6218" t="inlineStr">
        <is>
          <t>VILHELMINA</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52657-2025</t>
        </is>
      </c>
      <c r="B6219" s="1" t="n">
        <v>45955.42762731481</v>
      </c>
      <c r="C6219" s="1" t="n">
        <v>46145</v>
      </c>
      <c r="D6219" t="inlineStr">
        <is>
          <t>VÄSTERBOTTENS LÄN</t>
        </is>
      </c>
      <c r="E6219" t="inlineStr">
        <is>
          <t>SKELLEFTEÅ</t>
        </is>
      </c>
      <c r="F6219" t="inlineStr">
        <is>
          <t>SCA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52872-2025</t>
        </is>
      </c>
      <c r="B6220" s="1" t="n">
        <v>45957.52386574074</v>
      </c>
      <c r="C6220" s="1" t="n">
        <v>46145</v>
      </c>
      <c r="D6220" t="inlineStr">
        <is>
          <t>VÄSTERBOTTENS LÄN</t>
        </is>
      </c>
      <c r="E6220" t="inlineStr">
        <is>
          <t>SKELLEFTEÅ</t>
        </is>
      </c>
      <c r="F6220" t="inlineStr">
        <is>
          <t>Holmen skog AB</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50441-2024</t>
        </is>
      </c>
      <c r="B6221" s="1" t="n">
        <v>45601.41592592592</v>
      </c>
      <c r="C6221" s="1" t="n">
        <v>46145</v>
      </c>
      <c r="D6221" t="inlineStr">
        <is>
          <t>VÄSTERBOTTENS LÄN</t>
        </is>
      </c>
      <c r="E6221" t="inlineStr">
        <is>
          <t>BJURHOLM</t>
        </is>
      </c>
      <c r="F6221" t="inlineStr">
        <is>
          <t>Sveaskog</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52660-2025</t>
        </is>
      </c>
      <c r="B6222" s="1" t="n">
        <v>45955.46928240741</v>
      </c>
      <c r="C6222" s="1" t="n">
        <v>46145</v>
      </c>
      <c r="D6222" t="inlineStr">
        <is>
          <t>VÄSTERBOTTENS LÄN</t>
        </is>
      </c>
      <c r="E6222" t="inlineStr">
        <is>
          <t>SKELLEFTEÅ</t>
        </is>
      </c>
      <c r="F6222" t="inlineStr">
        <is>
          <t>SCA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52901-2025</t>
        </is>
      </c>
      <c r="B6223" s="1" t="n">
        <v>45957.5896875</v>
      </c>
      <c r="C6223" s="1" t="n">
        <v>46145</v>
      </c>
      <c r="D6223" t="inlineStr">
        <is>
          <t>VÄSTERBOTTENS LÄN</t>
        </is>
      </c>
      <c r="E6223" t="inlineStr">
        <is>
          <t>LYCKSELE</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52916-2025</t>
        </is>
      </c>
      <c r="B6224" s="1" t="n">
        <v>45957.60758101852</v>
      </c>
      <c r="C6224" s="1" t="n">
        <v>46145</v>
      </c>
      <c r="D6224" t="inlineStr">
        <is>
          <t>VÄSTERBOTTENS LÄN</t>
        </is>
      </c>
      <c r="E6224" t="inlineStr">
        <is>
          <t>NORDMALING</t>
        </is>
      </c>
      <c r="G6224" t="n">
        <v>19.9</v>
      </c>
      <c r="H6224" t="n">
        <v>0</v>
      </c>
      <c r="I6224" t="n">
        <v>0</v>
      </c>
      <c r="J6224" t="n">
        <v>0</v>
      </c>
      <c r="K6224" t="n">
        <v>0</v>
      </c>
      <c r="L6224" t="n">
        <v>0</v>
      </c>
      <c r="M6224" t="n">
        <v>0</v>
      </c>
      <c r="N6224" t="n">
        <v>0</v>
      </c>
      <c r="O6224" t="n">
        <v>0</v>
      </c>
      <c r="P6224" t="n">
        <v>0</v>
      </c>
      <c r="Q6224" t="n">
        <v>0</v>
      </c>
      <c r="R6224" s="2" t="inlineStr"/>
    </row>
    <row r="6225" ht="15" customHeight="1">
      <c r="A6225" t="inlineStr">
        <is>
          <t>A 53271-2025</t>
        </is>
      </c>
      <c r="B6225" s="1" t="n">
        <v>45958.70387731482</v>
      </c>
      <c r="C6225" s="1" t="n">
        <v>46145</v>
      </c>
      <c r="D6225" t="inlineStr">
        <is>
          <t>VÄSTERBOTTENS LÄN</t>
        </is>
      </c>
      <c r="E6225" t="inlineStr">
        <is>
          <t>UMEÅ</t>
        </is>
      </c>
      <c r="G6225" t="n">
        <v>8.9</v>
      </c>
      <c r="H6225" t="n">
        <v>0</v>
      </c>
      <c r="I6225" t="n">
        <v>0</v>
      </c>
      <c r="J6225" t="n">
        <v>0</v>
      </c>
      <c r="K6225" t="n">
        <v>0</v>
      </c>
      <c r="L6225" t="n">
        <v>0</v>
      </c>
      <c r="M6225" t="n">
        <v>0</v>
      </c>
      <c r="N6225" t="n">
        <v>0</v>
      </c>
      <c r="O6225" t="n">
        <v>0</v>
      </c>
      <c r="P6225" t="n">
        <v>0</v>
      </c>
      <c r="Q6225" t="n">
        <v>0</v>
      </c>
      <c r="R6225" s="2" t="inlineStr"/>
    </row>
    <row r="6226" ht="15" customHeight="1">
      <c r="A6226" t="inlineStr">
        <is>
          <t>A 58420-2022</t>
        </is>
      </c>
      <c r="B6226" s="1" t="n">
        <v>44901.92403935185</v>
      </c>
      <c r="C6226" s="1" t="n">
        <v>46145</v>
      </c>
      <c r="D6226" t="inlineStr">
        <is>
          <t>VÄSTERBOTTENS LÄN</t>
        </is>
      </c>
      <c r="E6226" t="inlineStr">
        <is>
          <t>BJURHOLM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58439-2022</t>
        </is>
      </c>
      <c r="B6227" s="1" t="n">
        <v>44901</v>
      </c>
      <c r="C6227" s="1" t="n">
        <v>46145</v>
      </c>
      <c r="D6227" t="inlineStr">
        <is>
          <t>VÄSTERBOTTENS LÄN</t>
        </is>
      </c>
      <c r="E6227" t="inlineStr">
        <is>
          <t>LYCKSELE</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14998-2024</t>
        </is>
      </c>
      <c r="B6228" s="1" t="n">
        <v>45399.41329861111</v>
      </c>
      <c r="C6228" s="1" t="n">
        <v>46145</v>
      </c>
      <c r="D6228" t="inlineStr">
        <is>
          <t>VÄSTERBOTTENS LÄN</t>
        </is>
      </c>
      <c r="E6228" t="inlineStr">
        <is>
          <t>NORSJÖ</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32679-2023</t>
        </is>
      </c>
      <c r="B6229" s="1" t="n">
        <v>45111</v>
      </c>
      <c r="C6229" s="1" t="n">
        <v>46145</v>
      </c>
      <c r="D6229" t="inlineStr">
        <is>
          <t>VÄSTERBOTTENS LÄN</t>
        </is>
      </c>
      <c r="E6229" t="inlineStr">
        <is>
          <t>MALÅ</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52984-2025</t>
        </is>
      </c>
      <c r="B6230" s="1" t="n">
        <v>45957</v>
      </c>
      <c r="C6230" s="1" t="n">
        <v>46145</v>
      </c>
      <c r="D6230" t="inlineStr">
        <is>
          <t>VÄSTERBOTTENS LÄN</t>
        </is>
      </c>
      <c r="E6230" t="inlineStr">
        <is>
          <t>SKELLEFTEÅ</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52398-2025</t>
        </is>
      </c>
      <c r="B6231" s="1" t="n">
        <v>45954.34572916666</v>
      </c>
      <c r="C6231" s="1" t="n">
        <v>46145</v>
      </c>
      <c r="D6231" t="inlineStr">
        <is>
          <t>VÄSTERBOTTENS LÄN</t>
        </is>
      </c>
      <c r="E6231" t="inlineStr">
        <is>
          <t>VILHELMINA</t>
        </is>
      </c>
      <c r="F6231" t="inlineStr">
        <is>
          <t>Sveaskog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43541-2024</t>
        </is>
      </c>
      <c r="B6232" s="1" t="n">
        <v>45569.36511574074</v>
      </c>
      <c r="C6232" s="1" t="n">
        <v>46145</v>
      </c>
      <c r="D6232" t="inlineStr">
        <is>
          <t>VÄSTERBOTTENS LÄN</t>
        </is>
      </c>
      <c r="E6232" t="inlineStr">
        <is>
          <t>NORDMALING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43592-2024</t>
        </is>
      </c>
      <c r="B6233" s="1" t="n">
        <v>45569.44123842593</v>
      </c>
      <c r="C6233" s="1" t="n">
        <v>46145</v>
      </c>
      <c r="D6233" t="inlineStr">
        <is>
          <t>VÄSTERBOTTENS LÄN</t>
        </is>
      </c>
      <c r="E6233" t="inlineStr">
        <is>
          <t>NORSJÖ</t>
        </is>
      </c>
      <c r="F6233" t="inlineStr">
        <is>
          <t>Holmen skog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52662-2025</t>
        </is>
      </c>
      <c r="B6234" s="1" t="n">
        <v>45955.48998842593</v>
      </c>
      <c r="C6234" s="1" t="n">
        <v>46145</v>
      </c>
      <c r="D6234" t="inlineStr">
        <is>
          <t>VÄSTERBOTTENS LÄN</t>
        </is>
      </c>
      <c r="E6234" t="inlineStr">
        <is>
          <t>ÅSELE</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52811-2025</t>
        </is>
      </c>
      <c r="B6235" s="1" t="n">
        <v>45957.44878472222</v>
      </c>
      <c r="C6235" s="1" t="n">
        <v>46145</v>
      </c>
      <c r="D6235" t="inlineStr">
        <is>
          <t>VÄSTERBOTTENS LÄN</t>
        </is>
      </c>
      <c r="E6235" t="inlineStr">
        <is>
          <t>VILHELMINA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52817-2025</t>
        </is>
      </c>
      <c r="B6236" s="1" t="n">
        <v>45957.44925925926</v>
      </c>
      <c r="C6236" s="1" t="n">
        <v>46145</v>
      </c>
      <c r="D6236" t="inlineStr">
        <is>
          <t>VÄSTERBOTTENS LÄN</t>
        </is>
      </c>
      <c r="E6236" t="inlineStr">
        <is>
          <t>MALÅ</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52661-2025</t>
        </is>
      </c>
      <c r="B6237" s="1" t="n">
        <v>45955.46943287037</v>
      </c>
      <c r="C6237" s="1" t="n">
        <v>46145</v>
      </c>
      <c r="D6237" t="inlineStr">
        <is>
          <t>VÄSTERBOTTENS LÄN</t>
        </is>
      </c>
      <c r="E6237" t="inlineStr">
        <is>
          <t>SKELLEFTEÅ</t>
        </is>
      </c>
      <c r="F6237" t="inlineStr">
        <is>
          <t>SCA</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52664-2025</t>
        </is>
      </c>
      <c r="B6238" s="1" t="n">
        <v>45955.61505787037</v>
      </c>
      <c r="C6238" s="1" t="n">
        <v>46145</v>
      </c>
      <c r="D6238" t="inlineStr">
        <is>
          <t>VÄSTERBOTTENS LÄN</t>
        </is>
      </c>
      <c r="E6238" t="inlineStr">
        <is>
          <t>ÅSELE</t>
        </is>
      </c>
      <c r="F6238" t="inlineStr">
        <is>
          <t>SCA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52723-2025</t>
        </is>
      </c>
      <c r="B6239" s="1" t="n">
        <v>45957.3458912037</v>
      </c>
      <c r="C6239" s="1" t="n">
        <v>46145</v>
      </c>
      <c r="D6239" t="inlineStr">
        <is>
          <t>VÄSTERBOTTENS LÄN</t>
        </is>
      </c>
      <c r="E6239" t="inlineStr">
        <is>
          <t>ROBERTSFORS</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52820-2025</t>
        </is>
      </c>
      <c r="B6240" s="1" t="n">
        <v>45957.45483796296</v>
      </c>
      <c r="C6240" s="1" t="n">
        <v>46145</v>
      </c>
      <c r="D6240" t="inlineStr">
        <is>
          <t>VÄSTERBOTTENS LÄN</t>
        </is>
      </c>
      <c r="E6240" t="inlineStr">
        <is>
          <t>VÄNNÄS</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28237-2021</t>
        </is>
      </c>
      <c r="B6241" s="1" t="n">
        <v>44355.66364583333</v>
      </c>
      <c r="C6241" s="1" t="n">
        <v>46145</v>
      </c>
      <c r="D6241" t="inlineStr">
        <is>
          <t>VÄSTERBOTTENS LÄN</t>
        </is>
      </c>
      <c r="E6241" t="inlineStr">
        <is>
          <t>ROBERTSFORS</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20560-2025</t>
        </is>
      </c>
      <c r="B6242" s="1" t="n">
        <v>45775.65394675926</v>
      </c>
      <c r="C6242" s="1" t="n">
        <v>46145</v>
      </c>
      <c r="D6242" t="inlineStr">
        <is>
          <t>VÄSTERBOTTENS LÄN</t>
        </is>
      </c>
      <c r="E6242" t="inlineStr">
        <is>
          <t>LYCKSELE</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58386-2022</t>
        </is>
      </c>
      <c r="B6243" s="1" t="n">
        <v>44894</v>
      </c>
      <c r="C6243" s="1" t="n">
        <v>46145</v>
      </c>
      <c r="D6243" t="inlineStr">
        <is>
          <t>VÄSTERBOTTENS LÄN</t>
        </is>
      </c>
      <c r="E6243" t="inlineStr">
        <is>
          <t>ÅSELE</t>
        </is>
      </c>
      <c r="F6243" t="inlineStr">
        <is>
          <t>Kommuner</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61967-2022</t>
        </is>
      </c>
      <c r="B6244" s="1" t="n">
        <v>44918.35616898148</v>
      </c>
      <c r="C6244" s="1" t="n">
        <v>46145</v>
      </c>
      <c r="D6244" t="inlineStr">
        <is>
          <t>VÄSTERBOTTENS LÄN</t>
        </is>
      </c>
      <c r="E6244" t="inlineStr">
        <is>
          <t>SORSELE</t>
        </is>
      </c>
      <c r="F6244" t="inlineStr">
        <is>
          <t>Sveaskog</t>
        </is>
      </c>
      <c r="G6244" t="n">
        <v>17.5</v>
      </c>
      <c r="H6244" t="n">
        <v>0</v>
      </c>
      <c r="I6244" t="n">
        <v>0</v>
      </c>
      <c r="J6244" t="n">
        <v>0</v>
      </c>
      <c r="K6244" t="n">
        <v>0</v>
      </c>
      <c r="L6244" t="n">
        <v>0</v>
      </c>
      <c r="M6244" t="n">
        <v>0</v>
      </c>
      <c r="N6244" t="n">
        <v>0</v>
      </c>
      <c r="O6244" t="n">
        <v>0</v>
      </c>
      <c r="P6244" t="n">
        <v>0</v>
      </c>
      <c r="Q6244" t="n">
        <v>0</v>
      </c>
      <c r="R6244" s="2" t="inlineStr"/>
    </row>
    <row r="6245" ht="15" customHeight="1">
      <c r="A6245" t="inlineStr">
        <is>
          <t>A 52889-2025</t>
        </is>
      </c>
      <c r="B6245" s="1" t="n">
        <v>45957.57303240741</v>
      </c>
      <c r="C6245" s="1" t="n">
        <v>46145</v>
      </c>
      <c r="D6245" t="inlineStr">
        <is>
          <t>VÄSTERBOTTENS LÄN</t>
        </is>
      </c>
      <c r="E6245" t="inlineStr">
        <is>
          <t>SKELLEFTEÅ</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52934-2025</t>
        </is>
      </c>
      <c r="B6246" s="1" t="n">
        <v>45957.62625</v>
      </c>
      <c r="C6246" s="1" t="n">
        <v>46145</v>
      </c>
      <c r="D6246" t="inlineStr">
        <is>
          <t>VÄSTERBOTTENS LÄN</t>
        </is>
      </c>
      <c r="E6246" t="inlineStr">
        <is>
          <t>ROBERTSFORS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46775-2021</t>
        </is>
      </c>
      <c r="B6247" s="1" t="n">
        <v>44445.92061342593</v>
      </c>
      <c r="C6247" s="1" t="n">
        <v>46145</v>
      </c>
      <c r="D6247" t="inlineStr">
        <is>
          <t>VÄSTERBOTTENS LÄN</t>
        </is>
      </c>
      <c r="E6247" t="inlineStr">
        <is>
          <t>NORSJÖ</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45061-2024</t>
        </is>
      </c>
      <c r="B6248" s="1" t="n">
        <v>45575</v>
      </c>
      <c r="C6248" s="1" t="n">
        <v>46145</v>
      </c>
      <c r="D6248" t="inlineStr">
        <is>
          <t>VÄSTERBOTTENS LÄN</t>
        </is>
      </c>
      <c r="E6248" t="inlineStr">
        <is>
          <t>NORDMALING</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20084-2025</t>
        </is>
      </c>
      <c r="B6249" s="1" t="n">
        <v>45772.45416666667</v>
      </c>
      <c r="C6249" s="1" t="n">
        <v>46145</v>
      </c>
      <c r="D6249" t="inlineStr">
        <is>
          <t>VÄSTERBOTTENS LÄN</t>
        </is>
      </c>
      <c r="E6249" t="inlineStr">
        <is>
          <t>SKELLEFTEÅ</t>
        </is>
      </c>
      <c r="F6249" t="inlineStr">
        <is>
          <t>Holmen skog AB</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52992-2025</t>
        </is>
      </c>
      <c r="B6250" s="1" t="n">
        <v>45957.72361111111</v>
      </c>
      <c r="C6250" s="1" t="n">
        <v>46145</v>
      </c>
      <c r="D6250" t="inlineStr">
        <is>
          <t>VÄSTERBOTTENS LÄN</t>
        </is>
      </c>
      <c r="E6250" t="inlineStr">
        <is>
          <t>UMEÅ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15879-2024</t>
        </is>
      </c>
      <c r="B6251" s="1" t="n">
        <v>45405</v>
      </c>
      <c r="C6251" s="1" t="n">
        <v>46145</v>
      </c>
      <c r="D6251" t="inlineStr">
        <is>
          <t>VÄSTERBOTTENS LÄN</t>
        </is>
      </c>
      <c r="E6251" t="inlineStr">
        <is>
          <t>ROBERTSFORS</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7254-2024</t>
        </is>
      </c>
      <c r="B6252" s="1" t="n">
        <v>45344</v>
      </c>
      <c r="C6252" s="1" t="n">
        <v>46145</v>
      </c>
      <c r="D6252" t="inlineStr">
        <is>
          <t>VÄSTERBOTTENS LÄN</t>
        </is>
      </c>
      <c r="E6252" t="inlineStr">
        <is>
          <t>NORDMALING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64668-2023</t>
        </is>
      </c>
      <c r="B6253" s="1" t="n">
        <v>45281</v>
      </c>
      <c r="C6253" s="1" t="n">
        <v>46145</v>
      </c>
      <c r="D6253" t="inlineStr">
        <is>
          <t>VÄSTERBOTTENS LÄN</t>
        </is>
      </c>
      <c r="E6253" t="inlineStr">
        <is>
          <t>LYCKSELE</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53218-2025</t>
        </is>
      </c>
      <c r="B6254" s="1" t="n">
        <v>45958.60057870371</v>
      </c>
      <c r="C6254" s="1" t="n">
        <v>46145</v>
      </c>
      <c r="D6254" t="inlineStr">
        <is>
          <t>VÄSTERBOTTENS LÄN</t>
        </is>
      </c>
      <c r="E6254" t="inlineStr">
        <is>
          <t>ROBERTSFORS</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27439-2024</t>
        </is>
      </c>
      <c r="B6255" s="1" t="n">
        <v>45474</v>
      </c>
      <c r="C6255" s="1" t="n">
        <v>46145</v>
      </c>
      <c r="D6255" t="inlineStr">
        <is>
          <t>VÄSTERBOTTENS LÄN</t>
        </is>
      </c>
      <c r="E6255" t="inlineStr">
        <is>
          <t>SKELLEFTEÅ</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46012-2024</t>
        </is>
      </c>
      <c r="B6256" s="1" t="n">
        <v>45580</v>
      </c>
      <c r="C6256" s="1" t="n">
        <v>46145</v>
      </c>
      <c r="D6256" t="inlineStr">
        <is>
          <t>VÄSTERBOTTENS LÄN</t>
        </is>
      </c>
      <c r="E6256" t="inlineStr">
        <is>
          <t>VINDELN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53050-2025</t>
        </is>
      </c>
      <c r="B6257" s="1" t="n">
        <v>45958.3625462963</v>
      </c>
      <c r="C6257" s="1" t="n">
        <v>46145</v>
      </c>
      <c r="D6257" t="inlineStr">
        <is>
          <t>VÄSTERBOTTENS LÄN</t>
        </is>
      </c>
      <c r="E6257" t="inlineStr">
        <is>
          <t>SKELLEFTEÅ</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33737-2024</t>
        </is>
      </c>
      <c r="B6258" s="1" t="n">
        <v>45520.55659722222</v>
      </c>
      <c r="C6258" s="1" t="n">
        <v>46145</v>
      </c>
      <c r="D6258" t="inlineStr">
        <is>
          <t>VÄSTERBOTTENS LÄN</t>
        </is>
      </c>
      <c r="E6258" t="inlineStr">
        <is>
          <t>STORUMAN</t>
        </is>
      </c>
      <c r="F6258" t="inlineStr">
        <is>
          <t>Sveaskog</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53239-2025</t>
        </is>
      </c>
      <c r="B6259" s="1" t="n">
        <v>45958.63582175926</v>
      </c>
      <c r="C6259" s="1" t="n">
        <v>46145</v>
      </c>
      <c r="D6259" t="inlineStr">
        <is>
          <t>VÄSTERBOTTENS LÄN</t>
        </is>
      </c>
      <c r="E6259" t="inlineStr">
        <is>
          <t>ÅSELE</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751-2023</t>
        </is>
      </c>
      <c r="B6260" s="1" t="n">
        <v>44931.3587962963</v>
      </c>
      <c r="C6260" s="1" t="n">
        <v>46145</v>
      </c>
      <c r="D6260" t="inlineStr">
        <is>
          <t>VÄSTERBOTTENS LÄN</t>
        </is>
      </c>
      <c r="E6260" t="inlineStr">
        <is>
          <t>UMEÅ</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26288-2024</t>
        </is>
      </c>
      <c r="B6261" s="1" t="n">
        <v>45468</v>
      </c>
      <c r="C6261" s="1" t="n">
        <v>46145</v>
      </c>
      <c r="D6261" t="inlineStr">
        <is>
          <t>VÄSTERBOTTENS LÄN</t>
        </is>
      </c>
      <c r="E6261" t="inlineStr">
        <is>
          <t>MALÅ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52945-2025</t>
        </is>
      </c>
      <c r="B6262" s="1" t="n">
        <v>45957.64722222222</v>
      </c>
      <c r="C6262" s="1" t="n">
        <v>46145</v>
      </c>
      <c r="D6262" t="inlineStr">
        <is>
          <t>VÄSTERBOTTENS LÄN</t>
        </is>
      </c>
      <c r="E6262" t="inlineStr">
        <is>
          <t>LYCKSELE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52845-2025</t>
        </is>
      </c>
      <c r="B6263" s="1" t="n">
        <v>45957.48430555555</v>
      </c>
      <c r="C6263" s="1" t="n">
        <v>46145</v>
      </c>
      <c r="D6263" t="inlineStr">
        <is>
          <t>VÄSTERBOTTENS LÄN</t>
        </is>
      </c>
      <c r="E6263" t="inlineStr">
        <is>
          <t>VÄNNÄS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9102-2023</t>
        </is>
      </c>
      <c r="B6264" s="1" t="n">
        <v>44979</v>
      </c>
      <c r="C6264" s="1" t="n">
        <v>46145</v>
      </c>
      <c r="D6264" t="inlineStr">
        <is>
          <t>VÄSTERBOTTENS LÄN</t>
        </is>
      </c>
      <c r="E6264" t="inlineStr">
        <is>
          <t>DOROTEA</t>
        </is>
      </c>
      <c r="F6264" t="inlineStr">
        <is>
          <t>SCA</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61048-2022</t>
        </is>
      </c>
      <c r="B6265" s="1" t="n">
        <v>44914</v>
      </c>
      <c r="C6265" s="1" t="n">
        <v>46145</v>
      </c>
      <c r="D6265" t="inlineStr">
        <is>
          <t>VÄSTERBOTTENS LÄN</t>
        </is>
      </c>
      <c r="E6265" t="inlineStr">
        <is>
          <t>VILHELMINA</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59799-2021</t>
        </is>
      </c>
      <c r="B6266" s="1" t="n">
        <v>44491</v>
      </c>
      <c r="C6266" s="1" t="n">
        <v>46145</v>
      </c>
      <c r="D6266" t="inlineStr">
        <is>
          <t>VÄSTERBOTTENS LÄN</t>
        </is>
      </c>
      <c r="E6266" t="inlineStr">
        <is>
          <t>VINDELN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23842-2024</t>
        </is>
      </c>
      <c r="B6267" s="1" t="n">
        <v>45455.52168981481</v>
      </c>
      <c r="C6267" s="1" t="n">
        <v>46145</v>
      </c>
      <c r="D6267" t="inlineStr">
        <is>
          <t>VÄSTERBOTTENS LÄN</t>
        </is>
      </c>
      <c r="E6267" t="inlineStr">
        <is>
          <t>UMEÅ</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59730-2024</t>
        </is>
      </c>
      <c r="B6268" s="1" t="n">
        <v>45639</v>
      </c>
      <c r="C6268" s="1" t="n">
        <v>46145</v>
      </c>
      <c r="D6268" t="inlineStr">
        <is>
          <t>VÄSTERBOTTENS LÄN</t>
        </is>
      </c>
      <c r="E6268" t="inlineStr">
        <is>
          <t>SORSELE</t>
        </is>
      </c>
      <c r="G6268" t="n">
        <v>68.2</v>
      </c>
      <c r="H6268" t="n">
        <v>0</v>
      </c>
      <c r="I6268" t="n">
        <v>0</v>
      </c>
      <c r="J6268" t="n">
        <v>0</v>
      </c>
      <c r="K6268" t="n">
        <v>0</v>
      </c>
      <c r="L6268" t="n">
        <v>0</v>
      </c>
      <c r="M6268" t="n">
        <v>0</v>
      </c>
      <c r="N6268" t="n">
        <v>0</v>
      </c>
      <c r="O6268" t="n">
        <v>0</v>
      </c>
      <c r="P6268" t="n">
        <v>0</v>
      </c>
      <c r="Q6268" t="n">
        <v>0</v>
      </c>
      <c r="R6268" s="2" t="inlineStr"/>
    </row>
    <row r="6269" ht="15" customHeight="1">
      <c r="A6269" t="inlineStr">
        <is>
          <t>A 52746-2025</t>
        </is>
      </c>
      <c r="B6269" s="1" t="n">
        <v>45957.38414351852</v>
      </c>
      <c r="C6269" s="1" t="n">
        <v>46145</v>
      </c>
      <c r="D6269" t="inlineStr">
        <is>
          <t>VÄSTERBOTTENS LÄN</t>
        </is>
      </c>
      <c r="E6269" t="inlineStr">
        <is>
          <t>ROBERTSFORS</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33822-2024</t>
        </is>
      </c>
      <c r="B6270" s="1" t="n">
        <v>45520.61289351852</v>
      </c>
      <c r="C6270" s="1" t="n">
        <v>46145</v>
      </c>
      <c r="D6270" t="inlineStr">
        <is>
          <t>VÄSTERBOTTENS LÄN</t>
        </is>
      </c>
      <c r="E6270" t="inlineStr">
        <is>
          <t>VINDELN</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53247-2025</t>
        </is>
      </c>
      <c r="B6271" s="1" t="n">
        <v>45958.6490625</v>
      </c>
      <c r="C6271" s="1" t="n">
        <v>46145</v>
      </c>
      <c r="D6271" t="inlineStr">
        <is>
          <t>VÄSTERBOTTENS LÄN</t>
        </is>
      </c>
      <c r="E6271" t="inlineStr">
        <is>
          <t>UMEÅ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52950-2025</t>
        </is>
      </c>
      <c r="B6272" s="1" t="n">
        <v>45957.65315972222</v>
      </c>
      <c r="C6272" s="1" t="n">
        <v>46145</v>
      </c>
      <c r="D6272" t="inlineStr">
        <is>
          <t>VÄSTERBOTTENS LÄN</t>
        </is>
      </c>
      <c r="E6272" t="inlineStr">
        <is>
          <t>LYCKSELE</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52956-2025</t>
        </is>
      </c>
      <c r="B6273" s="1" t="n">
        <v>45957.65681712963</v>
      </c>
      <c r="C6273" s="1" t="n">
        <v>46145</v>
      </c>
      <c r="D6273" t="inlineStr">
        <is>
          <t>VÄSTERBOTTENS LÄN</t>
        </is>
      </c>
      <c r="E6273" t="inlineStr">
        <is>
          <t>SKELLEFTEÅ</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33836-2024</t>
        </is>
      </c>
      <c r="B6274" s="1" t="n">
        <v>45520.62395833333</v>
      </c>
      <c r="C6274" s="1" t="n">
        <v>46145</v>
      </c>
      <c r="D6274" t="inlineStr">
        <is>
          <t>VÄSTERBOTTENS LÄN</t>
        </is>
      </c>
      <c r="E6274" t="inlineStr">
        <is>
          <t>STORUMAN</t>
        </is>
      </c>
      <c r="F6274" t="inlineStr">
        <is>
          <t>Sveaskog</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52966-2025</t>
        </is>
      </c>
      <c r="B6275" s="1" t="n">
        <v>45957.66818287037</v>
      </c>
      <c r="C6275" s="1" t="n">
        <v>46145</v>
      </c>
      <c r="D6275" t="inlineStr">
        <is>
          <t>VÄSTERBOTTENS LÄN</t>
        </is>
      </c>
      <c r="E6275" t="inlineStr">
        <is>
          <t>UMEÅ</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52996-2025</t>
        </is>
      </c>
      <c r="B6276" s="1" t="n">
        <v>45957.73085648148</v>
      </c>
      <c r="C6276" s="1" t="n">
        <v>46145</v>
      </c>
      <c r="D6276" t="inlineStr">
        <is>
          <t>VÄSTERBOTTENS LÄN</t>
        </is>
      </c>
      <c r="E6276" t="inlineStr">
        <is>
          <t>UMEÅ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53001-2025</t>
        </is>
      </c>
      <c r="B6277" s="1" t="n">
        <v>45957.7440162037</v>
      </c>
      <c r="C6277" s="1" t="n">
        <v>46145</v>
      </c>
      <c r="D6277" t="inlineStr">
        <is>
          <t>VÄSTERBOTTENS LÄN</t>
        </is>
      </c>
      <c r="E6277" t="inlineStr">
        <is>
          <t>NORDMALING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52835-2025</t>
        </is>
      </c>
      <c r="B6278" s="1" t="n">
        <v>45957.47133101852</v>
      </c>
      <c r="C6278" s="1" t="n">
        <v>46145</v>
      </c>
      <c r="D6278" t="inlineStr">
        <is>
          <t>VÄSTERBOTTENS LÄN</t>
        </is>
      </c>
      <c r="E6278" t="inlineStr">
        <is>
          <t>VÄNNÄS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53353-2025</t>
        </is>
      </c>
      <c r="B6279" s="1" t="n">
        <v>45959.44858796296</v>
      </c>
      <c r="C6279" s="1" t="n">
        <v>46145</v>
      </c>
      <c r="D6279" t="inlineStr">
        <is>
          <t>VÄSTERBOTTENS LÄN</t>
        </is>
      </c>
      <c r="E6279" t="inlineStr">
        <is>
          <t>VINDELN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53358-2025</t>
        </is>
      </c>
      <c r="B6280" s="1" t="n">
        <v>45959.46972222222</v>
      </c>
      <c r="C6280" s="1" t="n">
        <v>46145</v>
      </c>
      <c r="D6280" t="inlineStr">
        <is>
          <t>VÄSTERBOTTENS LÄN</t>
        </is>
      </c>
      <c r="E6280" t="inlineStr">
        <is>
          <t>VINDELN</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53776-2025</t>
        </is>
      </c>
      <c r="B6281" s="1" t="n">
        <v>45960.69628472222</v>
      </c>
      <c r="C6281" s="1" t="n">
        <v>46145</v>
      </c>
      <c r="D6281" t="inlineStr">
        <is>
          <t>VÄSTERBOTTENS LÄN</t>
        </is>
      </c>
      <c r="E6281" t="inlineStr">
        <is>
          <t>NORDMALING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39794-2023</t>
        </is>
      </c>
      <c r="B6282" s="1" t="n">
        <v>45167</v>
      </c>
      <c r="C6282" s="1" t="n">
        <v>46145</v>
      </c>
      <c r="D6282" t="inlineStr">
        <is>
          <t>VÄSTERBOTTENS LÄN</t>
        </is>
      </c>
      <c r="E6282" t="inlineStr">
        <is>
          <t>MALÅ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53415-2025</t>
        </is>
      </c>
      <c r="B6283" s="1" t="n">
        <v>45959.58013888889</v>
      </c>
      <c r="C6283" s="1" t="n">
        <v>46145</v>
      </c>
      <c r="D6283" t="inlineStr">
        <is>
          <t>VÄSTERBOTTENS LÄN</t>
        </is>
      </c>
      <c r="E6283" t="inlineStr">
        <is>
          <t>SKELLEFTEÅ</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36655-2024</t>
        </is>
      </c>
      <c r="B6284" s="1" t="n">
        <v>45537</v>
      </c>
      <c r="C6284" s="1" t="n">
        <v>46145</v>
      </c>
      <c r="D6284" t="inlineStr">
        <is>
          <t>VÄSTERBOTTENS LÄN</t>
        </is>
      </c>
      <c r="E6284" t="inlineStr">
        <is>
          <t>VINDELN</t>
        </is>
      </c>
      <c r="F6284" t="inlineStr">
        <is>
          <t>Sveaskog</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12229-2022</t>
        </is>
      </c>
      <c r="B6285" s="1" t="n">
        <v>44637</v>
      </c>
      <c r="C6285" s="1" t="n">
        <v>46145</v>
      </c>
      <c r="D6285" t="inlineStr">
        <is>
          <t>VÄSTERBOTTENS LÄN</t>
        </is>
      </c>
      <c r="E6285" t="inlineStr">
        <is>
          <t>VILHELMINA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36657-2024</t>
        </is>
      </c>
      <c r="B6286" s="1" t="n">
        <v>45537</v>
      </c>
      <c r="C6286" s="1" t="n">
        <v>46145</v>
      </c>
      <c r="D6286" t="inlineStr">
        <is>
          <t>VÄSTERBOTTENS LÄN</t>
        </is>
      </c>
      <c r="E6286" t="inlineStr">
        <is>
          <t>VINDELN</t>
        </is>
      </c>
      <c r="F6286" t="inlineStr">
        <is>
          <t>Sveaskog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53461-2025</t>
        </is>
      </c>
      <c r="B6287" s="1" t="n">
        <v>45959.67452546296</v>
      </c>
      <c r="C6287" s="1" t="n">
        <v>46145</v>
      </c>
      <c r="D6287" t="inlineStr">
        <is>
          <t>VÄSTERBOTTENS LÄN</t>
        </is>
      </c>
      <c r="E6287" t="inlineStr">
        <is>
          <t>LYCKSELE</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27887-2023</t>
        </is>
      </c>
      <c r="B6288" s="1" t="n">
        <v>45098</v>
      </c>
      <c r="C6288" s="1" t="n">
        <v>46145</v>
      </c>
      <c r="D6288" t="inlineStr">
        <is>
          <t>VÄSTERBOTTENS LÄN</t>
        </is>
      </c>
      <c r="E6288" t="inlineStr">
        <is>
          <t>VINDELN</t>
        </is>
      </c>
      <c r="F6288" t="inlineStr">
        <is>
          <t>Sveaskog</t>
        </is>
      </c>
      <c r="G6288" t="n">
        <v>15.3</v>
      </c>
      <c r="H6288" t="n">
        <v>0</v>
      </c>
      <c r="I6288" t="n">
        <v>0</v>
      </c>
      <c r="J6288" t="n">
        <v>0</v>
      </c>
      <c r="K6288" t="n">
        <v>0</v>
      </c>
      <c r="L6288" t="n">
        <v>0</v>
      </c>
      <c r="M6288" t="n">
        <v>0</v>
      </c>
      <c r="N6288" t="n">
        <v>0</v>
      </c>
      <c r="O6288" t="n">
        <v>0</v>
      </c>
      <c r="P6288" t="n">
        <v>0</v>
      </c>
      <c r="Q6288" t="n">
        <v>0</v>
      </c>
      <c r="R6288" s="2" t="inlineStr"/>
    </row>
    <row r="6289" ht="15" customHeight="1">
      <c r="A6289" t="inlineStr">
        <is>
          <t>A 27898-2023</t>
        </is>
      </c>
      <c r="B6289" s="1" t="n">
        <v>45098</v>
      </c>
      <c r="C6289" s="1" t="n">
        <v>46145</v>
      </c>
      <c r="D6289" t="inlineStr">
        <is>
          <t>VÄSTERBOTTENS LÄN</t>
        </is>
      </c>
      <c r="E6289" t="inlineStr">
        <is>
          <t>NORSJÖ</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45007-2024</t>
        </is>
      </c>
      <c r="B6290" s="1" t="n">
        <v>45575.49100694444</v>
      </c>
      <c r="C6290" s="1" t="n">
        <v>46145</v>
      </c>
      <c r="D6290" t="inlineStr">
        <is>
          <t>VÄSTERBOTTENS LÄN</t>
        </is>
      </c>
      <c r="E6290" t="inlineStr">
        <is>
          <t>VILHELMINA</t>
        </is>
      </c>
      <c r="F6290" t="inlineStr">
        <is>
          <t>SCA</t>
        </is>
      </c>
      <c r="G6290" t="n">
        <v>14.8</v>
      </c>
      <c r="H6290" t="n">
        <v>0</v>
      </c>
      <c r="I6290" t="n">
        <v>0</v>
      </c>
      <c r="J6290" t="n">
        <v>0</v>
      </c>
      <c r="K6290" t="n">
        <v>0</v>
      </c>
      <c r="L6290" t="n">
        <v>0</v>
      </c>
      <c r="M6290" t="n">
        <v>0</v>
      </c>
      <c r="N6290" t="n">
        <v>0</v>
      </c>
      <c r="O6290" t="n">
        <v>0</v>
      </c>
      <c r="P6290" t="n">
        <v>0</v>
      </c>
      <c r="Q6290" t="n">
        <v>0</v>
      </c>
      <c r="R6290" s="2" t="inlineStr"/>
    </row>
    <row r="6291" ht="15" customHeight="1">
      <c r="A6291" t="inlineStr">
        <is>
          <t>A 52634-2025</t>
        </is>
      </c>
      <c r="B6291" s="1" t="n">
        <v>45953</v>
      </c>
      <c r="C6291" s="1" t="n">
        <v>46145</v>
      </c>
      <c r="D6291" t="inlineStr">
        <is>
          <t>VÄSTERBOTTENS LÄN</t>
        </is>
      </c>
      <c r="E6291" t="inlineStr">
        <is>
          <t>SKELLEFTEÅ</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53401-2025</t>
        </is>
      </c>
      <c r="B6292" s="1" t="n">
        <v>45959.56778935185</v>
      </c>
      <c r="C6292" s="1" t="n">
        <v>46145</v>
      </c>
      <c r="D6292" t="inlineStr">
        <is>
          <t>VÄSTERBOTTENS LÄN</t>
        </is>
      </c>
      <c r="E6292" t="inlineStr">
        <is>
          <t>LYCKSELE</t>
        </is>
      </c>
      <c r="F6292" t="inlineStr">
        <is>
          <t>Sveaskog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59877-2022</t>
        </is>
      </c>
      <c r="B6293" s="1" t="n">
        <v>44901</v>
      </c>
      <c r="C6293" s="1" t="n">
        <v>46145</v>
      </c>
      <c r="D6293" t="inlineStr">
        <is>
          <t>VÄSTERBOTTENS LÄN</t>
        </is>
      </c>
      <c r="E6293" t="inlineStr">
        <is>
          <t>ROBERTSFORS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65242-2021</t>
        </is>
      </c>
      <c r="B6294" s="1" t="n">
        <v>44515.55709490741</v>
      </c>
      <c r="C6294" s="1" t="n">
        <v>46145</v>
      </c>
      <c r="D6294" t="inlineStr">
        <is>
          <t>VÄSTERBOTTENS LÄN</t>
        </is>
      </c>
      <c r="E6294" t="inlineStr">
        <is>
          <t>UMEÅ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62025-2022</t>
        </is>
      </c>
      <c r="B6295" s="1" t="n">
        <v>44914</v>
      </c>
      <c r="C6295" s="1" t="n">
        <v>46145</v>
      </c>
      <c r="D6295" t="inlineStr">
        <is>
          <t>VÄSTERBOTTENS LÄN</t>
        </is>
      </c>
      <c r="E6295" t="inlineStr">
        <is>
          <t>SKELLEFTEÅ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62028-2022</t>
        </is>
      </c>
      <c r="B6296" s="1" t="n">
        <v>44914</v>
      </c>
      <c r="C6296" s="1" t="n">
        <v>46145</v>
      </c>
      <c r="D6296" t="inlineStr">
        <is>
          <t>VÄSTERBOTTENS LÄN</t>
        </is>
      </c>
      <c r="E6296" t="inlineStr">
        <is>
          <t>SKELLEFTEÅ</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22267-2023</t>
        </is>
      </c>
      <c r="B6297" s="1" t="n">
        <v>45068</v>
      </c>
      <c r="C6297" s="1" t="n">
        <v>46145</v>
      </c>
      <c r="D6297" t="inlineStr">
        <is>
          <t>VÄSTERBOTTENS LÄN</t>
        </is>
      </c>
      <c r="E6297" t="inlineStr">
        <is>
          <t>ÅSELE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53531-2025</t>
        </is>
      </c>
      <c r="B6298" s="1" t="n">
        <v>45960.36533564814</v>
      </c>
      <c r="C6298" s="1" t="n">
        <v>46145</v>
      </c>
      <c r="D6298" t="inlineStr">
        <is>
          <t>VÄSTERBOTTENS LÄN</t>
        </is>
      </c>
      <c r="E6298" t="inlineStr">
        <is>
          <t>SKELLEFTEÅ</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29967-2024</t>
        </is>
      </c>
      <c r="B6299" s="1" t="n">
        <v>45488.4725925926</v>
      </c>
      <c r="C6299" s="1" t="n">
        <v>46145</v>
      </c>
      <c r="D6299" t="inlineStr">
        <is>
          <t>VÄSTERBOTTENS LÄN</t>
        </is>
      </c>
      <c r="E6299" t="inlineStr">
        <is>
          <t>ÅSELE</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36379-2024</t>
        </is>
      </c>
      <c r="B6300" s="1" t="n">
        <v>45534.6965162037</v>
      </c>
      <c r="C6300" s="1" t="n">
        <v>46145</v>
      </c>
      <c r="D6300" t="inlineStr">
        <is>
          <t>VÄSTERBOTTENS LÄN</t>
        </is>
      </c>
      <c r="E6300" t="inlineStr">
        <is>
          <t>SKELLEFTEÅ</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30027-2024</t>
        </is>
      </c>
      <c r="B6301" s="1" t="n">
        <v>45488.65130787037</v>
      </c>
      <c r="C6301" s="1" t="n">
        <v>46145</v>
      </c>
      <c r="D6301" t="inlineStr">
        <is>
          <t>VÄSTERBOTTENS LÄN</t>
        </is>
      </c>
      <c r="E6301" t="inlineStr">
        <is>
          <t>NORSJÖ</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53409-2025</t>
        </is>
      </c>
      <c r="B6302" s="1" t="n">
        <v>45959.57366898148</v>
      </c>
      <c r="C6302" s="1" t="n">
        <v>46145</v>
      </c>
      <c r="D6302" t="inlineStr">
        <is>
          <t>VÄSTERBOTTENS LÄN</t>
        </is>
      </c>
      <c r="E6302" t="inlineStr">
        <is>
          <t>DOROTEA</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53410-2025</t>
        </is>
      </c>
      <c r="B6303" s="1" t="n">
        <v>45959.57429398148</v>
      </c>
      <c r="C6303" s="1" t="n">
        <v>46145</v>
      </c>
      <c r="D6303" t="inlineStr">
        <is>
          <t>VÄSTERBOTTENS LÄN</t>
        </is>
      </c>
      <c r="E6303" t="inlineStr">
        <is>
          <t>SKELLEFTEÅ</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37496-2023</t>
        </is>
      </c>
      <c r="B6304" s="1" t="n">
        <v>45157</v>
      </c>
      <c r="C6304" s="1" t="n">
        <v>46145</v>
      </c>
      <c r="D6304" t="inlineStr">
        <is>
          <t>VÄSTERBOTTENS LÄN</t>
        </is>
      </c>
      <c r="E6304" t="inlineStr">
        <is>
          <t>NORSJÖ</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37537-2023</t>
        </is>
      </c>
      <c r="B6305" s="1" t="n">
        <v>45158</v>
      </c>
      <c r="C6305" s="1" t="n">
        <v>46145</v>
      </c>
      <c r="D6305" t="inlineStr">
        <is>
          <t>VÄSTERBOTTENS LÄN</t>
        </is>
      </c>
      <c r="E6305" t="inlineStr">
        <is>
          <t>MALÅ</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53767-2025</t>
        </is>
      </c>
      <c r="B6306" s="1" t="n">
        <v>45960.67798611111</v>
      </c>
      <c r="C6306" s="1" t="n">
        <v>46145</v>
      </c>
      <c r="D6306" t="inlineStr">
        <is>
          <t>VÄSTERBOTTENS LÄN</t>
        </is>
      </c>
      <c r="E6306" t="inlineStr">
        <is>
          <t>SKELLEFTEÅ</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53370-2025</t>
        </is>
      </c>
      <c r="B6307" s="1" t="n">
        <v>45959.4962962963</v>
      </c>
      <c r="C6307" s="1" t="n">
        <v>46145</v>
      </c>
      <c r="D6307" t="inlineStr">
        <is>
          <t>VÄSTERBOTTENS LÄN</t>
        </is>
      </c>
      <c r="E6307" t="inlineStr">
        <is>
          <t>UMEÅ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53779-2025</t>
        </is>
      </c>
      <c r="B6308" s="1" t="n">
        <v>45960.69875</v>
      </c>
      <c r="C6308" s="1" t="n">
        <v>46145</v>
      </c>
      <c r="D6308" t="inlineStr">
        <is>
          <t>VÄSTERBOTTENS LÄN</t>
        </is>
      </c>
      <c r="E6308" t="inlineStr">
        <is>
          <t>ÅSELE</t>
        </is>
      </c>
      <c r="F6308" t="inlineStr">
        <is>
          <t>Holmen skog AB</t>
        </is>
      </c>
      <c r="G6308" t="n">
        <v>25.8</v>
      </c>
      <c r="H6308" t="n">
        <v>0</v>
      </c>
      <c r="I6308" t="n">
        <v>0</v>
      </c>
      <c r="J6308" t="n">
        <v>0</v>
      </c>
      <c r="K6308" t="n">
        <v>0</v>
      </c>
      <c r="L6308" t="n">
        <v>0</v>
      </c>
      <c r="M6308" t="n">
        <v>0</v>
      </c>
      <c r="N6308" t="n">
        <v>0</v>
      </c>
      <c r="O6308" t="n">
        <v>0</v>
      </c>
      <c r="P6308" t="n">
        <v>0</v>
      </c>
      <c r="Q6308" t="n">
        <v>0</v>
      </c>
      <c r="R6308" s="2" t="inlineStr"/>
    </row>
    <row r="6309" ht="15" customHeight="1">
      <c r="A6309" t="inlineStr">
        <is>
          <t>A 29726-2023</t>
        </is>
      </c>
      <c r="B6309" s="1" t="n">
        <v>45107.44431712963</v>
      </c>
      <c r="C6309" s="1" t="n">
        <v>46145</v>
      </c>
      <c r="D6309" t="inlineStr">
        <is>
          <t>VÄSTERBOTTENS LÄN</t>
        </is>
      </c>
      <c r="E6309" t="inlineStr">
        <is>
          <t>ÅSELE</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50284-2024</t>
        </is>
      </c>
      <c r="B6310" s="1" t="n">
        <v>45600.61493055556</v>
      </c>
      <c r="C6310" s="1" t="n">
        <v>46145</v>
      </c>
      <c r="D6310" t="inlineStr">
        <is>
          <t>VÄSTERBOTTENS LÄN</t>
        </is>
      </c>
      <c r="E6310" t="inlineStr">
        <is>
          <t>ÅSELE</t>
        </is>
      </c>
      <c r="F6310" t="inlineStr">
        <is>
          <t>SCA</t>
        </is>
      </c>
      <c r="G6310" t="n">
        <v>15.3</v>
      </c>
      <c r="H6310" t="n">
        <v>0</v>
      </c>
      <c r="I6310" t="n">
        <v>0</v>
      </c>
      <c r="J6310" t="n">
        <v>0</v>
      </c>
      <c r="K6310" t="n">
        <v>0</v>
      </c>
      <c r="L6310" t="n">
        <v>0</v>
      </c>
      <c r="M6310" t="n">
        <v>0</v>
      </c>
      <c r="N6310" t="n">
        <v>0</v>
      </c>
      <c r="O6310" t="n">
        <v>0</v>
      </c>
      <c r="P6310" t="n">
        <v>0</v>
      </c>
      <c r="Q6310" t="n">
        <v>0</v>
      </c>
      <c r="R6310" s="2" t="inlineStr"/>
    </row>
    <row r="6311" ht="15" customHeight="1">
      <c r="A6311" t="inlineStr">
        <is>
          <t>A 2382-2023</t>
        </is>
      </c>
      <c r="B6311" s="1" t="n">
        <v>44942</v>
      </c>
      <c r="C6311" s="1" t="n">
        <v>46145</v>
      </c>
      <c r="D6311" t="inlineStr">
        <is>
          <t>VÄSTERBOTTENS LÄN</t>
        </is>
      </c>
      <c r="E6311" t="inlineStr">
        <is>
          <t>VILHELMINA</t>
        </is>
      </c>
      <c r="G6311" t="n">
        <v>29.7</v>
      </c>
      <c r="H6311" t="n">
        <v>0</v>
      </c>
      <c r="I6311" t="n">
        <v>0</v>
      </c>
      <c r="J6311" t="n">
        <v>0</v>
      </c>
      <c r="K6311" t="n">
        <v>0</v>
      </c>
      <c r="L6311" t="n">
        <v>0</v>
      </c>
      <c r="M6311" t="n">
        <v>0</v>
      </c>
      <c r="N6311" t="n">
        <v>0</v>
      </c>
      <c r="O6311" t="n">
        <v>0</v>
      </c>
      <c r="P6311" t="n">
        <v>0</v>
      </c>
      <c r="Q6311" t="n">
        <v>0</v>
      </c>
      <c r="R6311" s="2" t="inlineStr"/>
    </row>
    <row r="6312" ht="15" customHeight="1">
      <c r="A6312" t="inlineStr">
        <is>
          <t>A 37467-2023</t>
        </is>
      </c>
      <c r="B6312" s="1" t="n">
        <v>45156</v>
      </c>
      <c r="C6312" s="1" t="n">
        <v>46145</v>
      </c>
      <c r="D6312" t="inlineStr">
        <is>
          <t>VÄSTERBOTTENS LÄN</t>
        </is>
      </c>
      <c r="E6312" t="inlineStr">
        <is>
          <t>NORSJÖ</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53485-2025</t>
        </is>
      </c>
      <c r="B6313" s="1" t="n">
        <v>45959.895625</v>
      </c>
      <c r="C6313" s="1" t="n">
        <v>46145</v>
      </c>
      <c r="D6313" t="inlineStr">
        <is>
          <t>VÄSTERBOTTENS LÄN</t>
        </is>
      </c>
      <c r="E6313" t="inlineStr">
        <is>
          <t>ROBERTSFORS</t>
        </is>
      </c>
      <c r="F6313" t="inlineStr">
        <is>
          <t>Holmen skog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53512-2025</t>
        </is>
      </c>
      <c r="B6314" s="1" t="n">
        <v>45960.34540509259</v>
      </c>
      <c r="C6314" s="1" t="n">
        <v>46145</v>
      </c>
      <c r="D6314" t="inlineStr">
        <is>
          <t>VÄSTERBOTTENS LÄN</t>
        </is>
      </c>
      <c r="E6314" t="inlineStr">
        <is>
          <t>SKELLEFTEÅ</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11707-2023</t>
        </is>
      </c>
      <c r="B6315" s="1" t="n">
        <v>44992</v>
      </c>
      <c r="C6315" s="1" t="n">
        <v>46145</v>
      </c>
      <c r="D6315" t="inlineStr">
        <is>
          <t>VÄSTERBOTTENS LÄN</t>
        </is>
      </c>
      <c r="E6315" t="inlineStr">
        <is>
          <t>SKELLEFTEÅ</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1231-2023</t>
        </is>
      </c>
      <c r="B6316" s="1" t="n">
        <v>44935</v>
      </c>
      <c r="C6316" s="1" t="n">
        <v>46145</v>
      </c>
      <c r="D6316" t="inlineStr">
        <is>
          <t>VÄSTERBOTTENS LÄN</t>
        </is>
      </c>
      <c r="E6316" t="inlineStr">
        <is>
          <t>VINDELN</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1232-2023</t>
        </is>
      </c>
      <c r="B6317" s="1" t="n">
        <v>44935</v>
      </c>
      <c r="C6317" s="1" t="n">
        <v>46145</v>
      </c>
      <c r="D6317" t="inlineStr">
        <is>
          <t>VÄSTERBOTTENS LÄN</t>
        </is>
      </c>
      <c r="E6317" t="inlineStr">
        <is>
          <t>VINDELN</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1233-2023</t>
        </is>
      </c>
      <c r="B6318" s="1" t="n">
        <v>44935</v>
      </c>
      <c r="C6318" s="1" t="n">
        <v>46145</v>
      </c>
      <c r="D6318" t="inlineStr">
        <is>
          <t>VÄSTERBOTTENS LÄN</t>
        </is>
      </c>
      <c r="E6318" t="inlineStr">
        <is>
          <t>VINDELN</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53595-2025</t>
        </is>
      </c>
      <c r="B6319" s="1" t="n">
        <v>45960</v>
      </c>
      <c r="C6319" s="1" t="n">
        <v>46145</v>
      </c>
      <c r="D6319" t="inlineStr">
        <is>
          <t>VÄSTERBOTTENS LÄN</t>
        </is>
      </c>
      <c r="E6319" t="inlineStr">
        <is>
          <t>MALÅ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57197-2021</t>
        </is>
      </c>
      <c r="B6320" s="1" t="n">
        <v>44482.92284722222</v>
      </c>
      <c r="C6320" s="1" t="n">
        <v>46145</v>
      </c>
      <c r="D6320" t="inlineStr">
        <is>
          <t>VÄSTERBOTTENS LÄN</t>
        </is>
      </c>
      <c r="E6320" t="inlineStr">
        <is>
          <t>SKELLEFTEÅ</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70849-2021</t>
        </is>
      </c>
      <c r="B6321" s="1" t="n">
        <v>44532</v>
      </c>
      <c r="C6321" s="1" t="n">
        <v>46145</v>
      </c>
      <c r="D6321" t="inlineStr">
        <is>
          <t>VÄSTERBOTTENS LÄN</t>
        </is>
      </c>
      <c r="E6321" t="inlineStr">
        <is>
          <t>VILHELMINA</t>
        </is>
      </c>
      <c r="G6321" t="n">
        <v>21.4</v>
      </c>
      <c r="H6321" t="n">
        <v>0</v>
      </c>
      <c r="I6321" t="n">
        <v>0</v>
      </c>
      <c r="J6321" t="n">
        <v>0</v>
      </c>
      <c r="K6321" t="n">
        <v>0</v>
      </c>
      <c r="L6321" t="n">
        <v>0</v>
      </c>
      <c r="M6321" t="n">
        <v>0</v>
      </c>
      <c r="N6321" t="n">
        <v>0</v>
      </c>
      <c r="O6321" t="n">
        <v>0</v>
      </c>
      <c r="P6321" t="n">
        <v>0</v>
      </c>
      <c r="Q6321" t="n">
        <v>0</v>
      </c>
      <c r="R6321" s="2" t="inlineStr"/>
    </row>
    <row r="6322" ht="15" customHeight="1">
      <c r="A6322" t="inlineStr">
        <is>
          <t>A 53320-2025</t>
        </is>
      </c>
      <c r="B6322" s="1" t="n">
        <v>45959.35769675926</v>
      </c>
      <c r="C6322" s="1" t="n">
        <v>46145</v>
      </c>
      <c r="D6322" t="inlineStr">
        <is>
          <t>VÄSTERBOTTENS LÄN</t>
        </is>
      </c>
      <c r="E6322" t="inlineStr">
        <is>
          <t>ROBERTSFORS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53514-2025</t>
        </is>
      </c>
      <c r="B6323" s="1" t="n">
        <v>45960.34552083333</v>
      </c>
      <c r="C6323" s="1" t="n">
        <v>46145</v>
      </c>
      <c r="D6323" t="inlineStr">
        <is>
          <t>VÄSTERBOTTENS LÄN</t>
        </is>
      </c>
      <c r="E6323" t="inlineStr">
        <is>
          <t>SKELLEFTEÅ</t>
        </is>
      </c>
      <c r="G6323" t="n">
        <v>18.1</v>
      </c>
      <c r="H6323" t="n">
        <v>0</v>
      </c>
      <c r="I6323" t="n">
        <v>0</v>
      </c>
      <c r="J6323" t="n">
        <v>0</v>
      </c>
      <c r="K6323" t="n">
        <v>0</v>
      </c>
      <c r="L6323" t="n">
        <v>0</v>
      </c>
      <c r="M6323" t="n">
        <v>0</v>
      </c>
      <c r="N6323" t="n">
        <v>0</v>
      </c>
      <c r="O6323" t="n">
        <v>0</v>
      </c>
      <c r="P6323" t="n">
        <v>0</v>
      </c>
      <c r="Q6323" t="n">
        <v>0</v>
      </c>
      <c r="R6323" s="2" t="inlineStr"/>
    </row>
    <row r="6324" ht="15" customHeight="1">
      <c r="A6324" t="inlineStr">
        <is>
          <t>A 53533-2025</t>
        </is>
      </c>
      <c r="B6324" s="1" t="n">
        <v>45960.36548611111</v>
      </c>
      <c r="C6324" s="1" t="n">
        <v>46145</v>
      </c>
      <c r="D6324" t="inlineStr">
        <is>
          <t>VÄSTERBOTTENS LÄN</t>
        </is>
      </c>
      <c r="E6324" t="inlineStr">
        <is>
          <t>SKELLEFTEÅ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53336-2025</t>
        </is>
      </c>
      <c r="B6325" s="1" t="n">
        <v>45959.39545138889</v>
      </c>
      <c r="C6325" s="1" t="n">
        <v>46145</v>
      </c>
      <c r="D6325" t="inlineStr">
        <is>
          <t>VÄSTERBOTTENS LÄN</t>
        </is>
      </c>
      <c r="E6325" t="inlineStr">
        <is>
          <t>UMEÅ</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44217-2023</t>
        </is>
      </c>
      <c r="B6326" s="1" t="n">
        <v>45183</v>
      </c>
      <c r="C6326" s="1" t="n">
        <v>46145</v>
      </c>
      <c r="D6326" t="inlineStr">
        <is>
          <t>VÄSTERBOTTENS LÄN</t>
        </is>
      </c>
      <c r="E6326" t="inlineStr">
        <is>
          <t>STORUMAN</t>
        </is>
      </c>
      <c r="G6326" t="n">
        <v>14.3</v>
      </c>
      <c r="H6326" t="n">
        <v>0</v>
      </c>
      <c r="I6326" t="n">
        <v>0</v>
      </c>
      <c r="J6326" t="n">
        <v>0</v>
      </c>
      <c r="K6326" t="n">
        <v>0</v>
      </c>
      <c r="L6326" t="n">
        <v>0</v>
      </c>
      <c r="M6326" t="n">
        <v>0</v>
      </c>
      <c r="N6326" t="n">
        <v>0</v>
      </c>
      <c r="O6326" t="n">
        <v>0</v>
      </c>
      <c r="P6326" t="n">
        <v>0</v>
      </c>
      <c r="Q6326" t="n">
        <v>0</v>
      </c>
      <c r="R6326" s="2" t="inlineStr"/>
    </row>
    <row r="6327" ht="15" customHeight="1">
      <c r="A6327" t="inlineStr">
        <is>
          <t>A 53451-2025</t>
        </is>
      </c>
      <c r="B6327" s="1" t="n">
        <v>45959.656875</v>
      </c>
      <c r="C6327" s="1" t="n">
        <v>46145</v>
      </c>
      <c r="D6327" t="inlineStr">
        <is>
          <t>VÄSTERBOTTENS LÄN</t>
        </is>
      </c>
      <c r="E6327" t="inlineStr">
        <is>
          <t>LYCKSELE</t>
        </is>
      </c>
      <c r="F6327" t="inlineStr">
        <is>
          <t>SCA</t>
        </is>
      </c>
      <c r="G6327" t="n">
        <v>12.1</v>
      </c>
      <c r="H6327" t="n">
        <v>0</v>
      </c>
      <c r="I6327" t="n">
        <v>0</v>
      </c>
      <c r="J6327" t="n">
        <v>0</v>
      </c>
      <c r="K6327" t="n">
        <v>0</v>
      </c>
      <c r="L6327" t="n">
        <v>0</v>
      </c>
      <c r="M6327" t="n">
        <v>0</v>
      </c>
      <c r="N6327" t="n">
        <v>0</v>
      </c>
      <c r="O6327" t="n">
        <v>0</v>
      </c>
      <c r="P6327" t="n">
        <v>0</v>
      </c>
      <c r="Q6327" t="n">
        <v>0</v>
      </c>
      <c r="R6327" s="2" t="inlineStr"/>
    </row>
    <row r="6328" ht="15" customHeight="1">
      <c r="A6328" t="inlineStr">
        <is>
          <t>A 53515-2025</t>
        </is>
      </c>
      <c r="B6328" s="1" t="n">
        <v>45959</v>
      </c>
      <c r="C6328" s="1" t="n">
        <v>46145</v>
      </c>
      <c r="D6328" t="inlineStr">
        <is>
          <t>VÄSTERBOTTENS LÄN</t>
        </is>
      </c>
      <c r="E6328" t="inlineStr">
        <is>
          <t>SKELLEFTEÅ</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53465-2025</t>
        </is>
      </c>
      <c r="B6329" s="1" t="n">
        <v>45959.68450231481</v>
      </c>
      <c r="C6329" s="1" t="n">
        <v>46145</v>
      </c>
      <c r="D6329" t="inlineStr">
        <is>
          <t>VÄSTERBOTTENS LÄN</t>
        </is>
      </c>
      <c r="E6329" t="inlineStr">
        <is>
          <t>LYCKSELE</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53469-2025</t>
        </is>
      </c>
      <c r="B6330" s="1" t="n">
        <v>45959.70898148148</v>
      </c>
      <c r="C6330" s="1" t="n">
        <v>46145</v>
      </c>
      <c r="D6330" t="inlineStr">
        <is>
          <t>VÄSTERBOTTENS LÄN</t>
        </is>
      </c>
      <c r="E6330" t="inlineStr">
        <is>
          <t>SKELLEFTEÅ</t>
        </is>
      </c>
      <c r="F6330" t="inlineStr">
        <is>
          <t>Sveaskog</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53456-2025</t>
        </is>
      </c>
      <c r="B6331" s="1" t="n">
        <v>45959.66428240741</v>
      </c>
      <c r="C6331" s="1" t="n">
        <v>46145</v>
      </c>
      <c r="D6331" t="inlineStr">
        <is>
          <t>VÄSTERBOTTENS LÄN</t>
        </is>
      </c>
      <c r="E6331" t="inlineStr">
        <is>
          <t>NORDMALING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53500-2025</t>
        </is>
      </c>
      <c r="B6332" s="1" t="n">
        <v>45960.33998842593</v>
      </c>
      <c r="C6332" s="1" t="n">
        <v>46145</v>
      </c>
      <c r="D6332" t="inlineStr">
        <is>
          <t>VÄSTERBOTTENS LÄN</t>
        </is>
      </c>
      <c r="E6332" t="inlineStr">
        <is>
          <t>NORSJÖ</t>
        </is>
      </c>
      <c r="F6332" t="inlineStr">
        <is>
          <t>Sveaskog</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50840-2024</t>
        </is>
      </c>
      <c r="B6333" s="1" t="n">
        <v>45602.6030787037</v>
      </c>
      <c r="C6333" s="1" t="n">
        <v>46145</v>
      </c>
      <c r="D6333" t="inlineStr">
        <is>
          <t>VÄSTERBOTTENS LÄN</t>
        </is>
      </c>
      <c r="E6333" t="inlineStr">
        <is>
          <t>VINDELN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50862-2024</t>
        </is>
      </c>
      <c r="B6334" s="1" t="n">
        <v>45602.6346412037</v>
      </c>
      <c r="C6334" s="1" t="n">
        <v>46145</v>
      </c>
      <c r="D6334" t="inlineStr">
        <is>
          <t>VÄSTERBOTTENS LÄN</t>
        </is>
      </c>
      <c r="E6334" t="inlineStr">
        <is>
          <t>SKELLEFTEÅ</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60859-2022</t>
        </is>
      </c>
      <c r="B6335" s="1" t="n">
        <v>44908</v>
      </c>
      <c r="C6335" s="1" t="n">
        <v>46145</v>
      </c>
      <c r="D6335" t="inlineStr">
        <is>
          <t>VÄSTERBOTTENS LÄN</t>
        </is>
      </c>
      <c r="E6335" t="inlineStr">
        <is>
          <t>LYCKSELE</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40845-2024</t>
        </is>
      </c>
      <c r="B6336" s="1" t="n">
        <v>45558</v>
      </c>
      <c r="C6336" s="1" t="n">
        <v>46145</v>
      </c>
      <c r="D6336" t="inlineStr">
        <is>
          <t>VÄSTERBOTTENS LÄN</t>
        </is>
      </c>
      <c r="E6336" t="inlineStr">
        <is>
          <t>NORDMALING</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53347-2025</t>
        </is>
      </c>
      <c r="B6337" s="1" t="n">
        <v>45959.43278935185</v>
      </c>
      <c r="C6337" s="1" t="n">
        <v>46145</v>
      </c>
      <c r="D6337" t="inlineStr">
        <is>
          <t>VÄSTERBOTTENS LÄN</t>
        </is>
      </c>
      <c r="E6337" t="inlineStr">
        <is>
          <t>SORSELE</t>
        </is>
      </c>
      <c r="F6337" t="inlineStr">
        <is>
          <t>Sveaskog</t>
        </is>
      </c>
      <c r="G6337" t="n">
        <v>57.3</v>
      </c>
      <c r="H6337" t="n">
        <v>0</v>
      </c>
      <c r="I6337" t="n">
        <v>0</v>
      </c>
      <c r="J6337" t="n">
        <v>0</v>
      </c>
      <c r="K6337" t="n">
        <v>0</v>
      </c>
      <c r="L6337" t="n">
        <v>0</v>
      </c>
      <c r="M6337" t="n">
        <v>0</v>
      </c>
      <c r="N6337" t="n">
        <v>0</v>
      </c>
      <c r="O6337" t="n">
        <v>0</v>
      </c>
      <c r="P6337" t="n">
        <v>0</v>
      </c>
      <c r="Q6337" t="n">
        <v>0</v>
      </c>
      <c r="R6337" s="2" t="inlineStr"/>
    </row>
    <row r="6338" ht="15" customHeight="1">
      <c r="A6338" t="inlineStr">
        <is>
          <t>A 53385-2025</t>
        </is>
      </c>
      <c r="B6338" s="1" t="n">
        <v>45959.54261574074</v>
      </c>
      <c r="C6338" s="1" t="n">
        <v>46145</v>
      </c>
      <c r="D6338" t="inlineStr">
        <is>
          <t>VÄSTERBOTTENS LÄN</t>
        </is>
      </c>
      <c r="E6338" t="inlineStr">
        <is>
          <t>SKELLEFTEÅ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5908-2024</t>
        </is>
      </c>
      <c r="B6339" s="1" t="n">
        <v>45335</v>
      </c>
      <c r="C6339" s="1" t="n">
        <v>46145</v>
      </c>
      <c r="D6339" t="inlineStr">
        <is>
          <t>VÄSTERBOTTENS LÄN</t>
        </is>
      </c>
      <c r="E6339" t="inlineStr">
        <is>
          <t>STORUMAN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53376-2025</t>
        </is>
      </c>
      <c r="B6340" s="1" t="n">
        <v>45959.52413194445</v>
      </c>
      <c r="C6340" s="1" t="n">
        <v>46145</v>
      </c>
      <c r="D6340" t="inlineStr">
        <is>
          <t>VÄSTERBOTTENS LÄN</t>
        </is>
      </c>
      <c r="E6340" t="inlineStr">
        <is>
          <t>SKELLEFTEÅ</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53777-2025</t>
        </is>
      </c>
      <c r="B6341" s="1" t="n">
        <v>45960.69732638889</v>
      </c>
      <c r="C6341" s="1" t="n">
        <v>46145</v>
      </c>
      <c r="D6341" t="inlineStr">
        <is>
          <t>VÄSTERBOTTENS LÄN</t>
        </is>
      </c>
      <c r="E6341" t="inlineStr">
        <is>
          <t>NORDMALING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53348-2025</t>
        </is>
      </c>
      <c r="B6342" s="1" t="n">
        <v>45959.43510416667</v>
      </c>
      <c r="C6342" s="1" t="n">
        <v>46145</v>
      </c>
      <c r="D6342" t="inlineStr">
        <is>
          <t>VÄSTERBOTTENS LÄN</t>
        </is>
      </c>
      <c r="E6342" t="inlineStr">
        <is>
          <t>SORSELE</t>
        </is>
      </c>
      <c r="F6342" t="inlineStr">
        <is>
          <t>Sveaskog</t>
        </is>
      </c>
      <c r="G6342" t="n">
        <v>20.6</v>
      </c>
      <c r="H6342" t="n">
        <v>0</v>
      </c>
      <c r="I6342" t="n">
        <v>0</v>
      </c>
      <c r="J6342" t="n">
        <v>0</v>
      </c>
      <c r="K6342" t="n">
        <v>0</v>
      </c>
      <c r="L6342" t="n">
        <v>0</v>
      </c>
      <c r="M6342" t="n">
        <v>0</v>
      </c>
      <c r="N6342" t="n">
        <v>0</v>
      </c>
      <c r="O6342" t="n">
        <v>0</v>
      </c>
      <c r="P6342" t="n">
        <v>0</v>
      </c>
      <c r="Q6342" t="n">
        <v>0</v>
      </c>
      <c r="R6342" s="2" t="inlineStr"/>
    </row>
    <row r="6343" ht="15" customHeight="1">
      <c r="A6343" t="inlineStr">
        <is>
          <t>A 36513-2024</t>
        </is>
      </c>
      <c r="B6343" s="1" t="n">
        <v>45537.42751157407</v>
      </c>
      <c r="C6343" s="1" t="n">
        <v>46145</v>
      </c>
      <c r="D6343" t="inlineStr">
        <is>
          <t>VÄSTERBOTTENS LÄN</t>
        </is>
      </c>
      <c r="E6343" t="inlineStr">
        <is>
          <t>SKELLEFTEÅ</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53354-2025</t>
        </is>
      </c>
      <c r="B6344" s="1" t="n">
        <v>45959.44861111111</v>
      </c>
      <c r="C6344" s="1" t="n">
        <v>46145</v>
      </c>
      <c r="D6344" t="inlineStr">
        <is>
          <t>VÄSTERBOTTENS LÄN</t>
        </is>
      </c>
      <c r="E6344" t="inlineStr">
        <is>
          <t>VINDELN</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53470-2025</t>
        </is>
      </c>
      <c r="B6345" s="1" t="n">
        <v>45959.7108912037</v>
      </c>
      <c r="C6345" s="1" t="n">
        <v>46145</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53564-2025</t>
        </is>
      </c>
      <c r="B6346" s="1" t="n">
        <v>45960.40697916667</v>
      </c>
      <c r="C6346" s="1" t="n">
        <v>46145</v>
      </c>
      <c r="D6346" t="inlineStr">
        <is>
          <t>VÄSTERBOTTENS LÄN</t>
        </is>
      </c>
      <c r="E6346" t="inlineStr">
        <is>
          <t>NORSJÖ</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53775-2025</t>
        </is>
      </c>
      <c r="B6347" s="1" t="n">
        <v>45960.68865740741</v>
      </c>
      <c r="C6347" s="1" t="n">
        <v>46145</v>
      </c>
      <c r="D6347" t="inlineStr">
        <is>
          <t>VÄSTERBOTTENS LÄN</t>
        </is>
      </c>
      <c r="E6347" t="inlineStr">
        <is>
          <t>SKELLEFTEÅ</t>
        </is>
      </c>
      <c r="G6347" t="n">
        <v>15.2</v>
      </c>
      <c r="H6347" t="n">
        <v>0</v>
      </c>
      <c r="I6347" t="n">
        <v>0</v>
      </c>
      <c r="J6347" t="n">
        <v>0</v>
      </c>
      <c r="K6347" t="n">
        <v>0</v>
      </c>
      <c r="L6347" t="n">
        <v>0</v>
      </c>
      <c r="M6347" t="n">
        <v>0</v>
      </c>
      <c r="N6347" t="n">
        <v>0</v>
      </c>
      <c r="O6347" t="n">
        <v>0</v>
      </c>
      <c r="P6347" t="n">
        <v>0</v>
      </c>
      <c r="Q6347" t="n">
        <v>0</v>
      </c>
      <c r="R6347" s="2" t="inlineStr"/>
    </row>
    <row r="6348" ht="15" customHeight="1">
      <c r="A6348" t="inlineStr">
        <is>
          <t>A 53794-2025</t>
        </is>
      </c>
      <c r="B6348" s="1" t="n">
        <v>45960.74474537037</v>
      </c>
      <c r="C6348" s="1" t="n">
        <v>46145</v>
      </c>
      <c r="D6348" t="inlineStr">
        <is>
          <t>VÄSTERBOTTENS LÄN</t>
        </is>
      </c>
      <c r="E6348" t="inlineStr">
        <is>
          <t>VINDELN</t>
        </is>
      </c>
      <c r="F6348" t="inlineStr">
        <is>
          <t>Holmen skog AB</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13641-2023</t>
        </is>
      </c>
      <c r="B6349" s="1" t="n">
        <v>45006</v>
      </c>
      <c r="C6349" s="1" t="n">
        <v>46145</v>
      </c>
      <c r="D6349" t="inlineStr">
        <is>
          <t>VÄSTERBOTTENS LÄN</t>
        </is>
      </c>
      <c r="E6349" t="inlineStr">
        <is>
          <t>SKELLEFTEÅ</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71850-2021</t>
        </is>
      </c>
      <c r="B6350" s="1" t="n">
        <v>44543.64056712963</v>
      </c>
      <c r="C6350" s="1" t="n">
        <v>46145</v>
      </c>
      <c r="D6350" t="inlineStr">
        <is>
          <t>VÄSTERBOTTENS LÄN</t>
        </is>
      </c>
      <c r="E6350" t="inlineStr">
        <is>
          <t>STORUMAN</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38350-2024</t>
        </is>
      </c>
      <c r="B6351" s="1" t="n">
        <v>45545</v>
      </c>
      <c r="C6351" s="1" t="n">
        <v>46145</v>
      </c>
      <c r="D6351" t="inlineStr">
        <is>
          <t>VÄSTERBOTTENS LÄN</t>
        </is>
      </c>
      <c r="E6351" t="inlineStr">
        <is>
          <t>ÅSELE</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16289-2025</t>
        </is>
      </c>
      <c r="B6352" s="1" t="n">
        <v>45751.32021990741</v>
      </c>
      <c r="C6352" s="1" t="n">
        <v>46145</v>
      </c>
      <c r="D6352" t="inlineStr">
        <is>
          <t>VÄSTERBOTTENS LÄN</t>
        </is>
      </c>
      <c r="E6352" t="inlineStr">
        <is>
          <t>LYCKSELE</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35829-2023</t>
        </is>
      </c>
      <c r="B6353" s="1" t="n">
        <v>45148.47032407407</v>
      </c>
      <c r="C6353" s="1" t="n">
        <v>46145</v>
      </c>
      <c r="D6353" t="inlineStr">
        <is>
          <t>VÄSTERBOTTENS LÄN</t>
        </is>
      </c>
      <c r="E6353" t="inlineStr">
        <is>
          <t>BJURHOLM</t>
        </is>
      </c>
      <c r="F6353" t="inlineStr">
        <is>
          <t>Holmen skog AB</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35835-2023</t>
        </is>
      </c>
      <c r="B6354" s="1" t="n">
        <v>45148</v>
      </c>
      <c r="C6354" s="1" t="n">
        <v>46145</v>
      </c>
      <c r="D6354" t="inlineStr">
        <is>
          <t>VÄSTERBOTTENS LÄN</t>
        </is>
      </c>
      <c r="E6354" t="inlineStr">
        <is>
          <t>BJURHOLM</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53976-2025</t>
        </is>
      </c>
      <c r="B6355" s="1" t="n">
        <v>45961.55366898148</v>
      </c>
      <c r="C6355" s="1" t="n">
        <v>46145</v>
      </c>
      <c r="D6355" t="inlineStr">
        <is>
          <t>VÄSTERBOTTENS LÄN</t>
        </is>
      </c>
      <c r="E6355" t="inlineStr">
        <is>
          <t>NORDMALING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54030-2025</t>
        </is>
      </c>
      <c r="B6356" s="1" t="n">
        <v>45962.49011574074</v>
      </c>
      <c r="C6356" s="1" t="n">
        <v>46145</v>
      </c>
      <c r="D6356" t="inlineStr">
        <is>
          <t>VÄSTERBOTTENS LÄN</t>
        </is>
      </c>
      <c r="E6356" t="inlineStr">
        <is>
          <t>NORDMALING</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37499-2024</t>
        </is>
      </c>
      <c r="B6357" s="1" t="n">
        <v>45541.36834490741</v>
      </c>
      <c r="C6357" s="1" t="n">
        <v>46145</v>
      </c>
      <c r="D6357" t="inlineStr">
        <is>
          <t>VÄSTERBOTTENS LÄN</t>
        </is>
      </c>
      <c r="E6357" t="inlineStr">
        <is>
          <t>SKELLEFTEÅ</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19779-2025</t>
        </is>
      </c>
      <c r="B6358" s="1" t="n">
        <v>45771.42736111111</v>
      </c>
      <c r="C6358" s="1" t="n">
        <v>46145</v>
      </c>
      <c r="D6358" t="inlineStr">
        <is>
          <t>VÄSTERBOTTENS LÄN</t>
        </is>
      </c>
      <c r="E6358" t="inlineStr">
        <is>
          <t>SKELLEFTEÅ</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15294-2023</t>
        </is>
      </c>
      <c r="B6359" s="1" t="n">
        <v>45019</v>
      </c>
      <c r="C6359" s="1" t="n">
        <v>46145</v>
      </c>
      <c r="D6359" t="inlineStr">
        <is>
          <t>VÄSTERBOTTENS LÄN</t>
        </is>
      </c>
      <c r="E6359" t="inlineStr">
        <is>
          <t>ROBERTSFORS</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19029-2025</t>
        </is>
      </c>
      <c r="B6360" s="1" t="n">
        <v>45764.6515162037</v>
      </c>
      <c r="C6360" s="1" t="n">
        <v>46145</v>
      </c>
      <c r="D6360" t="inlineStr">
        <is>
          <t>VÄSTERBOTTENS LÄN</t>
        </is>
      </c>
      <c r="E6360" t="inlineStr">
        <is>
          <t>NORDMALING</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19107-2025</t>
        </is>
      </c>
      <c r="B6361" s="1" t="n">
        <v>45768.37873842593</v>
      </c>
      <c r="C6361" s="1" t="n">
        <v>46145</v>
      </c>
      <c r="D6361" t="inlineStr">
        <is>
          <t>VÄSTERBOTTENS LÄN</t>
        </is>
      </c>
      <c r="E6361" t="inlineStr">
        <is>
          <t>SKELLEFTEÅ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53861-2025</t>
        </is>
      </c>
      <c r="B6362" s="1" t="n">
        <v>45961.37951388889</v>
      </c>
      <c r="C6362" s="1" t="n">
        <v>46145</v>
      </c>
      <c r="D6362" t="inlineStr">
        <is>
          <t>VÄSTERBOTTENS LÄN</t>
        </is>
      </c>
      <c r="E6362" t="inlineStr">
        <is>
          <t>VINDELN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40726-2024</t>
        </is>
      </c>
      <c r="B6363" s="1" t="n">
        <v>45558</v>
      </c>
      <c r="C6363" s="1" t="n">
        <v>46145</v>
      </c>
      <c r="D6363" t="inlineStr">
        <is>
          <t>VÄSTERBOTTENS LÄN</t>
        </is>
      </c>
      <c r="E6363" t="inlineStr">
        <is>
          <t>VILHELMINA</t>
        </is>
      </c>
      <c r="F6363" t="inlineStr">
        <is>
          <t>Allmännings- och besparingsskogar</t>
        </is>
      </c>
      <c r="G6363" t="n">
        <v>73.59999999999999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37678-2023</t>
        </is>
      </c>
      <c r="B6364" s="1" t="n">
        <v>45156</v>
      </c>
      <c r="C6364" s="1" t="n">
        <v>46145</v>
      </c>
      <c r="D6364" t="inlineStr">
        <is>
          <t>VÄSTERBOTTENS LÄN</t>
        </is>
      </c>
      <c r="E6364" t="inlineStr">
        <is>
          <t>MALÅ</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54108-2025</t>
        </is>
      </c>
      <c r="B6365" s="1" t="n">
        <v>45964.43061342592</v>
      </c>
      <c r="C6365" s="1" t="n">
        <v>46145</v>
      </c>
      <c r="D6365" t="inlineStr">
        <is>
          <t>VÄSTERBOTTENS LÄN</t>
        </is>
      </c>
      <c r="E6365" t="inlineStr">
        <is>
          <t>SKELLEFTEÅ</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54078-2025</t>
        </is>
      </c>
      <c r="B6366" s="1" t="n">
        <v>45964.36516203704</v>
      </c>
      <c r="C6366" s="1" t="n">
        <v>46145</v>
      </c>
      <c r="D6366" t="inlineStr">
        <is>
          <t>VÄSTERBOTTENS LÄN</t>
        </is>
      </c>
      <c r="E6366" t="inlineStr">
        <is>
          <t>NORDMALING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53919-2025</t>
        </is>
      </c>
      <c r="B6367" s="1" t="n">
        <v>45961.44899305556</v>
      </c>
      <c r="C6367" s="1" t="n">
        <v>46145</v>
      </c>
      <c r="D6367" t="inlineStr">
        <is>
          <t>VÄSTERBOTTENS LÄN</t>
        </is>
      </c>
      <c r="E6367" t="inlineStr">
        <is>
          <t>VINDELN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52834-2024</t>
        </is>
      </c>
      <c r="B6368" s="1" t="n">
        <v>45610.59465277778</v>
      </c>
      <c r="C6368" s="1" t="n">
        <v>46145</v>
      </c>
      <c r="D6368" t="inlineStr">
        <is>
          <t>VÄSTERBOTTENS LÄN</t>
        </is>
      </c>
      <c r="E6368" t="inlineStr">
        <is>
          <t>ROBERTSFORS</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53915-2025</t>
        </is>
      </c>
      <c r="B6369" s="1" t="n">
        <v>45961.44832175926</v>
      </c>
      <c r="C6369" s="1" t="n">
        <v>46145</v>
      </c>
      <c r="D6369" t="inlineStr">
        <is>
          <t>VÄSTERBOTTENS LÄN</t>
        </is>
      </c>
      <c r="E6369" t="inlineStr">
        <is>
          <t>NORDMALING</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53921-2025</t>
        </is>
      </c>
      <c r="B6370" s="1" t="n">
        <v>45961.45025462963</v>
      </c>
      <c r="C6370" s="1" t="n">
        <v>46145</v>
      </c>
      <c r="D6370" t="inlineStr">
        <is>
          <t>VÄSTERBOTTENS LÄN</t>
        </is>
      </c>
      <c r="E6370" t="inlineStr">
        <is>
          <t>VINDELN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43701-2024</t>
        </is>
      </c>
      <c r="B6371" s="1" t="n">
        <v>45569</v>
      </c>
      <c r="C6371" s="1" t="n">
        <v>46145</v>
      </c>
      <c r="D6371" t="inlineStr">
        <is>
          <t>VÄSTERBOTTENS LÄN</t>
        </is>
      </c>
      <c r="E6371" t="inlineStr">
        <is>
          <t>SKELLEFTEÅ</t>
        </is>
      </c>
      <c r="F6371" t="inlineStr">
        <is>
          <t>Kommuner</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8247-2024</t>
        </is>
      </c>
      <c r="B6372" s="1" t="n">
        <v>45351.9859375</v>
      </c>
      <c r="C6372" s="1" t="n">
        <v>46145</v>
      </c>
      <c r="D6372" t="inlineStr">
        <is>
          <t>VÄSTERBOTTENS LÄN</t>
        </is>
      </c>
      <c r="E6372" t="inlineStr">
        <is>
          <t>DOROTEA</t>
        </is>
      </c>
      <c r="F6372" t="inlineStr">
        <is>
          <t>SCA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52815-2025</t>
        </is>
      </c>
      <c r="B6373" s="1" t="n">
        <v>45957</v>
      </c>
      <c r="C6373" s="1" t="n">
        <v>46145</v>
      </c>
      <c r="D6373" t="inlineStr">
        <is>
          <t>VÄSTERBOTTENS LÄN</t>
        </is>
      </c>
      <c r="E6373" t="inlineStr">
        <is>
          <t>VILHELMINA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52827-2025</t>
        </is>
      </c>
      <c r="B6374" s="1" t="n">
        <v>45957</v>
      </c>
      <c r="C6374" s="1" t="n">
        <v>46145</v>
      </c>
      <c r="D6374" t="inlineStr">
        <is>
          <t>VÄSTERBOTTENS LÄN</t>
        </is>
      </c>
      <c r="E6374" t="inlineStr">
        <is>
          <t>VILHELMINA</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52830-2025</t>
        </is>
      </c>
      <c r="B6375" s="1" t="n">
        <v>45957</v>
      </c>
      <c r="C6375" s="1" t="n">
        <v>46145</v>
      </c>
      <c r="D6375" t="inlineStr">
        <is>
          <t>VÄSTERBOTTENS LÄN</t>
        </is>
      </c>
      <c r="E6375" t="inlineStr">
        <is>
          <t>VILHELMINA</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54109-2025</t>
        </is>
      </c>
      <c r="B6376" s="1" t="n">
        <v>45964.43076388889</v>
      </c>
      <c r="C6376" s="1" t="n">
        <v>46145</v>
      </c>
      <c r="D6376" t="inlineStr">
        <is>
          <t>VÄSTERBOTTENS LÄN</t>
        </is>
      </c>
      <c r="E6376" t="inlineStr">
        <is>
          <t>SKELLEFTEÅ</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54123-2025</t>
        </is>
      </c>
      <c r="B6377" s="1" t="n">
        <v>45964.4562037037</v>
      </c>
      <c r="C6377" s="1" t="n">
        <v>46145</v>
      </c>
      <c r="D6377" t="inlineStr">
        <is>
          <t>VÄSTERBOTTENS LÄN</t>
        </is>
      </c>
      <c r="E6377" t="inlineStr">
        <is>
          <t>BJURHOLM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38671-2023</t>
        </is>
      </c>
      <c r="B6378" s="1" t="n">
        <v>45162</v>
      </c>
      <c r="C6378" s="1" t="n">
        <v>46145</v>
      </c>
      <c r="D6378" t="inlineStr">
        <is>
          <t>VÄSTERBOTTENS LÄN</t>
        </is>
      </c>
      <c r="E6378" t="inlineStr">
        <is>
          <t>NORSJÖ</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38674-2023</t>
        </is>
      </c>
      <c r="B6379" s="1" t="n">
        <v>45162.94335648148</v>
      </c>
      <c r="C6379" s="1" t="n">
        <v>46145</v>
      </c>
      <c r="D6379" t="inlineStr">
        <is>
          <t>VÄSTERBOTTENS LÄN</t>
        </is>
      </c>
      <c r="E6379" t="inlineStr">
        <is>
          <t>VILHELMINA</t>
        </is>
      </c>
      <c r="F6379" t="inlineStr">
        <is>
          <t>SCA</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54164-2025</t>
        </is>
      </c>
      <c r="B6380" s="1" t="n">
        <v>45964.51108796296</v>
      </c>
      <c r="C6380" s="1" t="n">
        <v>46145</v>
      </c>
      <c r="D6380" t="inlineStr">
        <is>
          <t>VÄSTERBOTTENS LÄN</t>
        </is>
      </c>
      <c r="E6380" t="inlineStr">
        <is>
          <t>VINDELN</t>
        </is>
      </c>
      <c r="F6380" t="inlineStr">
        <is>
          <t>SCA</t>
        </is>
      </c>
      <c r="G6380" t="n">
        <v>12.8</v>
      </c>
      <c r="H6380" t="n">
        <v>0</v>
      </c>
      <c r="I6380" t="n">
        <v>0</v>
      </c>
      <c r="J6380" t="n">
        <v>0</v>
      </c>
      <c r="K6380" t="n">
        <v>0</v>
      </c>
      <c r="L6380" t="n">
        <v>0</v>
      </c>
      <c r="M6380" t="n">
        <v>0</v>
      </c>
      <c r="N6380" t="n">
        <v>0</v>
      </c>
      <c r="O6380" t="n">
        <v>0</v>
      </c>
      <c r="P6380" t="n">
        <v>0</v>
      </c>
      <c r="Q6380" t="n">
        <v>0</v>
      </c>
      <c r="R6380" s="2" t="inlineStr"/>
    </row>
    <row r="6381" ht="15" customHeight="1">
      <c r="A6381" t="inlineStr">
        <is>
          <t>A 63218-2021</t>
        </is>
      </c>
      <c r="B6381" s="1" t="n">
        <v>44505</v>
      </c>
      <c r="C6381" s="1" t="n">
        <v>46145</v>
      </c>
      <c r="D6381" t="inlineStr">
        <is>
          <t>VÄSTERBOTTENS LÄN</t>
        </is>
      </c>
      <c r="E6381" t="inlineStr">
        <is>
          <t>VILHELMINA</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39385-2023</t>
        </is>
      </c>
      <c r="B6382" s="1" t="n">
        <v>45166</v>
      </c>
      <c r="C6382" s="1" t="n">
        <v>46145</v>
      </c>
      <c r="D6382" t="inlineStr">
        <is>
          <t>VÄSTERBOTTENS LÄN</t>
        </is>
      </c>
      <c r="E6382" t="inlineStr">
        <is>
          <t>MALÅ</t>
        </is>
      </c>
      <c r="F6382" t="inlineStr">
        <is>
          <t>Sveaskog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54102-2025</t>
        </is>
      </c>
      <c r="B6383" s="1" t="n">
        <v>45964.42568287037</v>
      </c>
      <c r="C6383" s="1" t="n">
        <v>46145</v>
      </c>
      <c r="D6383" t="inlineStr">
        <is>
          <t>VÄSTERBOTTENS LÄN</t>
        </is>
      </c>
      <c r="E6383" t="inlineStr">
        <is>
          <t>SKELLEFTEÅ</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74152-2021</t>
        </is>
      </c>
      <c r="B6384" s="1" t="n">
        <v>44557</v>
      </c>
      <c r="C6384" s="1" t="n">
        <v>46145</v>
      </c>
      <c r="D6384" t="inlineStr">
        <is>
          <t>VÄSTERBOTTENS LÄN</t>
        </is>
      </c>
      <c r="E6384" t="inlineStr">
        <is>
          <t>BJURHOLM</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54031-2025</t>
        </is>
      </c>
      <c r="B6385" s="1" t="n">
        <v>45962.78836805555</v>
      </c>
      <c r="C6385" s="1" t="n">
        <v>46145</v>
      </c>
      <c r="D6385" t="inlineStr">
        <is>
          <t>VÄSTERBOTTENS LÄN</t>
        </is>
      </c>
      <c r="E6385" t="inlineStr">
        <is>
          <t>DOROTEA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53143-2024</t>
        </is>
      </c>
      <c r="B6386" s="1" t="n">
        <v>45611</v>
      </c>
      <c r="C6386" s="1" t="n">
        <v>46145</v>
      </c>
      <c r="D6386" t="inlineStr">
        <is>
          <t>VÄSTERBOTTENS LÄN</t>
        </is>
      </c>
      <c r="E6386" t="inlineStr">
        <is>
          <t>STORUMAN</t>
        </is>
      </c>
      <c r="F6386" t="inlineStr">
        <is>
          <t>Allmännings- och besparingsskogar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31392-2024</t>
        </is>
      </c>
      <c r="B6387" s="1" t="n">
        <v>45505.4709375</v>
      </c>
      <c r="C6387" s="1" t="n">
        <v>46145</v>
      </c>
      <c r="D6387" t="inlineStr">
        <is>
          <t>VÄSTERBOTTENS LÄN</t>
        </is>
      </c>
      <c r="E6387" t="inlineStr">
        <is>
          <t>SKELLEFTEÅ</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11544-2023</t>
        </is>
      </c>
      <c r="B6388" s="1" t="n">
        <v>44993.94818287037</v>
      </c>
      <c r="C6388" s="1" t="n">
        <v>46145</v>
      </c>
      <c r="D6388" t="inlineStr">
        <is>
          <t>VÄSTERBOTTENS LÄN</t>
        </is>
      </c>
      <c r="E6388" t="inlineStr">
        <is>
          <t>VILHELMINA</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32502-2024</t>
        </is>
      </c>
      <c r="B6389" s="1" t="n">
        <v>45513</v>
      </c>
      <c r="C6389" s="1" t="n">
        <v>46145</v>
      </c>
      <c r="D6389" t="inlineStr">
        <is>
          <t>VÄSTERBOTTENS LÄN</t>
        </is>
      </c>
      <c r="E6389" t="inlineStr">
        <is>
          <t>BJURHOLM</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53882-2025</t>
        </is>
      </c>
      <c r="B6390" s="1" t="n">
        <v>45961.39821759259</v>
      </c>
      <c r="C6390" s="1" t="n">
        <v>46145</v>
      </c>
      <c r="D6390" t="inlineStr">
        <is>
          <t>VÄSTERBOTTENS LÄN</t>
        </is>
      </c>
      <c r="E6390" t="inlineStr">
        <is>
          <t>VINDELN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53924-2025</t>
        </is>
      </c>
      <c r="B6391" s="1" t="n">
        <v>45961.45703703703</v>
      </c>
      <c r="C6391" s="1" t="n">
        <v>46145</v>
      </c>
      <c r="D6391" t="inlineStr">
        <is>
          <t>VÄSTERBOTTENS LÄN</t>
        </is>
      </c>
      <c r="E6391" t="inlineStr">
        <is>
          <t>VINDELN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53816-2025</t>
        </is>
      </c>
      <c r="B6392" s="1" t="n">
        <v>45961.28778935185</v>
      </c>
      <c r="C6392" s="1" t="n">
        <v>46145</v>
      </c>
      <c r="D6392" t="inlineStr">
        <is>
          <t>VÄSTERBOTTENS LÄN</t>
        </is>
      </c>
      <c r="E6392" t="inlineStr">
        <is>
          <t>VINDELN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52812-2025</t>
        </is>
      </c>
      <c r="B6393" s="1" t="n">
        <v>45957</v>
      </c>
      <c r="C6393" s="1" t="n">
        <v>46145</v>
      </c>
      <c r="D6393" t="inlineStr">
        <is>
          <t>VÄSTERBOTTENS LÄN</t>
        </is>
      </c>
      <c r="E6393" t="inlineStr">
        <is>
          <t>VILHELMINA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52818-2025</t>
        </is>
      </c>
      <c r="B6394" s="1" t="n">
        <v>45957</v>
      </c>
      <c r="C6394" s="1" t="n">
        <v>46145</v>
      </c>
      <c r="D6394" t="inlineStr">
        <is>
          <t>VÄSTERBOTTENS LÄN</t>
        </is>
      </c>
      <c r="E6394" t="inlineStr">
        <is>
          <t>VILHELMINA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52819-2025</t>
        </is>
      </c>
      <c r="B6395" s="1" t="n">
        <v>45957</v>
      </c>
      <c r="C6395" s="1" t="n">
        <v>46145</v>
      </c>
      <c r="D6395" t="inlineStr">
        <is>
          <t>VÄSTERBOTTENS LÄN</t>
        </is>
      </c>
      <c r="E6395" t="inlineStr">
        <is>
          <t>VILHELMINA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53857-2025</t>
        </is>
      </c>
      <c r="B6396" s="1" t="n">
        <v>45961.37615740741</v>
      </c>
      <c r="C6396" s="1" t="n">
        <v>46145</v>
      </c>
      <c r="D6396" t="inlineStr">
        <is>
          <t>VÄSTERBOTTENS LÄN</t>
        </is>
      </c>
      <c r="E6396" t="inlineStr">
        <is>
          <t>SORSELE</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54061-2025</t>
        </is>
      </c>
      <c r="B6397" s="1" t="n">
        <v>45964.33159722222</v>
      </c>
      <c r="C6397" s="1" t="n">
        <v>46145</v>
      </c>
      <c r="D6397" t="inlineStr">
        <is>
          <t>VÄSTERBOTTENS LÄN</t>
        </is>
      </c>
      <c r="E6397" t="inlineStr">
        <is>
          <t>VINDELN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43945-2024</t>
        </is>
      </c>
      <c r="B6398" s="1" t="n">
        <v>45572.47104166666</v>
      </c>
      <c r="C6398" s="1" t="n">
        <v>46145</v>
      </c>
      <c r="D6398" t="inlineStr">
        <is>
          <t>VÄSTERBOTTENS LÄN</t>
        </is>
      </c>
      <c r="E6398" t="inlineStr">
        <is>
          <t>UMEÅ</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43946-2024</t>
        </is>
      </c>
      <c r="B6399" s="1" t="n">
        <v>45572</v>
      </c>
      <c r="C6399" s="1" t="n">
        <v>46145</v>
      </c>
      <c r="D6399" t="inlineStr">
        <is>
          <t>VÄSTERBOTTENS LÄN</t>
        </is>
      </c>
      <c r="E6399" t="inlineStr">
        <is>
          <t>ROBERTSFORS</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64179-2021</t>
        </is>
      </c>
      <c r="B6400" s="1" t="n">
        <v>44510</v>
      </c>
      <c r="C6400" s="1" t="n">
        <v>46145</v>
      </c>
      <c r="D6400" t="inlineStr">
        <is>
          <t>VÄSTERBOTTENS LÄN</t>
        </is>
      </c>
      <c r="E6400" t="inlineStr">
        <is>
          <t>NORSJÖ</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54243-2025</t>
        </is>
      </c>
      <c r="B6401" s="1" t="n">
        <v>45964.63417824074</v>
      </c>
      <c r="C6401" s="1" t="n">
        <v>46145</v>
      </c>
      <c r="D6401" t="inlineStr">
        <is>
          <t>VÄSTERBOTTENS LÄN</t>
        </is>
      </c>
      <c r="E6401" t="inlineStr">
        <is>
          <t>VÄNNÄS</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52816-2025</t>
        </is>
      </c>
      <c r="B6402" s="1" t="n">
        <v>45957</v>
      </c>
      <c r="C6402" s="1" t="n">
        <v>46145</v>
      </c>
      <c r="D6402" t="inlineStr">
        <is>
          <t>VÄSTERBOTTENS LÄN</t>
        </is>
      </c>
      <c r="E6402" t="inlineStr">
        <is>
          <t>VILHELMINA</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58377-2021</t>
        </is>
      </c>
      <c r="B6403" s="1" t="n">
        <v>44488</v>
      </c>
      <c r="C6403" s="1" t="n">
        <v>46145</v>
      </c>
      <c r="D6403" t="inlineStr">
        <is>
          <t>VÄSTERBOTTENS LÄN</t>
        </is>
      </c>
      <c r="E6403" t="inlineStr">
        <is>
          <t>VILHELMINA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53796-2025</t>
        </is>
      </c>
      <c r="B6404" s="1" t="n">
        <v>45960.76365740741</v>
      </c>
      <c r="C6404" s="1" t="n">
        <v>46145</v>
      </c>
      <c r="D6404" t="inlineStr">
        <is>
          <t>VÄSTERBOTTENS LÄN</t>
        </is>
      </c>
      <c r="E6404" t="inlineStr">
        <is>
          <t>VINDELN</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53826-2025</t>
        </is>
      </c>
      <c r="B6405" s="1" t="n">
        <v>45961.34436342592</v>
      </c>
      <c r="C6405" s="1" t="n">
        <v>46145</v>
      </c>
      <c r="D6405" t="inlineStr">
        <is>
          <t>VÄSTERBOTTENS LÄN</t>
        </is>
      </c>
      <c r="E6405" t="inlineStr">
        <is>
          <t>NORDMALING</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52813-2025</t>
        </is>
      </c>
      <c r="B6406" s="1" t="n">
        <v>45957</v>
      </c>
      <c r="C6406" s="1" t="n">
        <v>46145</v>
      </c>
      <c r="D6406" t="inlineStr">
        <is>
          <t>VÄSTERBOTTENS LÄN</t>
        </is>
      </c>
      <c r="E6406" t="inlineStr">
        <is>
          <t>VILHELMINA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52814-2025</t>
        </is>
      </c>
      <c r="B6407" s="1" t="n">
        <v>45957</v>
      </c>
      <c r="C6407" s="1" t="n">
        <v>46145</v>
      </c>
      <c r="D6407" t="inlineStr">
        <is>
          <t>VÄSTERBOTTENS LÄN</t>
        </is>
      </c>
      <c r="E6407" t="inlineStr">
        <is>
          <t>VILHELMINA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52828-2025</t>
        </is>
      </c>
      <c r="B6408" s="1" t="n">
        <v>45957</v>
      </c>
      <c r="C6408" s="1" t="n">
        <v>46145</v>
      </c>
      <c r="D6408" t="inlineStr">
        <is>
          <t>VÄSTERBOTTENS LÄN</t>
        </is>
      </c>
      <c r="E6408" t="inlineStr">
        <is>
          <t>VILHELMINA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52829-2025</t>
        </is>
      </c>
      <c r="B6409" s="1" t="n">
        <v>45957</v>
      </c>
      <c r="C6409" s="1" t="n">
        <v>46145</v>
      </c>
      <c r="D6409" t="inlineStr">
        <is>
          <t>VÄSTERBOTTENS LÄN</t>
        </is>
      </c>
      <c r="E6409" t="inlineStr">
        <is>
          <t>VILHELMINA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51796-2024</t>
        </is>
      </c>
      <c r="B6410" s="1" t="n">
        <v>45604</v>
      </c>
      <c r="C6410" s="1" t="n">
        <v>46145</v>
      </c>
      <c r="D6410" t="inlineStr">
        <is>
          <t>VÄSTERBOTTENS LÄN</t>
        </is>
      </c>
      <c r="E6410" t="inlineStr">
        <is>
          <t>STORUMAN</t>
        </is>
      </c>
      <c r="F6410" t="inlineStr">
        <is>
          <t>Allmännings- och besparingsskogar</t>
        </is>
      </c>
      <c r="G6410" t="n">
        <v>37.6</v>
      </c>
      <c r="H6410" t="n">
        <v>0</v>
      </c>
      <c r="I6410" t="n">
        <v>0</v>
      </c>
      <c r="J6410" t="n">
        <v>0</v>
      </c>
      <c r="K6410" t="n">
        <v>0</v>
      </c>
      <c r="L6410" t="n">
        <v>0</v>
      </c>
      <c r="M6410" t="n">
        <v>0</v>
      </c>
      <c r="N6410" t="n">
        <v>0</v>
      </c>
      <c r="O6410" t="n">
        <v>0</v>
      </c>
      <c r="P6410" t="n">
        <v>0</v>
      </c>
      <c r="Q6410" t="n">
        <v>0</v>
      </c>
      <c r="R6410" s="2" t="inlineStr"/>
    </row>
    <row r="6411" ht="15" customHeight="1">
      <c r="A6411" t="inlineStr">
        <is>
          <t>A 14653-2024</t>
        </is>
      </c>
      <c r="B6411" s="1" t="n">
        <v>45397.4034375</v>
      </c>
      <c r="C6411" s="1" t="n">
        <v>46145</v>
      </c>
      <c r="D6411" t="inlineStr">
        <is>
          <t>VÄSTERBOTTENS LÄN</t>
        </is>
      </c>
      <c r="E6411" t="inlineStr">
        <is>
          <t>SKELLEFTEÅ</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19378-2023</t>
        </is>
      </c>
      <c r="B6412" s="1" t="n">
        <v>45049</v>
      </c>
      <c r="C6412" s="1" t="n">
        <v>46145</v>
      </c>
      <c r="D6412" t="inlineStr">
        <is>
          <t>VÄSTERBOTTENS LÄN</t>
        </is>
      </c>
      <c r="E6412" t="inlineStr">
        <is>
          <t>ROBERTSFORS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54105-2025</t>
        </is>
      </c>
      <c r="B6413" s="1" t="n">
        <v>45964.42788194444</v>
      </c>
      <c r="C6413" s="1" t="n">
        <v>46145</v>
      </c>
      <c r="D6413" t="inlineStr">
        <is>
          <t>VÄSTERBOTTENS LÄN</t>
        </is>
      </c>
      <c r="E6413" t="inlineStr">
        <is>
          <t>NORDMALING</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28433-2023</t>
        </is>
      </c>
      <c r="B6414" s="1" t="n">
        <v>45102.60045138889</v>
      </c>
      <c r="C6414" s="1" t="n">
        <v>46145</v>
      </c>
      <c r="D6414" t="inlineStr">
        <is>
          <t>VÄSTERBOTTENS LÄN</t>
        </is>
      </c>
      <c r="E6414" t="inlineStr">
        <is>
          <t>SKELLEFTEÅ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70197-2021</t>
        </is>
      </c>
      <c r="B6415" s="1" t="n">
        <v>44534.51119212963</v>
      </c>
      <c r="C6415" s="1" t="n">
        <v>46145</v>
      </c>
      <c r="D6415" t="inlineStr">
        <is>
          <t>VÄSTERBOTTENS LÄN</t>
        </is>
      </c>
      <c r="E6415" t="inlineStr">
        <is>
          <t>LYCKSELE</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53092-2022</t>
        </is>
      </c>
      <c r="B6416" s="1" t="n">
        <v>44876.4028125</v>
      </c>
      <c r="C6416" s="1" t="n">
        <v>46145</v>
      </c>
      <c r="D6416" t="inlineStr">
        <is>
          <t>VÄSTERBOTTENS LÄN</t>
        </is>
      </c>
      <c r="E6416" t="inlineStr">
        <is>
          <t>SKELLEFTEÅ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47140-2023</t>
        </is>
      </c>
      <c r="B6417" s="1" t="n">
        <v>45196</v>
      </c>
      <c r="C6417" s="1" t="n">
        <v>46145</v>
      </c>
      <c r="D6417" t="inlineStr">
        <is>
          <t>VÄSTERBOTTENS LÄN</t>
        </is>
      </c>
      <c r="E6417" t="inlineStr">
        <is>
          <t>STORUMAN</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18421-2024</t>
        </is>
      </c>
      <c r="B6418" s="1" t="n">
        <v>45425.40733796296</v>
      </c>
      <c r="C6418" s="1" t="n">
        <v>46145</v>
      </c>
      <c r="D6418" t="inlineStr">
        <is>
          <t>VÄSTERBOTTENS LÄN</t>
        </is>
      </c>
      <c r="E6418" t="inlineStr">
        <is>
          <t>NORSJÖ</t>
        </is>
      </c>
      <c r="F6418" t="inlineStr">
        <is>
          <t>Holmen skog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21863-2024</t>
        </is>
      </c>
      <c r="B6419" s="1" t="n">
        <v>45443</v>
      </c>
      <c r="C6419" s="1" t="n">
        <v>46145</v>
      </c>
      <c r="D6419" t="inlineStr">
        <is>
          <t>VÄSTERBOTTENS LÄN</t>
        </is>
      </c>
      <c r="E6419" t="inlineStr">
        <is>
          <t>NORDMALING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52684-2022</t>
        </is>
      </c>
      <c r="B6420" s="1" t="n">
        <v>44874</v>
      </c>
      <c r="C6420" s="1" t="n">
        <v>46145</v>
      </c>
      <c r="D6420" t="inlineStr">
        <is>
          <t>VÄSTERBOTTENS LÄN</t>
        </is>
      </c>
      <c r="E6420" t="inlineStr">
        <is>
          <t>VINDELN</t>
        </is>
      </c>
      <c r="F6420" t="inlineStr">
        <is>
          <t>Sveaskog</t>
        </is>
      </c>
      <c r="G6420" t="n">
        <v>11.7</v>
      </c>
      <c r="H6420" t="n">
        <v>0</v>
      </c>
      <c r="I6420" t="n">
        <v>0</v>
      </c>
      <c r="J6420" t="n">
        <v>0</v>
      </c>
      <c r="K6420" t="n">
        <v>0</v>
      </c>
      <c r="L6420" t="n">
        <v>0</v>
      </c>
      <c r="M6420" t="n">
        <v>0</v>
      </c>
      <c r="N6420" t="n">
        <v>0</v>
      </c>
      <c r="O6420" t="n">
        <v>0</v>
      </c>
      <c r="P6420" t="n">
        <v>0</v>
      </c>
      <c r="Q6420" t="n">
        <v>0</v>
      </c>
      <c r="R6420" s="2" t="inlineStr"/>
    </row>
    <row r="6421" ht="15" customHeight="1">
      <c r="A6421" t="inlineStr">
        <is>
          <t>A 53994-2025</t>
        </is>
      </c>
      <c r="B6421" s="1" t="n">
        <v>45961.5853125</v>
      </c>
      <c r="C6421" s="1" t="n">
        <v>46145</v>
      </c>
      <c r="D6421" t="inlineStr">
        <is>
          <t>VÄSTERBOTTENS LÄN</t>
        </is>
      </c>
      <c r="E6421" t="inlineStr">
        <is>
          <t>LYCKSELE</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15484-2023</t>
        </is>
      </c>
      <c r="B6422" s="1" t="n">
        <v>45020</v>
      </c>
      <c r="C6422" s="1" t="n">
        <v>46145</v>
      </c>
      <c r="D6422" t="inlineStr">
        <is>
          <t>VÄSTERBOTTENS LÄN</t>
        </is>
      </c>
      <c r="E6422" t="inlineStr">
        <is>
          <t>ROBERTSFORS</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54064-2025</t>
        </is>
      </c>
      <c r="B6423" s="1" t="n">
        <v>45964.33495370371</v>
      </c>
      <c r="C6423" s="1" t="n">
        <v>46145</v>
      </c>
      <c r="D6423" t="inlineStr">
        <is>
          <t>VÄSTERBOTTENS LÄN</t>
        </is>
      </c>
      <c r="E6423" t="inlineStr">
        <is>
          <t>MALÅ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53806-2025</t>
        </is>
      </c>
      <c r="B6424" s="1" t="n">
        <v>45960.83863425926</v>
      </c>
      <c r="C6424" s="1" t="n">
        <v>46145</v>
      </c>
      <c r="D6424" t="inlineStr">
        <is>
          <t>VÄSTERBOTTENS LÄN</t>
        </is>
      </c>
      <c r="E6424" t="inlineStr">
        <is>
          <t>ROBERTSFORS</t>
        </is>
      </c>
      <c r="F6424" t="inlineStr">
        <is>
          <t>Holmen skog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53815-2025</t>
        </is>
      </c>
      <c r="B6425" s="1" t="n">
        <v>45961.28357638889</v>
      </c>
      <c r="C6425" s="1" t="n">
        <v>46145</v>
      </c>
      <c r="D6425" t="inlineStr">
        <is>
          <t>VÄSTERBOTTENS LÄN</t>
        </is>
      </c>
      <c r="E6425" t="inlineStr">
        <is>
          <t>VINDELN</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53824-2025</t>
        </is>
      </c>
      <c r="B6426" s="1" t="n">
        <v>45961.33986111111</v>
      </c>
      <c r="C6426" s="1" t="n">
        <v>46145</v>
      </c>
      <c r="D6426" t="inlineStr">
        <is>
          <t>VÄSTERBOTTENS LÄN</t>
        </is>
      </c>
      <c r="E6426" t="inlineStr">
        <is>
          <t>ROBERTSFORS</t>
        </is>
      </c>
      <c r="F6426" t="inlineStr">
        <is>
          <t>Holmen skog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15326-2024</t>
        </is>
      </c>
      <c r="B6427" s="1" t="n">
        <v>45400</v>
      </c>
      <c r="C6427" s="1" t="n">
        <v>46145</v>
      </c>
      <c r="D6427" t="inlineStr">
        <is>
          <t>VÄSTERBOTTENS LÄN</t>
        </is>
      </c>
      <c r="E6427" t="inlineStr">
        <is>
          <t>VILHELMINA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53740-2022</t>
        </is>
      </c>
      <c r="B6428" s="1" t="n">
        <v>44880</v>
      </c>
      <c r="C6428" s="1" t="n">
        <v>46145</v>
      </c>
      <c r="D6428" t="inlineStr">
        <is>
          <t>VÄSTERBOTTENS LÄN</t>
        </is>
      </c>
      <c r="E6428" t="inlineStr">
        <is>
          <t>LYCKSELE</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16887-2024</t>
        </is>
      </c>
      <c r="B6429" s="1" t="n">
        <v>45411.60519675926</v>
      </c>
      <c r="C6429" s="1" t="n">
        <v>46145</v>
      </c>
      <c r="D6429" t="inlineStr">
        <is>
          <t>VÄSTERBOTTENS LÄN</t>
        </is>
      </c>
      <c r="E6429" t="inlineStr">
        <is>
          <t>LYCKSELE</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53890-2025</t>
        </is>
      </c>
      <c r="B6430" s="1" t="n">
        <v>45961.41300925926</v>
      </c>
      <c r="C6430" s="1" t="n">
        <v>46145</v>
      </c>
      <c r="D6430" t="inlineStr">
        <is>
          <t>VÄSTERBOTTENS LÄN</t>
        </is>
      </c>
      <c r="E6430" t="inlineStr">
        <is>
          <t>VINDELN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53831-2025</t>
        </is>
      </c>
      <c r="B6431" s="1" t="n">
        <v>45961.34489583333</v>
      </c>
      <c r="C6431" s="1" t="n">
        <v>46145</v>
      </c>
      <c r="D6431" t="inlineStr">
        <is>
          <t>VÄSTERBOTTENS LÄN</t>
        </is>
      </c>
      <c r="E6431" t="inlineStr">
        <is>
          <t>VINDELN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60092-2021</t>
        </is>
      </c>
      <c r="B6432" s="1" t="n">
        <v>44494</v>
      </c>
      <c r="C6432" s="1" t="n">
        <v>46145</v>
      </c>
      <c r="D6432" t="inlineStr">
        <is>
          <t>VÄSTERBOTTENS LÄN</t>
        </is>
      </c>
      <c r="E6432" t="inlineStr">
        <is>
          <t>VINDELN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23925-2024</t>
        </is>
      </c>
      <c r="B6433" s="1" t="n">
        <v>45455.93157407407</v>
      </c>
      <c r="C6433" s="1" t="n">
        <v>46145</v>
      </c>
      <c r="D6433" t="inlineStr">
        <is>
          <t>VÄSTERBOTTENS LÄN</t>
        </is>
      </c>
      <c r="E6433" t="inlineStr">
        <is>
          <t>SKELLEFTEÅ</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53959-2025</t>
        </is>
      </c>
      <c r="B6434" s="1" t="n">
        <v>45961.53371527778</v>
      </c>
      <c r="C6434" s="1" t="n">
        <v>46145</v>
      </c>
      <c r="D6434" t="inlineStr">
        <is>
          <t>VÄSTERBOTTENS LÄN</t>
        </is>
      </c>
      <c r="E6434" t="inlineStr">
        <is>
          <t>SKELLEFTEÅ</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53969-2025</t>
        </is>
      </c>
      <c r="B6435" s="1" t="n">
        <v>45961.5503587963</v>
      </c>
      <c r="C6435" s="1" t="n">
        <v>46145</v>
      </c>
      <c r="D6435" t="inlineStr">
        <is>
          <t>VÄSTERBOTTENS LÄN</t>
        </is>
      </c>
      <c r="E6435" t="inlineStr">
        <is>
          <t>NORDMALING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21341-2024</t>
        </is>
      </c>
      <c r="B6436" s="1" t="n">
        <v>45440.92835648148</v>
      </c>
      <c r="C6436" s="1" t="n">
        <v>46145</v>
      </c>
      <c r="D6436" t="inlineStr">
        <is>
          <t>VÄSTERBOTTENS LÄN</t>
        </is>
      </c>
      <c r="E6436" t="inlineStr">
        <is>
          <t>ÅSELE</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26459-2024</t>
        </is>
      </c>
      <c r="B6437" s="1" t="n">
        <v>45469</v>
      </c>
      <c r="C6437" s="1" t="n">
        <v>46145</v>
      </c>
      <c r="D6437" t="inlineStr">
        <is>
          <t>VÄSTERBOTTENS LÄN</t>
        </is>
      </c>
      <c r="E6437" t="inlineStr">
        <is>
          <t>BJURHOLM</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54036-2025</t>
        </is>
      </c>
      <c r="B6438" s="1" t="n">
        <v>45963.46949074074</v>
      </c>
      <c r="C6438" s="1" t="n">
        <v>46145</v>
      </c>
      <c r="D6438" t="inlineStr">
        <is>
          <t>VÄSTERBOTTENS LÄN</t>
        </is>
      </c>
      <c r="E6438" t="inlineStr">
        <is>
          <t>SKELLEFTEÅ</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22050-2024</t>
        </is>
      </c>
      <c r="B6439" s="1" t="n">
        <v>45443.61378472222</v>
      </c>
      <c r="C6439" s="1" t="n">
        <v>46145</v>
      </c>
      <c r="D6439" t="inlineStr">
        <is>
          <t>VÄSTERBOTTENS LÄN</t>
        </is>
      </c>
      <c r="E6439" t="inlineStr">
        <is>
          <t>LYCKSELE</t>
        </is>
      </c>
      <c r="F6439" t="inlineStr">
        <is>
          <t>Holmen skog AB</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52871-2022</t>
        </is>
      </c>
      <c r="B6440" s="1" t="n">
        <v>44872</v>
      </c>
      <c r="C6440" s="1" t="n">
        <v>46145</v>
      </c>
      <c r="D6440" t="inlineStr">
        <is>
          <t>VÄSTERBOTTENS LÄN</t>
        </is>
      </c>
      <c r="E6440" t="inlineStr">
        <is>
          <t>SKELLEFTEÅ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54562-2025</t>
        </is>
      </c>
      <c r="B6441" s="1" t="n">
        <v>45965.66751157407</v>
      </c>
      <c r="C6441" s="1" t="n">
        <v>46145</v>
      </c>
      <c r="D6441" t="inlineStr">
        <is>
          <t>VÄSTERBOTTENS LÄN</t>
        </is>
      </c>
      <c r="E6441" t="inlineStr">
        <is>
          <t>VÄNNÄS</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54658-2025</t>
        </is>
      </c>
      <c r="B6442" s="1" t="n">
        <v>45966.40230324074</v>
      </c>
      <c r="C6442" s="1" t="n">
        <v>46145</v>
      </c>
      <c r="D6442" t="inlineStr">
        <is>
          <t>VÄSTERBOTTENS LÄN</t>
        </is>
      </c>
      <c r="E6442" t="inlineStr">
        <is>
          <t>SKELLEFTEÅ</t>
        </is>
      </c>
      <c r="F6442" t="inlineStr">
        <is>
          <t>Holmen skog AB</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54733-2025</t>
        </is>
      </c>
      <c r="B6443" s="1" t="n">
        <v>45966.56216435185</v>
      </c>
      <c r="C6443" s="1" t="n">
        <v>46145</v>
      </c>
      <c r="D6443" t="inlineStr">
        <is>
          <t>VÄSTERBOTTENS LÄN</t>
        </is>
      </c>
      <c r="E6443" t="inlineStr">
        <is>
          <t>SORSELE</t>
        </is>
      </c>
      <c r="F6443" t="inlineStr">
        <is>
          <t>Sveaskog</t>
        </is>
      </c>
      <c r="G6443" t="n">
        <v>17.4</v>
      </c>
      <c r="H6443" t="n">
        <v>0</v>
      </c>
      <c r="I6443" t="n">
        <v>0</v>
      </c>
      <c r="J6443" t="n">
        <v>0</v>
      </c>
      <c r="K6443" t="n">
        <v>0</v>
      </c>
      <c r="L6443" t="n">
        <v>0</v>
      </c>
      <c r="M6443" t="n">
        <v>0</v>
      </c>
      <c r="N6443" t="n">
        <v>0</v>
      </c>
      <c r="O6443" t="n">
        <v>0</v>
      </c>
      <c r="P6443" t="n">
        <v>0</v>
      </c>
      <c r="Q6443" t="n">
        <v>0</v>
      </c>
      <c r="R6443" s="2" t="inlineStr"/>
    </row>
    <row r="6444" ht="15" customHeight="1">
      <c r="A6444" t="inlineStr">
        <is>
          <t>A 54751-2025</t>
        </is>
      </c>
      <c r="B6444" s="1" t="n">
        <v>45966</v>
      </c>
      <c r="C6444" s="1" t="n">
        <v>46145</v>
      </c>
      <c r="D6444" t="inlineStr">
        <is>
          <t>VÄSTERBOTTENS LÄN</t>
        </is>
      </c>
      <c r="E6444" t="inlineStr">
        <is>
          <t>NORSJÖ</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54693-2025</t>
        </is>
      </c>
      <c r="B6445" s="1" t="n">
        <v>45966.46192129629</v>
      </c>
      <c r="C6445" s="1" t="n">
        <v>46145</v>
      </c>
      <c r="D6445" t="inlineStr">
        <is>
          <t>VÄSTERBOTTENS LÄN</t>
        </is>
      </c>
      <c r="E6445" t="inlineStr">
        <is>
          <t>UMEÅ</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54689-2025</t>
        </is>
      </c>
      <c r="B6446" s="1" t="n">
        <v>45966.45277777778</v>
      </c>
      <c r="C6446" s="1" t="n">
        <v>46145</v>
      </c>
      <c r="D6446" t="inlineStr">
        <is>
          <t>VÄSTERBOTTENS LÄN</t>
        </is>
      </c>
      <c r="E6446" t="inlineStr">
        <is>
          <t>STORUMAN</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50726-2024</t>
        </is>
      </c>
      <c r="B6447" s="1" t="n">
        <v>45602.3874537037</v>
      </c>
      <c r="C6447" s="1" t="n">
        <v>46145</v>
      </c>
      <c r="D6447" t="inlineStr">
        <is>
          <t>VÄSTERBOTTENS LÄN</t>
        </is>
      </c>
      <c r="E6447" t="inlineStr">
        <is>
          <t>BJURHOLM</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50728-2024</t>
        </is>
      </c>
      <c r="B6448" s="1" t="n">
        <v>45602.38762731481</v>
      </c>
      <c r="C6448" s="1" t="n">
        <v>46145</v>
      </c>
      <c r="D6448" t="inlineStr">
        <is>
          <t>VÄSTERBOTTENS LÄN</t>
        </is>
      </c>
      <c r="E6448" t="inlineStr">
        <is>
          <t>BJURHOLM</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54739-2025</t>
        </is>
      </c>
      <c r="B6449" s="1" t="n">
        <v>45966.56943287037</v>
      </c>
      <c r="C6449" s="1" t="n">
        <v>46145</v>
      </c>
      <c r="D6449" t="inlineStr">
        <is>
          <t>VÄSTERBOTTENS LÄN</t>
        </is>
      </c>
      <c r="E6449" t="inlineStr">
        <is>
          <t>SORSELE</t>
        </is>
      </c>
      <c r="F6449" t="inlineStr">
        <is>
          <t>Sveaskog</t>
        </is>
      </c>
      <c r="G6449" t="n">
        <v>21.1</v>
      </c>
      <c r="H6449" t="n">
        <v>0</v>
      </c>
      <c r="I6449" t="n">
        <v>0</v>
      </c>
      <c r="J6449" t="n">
        <v>0</v>
      </c>
      <c r="K6449" t="n">
        <v>0</v>
      </c>
      <c r="L6449" t="n">
        <v>0</v>
      </c>
      <c r="M6449" t="n">
        <v>0</v>
      </c>
      <c r="N6449" t="n">
        <v>0</v>
      </c>
      <c r="O6449" t="n">
        <v>0</v>
      </c>
      <c r="P6449" t="n">
        <v>0</v>
      </c>
      <c r="Q6449" t="n">
        <v>0</v>
      </c>
      <c r="R6449" s="2" t="inlineStr"/>
    </row>
    <row r="6450" ht="15" customHeight="1">
      <c r="A6450" t="inlineStr">
        <is>
          <t>A 54742-2025</t>
        </is>
      </c>
      <c r="B6450" s="1" t="n">
        <v>45966.57707175926</v>
      </c>
      <c r="C6450" s="1" t="n">
        <v>46145</v>
      </c>
      <c r="D6450" t="inlineStr">
        <is>
          <t>VÄSTERBOTTENS LÄN</t>
        </is>
      </c>
      <c r="E6450" t="inlineStr">
        <is>
          <t>MALÅ</t>
        </is>
      </c>
      <c r="F6450" t="inlineStr">
        <is>
          <t>Sveaskog</t>
        </is>
      </c>
      <c r="G6450" t="n">
        <v>14.2</v>
      </c>
      <c r="H6450" t="n">
        <v>0</v>
      </c>
      <c r="I6450" t="n">
        <v>0</v>
      </c>
      <c r="J6450" t="n">
        <v>0</v>
      </c>
      <c r="K6450" t="n">
        <v>0</v>
      </c>
      <c r="L6450" t="n">
        <v>0</v>
      </c>
      <c r="M6450" t="n">
        <v>0</v>
      </c>
      <c r="N6450" t="n">
        <v>0</v>
      </c>
      <c r="O6450" t="n">
        <v>0</v>
      </c>
      <c r="P6450" t="n">
        <v>0</v>
      </c>
      <c r="Q6450" t="n">
        <v>0</v>
      </c>
      <c r="R6450" s="2" t="inlineStr"/>
    </row>
    <row r="6451" ht="15" customHeight="1">
      <c r="A6451" t="inlineStr">
        <is>
          <t>A 61030-2022</t>
        </is>
      </c>
      <c r="B6451" s="1" t="n">
        <v>44914</v>
      </c>
      <c r="C6451" s="1" t="n">
        <v>46145</v>
      </c>
      <c r="D6451" t="inlineStr">
        <is>
          <t>VÄSTERBOTTENS LÄN</t>
        </is>
      </c>
      <c r="E6451" t="inlineStr">
        <is>
          <t>SORSELE</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61034-2022</t>
        </is>
      </c>
      <c r="B6452" s="1" t="n">
        <v>44914</v>
      </c>
      <c r="C6452" s="1" t="n">
        <v>46145</v>
      </c>
      <c r="D6452" t="inlineStr">
        <is>
          <t>VÄSTERBOTTENS LÄN</t>
        </is>
      </c>
      <c r="E6452" t="inlineStr">
        <is>
          <t>UMEÅ</t>
        </is>
      </c>
      <c r="G6452" t="n">
        <v>16.7</v>
      </c>
      <c r="H6452" t="n">
        <v>0</v>
      </c>
      <c r="I6452" t="n">
        <v>0</v>
      </c>
      <c r="J6452" t="n">
        <v>0</v>
      </c>
      <c r="K6452" t="n">
        <v>0</v>
      </c>
      <c r="L6452" t="n">
        <v>0</v>
      </c>
      <c r="M6452" t="n">
        <v>0</v>
      </c>
      <c r="N6452" t="n">
        <v>0</v>
      </c>
      <c r="O6452" t="n">
        <v>0</v>
      </c>
      <c r="P6452" t="n">
        <v>0</v>
      </c>
      <c r="Q6452" t="n">
        <v>0</v>
      </c>
      <c r="R6452" s="2" t="inlineStr"/>
    </row>
    <row r="6453" ht="15" customHeight="1">
      <c r="A6453" t="inlineStr">
        <is>
          <t>A 22618-2024</t>
        </is>
      </c>
      <c r="B6453" s="1" t="n">
        <v>45447.65377314815</v>
      </c>
      <c r="C6453" s="1" t="n">
        <v>46145</v>
      </c>
      <c r="D6453" t="inlineStr">
        <is>
          <t>VÄSTERBOTTENS LÄN</t>
        </is>
      </c>
      <c r="E6453" t="inlineStr">
        <is>
          <t>NORDMALING</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22656-2024</t>
        </is>
      </c>
      <c r="B6454" s="1" t="n">
        <v>45447</v>
      </c>
      <c r="C6454" s="1" t="n">
        <v>46145</v>
      </c>
      <c r="D6454" t="inlineStr">
        <is>
          <t>VÄSTERBOTTENS LÄN</t>
        </is>
      </c>
      <c r="E6454" t="inlineStr">
        <is>
          <t>ROBERTSFORS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22657-2024</t>
        </is>
      </c>
      <c r="B6455" s="1" t="n">
        <v>45447</v>
      </c>
      <c r="C6455" s="1" t="n">
        <v>46145</v>
      </c>
      <c r="D6455" t="inlineStr">
        <is>
          <t>VÄSTERBOTTENS LÄN</t>
        </is>
      </c>
      <c r="E6455" t="inlineStr">
        <is>
          <t>SORSELE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54557-2025</t>
        </is>
      </c>
      <c r="B6456" s="1" t="n">
        <v>45965.66099537037</v>
      </c>
      <c r="C6456" s="1" t="n">
        <v>46145</v>
      </c>
      <c r="D6456" t="inlineStr">
        <is>
          <t>VÄSTERBOTTENS LÄN</t>
        </is>
      </c>
      <c r="E6456" t="inlineStr">
        <is>
          <t>SKELLEFTEÅ</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54589-2025</t>
        </is>
      </c>
      <c r="B6457" s="1" t="n">
        <v>45965.74070601852</v>
      </c>
      <c r="C6457" s="1" t="n">
        <v>46145</v>
      </c>
      <c r="D6457" t="inlineStr">
        <is>
          <t>VÄSTERBOTTENS LÄN</t>
        </is>
      </c>
      <c r="E6457" t="inlineStr">
        <is>
          <t>ROBERTSFORS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23446-2024</t>
        </is>
      </c>
      <c r="B6458" s="1" t="n">
        <v>45453</v>
      </c>
      <c r="C6458" s="1" t="n">
        <v>46145</v>
      </c>
      <c r="D6458" t="inlineStr">
        <is>
          <t>VÄSTERBOTTENS LÄN</t>
        </is>
      </c>
      <c r="E6458" t="inlineStr">
        <is>
          <t>VINDELN</t>
        </is>
      </c>
      <c r="F6458" t="inlineStr">
        <is>
          <t>Holmen skog AB</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54607-2025</t>
        </is>
      </c>
      <c r="B6459" s="1" t="n">
        <v>45966.30361111111</v>
      </c>
      <c r="C6459" s="1" t="n">
        <v>46145</v>
      </c>
      <c r="D6459" t="inlineStr">
        <is>
          <t>VÄSTERBOTTENS LÄN</t>
        </is>
      </c>
      <c r="E6459" t="inlineStr">
        <is>
          <t>ROBERTSFORS</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54365-2024</t>
        </is>
      </c>
      <c r="B6460" s="1" t="n">
        <v>45617.41984953704</v>
      </c>
      <c r="C6460" s="1" t="n">
        <v>46145</v>
      </c>
      <c r="D6460" t="inlineStr">
        <is>
          <t>VÄSTERBOTTENS LÄN</t>
        </is>
      </c>
      <c r="E6460" t="inlineStr">
        <is>
          <t>ROBERTSFORS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47155-2023</t>
        </is>
      </c>
      <c r="B6461" s="1" t="n">
        <v>45201.92517361111</v>
      </c>
      <c r="C6461" s="1" t="n">
        <v>46145</v>
      </c>
      <c r="D6461" t="inlineStr">
        <is>
          <t>VÄSTERBOTTENS LÄN</t>
        </is>
      </c>
      <c r="E6461" t="inlineStr">
        <is>
          <t>SKELLEFTEÅ</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54421-2025</t>
        </is>
      </c>
      <c r="B6462" s="1" t="n">
        <v>45965.48461805555</v>
      </c>
      <c r="C6462" s="1" t="n">
        <v>46145</v>
      </c>
      <c r="D6462" t="inlineStr">
        <is>
          <t>VÄSTERBOTTENS LÄN</t>
        </is>
      </c>
      <c r="E6462" t="inlineStr">
        <is>
          <t>VÄNNÄS</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54459-2025</t>
        </is>
      </c>
      <c r="B6463" s="1" t="n">
        <v>45965.55995370371</v>
      </c>
      <c r="C6463" s="1" t="n">
        <v>46145</v>
      </c>
      <c r="D6463" t="inlineStr">
        <is>
          <t>VÄSTERBOTTENS LÄN</t>
        </is>
      </c>
      <c r="E6463" t="inlineStr">
        <is>
          <t>SKELLEFTEÅ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69519-2021</t>
        </is>
      </c>
      <c r="B6464" s="1" t="n">
        <v>44531</v>
      </c>
      <c r="C6464" s="1" t="n">
        <v>46145</v>
      </c>
      <c r="D6464" t="inlineStr">
        <is>
          <t>VÄSTERBOTTENS LÄN</t>
        </is>
      </c>
      <c r="E6464" t="inlineStr">
        <is>
          <t>NORDMALING</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54457-2025</t>
        </is>
      </c>
      <c r="B6465" s="1" t="n">
        <v>45965.55269675926</v>
      </c>
      <c r="C6465" s="1" t="n">
        <v>46145</v>
      </c>
      <c r="D6465" t="inlineStr">
        <is>
          <t>VÄSTERBOTTENS LÄN</t>
        </is>
      </c>
      <c r="E6465" t="inlineStr">
        <is>
          <t>NORDMALING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54473-2025</t>
        </is>
      </c>
      <c r="B6466" s="1" t="n">
        <v>45965.57398148148</v>
      </c>
      <c r="C6466" s="1" t="n">
        <v>46145</v>
      </c>
      <c r="D6466" t="inlineStr">
        <is>
          <t>VÄSTERBOTTENS LÄN</t>
        </is>
      </c>
      <c r="E6466" t="inlineStr">
        <is>
          <t>NORDMALING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54489-2025</t>
        </is>
      </c>
      <c r="B6467" s="1" t="n">
        <v>45965.59481481482</v>
      </c>
      <c r="C6467" s="1" t="n">
        <v>46145</v>
      </c>
      <c r="D6467" t="inlineStr">
        <is>
          <t>VÄSTERBOTTENS LÄN</t>
        </is>
      </c>
      <c r="E6467" t="inlineStr">
        <is>
          <t>DOROTEA</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31696-2024</t>
        </is>
      </c>
      <c r="B6468" s="1" t="n">
        <v>45508</v>
      </c>
      <c r="C6468" s="1" t="n">
        <v>46145</v>
      </c>
      <c r="D6468" t="inlineStr">
        <is>
          <t>VÄSTERBOTTENS LÄN</t>
        </is>
      </c>
      <c r="E6468" t="inlineStr">
        <is>
          <t>VILHELMINA</t>
        </is>
      </c>
      <c r="G6468" t="n">
        <v>12.4</v>
      </c>
      <c r="H6468" t="n">
        <v>0</v>
      </c>
      <c r="I6468" t="n">
        <v>0</v>
      </c>
      <c r="J6468" t="n">
        <v>0</v>
      </c>
      <c r="K6468" t="n">
        <v>0</v>
      </c>
      <c r="L6468" t="n">
        <v>0</v>
      </c>
      <c r="M6468" t="n">
        <v>0</v>
      </c>
      <c r="N6468" t="n">
        <v>0</v>
      </c>
      <c r="O6468" t="n">
        <v>0</v>
      </c>
      <c r="P6468" t="n">
        <v>0</v>
      </c>
      <c r="Q6468" t="n">
        <v>0</v>
      </c>
      <c r="R6468" s="2" t="inlineStr"/>
    </row>
    <row r="6469" ht="15" customHeight="1">
      <c r="A6469" t="inlineStr">
        <is>
          <t>A 54800-2025</t>
        </is>
      </c>
      <c r="B6469" s="1" t="n">
        <v>45966.63836805556</v>
      </c>
      <c r="C6469" s="1" t="n">
        <v>46145</v>
      </c>
      <c r="D6469" t="inlineStr">
        <is>
          <t>VÄSTERBOTTENS LÄN</t>
        </is>
      </c>
      <c r="E6469" t="inlineStr">
        <is>
          <t>NORDMALING</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54846-2025</t>
        </is>
      </c>
      <c r="B6470" s="1" t="n">
        <v>45966.70601851852</v>
      </c>
      <c r="C6470" s="1" t="n">
        <v>46145</v>
      </c>
      <c r="D6470" t="inlineStr">
        <is>
          <t>VÄSTERBOTTENS LÄN</t>
        </is>
      </c>
      <c r="E6470" t="inlineStr">
        <is>
          <t>ÅSELE</t>
        </is>
      </c>
      <c r="F6470" t="inlineStr">
        <is>
          <t>Sveaskog</t>
        </is>
      </c>
      <c r="G6470" t="n">
        <v>21.9</v>
      </c>
      <c r="H6470" t="n">
        <v>0</v>
      </c>
      <c r="I6470" t="n">
        <v>0</v>
      </c>
      <c r="J6470" t="n">
        <v>0</v>
      </c>
      <c r="K6470" t="n">
        <v>0</v>
      </c>
      <c r="L6470" t="n">
        <v>0</v>
      </c>
      <c r="M6470" t="n">
        <v>0</v>
      </c>
      <c r="N6470" t="n">
        <v>0</v>
      </c>
      <c r="O6470" t="n">
        <v>0</v>
      </c>
      <c r="P6470" t="n">
        <v>0</v>
      </c>
      <c r="Q6470" t="n">
        <v>0</v>
      </c>
      <c r="R6470" s="2" t="inlineStr"/>
    </row>
    <row r="6471" ht="15" customHeight="1">
      <c r="A6471" t="inlineStr">
        <is>
          <t>A 54849-2025</t>
        </is>
      </c>
      <c r="B6471" s="1" t="n">
        <v>45966.71070601852</v>
      </c>
      <c r="C6471" s="1" t="n">
        <v>46145</v>
      </c>
      <c r="D6471" t="inlineStr">
        <is>
          <t>VÄSTERBOTTENS LÄN</t>
        </is>
      </c>
      <c r="E6471" t="inlineStr">
        <is>
          <t>ÅSELE</t>
        </is>
      </c>
      <c r="F6471" t="inlineStr">
        <is>
          <t>Sveaskog</t>
        </is>
      </c>
      <c r="G6471" t="n">
        <v>19.3</v>
      </c>
      <c r="H6471" t="n">
        <v>0</v>
      </c>
      <c r="I6471" t="n">
        <v>0</v>
      </c>
      <c r="J6471" t="n">
        <v>0</v>
      </c>
      <c r="K6471" t="n">
        <v>0</v>
      </c>
      <c r="L6471" t="n">
        <v>0</v>
      </c>
      <c r="M6471" t="n">
        <v>0</v>
      </c>
      <c r="N6471" t="n">
        <v>0</v>
      </c>
      <c r="O6471" t="n">
        <v>0</v>
      </c>
      <c r="P6471" t="n">
        <v>0</v>
      </c>
      <c r="Q6471" t="n">
        <v>0</v>
      </c>
      <c r="R6471" s="2" t="inlineStr"/>
    </row>
    <row r="6472" ht="15" customHeight="1">
      <c r="A6472" t="inlineStr">
        <is>
          <t>A 54853-2025</t>
        </is>
      </c>
      <c r="B6472" s="1" t="n">
        <v>45966.72503472222</v>
      </c>
      <c r="C6472" s="1" t="n">
        <v>46145</v>
      </c>
      <c r="D6472" t="inlineStr">
        <is>
          <t>VÄSTERBOTTENS LÄN</t>
        </is>
      </c>
      <c r="E6472" t="inlineStr">
        <is>
          <t>ÅSELE</t>
        </is>
      </c>
      <c r="F6472" t="inlineStr">
        <is>
          <t>Sveaskog</t>
        </is>
      </c>
      <c r="G6472" t="n">
        <v>29.3</v>
      </c>
      <c r="H6472" t="n">
        <v>0</v>
      </c>
      <c r="I6472" t="n">
        <v>0</v>
      </c>
      <c r="J6472" t="n">
        <v>0</v>
      </c>
      <c r="K6472" t="n">
        <v>0</v>
      </c>
      <c r="L6472" t="n">
        <v>0</v>
      </c>
      <c r="M6472" t="n">
        <v>0</v>
      </c>
      <c r="N6472" t="n">
        <v>0</v>
      </c>
      <c r="O6472" t="n">
        <v>0</v>
      </c>
      <c r="P6472" t="n">
        <v>0</v>
      </c>
      <c r="Q6472" t="n">
        <v>0</v>
      </c>
      <c r="R6472" s="2" t="inlineStr"/>
    </row>
    <row r="6473" ht="15" customHeight="1">
      <c r="A6473" t="inlineStr">
        <is>
          <t>A 50617-2024</t>
        </is>
      </c>
      <c r="B6473" s="1" t="n">
        <v>45601.6375462963</v>
      </c>
      <c r="C6473" s="1" t="n">
        <v>46145</v>
      </c>
      <c r="D6473" t="inlineStr">
        <is>
          <t>VÄSTERBOTTENS LÄN</t>
        </is>
      </c>
      <c r="E6473" t="inlineStr">
        <is>
          <t>NORSJÖ</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50621-2024</t>
        </is>
      </c>
      <c r="B6474" s="1" t="n">
        <v>45601</v>
      </c>
      <c r="C6474" s="1" t="n">
        <v>46145</v>
      </c>
      <c r="D6474" t="inlineStr">
        <is>
          <t>VÄSTERBOTTENS LÄN</t>
        </is>
      </c>
      <c r="E6474" t="inlineStr">
        <is>
          <t>VINDELN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49875-2025</t>
        </is>
      </c>
      <c r="B6475" s="1" t="n">
        <v>45940.55391203704</v>
      </c>
      <c r="C6475" s="1" t="n">
        <v>46145</v>
      </c>
      <c r="D6475" t="inlineStr">
        <is>
          <t>VÄSTERBOTTENS LÄN</t>
        </is>
      </c>
      <c r="E6475" t="inlineStr">
        <is>
          <t>UMEÅ</t>
        </is>
      </c>
      <c r="F6475" t="inlineStr">
        <is>
          <t>Kommuner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43791-2024</t>
        </is>
      </c>
      <c r="B6476" s="1" t="n">
        <v>45571</v>
      </c>
      <c r="C6476" s="1" t="n">
        <v>46145</v>
      </c>
      <c r="D6476" t="inlineStr">
        <is>
          <t>VÄSTERBOTTENS LÄN</t>
        </is>
      </c>
      <c r="E6476" t="inlineStr">
        <is>
          <t>VILHELMINA</t>
        </is>
      </c>
      <c r="G6476" t="n">
        <v>30.3</v>
      </c>
      <c r="H6476" t="n">
        <v>0</v>
      </c>
      <c r="I6476" t="n">
        <v>0</v>
      </c>
      <c r="J6476" t="n">
        <v>0</v>
      </c>
      <c r="K6476" t="n">
        <v>0</v>
      </c>
      <c r="L6476" t="n">
        <v>0</v>
      </c>
      <c r="M6476" t="n">
        <v>0</v>
      </c>
      <c r="N6476" t="n">
        <v>0</v>
      </c>
      <c r="O6476" t="n">
        <v>0</v>
      </c>
      <c r="P6476" t="n">
        <v>0</v>
      </c>
      <c r="Q6476" t="n">
        <v>0</v>
      </c>
      <c r="R6476" s="2" t="inlineStr"/>
    </row>
    <row r="6477" ht="15" customHeight="1">
      <c r="A6477" t="inlineStr">
        <is>
          <t>A 43792-2024</t>
        </is>
      </c>
      <c r="B6477" s="1" t="n">
        <v>45571</v>
      </c>
      <c r="C6477" s="1" t="n">
        <v>46145</v>
      </c>
      <c r="D6477" t="inlineStr">
        <is>
          <t>VÄSTERBOTTENS LÄN</t>
        </is>
      </c>
      <c r="E6477" t="inlineStr">
        <is>
          <t>VILHELMINA</t>
        </is>
      </c>
      <c r="G6477" t="n">
        <v>25.3</v>
      </c>
      <c r="H6477" t="n">
        <v>0</v>
      </c>
      <c r="I6477" t="n">
        <v>0</v>
      </c>
      <c r="J6477" t="n">
        <v>0</v>
      </c>
      <c r="K6477" t="n">
        <v>0</v>
      </c>
      <c r="L6477" t="n">
        <v>0</v>
      </c>
      <c r="M6477" t="n">
        <v>0</v>
      </c>
      <c r="N6477" t="n">
        <v>0</v>
      </c>
      <c r="O6477" t="n">
        <v>0</v>
      </c>
      <c r="P6477" t="n">
        <v>0</v>
      </c>
      <c r="Q6477" t="n">
        <v>0</v>
      </c>
      <c r="R6477" s="2" t="inlineStr"/>
    </row>
    <row r="6478" ht="15" customHeight="1">
      <c r="A6478" t="inlineStr">
        <is>
          <t>A 43793-2024</t>
        </is>
      </c>
      <c r="B6478" s="1" t="n">
        <v>45571.49777777777</v>
      </c>
      <c r="C6478" s="1" t="n">
        <v>46145</v>
      </c>
      <c r="D6478" t="inlineStr">
        <is>
          <t>VÄSTERBOTTENS LÄN</t>
        </is>
      </c>
      <c r="E6478" t="inlineStr">
        <is>
          <t>SKELLEFTEÅ</t>
        </is>
      </c>
      <c r="F6478" t="inlineStr">
        <is>
          <t>Sveaskog</t>
        </is>
      </c>
      <c r="G6478" t="n">
        <v>14.1</v>
      </c>
      <c r="H6478" t="n">
        <v>0</v>
      </c>
      <c r="I6478" t="n">
        <v>0</v>
      </c>
      <c r="J6478" t="n">
        <v>0</v>
      </c>
      <c r="K6478" t="n">
        <v>0</v>
      </c>
      <c r="L6478" t="n">
        <v>0</v>
      </c>
      <c r="M6478" t="n">
        <v>0</v>
      </c>
      <c r="N6478" t="n">
        <v>0</v>
      </c>
      <c r="O6478" t="n">
        <v>0</v>
      </c>
      <c r="P6478" t="n">
        <v>0</v>
      </c>
      <c r="Q6478" t="n">
        <v>0</v>
      </c>
      <c r="R6478" s="2" t="inlineStr"/>
    </row>
    <row r="6479" ht="15" customHeight="1">
      <c r="A6479" t="inlineStr">
        <is>
          <t>A 24932-2024</t>
        </is>
      </c>
      <c r="B6479" s="1" t="n">
        <v>45461</v>
      </c>
      <c r="C6479" s="1" t="n">
        <v>46145</v>
      </c>
      <c r="D6479" t="inlineStr">
        <is>
          <t>VÄSTERBOTTENS LÄN</t>
        </is>
      </c>
      <c r="E6479" t="inlineStr">
        <is>
          <t>STORUMAN</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54438-2025</t>
        </is>
      </c>
      <c r="B6480" s="1" t="n">
        <v>45965.50305555556</v>
      </c>
      <c r="C6480" s="1" t="n">
        <v>46145</v>
      </c>
      <c r="D6480" t="inlineStr">
        <is>
          <t>VÄSTERBOTTENS LÄN</t>
        </is>
      </c>
      <c r="E6480" t="inlineStr">
        <is>
          <t>NORDMALING</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54483-2025</t>
        </is>
      </c>
      <c r="B6481" s="1" t="n">
        <v>45965.59125</v>
      </c>
      <c r="C6481" s="1" t="n">
        <v>46145</v>
      </c>
      <c r="D6481" t="inlineStr">
        <is>
          <t>VÄSTERBOTTENS LÄN</t>
        </is>
      </c>
      <c r="E6481" t="inlineStr">
        <is>
          <t>VINDELN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28906-2024</t>
        </is>
      </c>
      <c r="B6482" s="1" t="n">
        <v>45480.57652777778</v>
      </c>
      <c r="C6482" s="1" t="n">
        <v>46145</v>
      </c>
      <c r="D6482" t="inlineStr">
        <is>
          <t>VÄSTERBOTTENS LÄN</t>
        </is>
      </c>
      <c r="E6482" t="inlineStr">
        <is>
          <t>ROBERTSFORS</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29039-2024</t>
        </is>
      </c>
      <c r="B6483" s="1" t="n">
        <v>45481.60922453704</v>
      </c>
      <c r="C6483" s="1" t="n">
        <v>46145</v>
      </c>
      <c r="D6483" t="inlineStr">
        <is>
          <t>VÄSTERBOTTENS LÄN</t>
        </is>
      </c>
      <c r="E6483" t="inlineStr">
        <is>
          <t>ÅSELE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54311-2025</t>
        </is>
      </c>
      <c r="B6484" s="1" t="n">
        <v>45965.31461805556</v>
      </c>
      <c r="C6484" s="1" t="n">
        <v>46145</v>
      </c>
      <c r="D6484" t="inlineStr">
        <is>
          <t>VÄSTERBOTTENS LÄN</t>
        </is>
      </c>
      <c r="E6484" t="inlineStr">
        <is>
          <t>ROBERTSFORS</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54368-2025</t>
        </is>
      </c>
      <c r="B6485" s="1" t="n">
        <v>45965.40554398148</v>
      </c>
      <c r="C6485" s="1" t="n">
        <v>46145</v>
      </c>
      <c r="D6485" t="inlineStr">
        <is>
          <t>VÄSTERBOTTENS LÄN</t>
        </is>
      </c>
      <c r="E6485" t="inlineStr">
        <is>
          <t>NORDMALING</t>
        </is>
      </c>
      <c r="G6485" t="n">
        <v>14.8</v>
      </c>
      <c r="H6485" t="n">
        <v>0</v>
      </c>
      <c r="I6485" t="n">
        <v>0</v>
      </c>
      <c r="J6485" t="n">
        <v>0</v>
      </c>
      <c r="K6485" t="n">
        <v>0</v>
      </c>
      <c r="L6485" t="n">
        <v>0</v>
      </c>
      <c r="M6485" t="n">
        <v>0</v>
      </c>
      <c r="N6485" t="n">
        <v>0</v>
      </c>
      <c r="O6485" t="n">
        <v>0</v>
      </c>
      <c r="P6485" t="n">
        <v>0</v>
      </c>
      <c r="Q6485" t="n">
        <v>0</v>
      </c>
      <c r="R6485" s="2" t="inlineStr"/>
    </row>
    <row r="6486" ht="15" customHeight="1">
      <c r="A6486" t="inlineStr">
        <is>
          <t>A 44588-2024</t>
        </is>
      </c>
      <c r="B6486" s="1" t="n">
        <v>45574.5038425926</v>
      </c>
      <c r="C6486" s="1" t="n">
        <v>46145</v>
      </c>
      <c r="D6486" t="inlineStr">
        <is>
          <t>VÄSTERBOTTENS LÄN</t>
        </is>
      </c>
      <c r="E6486" t="inlineStr">
        <is>
          <t>LYCKSELE</t>
        </is>
      </c>
      <c r="F6486" t="inlineStr">
        <is>
          <t>Sveaskog</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41583-2024</t>
        </is>
      </c>
      <c r="B6487" s="1" t="n">
        <v>45560.55664351852</v>
      </c>
      <c r="C6487" s="1" t="n">
        <v>46145</v>
      </c>
      <c r="D6487" t="inlineStr">
        <is>
          <t>VÄSTERBOTTENS LÄN</t>
        </is>
      </c>
      <c r="E6487" t="inlineStr">
        <is>
          <t>ÅSELE</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15808-2023</t>
        </is>
      </c>
      <c r="B6488" s="1" t="n">
        <v>45021</v>
      </c>
      <c r="C6488" s="1" t="n">
        <v>46145</v>
      </c>
      <c r="D6488" t="inlineStr">
        <is>
          <t>VÄSTERBOTTENS LÄN</t>
        </is>
      </c>
      <c r="E6488" t="inlineStr">
        <is>
          <t>NORDMALING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15809-2023</t>
        </is>
      </c>
      <c r="B6489" s="1" t="n">
        <v>45021</v>
      </c>
      <c r="C6489" s="1" t="n">
        <v>46145</v>
      </c>
      <c r="D6489" t="inlineStr">
        <is>
          <t>VÄSTERBOTTENS LÄN</t>
        </is>
      </c>
      <c r="E6489" t="inlineStr">
        <is>
          <t>LYCKSELE</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7579-2022</t>
        </is>
      </c>
      <c r="B6490" s="1" t="n">
        <v>44607</v>
      </c>
      <c r="C6490" s="1" t="n">
        <v>46145</v>
      </c>
      <c r="D6490" t="inlineStr">
        <is>
          <t>VÄSTERBOTTENS LÄN</t>
        </is>
      </c>
      <c r="E6490" t="inlineStr">
        <is>
          <t>SKELLEFTEÅ</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54320-2025</t>
        </is>
      </c>
      <c r="B6491" s="1" t="n">
        <v>45965.34202546296</v>
      </c>
      <c r="C6491" s="1" t="n">
        <v>46145</v>
      </c>
      <c r="D6491" t="inlineStr">
        <is>
          <t>VÄSTERBOTTENS LÄN</t>
        </is>
      </c>
      <c r="E6491" t="inlineStr">
        <is>
          <t>UMEÅ</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41427-2024</t>
        </is>
      </c>
      <c r="B6492" s="1" t="n">
        <v>45560.35121527778</v>
      </c>
      <c r="C6492" s="1" t="n">
        <v>46145</v>
      </c>
      <c r="D6492" t="inlineStr">
        <is>
          <t>VÄSTERBOTTENS LÄN</t>
        </is>
      </c>
      <c r="E6492" t="inlineStr">
        <is>
          <t>ÅSELE</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38818-2023</t>
        </is>
      </c>
      <c r="B6493" s="1" t="n">
        <v>45161</v>
      </c>
      <c r="C6493" s="1" t="n">
        <v>46145</v>
      </c>
      <c r="D6493" t="inlineStr">
        <is>
          <t>VÄSTERBOTTENS LÄN</t>
        </is>
      </c>
      <c r="E6493" t="inlineStr">
        <is>
          <t>SKELLEFTEÅ</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54690-2025</t>
        </is>
      </c>
      <c r="B6494" s="1" t="n">
        <v>45966.45320601852</v>
      </c>
      <c r="C6494" s="1" t="n">
        <v>46145</v>
      </c>
      <c r="D6494" t="inlineStr">
        <is>
          <t>VÄSTERBOTTENS LÄN</t>
        </is>
      </c>
      <c r="E6494" t="inlineStr">
        <is>
          <t>SKELLEFTEÅ</t>
        </is>
      </c>
      <c r="F6494" t="inlineStr">
        <is>
          <t>Sveaskog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41851-2024</t>
        </is>
      </c>
      <c r="B6495" s="1" t="n">
        <v>45561.43890046296</v>
      </c>
      <c r="C6495" s="1" t="n">
        <v>46145</v>
      </c>
      <c r="D6495" t="inlineStr">
        <is>
          <t>VÄSTERBOTTENS LÄN</t>
        </is>
      </c>
      <c r="E6495" t="inlineStr">
        <is>
          <t>STORUMAN</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37211-2024</t>
        </is>
      </c>
      <c r="B6496" s="1" t="n">
        <v>45539</v>
      </c>
      <c r="C6496" s="1" t="n">
        <v>46145</v>
      </c>
      <c r="D6496" t="inlineStr">
        <is>
          <t>VÄSTERBOTTENS LÄN</t>
        </is>
      </c>
      <c r="E6496" t="inlineStr">
        <is>
          <t>VINDELN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54738-2025</t>
        </is>
      </c>
      <c r="B6497" s="1" t="n">
        <v>45966</v>
      </c>
      <c r="C6497" s="1" t="n">
        <v>46145</v>
      </c>
      <c r="D6497" t="inlineStr">
        <is>
          <t>VÄSTERBOTTENS LÄN</t>
        </is>
      </c>
      <c r="E6497" t="inlineStr">
        <is>
          <t>VILHELMINA</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54327-2025</t>
        </is>
      </c>
      <c r="B6498" s="1" t="n">
        <v>45965.34484953704</v>
      </c>
      <c r="C6498" s="1" t="n">
        <v>46145</v>
      </c>
      <c r="D6498" t="inlineStr">
        <is>
          <t>VÄSTERBOTTENS LÄN</t>
        </is>
      </c>
      <c r="E6498" t="inlineStr">
        <is>
          <t>NORSJÖ</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54628-2025</t>
        </is>
      </c>
      <c r="B6499" s="1" t="n">
        <v>45966.34577546296</v>
      </c>
      <c r="C6499" s="1" t="n">
        <v>46145</v>
      </c>
      <c r="D6499" t="inlineStr">
        <is>
          <t>VÄSTERBOTTENS LÄN</t>
        </is>
      </c>
      <c r="E6499" t="inlineStr">
        <is>
          <t>MALÅ</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37298-2024</t>
        </is>
      </c>
      <c r="B6500" s="1" t="n">
        <v>45540.45724537037</v>
      </c>
      <c r="C6500" s="1" t="n">
        <v>46145</v>
      </c>
      <c r="D6500" t="inlineStr">
        <is>
          <t>VÄSTERBOTTENS LÄN</t>
        </is>
      </c>
      <c r="E6500" t="inlineStr">
        <is>
          <t>SKELLEFTEÅ</t>
        </is>
      </c>
      <c r="F6500" t="inlineStr">
        <is>
          <t>Holmen skog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54570-2025</t>
        </is>
      </c>
      <c r="B6501" s="1" t="n">
        <v>45965.67487268519</v>
      </c>
      <c r="C6501" s="1" t="n">
        <v>46145</v>
      </c>
      <c r="D6501" t="inlineStr">
        <is>
          <t>VÄSTERBOTTENS LÄN</t>
        </is>
      </c>
      <c r="E6501" t="inlineStr">
        <is>
          <t>VÄNNÄS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12005-2023</t>
        </is>
      </c>
      <c r="B6502" s="1" t="n">
        <v>44994</v>
      </c>
      <c r="C6502" s="1" t="n">
        <v>46145</v>
      </c>
      <c r="D6502" t="inlineStr">
        <is>
          <t>VÄSTERBOTTENS LÄN</t>
        </is>
      </c>
      <c r="E6502" t="inlineStr">
        <is>
          <t>DOROTEA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54811-2025</t>
        </is>
      </c>
      <c r="B6503" s="1" t="n">
        <v>45966.64833333333</v>
      </c>
      <c r="C6503" s="1" t="n">
        <v>46145</v>
      </c>
      <c r="D6503" t="inlineStr">
        <is>
          <t>VÄSTERBOTTENS LÄN</t>
        </is>
      </c>
      <c r="E6503" t="inlineStr">
        <is>
          <t>ÅSELE</t>
        </is>
      </c>
      <c r="F6503" t="inlineStr">
        <is>
          <t>Kommuner</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40966-2024</t>
        </is>
      </c>
      <c r="B6504" s="1" t="n">
        <v>45558.67207175926</v>
      </c>
      <c r="C6504" s="1" t="n">
        <v>46145</v>
      </c>
      <c r="D6504" t="inlineStr">
        <is>
          <t>VÄSTERBOTTENS LÄN</t>
        </is>
      </c>
      <c r="E6504" t="inlineStr">
        <is>
          <t>SKELLEFTEÅ</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34844-2023</t>
        </is>
      </c>
      <c r="B6505" s="1" t="n">
        <v>45141.93166666666</v>
      </c>
      <c r="C6505" s="1" t="n">
        <v>46145</v>
      </c>
      <c r="D6505" t="inlineStr">
        <is>
          <t>VÄSTERBOTTENS LÄN</t>
        </is>
      </c>
      <c r="E6505" t="inlineStr">
        <is>
          <t>ROBERTSFORS</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59494-2025</t>
        </is>
      </c>
      <c r="B6506" s="1" t="n">
        <v>45989</v>
      </c>
      <c r="C6506" s="1" t="n">
        <v>46145</v>
      </c>
      <c r="D6506" t="inlineStr">
        <is>
          <t>VÄSTERBOTTENS LÄN</t>
        </is>
      </c>
      <c r="E6506" t="inlineStr">
        <is>
          <t>VILHELMINA</t>
        </is>
      </c>
      <c r="F6506" t="inlineStr">
        <is>
          <t>Allmännings- och besparingsskogar</t>
        </is>
      </c>
      <c r="G6506" t="n">
        <v>36.7</v>
      </c>
      <c r="H6506" t="n">
        <v>0</v>
      </c>
      <c r="I6506" t="n">
        <v>0</v>
      </c>
      <c r="J6506" t="n">
        <v>0</v>
      </c>
      <c r="K6506" t="n">
        <v>0</v>
      </c>
      <c r="L6506" t="n">
        <v>0</v>
      </c>
      <c r="M6506" t="n">
        <v>0</v>
      </c>
      <c r="N6506" t="n">
        <v>0</v>
      </c>
      <c r="O6506" t="n">
        <v>0</v>
      </c>
      <c r="P6506" t="n">
        <v>0</v>
      </c>
      <c r="Q6506" t="n">
        <v>0</v>
      </c>
      <c r="R6506" s="2" t="inlineStr"/>
    </row>
    <row r="6507" ht="15" customHeight="1">
      <c r="A6507" t="inlineStr">
        <is>
          <t>A 41072-2024</t>
        </is>
      </c>
      <c r="B6507" s="1" t="n">
        <v>45559.39484953704</v>
      </c>
      <c r="C6507" s="1" t="n">
        <v>46145</v>
      </c>
      <c r="D6507" t="inlineStr">
        <is>
          <t>VÄSTERBOTTENS LÄN</t>
        </is>
      </c>
      <c r="E6507" t="inlineStr">
        <is>
          <t>SKELLEFTEÅ</t>
        </is>
      </c>
      <c r="F6507" t="inlineStr">
        <is>
          <t>Holmen skog AB</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59476-2025</t>
        </is>
      </c>
      <c r="B6508" s="1" t="n">
        <v>45989</v>
      </c>
      <c r="C6508" s="1" t="n">
        <v>46145</v>
      </c>
      <c r="D6508" t="inlineStr">
        <is>
          <t>VÄSTERBOTTENS LÄN</t>
        </is>
      </c>
      <c r="E6508" t="inlineStr">
        <is>
          <t>VILHELMINA</t>
        </is>
      </c>
      <c r="F6508" t="inlineStr">
        <is>
          <t>Allmännings- och besparingsskogar</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59487-2025</t>
        </is>
      </c>
      <c r="B6509" s="1" t="n">
        <v>45989</v>
      </c>
      <c r="C6509" s="1" t="n">
        <v>46145</v>
      </c>
      <c r="D6509" t="inlineStr">
        <is>
          <t>VÄSTERBOTTENS LÄN</t>
        </is>
      </c>
      <c r="E6509" t="inlineStr">
        <is>
          <t>VILHELMINA</t>
        </is>
      </c>
      <c r="F6509" t="inlineStr">
        <is>
          <t>Allmännings- och besparingsskogar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59492-2025</t>
        </is>
      </c>
      <c r="B6510" s="1" t="n">
        <v>45989</v>
      </c>
      <c r="C6510" s="1" t="n">
        <v>46145</v>
      </c>
      <c r="D6510" t="inlineStr">
        <is>
          <t>VÄSTERBOTTENS LÄN</t>
        </is>
      </c>
      <c r="E6510" t="inlineStr">
        <is>
          <t>VILHELMINA</t>
        </is>
      </c>
      <c r="F6510" t="inlineStr">
        <is>
          <t>Allmännings- och besparingsskogar</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54317-2025</t>
        </is>
      </c>
      <c r="B6511" s="1" t="n">
        <v>45965.32998842592</v>
      </c>
      <c r="C6511" s="1" t="n">
        <v>46145</v>
      </c>
      <c r="D6511" t="inlineStr">
        <is>
          <t>VÄSTERBOTTENS LÄN</t>
        </is>
      </c>
      <c r="E6511" t="inlineStr">
        <is>
          <t>ÅSELE</t>
        </is>
      </c>
      <c r="F6511" t="inlineStr">
        <is>
          <t>Holmen skog AB</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37444-2023</t>
        </is>
      </c>
      <c r="B6512" s="1" t="n">
        <v>45155</v>
      </c>
      <c r="C6512" s="1" t="n">
        <v>46145</v>
      </c>
      <c r="D6512" t="inlineStr">
        <is>
          <t>VÄSTERBOTTENS LÄN</t>
        </is>
      </c>
      <c r="E6512" t="inlineStr">
        <is>
          <t>MALÅ</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37474-2023</t>
        </is>
      </c>
      <c r="B6513" s="1" t="n">
        <v>45156.92446759259</v>
      </c>
      <c r="C6513" s="1" t="n">
        <v>46145</v>
      </c>
      <c r="D6513" t="inlineStr">
        <is>
          <t>VÄSTERBOTTENS LÄN</t>
        </is>
      </c>
      <c r="E6513" t="inlineStr">
        <is>
          <t>SKELLEFTEÅ</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34901-2023</t>
        </is>
      </c>
      <c r="B6514" s="1" t="n">
        <v>45141</v>
      </c>
      <c r="C6514" s="1" t="n">
        <v>46145</v>
      </c>
      <c r="D6514" t="inlineStr">
        <is>
          <t>VÄSTERBOTTENS LÄN</t>
        </is>
      </c>
      <c r="E6514" t="inlineStr">
        <is>
          <t>NORDMALING</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34905-2023</t>
        </is>
      </c>
      <c r="B6515" s="1" t="n">
        <v>45141</v>
      </c>
      <c r="C6515" s="1" t="n">
        <v>46145</v>
      </c>
      <c r="D6515" t="inlineStr">
        <is>
          <t>VÄSTERBOTTENS LÄN</t>
        </is>
      </c>
      <c r="E6515" t="inlineStr">
        <is>
          <t>NORDMALING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54326-2025</t>
        </is>
      </c>
      <c r="B6516" s="1" t="n">
        <v>45965.34479166667</v>
      </c>
      <c r="C6516" s="1" t="n">
        <v>46145</v>
      </c>
      <c r="D6516" t="inlineStr">
        <is>
          <t>VÄSTERBOTTENS LÄN</t>
        </is>
      </c>
      <c r="E6516" t="inlineStr">
        <is>
          <t>NORSJÖ</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64625-2023</t>
        </is>
      </c>
      <c r="B6517" s="1" t="n">
        <v>45281.53866898148</v>
      </c>
      <c r="C6517" s="1" t="n">
        <v>46145</v>
      </c>
      <c r="D6517" t="inlineStr">
        <is>
          <t>VÄSTERBOTTENS LÄN</t>
        </is>
      </c>
      <c r="E6517" t="inlineStr">
        <is>
          <t>ROBERTSFORS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54786-2025</t>
        </is>
      </c>
      <c r="B6518" s="1" t="n">
        <v>45966</v>
      </c>
      <c r="C6518" s="1" t="n">
        <v>46145</v>
      </c>
      <c r="D6518" t="inlineStr">
        <is>
          <t>VÄSTERBOTTENS LÄN</t>
        </is>
      </c>
      <c r="E6518" t="inlineStr">
        <is>
          <t>NORSJÖ</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54792-2025</t>
        </is>
      </c>
      <c r="B6519" s="1" t="n">
        <v>45966.63467592592</v>
      </c>
      <c r="C6519" s="1" t="n">
        <v>46145</v>
      </c>
      <c r="D6519" t="inlineStr">
        <is>
          <t>VÄSTERBOTTENS LÄN</t>
        </is>
      </c>
      <c r="E6519" t="inlineStr">
        <is>
          <t>NORSJÖ</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64656-2023</t>
        </is>
      </c>
      <c r="B6520" s="1" t="n">
        <v>45281</v>
      </c>
      <c r="C6520" s="1" t="n">
        <v>46145</v>
      </c>
      <c r="D6520" t="inlineStr">
        <is>
          <t>VÄSTERBOTTENS LÄN</t>
        </is>
      </c>
      <c r="E6520" t="inlineStr">
        <is>
          <t>LYCKSELE</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54287-2025</t>
        </is>
      </c>
      <c r="B6521" s="1" t="n">
        <v>45964.80555555555</v>
      </c>
      <c r="C6521" s="1" t="n">
        <v>46145</v>
      </c>
      <c r="D6521" t="inlineStr">
        <is>
          <t>VÄSTERBOTTENS LÄN</t>
        </is>
      </c>
      <c r="E6521" t="inlineStr">
        <is>
          <t>SKELLEFTEÅ</t>
        </is>
      </c>
      <c r="F6521" t="inlineStr">
        <is>
          <t>Sveaskog</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26372-2024</t>
        </is>
      </c>
      <c r="B6522" s="1" t="n">
        <v>45468</v>
      </c>
      <c r="C6522" s="1" t="n">
        <v>46145</v>
      </c>
      <c r="D6522" t="inlineStr">
        <is>
          <t>VÄSTERBOTTENS LÄN</t>
        </is>
      </c>
      <c r="E6522" t="inlineStr">
        <is>
          <t>ROBERTSFORS</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54760-2025</t>
        </is>
      </c>
      <c r="B6523" s="1" t="n">
        <v>45966.59900462963</v>
      </c>
      <c r="C6523" s="1" t="n">
        <v>46145</v>
      </c>
      <c r="D6523" t="inlineStr">
        <is>
          <t>VÄSTERBOTTENS LÄN</t>
        </is>
      </c>
      <c r="E6523" t="inlineStr">
        <is>
          <t>MALÅ</t>
        </is>
      </c>
      <c r="F6523" t="inlineStr">
        <is>
          <t>Sveaskog</t>
        </is>
      </c>
      <c r="G6523" t="n">
        <v>11.9</v>
      </c>
      <c r="H6523" t="n">
        <v>0</v>
      </c>
      <c r="I6523" t="n">
        <v>0</v>
      </c>
      <c r="J6523" t="n">
        <v>0</v>
      </c>
      <c r="K6523" t="n">
        <v>0</v>
      </c>
      <c r="L6523" t="n">
        <v>0</v>
      </c>
      <c r="M6523" t="n">
        <v>0</v>
      </c>
      <c r="N6523" t="n">
        <v>0</v>
      </c>
      <c r="O6523" t="n">
        <v>0</v>
      </c>
      <c r="P6523" t="n">
        <v>0</v>
      </c>
      <c r="Q6523" t="n">
        <v>0</v>
      </c>
      <c r="R6523" s="2" t="inlineStr"/>
    </row>
    <row r="6524" ht="15" customHeight="1">
      <c r="A6524" t="inlineStr">
        <is>
          <t>A 54623-2025</t>
        </is>
      </c>
      <c r="B6524" s="1" t="n">
        <v>45966.34535879629</v>
      </c>
      <c r="C6524" s="1" t="n">
        <v>46145</v>
      </c>
      <c r="D6524" t="inlineStr">
        <is>
          <t>VÄSTERBOTTENS LÄN</t>
        </is>
      </c>
      <c r="E6524" t="inlineStr">
        <is>
          <t>DOROTEA</t>
        </is>
      </c>
      <c r="F6524" t="inlineStr">
        <is>
          <t>SCA</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36376-2023</t>
        </is>
      </c>
      <c r="B6525" s="1" t="n">
        <v>45152</v>
      </c>
      <c r="C6525" s="1" t="n">
        <v>46145</v>
      </c>
      <c r="D6525" t="inlineStr">
        <is>
          <t>VÄSTERBOTTENS LÄN</t>
        </is>
      </c>
      <c r="E6525" t="inlineStr">
        <is>
          <t>VILHELMINA</t>
        </is>
      </c>
      <c r="G6525" t="n">
        <v>12.7</v>
      </c>
      <c r="H6525" t="n">
        <v>0</v>
      </c>
      <c r="I6525" t="n">
        <v>0</v>
      </c>
      <c r="J6525" t="n">
        <v>0</v>
      </c>
      <c r="K6525" t="n">
        <v>0</v>
      </c>
      <c r="L6525" t="n">
        <v>0</v>
      </c>
      <c r="M6525" t="n">
        <v>0</v>
      </c>
      <c r="N6525" t="n">
        <v>0</v>
      </c>
      <c r="O6525" t="n">
        <v>0</v>
      </c>
      <c r="P6525" t="n">
        <v>0</v>
      </c>
      <c r="Q6525" t="n">
        <v>0</v>
      </c>
      <c r="R6525" s="2" t="inlineStr"/>
    </row>
    <row r="6526" ht="15" customHeight="1">
      <c r="A6526" t="inlineStr">
        <is>
          <t>A 36425-2023</t>
        </is>
      </c>
      <c r="B6526" s="1" t="n">
        <v>45152</v>
      </c>
      <c r="C6526" s="1" t="n">
        <v>46145</v>
      </c>
      <c r="D6526" t="inlineStr">
        <is>
          <t>VÄSTERBOTTENS LÄN</t>
        </is>
      </c>
      <c r="E6526" t="inlineStr">
        <is>
          <t>MALÅ</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27852-2024</t>
        </is>
      </c>
      <c r="B6527" s="1" t="n">
        <v>45475</v>
      </c>
      <c r="C6527" s="1" t="n">
        <v>46145</v>
      </c>
      <c r="D6527" t="inlineStr">
        <is>
          <t>VÄSTERBOTTENS LÄN</t>
        </is>
      </c>
      <c r="E6527" t="inlineStr">
        <is>
          <t>ROBERTSFORS</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54832-2025</t>
        </is>
      </c>
      <c r="B6528" s="1" t="n">
        <v>45966.67761574074</v>
      </c>
      <c r="C6528" s="1" t="n">
        <v>46145</v>
      </c>
      <c r="D6528" t="inlineStr">
        <is>
          <t>VÄSTERBOTTENS LÄN</t>
        </is>
      </c>
      <c r="E6528" t="inlineStr">
        <is>
          <t>ÅSELE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72125-2021</t>
        </is>
      </c>
      <c r="B6529" s="1" t="n">
        <v>44543</v>
      </c>
      <c r="C6529" s="1" t="n">
        <v>46145</v>
      </c>
      <c r="D6529" t="inlineStr">
        <is>
          <t>VÄSTERBOTTENS LÄN</t>
        </is>
      </c>
      <c r="E6529" t="inlineStr">
        <is>
          <t>UMEÅ</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30575-2024</t>
        </is>
      </c>
      <c r="B6530" s="1" t="n">
        <v>45492.95818287037</v>
      </c>
      <c r="C6530" s="1" t="n">
        <v>46145</v>
      </c>
      <c r="D6530" t="inlineStr">
        <is>
          <t>VÄSTERBOTTENS LÄN</t>
        </is>
      </c>
      <c r="E6530" t="inlineStr">
        <is>
          <t>VILHELMINA</t>
        </is>
      </c>
      <c r="F6530" t="inlineStr">
        <is>
          <t>SCA</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54288-2025</t>
        </is>
      </c>
      <c r="B6531" s="1" t="n">
        <v>45964.80960648148</v>
      </c>
      <c r="C6531" s="1" t="n">
        <v>46145</v>
      </c>
      <c r="D6531" t="inlineStr">
        <is>
          <t>VÄSTERBOTTENS LÄN</t>
        </is>
      </c>
      <c r="E6531" t="inlineStr">
        <is>
          <t>SKELLEFTEÅ</t>
        </is>
      </c>
      <c r="F6531" t="inlineStr">
        <is>
          <t>Sveaskog</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54321-2025</t>
        </is>
      </c>
      <c r="B6532" s="1" t="n">
        <v>45965.34315972222</v>
      </c>
      <c r="C6532" s="1" t="n">
        <v>46145</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54324-2025</t>
        </is>
      </c>
      <c r="B6533" s="1" t="n">
        <v>45965.3446875</v>
      </c>
      <c r="C6533" s="1" t="n">
        <v>46145</v>
      </c>
      <c r="D6533" t="inlineStr">
        <is>
          <t>VÄSTERBOTTENS LÄN</t>
        </is>
      </c>
      <c r="E6533" t="inlineStr">
        <is>
          <t>NORSJÖ</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54325-2025</t>
        </is>
      </c>
      <c r="B6534" s="1" t="n">
        <v>45965.34471064815</v>
      </c>
      <c r="C6534" s="1" t="n">
        <v>46145</v>
      </c>
      <c r="D6534" t="inlineStr">
        <is>
          <t>VÄSTERBOTTENS LÄN</t>
        </is>
      </c>
      <c r="E6534" t="inlineStr">
        <is>
          <t>NORSJÖ</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30578-2024</t>
        </is>
      </c>
      <c r="B6535" s="1" t="n">
        <v>45492.95939814814</v>
      </c>
      <c r="C6535" s="1" t="n">
        <v>46145</v>
      </c>
      <c r="D6535" t="inlineStr">
        <is>
          <t>VÄSTERBOTTENS LÄN</t>
        </is>
      </c>
      <c r="E6535" t="inlineStr">
        <is>
          <t>VILHELMINA</t>
        </is>
      </c>
      <c r="F6535" t="inlineStr">
        <is>
          <t>SCA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30580-2024</t>
        </is>
      </c>
      <c r="B6536" s="1" t="n">
        <v>45492.95981481481</v>
      </c>
      <c r="C6536" s="1" t="n">
        <v>46145</v>
      </c>
      <c r="D6536" t="inlineStr">
        <is>
          <t>VÄSTERBOTTENS LÄN</t>
        </is>
      </c>
      <c r="E6536" t="inlineStr">
        <is>
          <t>VILHELMINA</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30581-2024</t>
        </is>
      </c>
      <c r="B6537" s="1" t="n">
        <v>45492.96038194445</v>
      </c>
      <c r="C6537" s="1" t="n">
        <v>46145</v>
      </c>
      <c r="D6537" t="inlineStr">
        <is>
          <t>VÄSTERBOTTENS LÄN</t>
        </is>
      </c>
      <c r="E6537" t="inlineStr">
        <is>
          <t>LYCKSELE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72018-2021</t>
        </is>
      </c>
      <c r="B6538" s="1" t="n">
        <v>44540</v>
      </c>
      <c r="C6538" s="1" t="n">
        <v>46145</v>
      </c>
      <c r="D6538" t="inlineStr">
        <is>
          <t>VÄSTERBOTTENS LÄN</t>
        </is>
      </c>
      <c r="E6538" t="inlineStr">
        <is>
          <t>NORDMALING</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72153-2021</t>
        </is>
      </c>
      <c r="B6539" s="1" t="n">
        <v>44543</v>
      </c>
      <c r="C6539" s="1" t="n">
        <v>46145</v>
      </c>
      <c r="D6539" t="inlineStr">
        <is>
          <t>VÄSTERBOTTENS LÄN</t>
        </is>
      </c>
      <c r="E6539" t="inlineStr">
        <is>
          <t>VILHELMINA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54464-2025</t>
        </is>
      </c>
      <c r="B6540" s="1" t="n">
        <v>45965.56611111111</v>
      </c>
      <c r="C6540" s="1" t="n">
        <v>46145</v>
      </c>
      <c r="D6540" t="inlineStr">
        <is>
          <t>VÄSTERBOTTENS LÄN</t>
        </is>
      </c>
      <c r="E6540" t="inlineStr">
        <is>
          <t>SKELLEFTEÅ</t>
        </is>
      </c>
      <c r="F6540" t="inlineStr">
        <is>
          <t>Sveaskog</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35983-2023</t>
        </is>
      </c>
      <c r="B6541" s="1" t="n">
        <v>45148.96185185185</v>
      </c>
      <c r="C6541" s="1" t="n">
        <v>46145</v>
      </c>
      <c r="D6541" t="inlineStr">
        <is>
          <t>VÄSTERBOTTENS LÄN</t>
        </is>
      </c>
      <c r="E6541" t="inlineStr">
        <is>
          <t>VILHELMINA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54552-2025</t>
        </is>
      </c>
      <c r="B6542" s="1" t="n">
        <v>45965.658125</v>
      </c>
      <c r="C6542" s="1" t="n">
        <v>46145</v>
      </c>
      <c r="D6542" t="inlineStr">
        <is>
          <t>VÄSTERBOTTENS LÄN</t>
        </is>
      </c>
      <c r="E6542" t="inlineStr">
        <is>
          <t>SKELLEFTEÅ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29524-2023</t>
        </is>
      </c>
      <c r="B6543" s="1" t="n">
        <v>45106.62175925926</v>
      </c>
      <c r="C6543" s="1" t="n">
        <v>46145</v>
      </c>
      <c r="D6543" t="inlineStr">
        <is>
          <t>VÄSTERBOTTENS LÄN</t>
        </is>
      </c>
      <c r="E6543" t="inlineStr">
        <is>
          <t>LYCKSELE</t>
        </is>
      </c>
      <c r="F6543" t="inlineStr">
        <is>
          <t>Holmen skog AB</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53148-2024</t>
        </is>
      </c>
      <c r="B6544" s="1" t="n">
        <v>45611</v>
      </c>
      <c r="C6544" s="1" t="n">
        <v>46145</v>
      </c>
      <c r="D6544" t="inlineStr">
        <is>
          <t>VÄSTERBOTTENS LÄN</t>
        </is>
      </c>
      <c r="E6544" t="inlineStr">
        <is>
          <t>STORUMAN</t>
        </is>
      </c>
      <c r="F6544" t="inlineStr">
        <is>
          <t>Allmännings- och besparingsskogar</t>
        </is>
      </c>
      <c r="G6544" t="n">
        <v>117.5</v>
      </c>
      <c r="H6544" t="n">
        <v>0</v>
      </c>
      <c r="I6544" t="n">
        <v>0</v>
      </c>
      <c r="J6544" t="n">
        <v>0</v>
      </c>
      <c r="K6544" t="n">
        <v>0</v>
      </c>
      <c r="L6544" t="n">
        <v>0</v>
      </c>
      <c r="M6544" t="n">
        <v>0</v>
      </c>
      <c r="N6544" t="n">
        <v>0</v>
      </c>
      <c r="O6544" t="n">
        <v>0</v>
      </c>
      <c r="P6544" t="n">
        <v>0</v>
      </c>
      <c r="Q6544" t="n">
        <v>0</v>
      </c>
      <c r="R6544" s="2" t="inlineStr"/>
    </row>
    <row r="6545" ht="15" customHeight="1">
      <c r="A6545" t="inlineStr">
        <is>
          <t>A 46156-2024</t>
        </is>
      </c>
      <c r="B6545" s="1" t="n">
        <v>45581.45914351852</v>
      </c>
      <c r="C6545" s="1" t="n">
        <v>46145</v>
      </c>
      <c r="D6545" t="inlineStr">
        <is>
          <t>VÄSTERBOTTENS LÄN</t>
        </is>
      </c>
      <c r="E6545" t="inlineStr">
        <is>
          <t>ROBERTSFORS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32683-2024</t>
        </is>
      </c>
      <c r="B6546" s="1" t="n">
        <v>45515</v>
      </c>
      <c r="C6546" s="1" t="n">
        <v>46145</v>
      </c>
      <c r="D6546" t="inlineStr">
        <is>
          <t>VÄSTERBOTTENS LÄN</t>
        </is>
      </c>
      <c r="E6546" t="inlineStr">
        <is>
          <t>VILHELMINA</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54624-2025</t>
        </is>
      </c>
      <c r="B6547" s="1" t="n">
        <v>45966.34540509259</v>
      </c>
      <c r="C6547" s="1" t="n">
        <v>46145</v>
      </c>
      <c r="D6547" t="inlineStr">
        <is>
          <t>VÄSTERBOTTENS LÄN</t>
        </is>
      </c>
      <c r="E6547" t="inlineStr">
        <is>
          <t>DOROTEA</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54572-2025</t>
        </is>
      </c>
      <c r="B6548" s="1" t="n">
        <v>45965</v>
      </c>
      <c r="C6548" s="1" t="n">
        <v>46145</v>
      </c>
      <c r="D6548" t="inlineStr">
        <is>
          <t>VÄSTERBOTTENS LÄN</t>
        </is>
      </c>
      <c r="E6548" t="inlineStr">
        <is>
          <t>SKELLEFTEÅ</t>
        </is>
      </c>
      <c r="F6548" t="inlineStr">
        <is>
          <t>Kyrkan</t>
        </is>
      </c>
      <c r="G6548" t="n">
        <v>12.8</v>
      </c>
      <c r="H6548" t="n">
        <v>0</v>
      </c>
      <c r="I6548" t="n">
        <v>0</v>
      </c>
      <c r="J6548" t="n">
        <v>0</v>
      </c>
      <c r="K6548" t="n">
        <v>0</v>
      </c>
      <c r="L6548" t="n">
        <v>0</v>
      </c>
      <c r="M6548" t="n">
        <v>0</v>
      </c>
      <c r="N6548" t="n">
        <v>0</v>
      </c>
      <c r="O6548" t="n">
        <v>0</v>
      </c>
      <c r="P6548" t="n">
        <v>0</v>
      </c>
      <c r="Q6548" t="n">
        <v>0</v>
      </c>
      <c r="R6548" s="2" t="inlineStr"/>
    </row>
    <row r="6549" ht="15" customHeight="1">
      <c r="A6549" t="inlineStr">
        <is>
          <t>A 54588-2025</t>
        </is>
      </c>
      <c r="B6549" s="1" t="n">
        <v>45965.73465277778</v>
      </c>
      <c r="C6549" s="1" t="n">
        <v>46145</v>
      </c>
      <c r="D6549" t="inlineStr">
        <is>
          <t>VÄSTERBOTTENS LÄN</t>
        </is>
      </c>
      <c r="E6549" t="inlineStr">
        <is>
          <t>ROBERTSFORS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54456-2025</t>
        </is>
      </c>
      <c r="B6550" s="1" t="n">
        <v>45965.55259259259</v>
      </c>
      <c r="C6550" s="1" t="n">
        <v>46145</v>
      </c>
      <c r="D6550" t="inlineStr">
        <is>
          <t>VÄSTERBOTTENS LÄN</t>
        </is>
      </c>
      <c r="E6550" t="inlineStr">
        <is>
          <t>MALÅ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24415-2024</t>
        </is>
      </c>
      <c r="B6551" s="1" t="n">
        <v>45457</v>
      </c>
      <c r="C6551" s="1" t="n">
        <v>46145</v>
      </c>
      <c r="D6551" t="inlineStr">
        <is>
          <t>VÄSTERBOTTENS LÄN</t>
        </is>
      </c>
      <c r="E6551" t="inlineStr">
        <is>
          <t>NORDMALING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54745-2025</t>
        </is>
      </c>
      <c r="B6552" s="1" t="n">
        <v>45966</v>
      </c>
      <c r="C6552" s="1" t="n">
        <v>46145</v>
      </c>
      <c r="D6552" t="inlineStr">
        <is>
          <t>VÄSTERBOTTENS LÄN</t>
        </is>
      </c>
      <c r="E6552" t="inlineStr">
        <is>
          <t>NORSJÖ</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54748-2025</t>
        </is>
      </c>
      <c r="B6553" s="1" t="n">
        <v>45966</v>
      </c>
      <c r="C6553" s="1" t="n">
        <v>46145</v>
      </c>
      <c r="D6553" t="inlineStr">
        <is>
          <t>VÄSTERBOTTENS LÄN</t>
        </is>
      </c>
      <c r="E6553" t="inlineStr">
        <is>
          <t>NORSJÖ</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54756-2025</t>
        </is>
      </c>
      <c r="B6554" s="1" t="n">
        <v>45966</v>
      </c>
      <c r="C6554" s="1" t="n">
        <v>46145</v>
      </c>
      <c r="D6554" t="inlineStr">
        <is>
          <t>VÄSTERBOTTENS LÄN</t>
        </is>
      </c>
      <c r="E6554" t="inlineStr">
        <is>
          <t>NORSJÖ</t>
        </is>
      </c>
      <c r="G6554" t="n">
        <v>17.5</v>
      </c>
      <c r="H6554" t="n">
        <v>0</v>
      </c>
      <c r="I6554" t="n">
        <v>0</v>
      </c>
      <c r="J6554" t="n">
        <v>0</v>
      </c>
      <c r="K6554" t="n">
        <v>0</v>
      </c>
      <c r="L6554" t="n">
        <v>0</v>
      </c>
      <c r="M6554" t="n">
        <v>0</v>
      </c>
      <c r="N6554" t="n">
        <v>0</v>
      </c>
      <c r="O6554" t="n">
        <v>0</v>
      </c>
      <c r="P6554" t="n">
        <v>0</v>
      </c>
      <c r="Q6554" t="n">
        <v>0</v>
      </c>
      <c r="R6554" s="2" t="inlineStr"/>
    </row>
    <row r="6555" ht="15" customHeight="1">
      <c r="A6555" t="inlineStr">
        <is>
          <t>A 31946-2024</t>
        </is>
      </c>
      <c r="B6555" s="1" t="n">
        <v>45510</v>
      </c>
      <c r="C6555" s="1" t="n">
        <v>46145</v>
      </c>
      <c r="D6555" t="inlineStr">
        <is>
          <t>VÄSTERBOTTENS LÄN</t>
        </is>
      </c>
      <c r="E6555" t="inlineStr">
        <is>
          <t>VINDELN</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23520-2024</t>
        </is>
      </c>
      <c r="B6556" s="1" t="n">
        <v>45453</v>
      </c>
      <c r="C6556" s="1" t="n">
        <v>46145</v>
      </c>
      <c r="D6556" t="inlineStr">
        <is>
          <t>VÄSTERBOTTENS LÄN</t>
        </is>
      </c>
      <c r="E6556" t="inlineStr">
        <is>
          <t>SKELLEFTEÅ</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59486-2025</t>
        </is>
      </c>
      <c r="B6557" s="1" t="n">
        <v>45989</v>
      </c>
      <c r="C6557" s="1" t="n">
        <v>46145</v>
      </c>
      <c r="D6557" t="inlineStr">
        <is>
          <t>VÄSTERBOTTENS LÄN</t>
        </is>
      </c>
      <c r="E6557" t="inlineStr">
        <is>
          <t>VILHELMINA</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59501-2025</t>
        </is>
      </c>
      <c r="B6558" s="1" t="n">
        <v>45989</v>
      </c>
      <c r="C6558" s="1" t="n">
        <v>46145</v>
      </c>
      <c r="D6558" t="inlineStr">
        <is>
          <t>VÄSTERBOTTENS LÄN</t>
        </is>
      </c>
      <c r="E6558" t="inlineStr">
        <is>
          <t>VILHELMINA</t>
        </is>
      </c>
      <c r="F6558" t="inlineStr">
        <is>
          <t>Allmännings- och besparingsskogar</t>
        </is>
      </c>
      <c r="G6558" t="n">
        <v>62.2</v>
      </c>
      <c r="H6558" t="n">
        <v>0</v>
      </c>
      <c r="I6558" t="n">
        <v>0</v>
      </c>
      <c r="J6558" t="n">
        <v>0</v>
      </c>
      <c r="K6558" t="n">
        <v>0</v>
      </c>
      <c r="L6558" t="n">
        <v>0</v>
      </c>
      <c r="M6558" t="n">
        <v>0</v>
      </c>
      <c r="N6558" t="n">
        <v>0</v>
      </c>
      <c r="O6558" t="n">
        <v>0</v>
      </c>
      <c r="P6558" t="n">
        <v>0</v>
      </c>
      <c r="Q6558" t="n">
        <v>0</v>
      </c>
      <c r="R6558" s="2" t="inlineStr"/>
    </row>
    <row r="6559" ht="15" customHeight="1">
      <c r="A6559" t="inlineStr">
        <is>
          <t>A 23536-2024</t>
        </is>
      </c>
      <c r="B6559" s="1" t="n">
        <v>45453.95199074074</v>
      </c>
      <c r="C6559" s="1" t="n">
        <v>46145</v>
      </c>
      <c r="D6559" t="inlineStr">
        <is>
          <t>VÄSTERBOTTENS LÄN</t>
        </is>
      </c>
      <c r="E6559" t="inlineStr">
        <is>
          <t>VILHELMINA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31966-2024</t>
        </is>
      </c>
      <c r="B6560" s="1" t="n">
        <v>45510.53748842593</v>
      </c>
      <c r="C6560" s="1" t="n">
        <v>46145</v>
      </c>
      <c r="D6560" t="inlineStr">
        <is>
          <t>VÄSTERBOTTENS LÄN</t>
        </is>
      </c>
      <c r="E6560" t="inlineStr">
        <is>
          <t>SKELLEFTEÅ</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54435-2025</t>
        </is>
      </c>
      <c r="B6561" s="1" t="n">
        <v>45965.49858796296</v>
      </c>
      <c r="C6561" s="1" t="n">
        <v>46145</v>
      </c>
      <c r="D6561" t="inlineStr">
        <is>
          <t>VÄSTERBOTTENS LÄN</t>
        </is>
      </c>
      <c r="E6561" t="inlineStr">
        <is>
          <t>VINDELN</t>
        </is>
      </c>
      <c r="G6561" t="n">
        <v>14.8</v>
      </c>
      <c r="H6561" t="n">
        <v>0</v>
      </c>
      <c r="I6561" t="n">
        <v>0</v>
      </c>
      <c r="J6561" t="n">
        <v>0</v>
      </c>
      <c r="K6561" t="n">
        <v>0</v>
      </c>
      <c r="L6561" t="n">
        <v>0</v>
      </c>
      <c r="M6561" t="n">
        <v>0</v>
      </c>
      <c r="N6561" t="n">
        <v>0</v>
      </c>
      <c r="O6561" t="n">
        <v>0</v>
      </c>
      <c r="P6561" t="n">
        <v>0</v>
      </c>
      <c r="Q6561" t="n">
        <v>0</v>
      </c>
      <c r="R6561" s="2" t="inlineStr"/>
    </row>
    <row r="6562" ht="15" customHeight="1">
      <c r="A6562" t="inlineStr">
        <is>
          <t>A 54474-2025</t>
        </is>
      </c>
      <c r="B6562" s="1" t="n">
        <v>45965.57400462963</v>
      </c>
      <c r="C6562" s="1" t="n">
        <v>46145</v>
      </c>
      <c r="D6562" t="inlineStr">
        <is>
          <t>VÄSTERBOTTENS LÄN</t>
        </is>
      </c>
      <c r="E6562" t="inlineStr">
        <is>
          <t>NORDMALING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54594-2025</t>
        </is>
      </c>
      <c r="B6563" s="1" t="n">
        <v>45965.7542824074</v>
      </c>
      <c r="C6563" s="1" t="n">
        <v>46145</v>
      </c>
      <c r="D6563" t="inlineStr">
        <is>
          <t>VÄSTERBOTTENS LÄN</t>
        </is>
      </c>
      <c r="E6563" t="inlineStr">
        <is>
          <t>ROBERTSFORS</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54795-2025</t>
        </is>
      </c>
      <c r="B6564" s="1" t="n">
        <v>45966.63616898148</v>
      </c>
      <c r="C6564" s="1" t="n">
        <v>46145</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54796-2025</t>
        </is>
      </c>
      <c r="B6565" s="1" t="n">
        <v>45966.63635416667</v>
      </c>
      <c r="C6565" s="1" t="n">
        <v>46145</v>
      </c>
      <c r="D6565" t="inlineStr">
        <is>
          <t>VÄSTERBOTTENS LÄN</t>
        </is>
      </c>
      <c r="E6565" t="inlineStr">
        <is>
          <t>UMEÅ</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54797-2025</t>
        </is>
      </c>
      <c r="B6566" s="1" t="n">
        <v>45966.63638888889</v>
      </c>
      <c r="C6566" s="1" t="n">
        <v>46145</v>
      </c>
      <c r="D6566" t="inlineStr">
        <is>
          <t>VÄSTERBOTTENS LÄN</t>
        </is>
      </c>
      <c r="E6566" t="inlineStr">
        <is>
          <t>UMEÅ</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27818-2024</t>
        </is>
      </c>
      <c r="B6567" s="1" t="n">
        <v>45475.60128472222</v>
      </c>
      <c r="C6567" s="1" t="n">
        <v>46145</v>
      </c>
      <c r="D6567" t="inlineStr">
        <is>
          <t>VÄSTERBOTTENS LÄN</t>
        </is>
      </c>
      <c r="E6567" t="inlineStr">
        <is>
          <t>LYCKSELE</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10852-2023</t>
        </is>
      </c>
      <c r="B6568" s="1" t="n">
        <v>44985</v>
      </c>
      <c r="C6568" s="1" t="n">
        <v>46145</v>
      </c>
      <c r="D6568" t="inlineStr">
        <is>
          <t>VÄSTERBOTTENS LÄN</t>
        </is>
      </c>
      <c r="E6568" t="inlineStr">
        <is>
          <t>SKELLEFTEÅ</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55030-2025</t>
        </is>
      </c>
      <c r="B6569" s="1" t="n">
        <v>45967.64042824074</v>
      </c>
      <c r="C6569" s="1" t="n">
        <v>46145</v>
      </c>
      <c r="D6569" t="inlineStr">
        <is>
          <t>VÄSTERBOTTENS LÄN</t>
        </is>
      </c>
      <c r="E6569" t="inlineStr">
        <is>
          <t>SKELLEFTEÅ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7996-2023</t>
        </is>
      </c>
      <c r="B6570" s="1" t="n">
        <v>44973.80899305556</v>
      </c>
      <c r="C6570" s="1" t="n">
        <v>46145</v>
      </c>
      <c r="D6570" t="inlineStr">
        <is>
          <t>VÄSTERBOTTENS LÄN</t>
        </is>
      </c>
      <c r="E6570" t="inlineStr">
        <is>
          <t>VINDELN</t>
        </is>
      </c>
      <c r="F6570" t="inlineStr">
        <is>
          <t>Holmen skog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27671-2024</t>
        </is>
      </c>
      <c r="B6571" s="1" t="n">
        <v>45474.95578703703</v>
      </c>
      <c r="C6571" s="1" t="n">
        <v>46145</v>
      </c>
      <c r="D6571" t="inlineStr">
        <is>
          <t>VÄSTERBOTTENS LÄN</t>
        </is>
      </c>
      <c r="E6571" t="inlineStr">
        <is>
          <t>LYCKSELE</t>
        </is>
      </c>
      <c r="F6571" t="inlineStr">
        <is>
          <t>Naturvårdsverket</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35011-2024</t>
        </is>
      </c>
      <c r="B6572" s="1" t="n">
        <v>45527</v>
      </c>
      <c r="C6572" s="1" t="n">
        <v>46145</v>
      </c>
      <c r="D6572" t="inlineStr">
        <is>
          <t>VÄSTERBOTTENS LÄN</t>
        </is>
      </c>
      <c r="E6572" t="inlineStr">
        <is>
          <t>VÄNNÄS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55088-2025</t>
        </is>
      </c>
      <c r="B6573" s="1" t="n">
        <v>45968.33479166667</v>
      </c>
      <c r="C6573" s="1" t="n">
        <v>46145</v>
      </c>
      <c r="D6573" t="inlineStr">
        <is>
          <t>VÄSTERBOTTENS LÄN</t>
        </is>
      </c>
      <c r="E6573" t="inlineStr">
        <is>
          <t>SKELLEFTEÅ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55092-2025</t>
        </is>
      </c>
      <c r="B6574" s="1" t="n">
        <v>45968.34462962963</v>
      </c>
      <c r="C6574" s="1" t="n">
        <v>46145</v>
      </c>
      <c r="D6574" t="inlineStr">
        <is>
          <t>VÄSTERBOTTENS LÄN</t>
        </is>
      </c>
      <c r="E6574" t="inlineStr">
        <is>
          <t>VILHELMINA</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35035-2024</t>
        </is>
      </c>
      <c r="B6575" s="1" t="n">
        <v>45527.61482638889</v>
      </c>
      <c r="C6575" s="1" t="n">
        <v>46145</v>
      </c>
      <c r="D6575" t="inlineStr">
        <is>
          <t>VÄSTERBOTTENS LÄN</t>
        </is>
      </c>
      <c r="E6575" t="inlineStr">
        <is>
          <t>SKELLEFTEÅ</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35569-2024</t>
        </is>
      </c>
      <c r="B6576" s="1" t="n">
        <v>45531.6409375</v>
      </c>
      <c r="C6576" s="1" t="n">
        <v>46145</v>
      </c>
      <c r="D6576" t="inlineStr">
        <is>
          <t>VÄSTERBOTTENS LÄN</t>
        </is>
      </c>
      <c r="E6576" t="inlineStr">
        <is>
          <t>LYCKSELE</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54906-2025</t>
        </is>
      </c>
      <c r="B6577" s="1" t="n">
        <v>45967.37105324074</v>
      </c>
      <c r="C6577" s="1" t="n">
        <v>46145</v>
      </c>
      <c r="D6577" t="inlineStr">
        <is>
          <t>VÄSTERBOTTENS LÄN</t>
        </is>
      </c>
      <c r="E6577" t="inlineStr">
        <is>
          <t>LYCKSELE</t>
        </is>
      </c>
      <c r="G6577" t="n">
        <v>24.9</v>
      </c>
      <c r="H6577" t="n">
        <v>0</v>
      </c>
      <c r="I6577" t="n">
        <v>0</v>
      </c>
      <c r="J6577" t="n">
        <v>0</v>
      </c>
      <c r="K6577" t="n">
        <v>0</v>
      </c>
      <c r="L6577" t="n">
        <v>0</v>
      </c>
      <c r="M6577" t="n">
        <v>0</v>
      </c>
      <c r="N6577" t="n">
        <v>0</v>
      </c>
      <c r="O6577" t="n">
        <v>0</v>
      </c>
      <c r="P6577" t="n">
        <v>0</v>
      </c>
      <c r="Q6577" t="n">
        <v>0</v>
      </c>
      <c r="R6577" s="2" t="inlineStr"/>
    </row>
    <row r="6578" ht="15" customHeight="1">
      <c r="A6578" t="inlineStr">
        <is>
          <t>A 35615-2024</t>
        </is>
      </c>
      <c r="B6578" s="1" t="n">
        <v>45531.69771990741</v>
      </c>
      <c r="C6578" s="1" t="n">
        <v>46145</v>
      </c>
      <c r="D6578" t="inlineStr">
        <is>
          <t>VÄSTERBOTTENS LÄN</t>
        </is>
      </c>
      <c r="E6578" t="inlineStr">
        <is>
          <t>VINDELN</t>
        </is>
      </c>
      <c r="F6578" t="inlineStr">
        <is>
          <t>Holmen skog AB</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35630-2024</t>
        </is>
      </c>
      <c r="B6579" s="1" t="n">
        <v>45531</v>
      </c>
      <c r="C6579" s="1" t="n">
        <v>46145</v>
      </c>
      <c r="D6579" t="inlineStr">
        <is>
          <t>VÄSTERBOTTENS LÄN</t>
        </is>
      </c>
      <c r="E6579" t="inlineStr">
        <is>
          <t>UMEÅ</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36448-2024</t>
        </is>
      </c>
      <c r="B6580" s="1" t="n">
        <v>45537</v>
      </c>
      <c r="C6580" s="1" t="n">
        <v>46145</v>
      </c>
      <c r="D6580" t="inlineStr">
        <is>
          <t>VÄSTERBOTTENS LÄN</t>
        </is>
      </c>
      <c r="E6580" t="inlineStr">
        <is>
          <t>BJURHOLM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55054-2025</t>
        </is>
      </c>
      <c r="B6581" s="1" t="n">
        <v>45967.67780092593</v>
      </c>
      <c r="C6581" s="1" t="n">
        <v>46145</v>
      </c>
      <c r="D6581" t="inlineStr">
        <is>
          <t>VÄSTERBOTTENS LÄN</t>
        </is>
      </c>
      <c r="E6581" t="inlineStr">
        <is>
          <t>ÅSELE</t>
        </is>
      </c>
      <c r="F6581" t="inlineStr">
        <is>
          <t>SCA</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55169-2025</t>
        </is>
      </c>
      <c r="B6582" s="1" t="n">
        <v>45968.49219907408</v>
      </c>
      <c r="C6582" s="1" t="n">
        <v>46145</v>
      </c>
      <c r="D6582" t="inlineStr">
        <is>
          <t>VÄSTERBOTTENS LÄN</t>
        </is>
      </c>
      <c r="E6582" t="inlineStr">
        <is>
          <t>ÅSELE</t>
        </is>
      </c>
      <c r="F6582" t="inlineStr">
        <is>
          <t>Naturvårdsverket</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45192-2024</t>
        </is>
      </c>
      <c r="B6583" s="1" t="n">
        <v>45575.67871527778</v>
      </c>
      <c r="C6583" s="1" t="n">
        <v>46145</v>
      </c>
      <c r="D6583" t="inlineStr">
        <is>
          <t>VÄSTERBOTTENS LÄN</t>
        </is>
      </c>
      <c r="E6583" t="inlineStr">
        <is>
          <t>VINDELN</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54955-2025</t>
        </is>
      </c>
      <c r="B6584" s="1" t="n">
        <v>45967</v>
      </c>
      <c r="C6584" s="1" t="n">
        <v>46145</v>
      </c>
      <c r="D6584" t="inlineStr">
        <is>
          <t>VÄSTERBOTTENS LÄN</t>
        </is>
      </c>
      <c r="E6584" t="inlineStr">
        <is>
          <t>VILHELMINA</t>
        </is>
      </c>
      <c r="G6584" t="n">
        <v>15.6</v>
      </c>
      <c r="H6584" t="n">
        <v>0</v>
      </c>
      <c r="I6584" t="n">
        <v>0</v>
      </c>
      <c r="J6584" t="n">
        <v>0</v>
      </c>
      <c r="K6584" t="n">
        <v>0</v>
      </c>
      <c r="L6584" t="n">
        <v>0</v>
      </c>
      <c r="M6584" t="n">
        <v>0</v>
      </c>
      <c r="N6584" t="n">
        <v>0</v>
      </c>
      <c r="O6584" t="n">
        <v>0</v>
      </c>
      <c r="P6584" t="n">
        <v>0</v>
      </c>
      <c r="Q6584" t="n">
        <v>0</v>
      </c>
      <c r="R6584" s="2" t="inlineStr"/>
    </row>
    <row r="6585" ht="15" customHeight="1">
      <c r="A6585" t="inlineStr">
        <is>
          <t>A 55205-2025</t>
        </is>
      </c>
      <c r="B6585" s="1" t="n">
        <v>45968.57340277778</v>
      </c>
      <c r="C6585" s="1" t="n">
        <v>46145</v>
      </c>
      <c r="D6585" t="inlineStr">
        <is>
          <t>VÄSTERBOTTENS LÄN</t>
        </is>
      </c>
      <c r="E6585" t="inlineStr">
        <is>
          <t>SKELLEFTEÅ</t>
        </is>
      </c>
      <c r="F6585" t="inlineStr">
        <is>
          <t>Sveaskog</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45259-2024</t>
        </is>
      </c>
      <c r="B6586" s="1" t="n">
        <v>45576</v>
      </c>
      <c r="C6586" s="1" t="n">
        <v>46145</v>
      </c>
      <c r="D6586" t="inlineStr">
        <is>
          <t>VÄSTERBOTTENS LÄN</t>
        </is>
      </c>
      <c r="E6586" t="inlineStr">
        <is>
          <t>UMEÅ</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54180-2025</t>
        </is>
      </c>
      <c r="B6587" s="1" t="n">
        <v>45964</v>
      </c>
      <c r="C6587" s="1" t="n">
        <v>46145</v>
      </c>
      <c r="D6587" t="inlineStr">
        <is>
          <t>VÄSTERBOTTENS LÄN</t>
        </is>
      </c>
      <c r="E6587" t="inlineStr">
        <is>
          <t>SKELLEFTEÅ</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52795-2024</t>
        </is>
      </c>
      <c r="B6588" s="1" t="n">
        <v>45610</v>
      </c>
      <c r="C6588" s="1" t="n">
        <v>46145</v>
      </c>
      <c r="D6588" t="inlineStr">
        <is>
          <t>VÄSTERBOTTENS LÄN</t>
        </is>
      </c>
      <c r="E6588" t="inlineStr">
        <is>
          <t>MALÅ</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18156-2023</t>
        </is>
      </c>
      <c r="B6589" s="1" t="n">
        <v>45040</v>
      </c>
      <c r="C6589" s="1" t="n">
        <v>46145</v>
      </c>
      <c r="D6589" t="inlineStr">
        <is>
          <t>VÄSTERBOTTENS LÄN</t>
        </is>
      </c>
      <c r="E6589" t="inlineStr">
        <is>
          <t>LYCKSELE</t>
        </is>
      </c>
      <c r="F6589" t="inlineStr">
        <is>
          <t>SCA</t>
        </is>
      </c>
      <c r="G6589" t="n">
        <v>22.9</v>
      </c>
      <c r="H6589" t="n">
        <v>0</v>
      </c>
      <c r="I6589" t="n">
        <v>0</v>
      </c>
      <c r="J6589" t="n">
        <v>0</v>
      </c>
      <c r="K6589" t="n">
        <v>0</v>
      </c>
      <c r="L6589" t="n">
        <v>0</v>
      </c>
      <c r="M6589" t="n">
        <v>0</v>
      </c>
      <c r="N6589" t="n">
        <v>0</v>
      </c>
      <c r="O6589" t="n">
        <v>0</v>
      </c>
      <c r="P6589" t="n">
        <v>0</v>
      </c>
      <c r="Q6589" t="n">
        <v>0</v>
      </c>
      <c r="R6589" s="2" t="inlineStr"/>
    </row>
    <row r="6590" ht="15" customHeight="1">
      <c r="A6590" t="inlineStr">
        <is>
          <t>A 32561-2023</t>
        </is>
      </c>
      <c r="B6590" s="1" t="n">
        <v>45121.45128472222</v>
      </c>
      <c r="C6590" s="1" t="n">
        <v>46145</v>
      </c>
      <c r="D6590" t="inlineStr">
        <is>
          <t>VÄSTERBOTTENS LÄN</t>
        </is>
      </c>
      <c r="E6590" t="inlineStr">
        <is>
          <t>ÅSELE</t>
        </is>
      </c>
      <c r="F6590" t="inlineStr">
        <is>
          <t>Naturvårdsverket</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52822-2024</t>
        </is>
      </c>
      <c r="B6591" s="1" t="n">
        <v>45610.5895949074</v>
      </c>
      <c r="C6591" s="1" t="n">
        <v>46145</v>
      </c>
      <c r="D6591" t="inlineStr">
        <is>
          <t>VÄSTERBOTTENS LÄN</t>
        </is>
      </c>
      <c r="E6591" t="inlineStr">
        <is>
          <t>NORSJÖ</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52833-2024</t>
        </is>
      </c>
      <c r="B6592" s="1" t="n">
        <v>45610.59439814815</v>
      </c>
      <c r="C6592" s="1" t="n">
        <v>46145</v>
      </c>
      <c r="D6592" t="inlineStr">
        <is>
          <t>VÄSTERBOTTENS LÄN</t>
        </is>
      </c>
      <c r="E6592" t="inlineStr">
        <is>
          <t>ROBERTSFORS</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45770-2024</t>
        </is>
      </c>
      <c r="B6593" s="1" t="n">
        <v>45579.64884259259</v>
      </c>
      <c r="C6593" s="1" t="n">
        <v>46145</v>
      </c>
      <c r="D6593" t="inlineStr">
        <is>
          <t>VÄSTERBOTTENS LÄN</t>
        </is>
      </c>
      <c r="E6593" t="inlineStr">
        <is>
          <t>UMEÅ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55228-2025</t>
        </is>
      </c>
      <c r="B6594" s="1" t="n">
        <v>45968.59909722222</v>
      </c>
      <c r="C6594" s="1" t="n">
        <v>46145</v>
      </c>
      <c r="D6594" t="inlineStr">
        <is>
          <t>VÄSTERBOTTENS LÄN</t>
        </is>
      </c>
      <c r="E6594" t="inlineStr">
        <is>
          <t>STORUMAN</t>
        </is>
      </c>
      <c r="F6594" t="inlineStr">
        <is>
          <t>Sveaskog</t>
        </is>
      </c>
      <c r="G6594" t="n">
        <v>17.8</v>
      </c>
      <c r="H6594" t="n">
        <v>0</v>
      </c>
      <c r="I6594" t="n">
        <v>0</v>
      </c>
      <c r="J6594" t="n">
        <v>0</v>
      </c>
      <c r="K6594" t="n">
        <v>0</v>
      </c>
      <c r="L6594" t="n">
        <v>0</v>
      </c>
      <c r="M6594" t="n">
        <v>0</v>
      </c>
      <c r="N6594" t="n">
        <v>0</v>
      </c>
      <c r="O6594" t="n">
        <v>0</v>
      </c>
      <c r="P6594" t="n">
        <v>0</v>
      </c>
      <c r="Q6594" t="n">
        <v>0</v>
      </c>
      <c r="R6594" s="2" t="inlineStr"/>
    </row>
    <row r="6595" ht="15" customHeight="1">
      <c r="A6595" t="inlineStr">
        <is>
          <t>A 54943-2025</t>
        </is>
      </c>
      <c r="B6595" s="1" t="n">
        <v>45967.44447916667</v>
      </c>
      <c r="C6595" s="1" t="n">
        <v>46145</v>
      </c>
      <c r="D6595" t="inlineStr">
        <is>
          <t>VÄSTERBOTTENS LÄN</t>
        </is>
      </c>
      <c r="E6595" t="inlineStr">
        <is>
          <t>LYCKSELE</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54967-2025</t>
        </is>
      </c>
      <c r="B6596" s="1" t="n">
        <v>45967.49174768518</v>
      </c>
      <c r="C6596" s="1" t="n">
        <v>46145</v>
      </c>
      <c r="D6596" t="inlineStr">
        <is>
          <t>VÄSTERBOTTENS LÄN</t>
        </is>
      </c>
      <c r="E6596" t="inlineStr">
        <is>
          <t>SKELLEFTEÅ</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54969-2025</t>
        </is>
      </c>
      <c r="B6597" s="1" t="n">
        <v>45967.49447916666</v>
      </c>
      <c r="C6597" s="1" t="n">
        <v>46145</v>
      </c>
      <c r="D6597" t="inlineStr">
        <is>
          <t>VÄSTERBOTTENS LÄN</t>
        </is>
      </c>
      <c r="E6597" t="inlineStr">
        <is>
          <t>SKELLEFTEÅ</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54977-2025</t>
        </is>
      </c>
      <c r="B6598" s="1" t="n">
        <v>45967.51125</v>
      </c>
      <c r="C6598" s="1" t="n">
        <v>46145</v>
      </c>
      <c r="D6598" t="inlineStr">
        <is>
          <t>VÄSTERBOTTENS LÄN</t>
        </is>
      </c>
      <c r="E6598" t="inlineStr">
        <is>
          <t>ÅSELE</t>
        </is>
      </c>
      <c r="F6598" t="inlineStr">
        <is>
          <t>SCA</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54985-2025</t>
        </is>
      </c>
      <c r="B6599" s="1" t="n">
        <v>45967.55665509259</v>
      </c>
      <c r="C6599" s="1" t="n">
        <v>46145</v>
      </c>
      <c r="D6599" t="inlineStr">
        <is>
          <t>VÄSTERBOTTENS LÄN</t>
        </is>
      </c>
      <c r="E6599" t="inlineStr">
        <is>
          <t>SKELLEFTEÅ</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66917-2021</t>
        </is>
      </c>
      <c r="B6600" s="1" t="n">
        <v>44522</v>
      </c>
      <c r="C6600" s="1" t="n">
        <v>46145</v>
      </c>
      <c r="D6600" t="inlineStr">
        <is>
          <t>VÄSTERBOTTENS LÄN</t>
        </is>
      </c>
      <c r="E6600" t="inlineStr">
        <is>
          <t>VILHELMINA</t>
        </is>
      </c>
      <c r="F6600" t="inlineStr">
        <is>
          <t>Allmännings- och besparingsskogar</t>
        </is>
      </c>
      <c r="G6600" t="n">
        <v>11.7</v>
      </c>
      <c r="H6600" t="n">
        <v>0</v>
      </c>
      <c r="I6600" t="n">
        <v>0</v>
      </c>
      <c r="J6600" t="n">
        <v>0</v>
      </c>
      <c r="K6600" t="n">
        <v>0</v>
      </c>
      <c r="L6600" t="n">
        <v>0</v>
      </c>
      <c r="M6600" t="n">
        <v>0</v>
      </c>
      <c r="N6600" t="n">
        <v>0</v>
      </c>
      <c r="O6600" t="n">
        <v>0</v>
      </c>
      <c r="P6600" t="n">
        <v>0</v>
      </c>
      <c r="Q6600" t="n">
        <v>0</v>
      </c>
      <c r="R6600" s="2" t="inlineStr"/>
    </row>
    <row r="6601" ht="15" customHeight="1">
      <c r="A6601" t="inlineStr">
        <is>
          <t>A 56533-2021</t>
        </is>
      </c>
      <c r="B6601" s="1" t="n">
        <v>44480</v>
      </c>
      <c r="C6601" s="1" t="n">
        <v>46145</v>
      </c>
      <c r="D6601" t="inlineStr">
        <is>
          <t>VÄSTERBOTTENS LÄN</t>
        </is>
      </c>
      <c r="E6601" t="inlineStr">
        <is>
          <t>STORUMAN</t>
        </is>
      </c>
      <c r="G6601" t="n">
        <v>19.4</v>
      </c>
      <c r="H6601" t="n">
        <v>0</v>
      </c>
      <c r="I6601" t="n">
        <v>0</v>
      </c>
      <c r="J6601" t="n">
        <v>0</v>
      </c>
      <c r="K6601" t="n">
        <v>0</v>
      </c>
      <c r="L6601" t="n">
        <v>0</v>
      </c>
      <c r="M6601" t="n">
        <v>0</v>
      </c>
      <c r="N6601" t="n">
        <v>0</v>
      </c>
      <c r="O6601" t="n">
        <v>0</v>
      </c>
      <c r="P6601" t="n">
        <v>0</v>
      </c>
      <c r="Q6601" t="n">
        <v>0</v>
      </c>
      <c r="R6601" s="2" t="inlineStr"/>
    </row>
    <row r="6602" ht="15" customHeight="1">
      <c r="A6602" t="inlineStr">
        <is>
          <t>A 55126-2025</t>
        </is>
      </c>
      <c r="B6602" s="1" t="n">
        <v>45968.40736111111</v>
      </c>
      <c r="C6602" s="1" t="n">
        <v>46145</v>
      </c>
      <c r="D6602" t="inlineStr">
        <is>
          <t>VÄSTERBOTTENS LÄN</t>
        </is>
      </c>
      <c r="E6602" t="inlineStr">
        <is>
          <t>MALÅ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55127-2025</t>
        </is>
      </c>
      <c r="B6603" s="1" t="n">
        <v>45968.40739583333</v>
      </c>
      <c r="C6603" s="1" t="n">
        <v>46145</v>
      </c>
      <c r="D6603" t="inlineStr">
        <is>
          <t>VÄSTERBOTTENS LÄN</t>
        </is>
      </c>
      <c r="E6603" t="inlineStr">
        <is>
          <t>MALÅ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55161-2025</t>
        </is>
      </c>
      <c r="B6604" s="1" t="n">
        <v>45968.47324074074</v>
      </c>
      <c r="C6604" s="1" t="n">
        <v>46145</v>
      </c>
      <c r="D6604" t="inlineStr">
        <is>
          <t>VÄSTERBOTTENS LÄN</t>
        </is>
      </c>
      <c r="E6604" t="inlineStr">
        <is>
          <t>ÅSELE</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55249-2025</t>
        </is>
      </c>
      <c r="B6605" s="1" t="n">
        <v>45968.62826388889</v>
      </c>
      <c r="C6605" s="1" t="n">
        <v>46145</v>
      </c>
      <c r="D6605" t="inlineStr">
        <is>
          <t>VÄSTERBOTTENS LÄN</t>
        </is>
      </c>
      <c r="E6605" t="inlineStr">
        <is>
          <t>STORUMAN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54921-2025</t>
        </is>
      </c>
      <c r="B6606" s="1" t="n">
        <v>45967.39020833333</v>
      </c>
      <c r="C6606" s="1" t="n">
        <v>46145</v>
      </c>
      <c r="D6606" t="inlineStr">
        <is>
          <t>VÄSTERBOTTENS LÄN</t>
        </is>
      </c>
      <c r="E6606" t="inlineStr">
        <is>
          <t>SKELLEFTEÅ</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55216-2025</t>
        </is>
      </c>
      <c r="B6607" s="1" t="n">
        <v>45968.58465277778</v>
      </c>
      <c r="C6607" s="1" t="n">
        <v>46145</v>
      </c>
      <c r="D6607" t="inlineStr">
        <is>
          <t>VÄSTERBOTTENS LÄN</t>
        </is>
      </c>
      <c r="E6607" t="inlineStr">
        <is>
          <t>LYCKSELE</t>
        </is>
      </c>
      <c r="F6607" t="inlineStr">
        <is>
          <t>Naturvårdsverket</t>
        </is>
      </c>
      <c r="G6607" t="n">
        <v>8.699999999999999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8642-2023</t>
        </is>
      </c>
      <c r="B6608" s="1" t="n">
        <v>44977</v>
      </c>
      <c r="C6608" s="1" t="n">
        <v>46145</v>
      </c>
      <c r="D6608" t="inlineStr">
        <is>
          <t>VÄSTERBOTTENS LÄN</t>
        </is>
      </c>
      <c r="E6608" t="inlineStr">
        <is>
          <t>NORDMALING</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8643-2023</t>
        </is>
      </c>
      <c r="B6609" s="1" t="n">
        <v>44977.98320601852</v>
      </c>
      <c r="C6609" s="1" t="n">
        <v>46145</v>
      </c>
      <c r="D6609" t="inlineStr">
        <is>
          <t>VÄSTERBOTTENS LÄN</t>
        </is>
      </c>
      <c r="E6609" t="inlineStr">
        <is>
          <t>VINDELN</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8644-2023</t>
        </is>
      </c>
      <c r="B6610" s="1" t="n">
        <v>44977</v>
      </c>
      <c r="C6610" s="1" t="n">
        <v>46145</v>
      </c>
      <c r="D6610" t="inlineStr">
        <is>
          <t>VÄSTERBOTTENS LÄN</t>
        </is>
      </c>
      <c r="E6610" t="inlineStr">
        <is>
          <t>BJURHOLM</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8652-2023</t>
        </is>
      </c>
      <c r="B6611" s="1" t="n">
        <v>44977.98401620371</v>
      </c>
      <c r="C6611" s="1" t="n">
        <v>46145</v>
      </c>
      <c r="D6611" t="inlineStr">
        <is>
          <t>VÄSTERBOTTENS LÄN</t>
        </is>
      </c>
      <c r="E6611" t="inlineStr">
        <is>
          <t>VILHELMINA</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8653-2023</t>
        </is>
      </c>
      <c r="B6612" s="1" t="n">
        <v>44977</v>
      </c>
      <c r="C6612" s="1" t="n">
        <v>46145</v>
      </c>
      <c r="D6612" t="inlineStr">
        <is>
          <t>VÄSTERBOTTENS LÄN</t>
        </is>
      </c>
      <c r="E6612" t="inlineStr">
        <is>
          <t>VILHELMINA</t>
        </is>
      </c>
      <c r="F6612" t="inlineStr">
        <is>
          <t>SCA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54942-2025</t>
        </is>
      </c>
      <c r="B6613" s="1" t="n">
        <v>45967.44127314815</v>
      </c>
      <c r="C6613" s="1" t="n">
        <v>46145</v>
      </c>
      <c r="D6613" t="inlineStr">
        <is>
          <t>VÄSTERBOTTENS LÄN</t>
        </is>
      </c>
      <c r="E6613" t="inlineStr">
        <is>
          <t>LYCKSELE</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55187-2025</t>
        </is>
      </c>
      <c r="B6614" s="1" t="n">
        <v>45968.53877314815</v>
      </c>
      <c r="C6614" s="1" t="n">
        <v>46145</v>
      </c>
      <c r="D6614" t="inlineStr">
        <is>
          <t>VÄSTERBOTTENS LÄN</t>
        </is>
      </c>
      <c r="E6614" t="inlineStr">
        <is>
          <t>LYCKSELE</t>
        </is>
      </c>
      <c r="F6614" t="inlineStr">
        <is>
          <t>Sveaskog</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53716-2024</t>
        </is>
      </c>
      <c r="B6615" s="1" t="n">
        <v>45615.43059027778</v>
      </c>
      <c r="C6615" s="1" t="n">
        <v>46145</v>
      </c>
      <c r="D6615" t="inlineStr">
        <is>
          <t>VÄSTERBOTTENS LÄN</t>
        </is>
      </c>
      <c r="E6615" t="inlineStr">
        <is>
          <t>SKELLEFTEÅ</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5955-2023</t>
        </is>
      </c>
      <c r="B6616" s="1" t="n">
        <v>44963.93989583333</v>
      </c>
      <c r="C6616" s="1" t="n">
        <v>46145</v>
      </c>
      <c r="D6616" t="inlineStr">
        <is>
          <t>VÄSTERBOTTENS LÄN</t>
        </is>
      </c>
      <c r="E6616" t="inlineStr">
        <is>
          <t>VILHELMINA</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55230-2025</t>
        </is>
      </c>
      <c r="B6617" s="1" t="n">
        <v>45968.60237268519</v>
      </c>
      <c r="C6617" s="1" t="n">
        <v>46145</v>
      </c>
      <c r="D6617" t="inlineStr">
        <is>
          <t>VÄSTERBOTTENS LÄN</t>
        </is>
      </c>
      <c r="E6617" t="inlineStr">
        <is>
          <t>STORUMAN</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55231-2025</t>
        </is>
      </c>
      <c r="B6618" s="1" t="n">
        <v>45968.60631944444</v>
      </c>
      <c r="C6618" s="1" t="n">
        <v>46145</v>
      </c>
      <c r="D6618" t="inlineStr">
        <is>
          <t>VÄSTERBOTTENS LÄN</t>
        </is>
      </c>
      <c r="E6618" t="inlineStr">
        <is>
          <t>SKELLEFTEÅ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5996-2023</t>
        </is>
      </c>
      <c r="B6619" s="1" t="n">
        <v>44959</v>
      </c>
      <c r="C6619" s="1" t="n">
        <v>46145</v>
      </c>
      <c r="D6619" t="inlineStr">
        <is>
          <t>VÄSTERBOTTENS LÄN</t>
        </is>
      </c>
      <c r="E6619" t="inlineStr">
        <is>
          <t>SKELLEFTEÅ</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55247-2025</t>
        </is>
      </c>
      <c r="B6620" s="1" t="n">
        <v>45968.62555555555</v>
      </c>
      <c r="C6620" s="1" t="n">
        <v>46145</v>
      </c>
      <c r="D6620" t="inlineStr">
        <is>
          <t>VÄSTERBOTTENS LÄN</t>
        </is>
      </c>
      <c r="E6620" t="inlineStr">
        <is>
          <t>SKELLEFTEÅ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14857-2023</t>
        </is>
      </c>
      <c r="B6621" s="1" t="n">
        <v>45014</v>
      </c>
      <c r="C6621" s="1" t="n">
        <v>46145</v>
      </c>
      <c r="D6621" t="inlineStr">
        <is>
          <t>VÄSTERBOTTENS LÄN</t>
        </is>
      </c>
      <c r="E6621" t="inlineStr">
        <is>
          <t>LYCKSELE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55251-2025</t>
        </is>
      </c>
      <c r="B6622" s="1" t="n">
        <v>45968</v>
      </c>
      <c r="C6622" s="1" t="n">
        <v>46145</v>
      </c>
      <c r="D6622" t="inlineStr">
        <is>
          <t>VÄSTERBOTTENS LÄN</t>
        </is>
      </c>
      <c r="E6622" t="inlineStr">
        <is>
          <t>SKELLEFTEÅ</t>
        </is>
      </c>
      <c r="G6622" t="n">
        <v>12.6</v>
      </c>
      <c r="H6622" t="n">
        <v>0</v>
      </c>
      <c r="I6622" t="n">
        <v>0</v>
      </c>
      <c r="J6622" t="n">
        <v>0</v>
      </c>
      <c r="K6622" t="n">
        <v>0</v>
      </c>
      <c r="L6622" t="n">
        <v>0</v>
      </c>
      <c r="M6622" t="n">
        <v>0</v>
      </c>
      <c r="N6622" t="n">
        <v>0</v>
      </c>
      <c r="O6622" t="n">
        <v>0</v>
      </c>
      <c r="P6622" t="n">
        <v>0</v>
      </c>
      <c r="Q6622" t="n">
        <v>0</v>
      </c>
      <c r="R6622" s="2" t="inlineStr"/>
    </row>
    <row r="6623" ht="15" customHeight="1">
      <c r="A6623" t="inlineStr">
        <is>
          <t>A 54889-2025</t>
        </is>
      </c>
      <c r="B6623" s="1" t="n">
        <v>45967</v>
      </c>
      <c r="C6623" s="1" t="n">
        <v>46145</v>
      </c>
      <c r="D6623" t="inlineStr">
        <is>
          <t>VÄSTERBOTTENS LÄN</t>
        </is>
      </c>
      <c r="E6623" t="inlineStr">
        <is>
          <t>SKELLEFTEÅ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55051-2025</t>
        </is>
      </c>
      <c r="B6624" s="1" t="n">
        <v>45967.67128472222</v>
      </c>
      <c r="C6624" s="1" t="n">
        <v>46145</v>
      </c>
      <c r="D6624" t="inlineStr">
        <is>
          <t>VÄSTERBOTTENS LÄN</t>
        </is>
      </c>
      <c r="E6624" t="inlineStr">
        <is>
          <t>SKELLEFTEÅ</t>
        </is>
      </c>
      <c r="F6624" t="inlineStr">
        <is>
          <t>Sveaskog</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54915-2025</t>
        </is>
      </c>
      <c r="B6625" s="1" t="n">
        <v>45967.38572916666</v>
      </c>
      <c r="C6625" s="1" t="n">
        <v>46145</v>
      </c>
      <c r="D6625" t="inlineStr">
        <is>
          <t>VÄSTERBOTTENS LÄN</t>
        </is>
      </c>
      <c r="E6625" t="inlineStr">
        <is>
          <t>SKELLEFTEÅ</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54920-2025</t>
        </is>
      </c>
      <c r="B6626" s="1" t="n">
        <v>45967.38887731481</v>
      </c>
      <c r="C6626" s="1" t="n">
        <v>46145</v>
      </c>
      <c r="D6626" t="inlineStr">
        <is>
          <t>VÄSTERBOTTENS LÄN</t>
        </is>
      </c>
      <c r="E6626" t="inlineStr">
        <is>
          <t>VILHELMINA</t>
        </is>
      </c>
      <c r="G6626" t="n">
        <v>28.1</v>
      </c>
      <c r="H6626" t="n">
        <v>0</v>
      </c>
      <c r="I6626" t="n">
        <v>0</v>
      </c>
      <c r="J6626" t="n">
        <v>0</v>
      </c>
      <c r="K6626" t="n">
        <v>0</v>
      </c>
      <c r="L6626" t="n">
        <v>0</v>
      </c>
      <c r="M6626" t="n">
        <v>0</v>
      </c>
      <c r="N6626" t="n">
        <v>0</v>
      </c>
      <c r="O6626" t="n">
        <v>0</v>
      </c>
      <c r="P6626" t="n">
        <v>0</v>
      </c>
      <c r="Q6626" t="n">
        <v>0</v>
      </c>
      <c r="R6626" s="2" t="inlineStr"/>
    </row>
    <row r="6627" ht="15" customHeight="1">
      <c r="A6627" t="inlineStr">
        <is>
          <t>A 48951-2024</t>
        </is>
      </c>
      <c r="B6627" s="1" t="n">
        <v>45594.43097222222</v>
      </c>
      <c r="C6627" s="1" t="n">
        <v>46145</v>
      </c>
      <c r="D6627" t="inlineStr">
        <is>
          <t>VÄSTERBOTTENS LÄN</t>
        </is>
      </c>
      <c r="E6627" t="inlineStr">
        <is>
          <t>NORDMALING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55241-2025</t>
        </is>
      </c>
      <c r="B6628" s="1" t="n">
        <v>45968</v>
      </c>
      <c r="C6628" s="1" t="n">
        <v>46145</v>
      </c>
      <c r="D6628" t="inlineStr">
        <is>
          <t>VÄSTERBOTTENS LÄN</t>
        </is>
      </c>
      <c r="E6628" t="inlineStr">
        <is>
          <t>ROBERTSFORS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36703-2023</t>
        </is>
      </c>
      <c r="B6629" s="1" t="n">
        <v>45153</v>
      </c>
      <c r="C6629" s="1" t="n">
        <v>46145</v>
      </c>
      <c r="D6629" t="inlineStr">
        <is>
          <t>VÄSTERBOTTENS LÄN</t>
        </is>
      </c>
      <c r="E6629" t="inlineStr">
        <is>
          <t>ROBERTSFORS</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55145-2025</t>
        </is>
      </c>
      <c r="B6630" s="1" t="n">
        <v>45968</v>
      </c>
      <c r="C6630" s="1" t="n">
        <v>46145</v>
      </c>
      <c r="D6630" t="inlineStr">
        <is>
          <t>VÄSTERBOTTENS LÄN</t>
        </is>
      </c>
      <c r="E6630" t="inlineStr">
        <is>
          <t>SKELLEFTEÅ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55252-2025</t>
        </is>
      </c>
      <c r="B6631" s="1" t="n">
        <v>45968.63385416667</v>
      </c>
      <c r="C6631" s="1" t="n">
        <v>46145</v>
      </c>
      <c r="D6631" t="inlineStr">
        <is>
          <t>VÄSTERBOTTENS LÄN</t>
        </is>
      </c>
      <c r="E6631" t="inlineStr">
        <is>
          <t>SKELLEFTEÅ</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55147-2025</t>
        </is>
      </c>
      <c r="B6632" s="1" t="n">
        <v>45968.44407407408</v>
      </c>
      <c r="C6632" s="1" t="n">
        <v>46145</v>
      </c>
      <c r="D6632" t="inlineStr">
        <is>
          <t>VÄSTERBOTTENS LÄN</t>
        </is>
      </c>
      <c r="E6632" t="inlineStr">
        <is>
          <t>STORUMAN</t>
        </is>
      </c>
      <c r="F6632" t="inlineStr">
        <is>
          <t>Holmen skog AB</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34135-2024</t>
        </is>
      </c>
      <c r="B6633" s="1" t="n">
        <v>45524.35605324074</v>
      </c>
      <c r="C6633" s="1" t="n">
        <v>46145</v>
      </c>
      <c r="D6633" t="inlineStr">
        <is>
          <t>VÄSTERBOTTENS LÄN</t>
        </is>
      </c>
      <c r="E6633" t="inlineStr">
        <is>
          <t>VILHELMINA</t>
        </is>
      </c>
      <c r="F6633" t="inlineStr">
        <is>
          <t>Sveaskog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47686-2024</t>
        </is>
      </c>
      <c r="B6634" s="1" t="n">
        <v>45588.42978009259</v>
      </c>
      <c r="C6634" s="1" t="n">
        <v>46145</v>
      </c>
      <c r="D6634" t="inlineStr">
        <is>
          <t>VÄSTERBOTTENS LÄN</t>
        </is>
      </c>
      <c r="E6634" t="inlineStr">
        <is>
          <t>SKELLEFTEÅ</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32462-2023</t>
        </is>
      </c>
      <c r="B6635" s="1" t="n">
        <v>45120.92637731481</v>
      </c>
      <c r="C6635" s="1" t="n">
        <v>46145</v>
      </c>
      <c r="D6635" t="inlineStr">
        <is>
          <t>VÄSTERBOTTENS LÄN</t>
        </is>
      </c>
      <c r="E6635" t="inlineStr">
        <is>
          <t>UMEÅ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34388-2023</t>
        </is>
      </c>
      <c r="B6636" s="1" t="n">
        <v>45139</v>
      </c>
      <c r="C6636" s="1" t="n">
        <v>46145</v>
      </c>
      <c r="D6636" t="inlineStr">
        <is>
          <t>VÄSTERBOTTENS LÄN</t>
        </is>
      </c>
      <c r="E6636" t="inlineStr">
        <is>
          <t>SORSELE</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21746-2024</t>
        </is>
      </c>
      <c r="B6637" s="1" t="n">
        <v>45442</v>
      </c>
      <c r="C6637" s="1" t="n">
        <v>46145</v>
      </c>
      <c r="D6637" t="inlineStr">
        <is>
          <t>VÄSTERBOTTENS LÄN</t>
        </is>
      </c>
      <c r="E6637" t="inlineStr">
        <is>
          <t>NORSJÖ</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55020-2025</t>
        </is>
      </c>
      <c r="B6638" s="1" t="n">
        <v>45967.62662037037</v>
      </c>
      <c r="C6638" s="1" t="n">
        <v>46145</v>
      </c>
      <c r="D6638" t="inlineStr">
        <is>
          <t>VÄSTERBOTTENS LÄN</t>
        </is>
      </c>
      <c r="E6638" t="inlineStr">
        <is>
          <t>SKELLEFTEÅ</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55031-2025</t>
        </is>
      </c>
      <c r="B6639" s="1" t="n">
        <v>45967.64045138889</v>
      </c>
      <c r="C6639" s="1" t="n">
        <v>46145</v>
      </c>
      <c r="D6639" t="inlineStr">
        <is>
          <t>VÄSTERBOTTENS LÄN</t>
        </is>
      </c>
      <c r="E6639" t="inlineStr">
        <is>
          <t>LYCKSELE</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42402-2024</t>
        </is>
      </c>
      <c r="B6640" s="1" t="n">
        <v>45565.34449074074</v>
      </c>
      <c r="C6640" s="1" t="n">
        <v>46145</v>
      </c>
      <c r="D6640" t="inlineStr">
        <is>
          <t>VÄSTERBOTTENS LÄN</t>
        </is>
      </c>
      <c r="E6640" t="inlineStr">
        <is>
          <t>BJURHOLM</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55095-2025</t>
        </is>
      </c>
      <c r="B6641" s="1" t="n">
        <v>45968.34498842592</v>
      </c>
      <c r="C6641" s="1" t="n">
        <v>46145</v>
      </c>
      <c r="D6641" t="inlineStr">
        <is>
          <t>VÄSTERBOTTENS LÄN</t>
        </is>
      </c>
      <c r="E6641" t="inlineStr">
        <is>
          <t>VILHELMINA</t>
        </is>
      </c>
      <c r="F6641" t="inlineStr">
        <is>
          <t>SCA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42478-2024</t>
        </is>
      </c>
      <c r="B6642" s="1" t="n">
        <v>45565.4912962963</v>
      </c>
      <c r="C6642" s="1" t="n">
        <v>46145</v>
      </c>
      <c r="D6642" t="inlineStr">
        <is>
          <t>VÄSTERBOTTENS LÄN</t>
        </is>
      </c>
      <c r="E6642" t="inlineStr">
        <is>
          <t>VILHELMINA</t>
        </is>
      </c>
      <c r="F6642" t="inlineStr">
        <is>
          <t>SCA</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55106-2025</t>
        </is>
      </c>
      <c r="B6643" s="1" t="n">
        <v>45968.36491898148</v>
      </c>
      <c r="C6643" s="1" t="n">
        <v>46145</v>
      </c>
      <c r="D6643" t="inlineStr">
        <is>
          <t>VÄSTERBOTTENS LÄN</t>
        </is>
      </c>
      <c r="E6643" t="inlineStr">
        <is>
          <t>VINDELN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55651-2025</t>
        </is>
      </c>
      <c r="B6644" s="1" t="n">
        <v>45972.37232638889</v>
      </c>
      <c r="C6644" s="1" t="n">
        <v>46145</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55677-2025</t>
        </is>
      </c>
      <c r="B6645" s="1" t="n">
        <v>45972.41859953704</v>
      </c>
      <c r="C6645" s="1" t="n">
        <v>46145</v>
      </c>
      <c r="D6645" t="inlineStr">
        <is>
          <t>VÄSTERBOTTENS LÄN</t>
        </is>
      </c>
      <c r="E6645" t="inlineStr">
        <is>
          <t>LYCKSELE</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55705-2025</t>
        </is>
      </c>
      <c r="B6646" s="1" t="n">
        <v>45972.46931712963</v>
      </c>
      <c r="C6646" s="1" t="n">
        <v>46145</v>
      </c>
      <c r="D6646" t="inlineStr">
        <is>
          <t>VÄSTERBOTTENS LÄN</t>
        </is>
      </c>
      <c r="E6646" t="inlineStr">
        <is>
          <t>DOROTEA</t>
        </is>
      </c>
      <c r="F6646" t="inlineStr">
        <is>
          <t>SCA</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36139-2023</t>
        </is>
      </c>
      <c r="B6647" s="1" t="n">
        <v>45149.5874537037</v>
      </c>
      <c r="C6647" s="1" t="n">
        <v>46145</v>
      </c>
      <c r="D6647" t="inlineStr">
        <is>
          <t>VÄSTERBOTTENS LÄN</t>
        </is>
      </c>
      <c r="E6647" t="inlineStr">
        <is>
          <t>ROBERTSFORS</t>
        </is>
      </c>
      <c r="F6647" t="inlineStr">
        <is>
          <t>Holmen skog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55738-2025</t>
        </is>
      </c>
      <c r="B6648" s="1" t="n">
        <v>45972.56696759259</v>
      </c>
      <c r="C6648" s="1" t="n">
        <v>46145</v>
      </c>
      <c r="D6648" t="inlineStr">
        <is>
          <t>VÄSTERBOTTENS LÄN</t>
        </is>
      </c>
      <c r="E6648" t="inlineStr">
        <is>
          <t>LYCKSELE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55390-2025</t>
        </is>
      </c>
      <c r="B6649" s="1" t="n">
        <v>45971.44827546296</v>
      </c>
      <c r="C6649" s="1" t="n">
        <v>46145</v>
      </c>
      <c r="D6649" t="inlineStr">
        <is>
          <t>VÄSTERBOTTENS LÄN</t>
        </is>
      </c>
      <c r="E6649" t="inlineStr">
        <is>
          <t>NORSJÖ</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55392-2025</t>
        </is>
      </c>
      <c r="B6650" s="1" t="n">
        <v>45971.44846064815</v>
      </c>
      <c r="C6650" s="1" t="n">
        <v>46145</v>
      </c>
      <c r="D6650" t="inlineStr">
        <is>
          <t>VÄSTERBOTTENS LÄN</t>
        </is>
      </c>
      <c r="E6650" t="inlineStr">
        <is>
          <t>SKELLEFTEÅ</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55393-2025</t>
        </is>
      </c>
      <c r="B6651" s="1" t="n">
        <v>45971.44847222222</v>
      </c>
      <c r="C6651" s="1" t="n">
        <v>46145</v>
      </c>
      <c r="D6651" t="inlineStr">
        <is>
          <t>VÄSTERBOTTENS LÄN</t>
        </is>
      </c>
      <c r="E6651" t="inlineStr">
        <is>
          <t>SKELLEFTEÅ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50070-2024</t>
        </is>
      </c>
      <c r="B6652" s="1" t="n">
        <v>45600.35901620371</v>
      </c>
      <c r="C6652" s="1" t="n">
        <v>46145</v>
      </c>
      <c r="D6652" t="inlineStr">
        <is>
          <t>VÄSTERBOTTENS LÄN</t>
        </is>
      </c>
      <c r="E6652" t="inlineStr">
        <is>
          <t>SKELLEFTEÅ</t>
        </is>
      </c>
      <c r="F6652" t="inlineStr">
        <is>
          <t>Kommuner</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17776-2023</t>
        </is>
      </c>
      <c r="B6653" s="1" t="n">
        <v>45036</v>
      </c>
      <c r="C6653" s="1" t="n">
        <v>46145</v>
      </c>
      <c r="D6653" t="inlineStr">
        <is>
          <t>VÄSTERBOTTENS LÄN</t>
        </is>
      </c>
      <c r="E6653" t="inlineStr">
        <is>
          <t>DOROTEA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55378-2025</t>
        </is>
      </c>
      <c r="B6654" s="1" t="n">
        <v>45971.42773148148</v>
      </c>
      <c r="C6654" s="1" t="n">
        <v>46145</v>
      </c>
      <c r="D6654" t="inlineStr">
        <is>
          <t>VÄSTERBOTTENS LÄN</t>
        </is>
      </c>
      <c r="E6654" t="inlineStr">
        <is>
          <t>STORUMAN</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27586-2024</t>
        </is>
      </c>
      <c r="B6655" s="1" t="n">
        <v>45474.66497685185</v>
      </c>
      <c r="C6655" s="1" t="n">
        <v>46145</v>
      </c>
      <c r="D6655" t="inlineStr">
        <is>
          <t>VÄSTERBOTTENS LÄN</t>
        </is>
      </c>
      <c r="E6655" t="inlineStr">
        <is>
          <t>ROBERTSFORS</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55658-2025</t>
        </is>
      </c>
      <c r="B6656" s="1" t="n">
        <v>45972.3912037037</v>
      </c>
      <c r="C6656" s="1" t="n">
        <v>46145</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58999-2024</t>
        </is>
      </c>
      <c r="B6657" s="1" t="n">
        <v>45636</v>
      </c>
      <c r="C6657" s="1" t="n">
        <v>46145</v>
      </c>
      <c r="D6657" t="inlineStr">
        <is>
          <t>VÄSTERBOTTENS LÄN</t>
        </is>
      </c>
      <c r="E6657" t="inlineStr">
        <is>
          <t>VILHELMINA</t>
        </is>
      </c>
      <c r="F6657" t="inlineStr">
        <is>
          <t>Allmännings- och besparingsskogar</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55403-2025</t>
        </is>
      </c>
      <c r="B6658" s="1" t="n">
        <v>45971</v>
      </c>
      <c r="C6658" s="1" t="n">
        <v>46145</v>
      </c>
      <c r="D6658" t="inlineStr">
        <is>
          <t>VÄSTERBOTTENS LÄN</t>
        </is>
      </c>
      <c r="E6658" t="inlineStr">
        <is>
          <t>SKELLEFTEÅ</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55464-2025</t>
        </is>
      </c>
      <c r="B6659" s="1" t="n">
        <v>45971</v>
      </c>
      <c r="C6659" s="1" t="n">
        <v>46145</v>
      </c>
      <c r="D6659" t="inlineStr">
        <is>
          <t>VÄSTERBOTTENS LÄN</t>
        </is>
      </c>
      <c r="E6659" t="inlineStr">
        <is>
          <t>SKELLEFTEÅ</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55469-2025</t>
        </is>
      </c>
      <c r="B6660" s="1" t="n">
        <v>45971.53099537037</v>
      </c>
      <c r="C6660" s="1" t="n">
        <v>46145</v>
      </c>
      <c r="D6660" t="inlineStr">
        <is>
          <t>VÄSTERBOTTENS LÄN</t>
        </is>
      </c>
      <c r="E6660" t="inlineStr">
        <is>
          <t>SKELLEFTEÅ</t>
        </is>
      </c>
      <c r="F6660" t="inlineStr">
        <is>
          <t>Holmen skog AB</t>
        </is>
      </c>
      <c r="G6660" t="n">
        <v>17.5</v>
      </c>
      <c r="H6660" t="n">
        <v>0</v>
      </c>
      <c r="I6660" t="n">
        <v>0</v>
      </c>
      <c r="J6660" t="n">
        <v>0</v>
      </c>
      <c r="K6660" t="n">
        <v>0</v>
      </c>
      <c r="L6660" t="n">
        <v>0</v>
      </c>
      <c r="M6660" t="n">
        <v>0</v>
      </c>
      <c r="N6660" t="n">
        <v>0</v>
      </c>
      <c r="O6660" t="n">
        <v>0</v>
      </c>
      <c r="P6660" t="n">
        <v>0</v>
      </c>
      <c r="Q6660" t="n">
        <v>0</v>
      </c>
      <c r="R6660" s="2" t="inlineStr"/>
    </row>
    <row r="6661" ht="15" customHeight="1">
      <c r="A6661" t="inlineStr">
        <is>
          <t>A 42301-2024</t>
        </is>
      </c>
      <c r="B6661" s="1" t="n">
        <v>45562.62887731481</v>
      </c>
      <c r="C6661" s="1" t="n">
        <v>46145</v>
      </c>
      <c r="D6661" t="inlineStr">
        <is>
          <t>VÄSTERBOTTENS LÄN</t>
        </is>
      </c>
      <c r="E6661" t="inlineStr">
        <is>
          <t>ÅSELE</t>
        </is>
      </c>
      <c r="F6661" t="inlineStr">
        <is>
          <t>Holmen skog AB</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55627-2025</t>
        </is>
      </c>
      <c r="B6662" s="1" t="n">
        <v>45972.33012731482</v>
      </c>
      <c r="C6662" s="1" t="n">
        <v>46145</v>
      </c>
      <c r="D6662" t="inlineStr">
        <is>
          <t>VÄSTERBOTTENS LÄN</t>
        </is>
      </c>
      <c r="E6662" t="inlineStr">
        <is>
          <t>LYCKSELE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8247-2023</t>
        </is>
      </c>
      <c r="B6663" s="1" t="n">
        <v>44971</v>
      </c>
      <c r="C6663" s="1" t="n">
        <v>46145</v>
      </c>
      <c r="D6663" t="inlineStr">
        <is>
          <t>VÄSTERBOTTENS LÄN</t>
        </is>
      </c>
      <c r="E6663" t="inlineStr">
        <is>
          <t>ÅSELE</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32880-2023</t>
        </is>
      </c>
      <c r="B6664" s="1" t="n">
        <v>45124</v>
      </c>
      <c r="C6664" s="1" t="n">
        <v>46145</v>
      </c>
      <c r="D6664" t="inlineStr">
        <is>
          <t>VÄSTERBOTTENS LÄN</t>
        </is>
      </c>
      <c r="E6664" t="inlineStr">
        <is>
          <t>SORSELE</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55487-2025</t>
        </is>
      </c>
      <c r="B6665" s="1" t="n">
        <v>45971.57378472222</v>
      </c>
      <c r="C6665" s="1" t="n">
        <v>46145</v>
      </c>
      <c r="D6665" t="inlineStr">
        <is>
          <t>VÄSTERBOTTENS LÄN</t>
        </is>
      </c>
      <c r="E6665" t="inlineStr">
        <is>
          <t>NORSJÖ</t>
        </is>
      </c>
      <c r="F6665" t="inlineStr">
        <is>
          <t>Kommuner</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55717-2025</t>
        </is>
      </c>
      <c r="B6666" s="1" t="n">
        <v>45972.49903935185</v>
      </c>
      <c r="C6666" s="1" t="n">
        <v>46145</v>
      </c>
      <c r="D6666" t="inlineStr">
        <is>
          <t>VÄSTERBOTTENS LÄN</t>
        </is>
      </c>
      <c r="E6666" t="inlineStr">
        <is>
          <t>SKELLEFTEÅ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54150-2024</t>
        </is>
      </c>
      <c r="B6667" s="1" t="n">
        <v>45616</v>
      </c>
      <c r="C6667" s="1" t="n">
        <v>46145</v>
      </c>
      <c r="D6667" t="inlineStr">
        <is>
          <t>VÄSTERBOTTENS LÄN</t>
        </is>
      </c>
      <c r="E6667" t="inlineStr">
        <is>
          <t>UMEÅ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55545-2025</t>
        </is>
      </c>
      <c r="B6668" s="1" t="n">
        <v>45971.63599537037</v>
      </c>
      <c r="C6668" s="1" t="n">
        <v>46145</v>
      </c>
      <c r="D6668" t="inlineStr">
        <is>
          <t>VÄSTERBOTTENS LÄN</t>
        </is>
      </c>
      <c r="E6668" t="inlineStr">
        <is>
          <t>LYCKSELE</t>
        </is>
      </c>
      <c r="F6668" t="inlineStr">
        <is>
          <t>SCA</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55546-2025</t>
        </is>
      </c>
      <c r="B6669" s="1" t="n">
        <v>45971.63633101852</v>
      </c>
      <c r="C6669" s="1" t="n">
        <v>46145</v>
      </c>
      <c r="D6669" t="inlineStr">
        <is>
          <t>VÄSTERBOTTENS LÄN</t>
        </is>
      </c>
      <c r="E6669" t="inlineStr">
        <is>
          <t>DOROTEA</t>
        </is>
      </c>
      <c r="F6669" t="inlineStr">
        <is>
          <t>SCA</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55550-2025</t>
        </is>
      </c>
      <c r="B6670" s="1" t="n">
        <v>45971.63837962963</v>
      </c>
      <c r="C6670" s="1" t="n">
        <v>46145</v>
      </c>
      <c r="D6670" t="inlineStr">
        <is>
          <t>VÄSTERBOTTENS LÄN</t>
        </is>
      </c>
      <c r="E6670" t="inlineStr">
        <is>
          <t>SKELLEFTEÅ</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34849-2023</t>
        </is>
      </c>
      <c r="B6671" s="1" t="n">
        <v>45141.96019675926</v>
      </c>
      <c r="C6671" s="1" t="n">
        <v>46145</v>
      </c>
      <c r="D6671" t="inlineStr">
        <is>
          <t>VÄSTERBOTTENS LÄN</t>
        </is>
      </c>
      <c r="E6671" t="inlineStr">
        <is>
          <t>LYCKSELE</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55589-2025</t>
        </is>
      </c>
      <c r="B6672" s="1" t="n">
        <v>45971.68520833334</v>
      </c>
      <c r="C6672" s="1" t="n">
        <v>46145</v>
      </c>
      <c r="D6672" t="inlineStr">
        <is>
          <t>VÄSTERBOTTENS LÄN</t>
        </is>
      </c>
      <c r="E6672" t="inlineStr">
        <is>
          <t>VINDELN</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54016-2024</t>
        </is>
      </c>
      <c r="B6673" s="1" t="n">
        <v>45616.38167824074</v>
      </c>
      <c r="C6673" s="1" t="n">
        <v>46145</v>
      </c>
      <c r="D6673" t="inlineStr">
        <is>
          <t>VÄSTERBOTTENS LÄN</t>
        </is>
      </c>
      <c r="E6673" t="inlineStr">
        <is>
          <t>VINDELN</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55666-2025</t>
        </is>
      </c>
      <c r="B6674" s="1" t="n">
        <v>45972.40097222223</v>
      </c>
      <c r="C6674" s="1" t="n">
        <v>46145</v>
      </c>
      <c r="D6674" t="inlineStr">
        <is>
          <t>VÄSTERBOTTENS LÄN</t>
        </is>
      </c>
      <c r="E6674" t="inlineStr">
        <is>
          <t>LYCKSELE</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57646-2023</t>
        </is>
      </c>
      <c r="B6675" s="1" t="n">
        <v>45246.59564814815</v>
      </c>
      <c r="C6675" s="1" t="n">
        <v>46145</v>
      </c>
      <c r="D6675" t="inlineStr">
        <is>
          <t>VÄSTERBOTTENS LÄN</t>
        </is>
      </c>
      <c r="E6675" t="inlineStr">
        <is>
          <t>ROBERTSFORS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55462-2025</t>
        </is>
      </c>
      <c r="B6676" s="1" t="n">
        <v>45971</v>
      </c>
      <c r="C6676" s="1" t="n">
        <v>46145</v>
      </c>
      <c r="D6676" t="inlineStr">
        <is>
          <t>VÄSTERBOTTENS LÄN</t>
        </is>
      </c>
      <c r="E6676" t="inlineStr">
        <is>
          <t>SKELLEFTEÅ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55463-2025</t>
        </is>
      </c>
      <c r="B6677" s="1" t="n">
        <v>45971</v>
      </c>
      <c r="C6677" s="1" t="n">
        <v>46145</v>
      </c>
      <c r="D6677" t="inlineStr">
        <is>
          <t>VÄSTERBOTTENS LÄN</t>
        </is>
      </c>
      <c r="E6677" t="inlineStr">
        <is>
          <t>SKELLEFTEÅ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62341-2023</t>
        </is>
      </c>
      <c r="B6678" s="1" t="n">
        <v>45267.92677083334</v>
      </c>
      <c r="C6678" s="1" t="n">
        <v>46145</v>
      </c>
      <c r="D6678" t="inlineStr">
        <is>
          <t>VÄSTERBOTTENS LÄN</t>
        </is>
      </c>
      <c r="E6678" t="inlineStr">
        <is>
          <t>VINDELN</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35068-2024</t>
        </is>
      </c>
      <c r="B6679" s="1" t="n">
        <v>45527.66186342593</v>
      </c>
      <c r="C6679" s="1" t="n">
        <v>46145</v>
      </c>
      <c r="D6679" t="inlineStr">
        <is>
          <t>VÄSTERBOTTENS LÄN</t>
        </is>
      </c>
      <c r="E6679" t="inlineStr">
        <is>
          <t>VINDELN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55786-2025</t>
        </is>
      </c>
      <c r="B6680" s="1" t="n">
        <v>45972.6397337963</v>
      </c>
      <c r="C6680" s="1" t="n">
        <v>46145</v>
      </c>
      <c r="D6680" t="inlineStr">
        <is>
          <t>VÄSTERBOTTENS LÄN</t>
        </is>
      </c>
      <c r="E6680" t="inlineStr">
        <is>
          <t>NORDMALING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29645-2023</t>
        </is>
      </c>
      <c r="B6681" s="1" t="n">
        <v>45098</v>
      </c>
      <c r="C6681" s="1" t="n">
        <v>46145</v>
      </c>
      <c r="D6681" t="inlineStr">
        <is>
          <t>VÄSTERBOTTENS LÄN</t>
        </is>
      </c>
      <c r="E6681" t="inlineStr">
        <is>
          <t>DOROTEA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55721-2025</t>
        </is>
      </c>
      <c r="B6682" s="1" t="n">
        <v>45972.51114583333</v>
      </c>
      <c r="C6682" s="1" t="n">
        <v>46145</v>
      </c>
      <c r="D6682" t="inlineStr">
        <is>
          <t>VÄSTERBOTTENS LÄN</t>
        </is>
      </c>
      <c r="E6682" t="inlineStr">
        <is>
          <t>LYCKSELE</t>
        </is>
      </c>
      <c r="F6682" t="inlineStr">
        <is>
          <t>SCA</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55727-2025</t>
        </is>
      </c>
      <c r="B6683" s="1" t="n">
        <v>45972.53814814815</v>
      </c>
      <c r="C6683" s="1" t="n">
        <v>46145</v>
      </c>
      <c r="D6683" t="inlineStr">
        <is>
          <t>VÄSTERBOTTENS LÄN</t>
        </is>
      </c>
      <c r="E6683" t="inlineStr">
        <is>
          <t>SKELLEFTEÅ</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42501-2023</t>
        </is>
      </c>
      <c r="B6684" s="1" t="n">
        <v>45180.95841435185</v>
      </c>
      <c r="C6684" s="1" t="n">
        <v>46145</v>
      </c>
      <c r="D6684" t="inlineStr">
        <is>
          <t>VÄSTERBOTTENS LÄN</t>
        </is>
      </c>
      <c r="E6684" t="inlineStr">
        <is>
          <t>NORDMALING</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14407-2023</t>
        </is>
      </c>
      <c r="B6685" s="1" t="n">
        <v>45012.50180555556</v>
      </c>
      <c r="C6685" s="1" t="n">
        <v>46145</v>
      </c>
      <c r="D6685" t="inlineStr">
        <is>
          <t>VÄSTERBOTTENS LÄN</t>
        </is>
      </c>
      <c r="E6685" t="inlineStr">
        <is>
          <t>UMEÅ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55394-2025</t>
        </is>
      </c>
      <c r="B6686" s="1" t="n">
        <v>45971.4484837963</v>
      </c>
      <c r="C6686" s="1" t="n">
        <v>46145</v>
      </c>
      <c r="D6686" t="inlineStr">
        <is>
          <t>VÄSTERBOTTENS LÄN</t>
        </is>
      </c>
      <c r="E6686" t="inlineStr">
        <is>
          <t>SKELLEFTEÅ</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55634-2025</t>
        </is>
      </c>
      <c r="B6687" s="1" t="n">
        <v>45972.34466435185</v>
      </c>
      <c r="C6687" s="1" t="n">
        <v>46145</v>
      </c>
      <c r="D6687" t="inlineStr">
        <is>
          <t>VÄSTERBOTTENS LÄN</t>
        </is>
      </c>
      <c r="E6687" t="inlineStr">
        <is>
          <t>VILHELMINA</t>
        </is>
      </c>
      <c r="F6687" t="inlineStr">
        <is>
          <t>SCA</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27110-2024</t>
        </is>
      </c>
      <c r="B6688" s="1" t="n">
        <v>45471.50009259259</v>
      </c>
      <c r="C6688" s="1" t="n">
        <v>46145</v>
      </c>
      <c r="D6688" t="inlineStr">
        <is>
          <t>VÄSTERBOTTENS LÄN</t>
        </is>
      </c>
      <c r="E6688" t="inlineStr">
        <is>
          <t>VÄNNÄS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55792-2025</t>
        </is>
      </c>
      <c r="B6689" s="1" t="n">
        <v>45972.65100694444</v>
      </c>
      <c r="C6689" s="1" t="n">
        <v>46145</v>
      </c>
      <c r="D6689" t="inlineStr">
        <is>
          <t>VÄSTERBOTTENS LÄN</t>
        </is>
      </c>
      <c r="E6689" t="inlineStr">
        <is>
          <t>NORDMALING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1612-2023</t>
        </is>
      </c>
      <c r="B6690" s="1" t="n">
        <v>44935</v>
      </c>
      <c r="C6690" s="1" t="n">
        <v>46145</v>
      </c>
      <c r="D6690" t="inlineStr">
        <is>
          <t>VÄSTERBOTTENS LÄN</t>
        </is>
      </c>
      <c r="E6690" t="inlineStr">
        <is>
          <t>SKELLEFTEÅ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19831-2025</t>
        </is>
      </c>
      <c r="B6691" s="1" t="n">
        <v>45771.46961805555</v>
      </c>
      <c r="C6691" s="1" t="n">
        <v>46145</v>
      </c>
      <c r="D6691" t="inlineStr">
        <is>
          <t>VÄSTERBOTTENS LÄN</t>
        </is>
      </c>
      <c r="E6691" t="inlineStr">
        <is>
          <t>UMEÅ</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58749-2023</t>
        </is>
      </c>
      <c r="B6692" s="1" t="n">
        <v>45251.92947916667</v>
      </c>
      <c r="C6692" s="1" t="n">
        <v>46145</v>
      </c>
      <c r="D6692" t="inlineStr">
        <is>
          <t>VÄSTERBOTTENS LÄN</t>
        </is>
      </c>
      <c r="E6692" t="inlineStr">
        <is>
          <t>VILHELMINA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10666-2025</t>
        </is>
      </c>
      <c r="B6693" s="1" t="n">
        <v>45722</v>
      </c>
      <c r="C6693" s="1" t="n">
        <v>46145</v>
      </c>
      <c r="D6693" t="inlineStr">
        <is>
          <t>VÄSTERBOTTENS LÄN</t>
        </is>
      </c>
      <c r="E6693" t="inlineStr">
        <is>
          <t>MALÅ</t>
        </is>
      </c>
      <c r="G6693" t="n">
        <v>28.4</v>
      </c>
      <c r="H6693" t="n">
        <v>0</v>
      </c>
      <c r="I6693" t="n">
        <v>0</v>
      </c>
      <c r="J6693" t="n">
        <v>0</v>
      </c>
      <c r="K6693" t="n">
        <v>0</v>
      </c>
      <c r="L6693" t="n">
        <v>0</v>
      </c>
      <c r="M6693" t="n">
        <v>0</v>
      </c>
      <c r="N6693" t="n">
        <v>0</v>
      </c>
      <c r="O6693" t="n">
        <v>0</v>
      </c>
      <c r="P6693" t="n">
        <v>0</v>
      </c>
      <c r="Q6693" t="n">
        <v>0</v>
      </c>
      <c r="R6693" s="2" t="inlineStr"/>
    </row>
    <row r="6694" ht="15" customHeight="1">
      <c r="A6694" t="inlineStr">
        <is>
          <t>A 55566-2025</t>
        </is>
      </c>
      <c r="B6694" s="1" t="n">
        <v>45971.65574074074</v>
      </c>
      <c r="C6694" s="1" t="n">
        <v>46145</v>
      </c>
      <c r="D6694" t="inlineStr">
        <is>
          <t>VÄSTERBOTTENS LÄN</t>
        </is>
      </c>
      <c r="E6694" t="inlineStr">
        <is>
          <t>ÅSELE</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58780-2023</t>
        </is>
      </c>
      <c r="B6695" s="1" t="n">
        <v>45247</v>
      </c>
      <c r="C6695" s="1" t="n">
        <v>46145</v>
      </c>
      <c r="D6695" t="inlineStr">
        <is>
          <t>VÄSTERBOTTENS LÄN</t>
        </is>
      </c>
      <c r="E6695" t="inlineStr">
        <is>
          <t>SORSELE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58830-2023</t>
        </is>
      </c>
      <c r="B6696" s="1" t="n">
        <v>45247</v>
      </c>
      <c r="C6696" s="1" t="n">
        <v>46145</v>
      </c>
      <c r="D6696" t="inlineStr">
        <is>
          <t>VÄSTERBOTTENS LÄN</t>
        </is>
      </c>
      <c r="E6696" t="inlineStr">
        <is>
          <t>SORSELE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16844-2025</t>
        </is>
      </c>
      <c r="B6697" s="1" t="n">
        <v>45754.67600694444</v>
      </c>
      <c r="C6697" s="1" t="n">
        <v>46145</v>
      </c>
      <c r="D6697" t="inlineStr">
        <is>
          <t>VÄSTERBOTTENS LÄN</t>
        </is>
      </c>
      <c r="E6697" t="inlineStr">
        <is>
          <t>VINDELN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55674-2025</t>
        </is>
      </c>
      <c r="B6698" s="1" t="n">
        <v>45972.41671296296</v>
      </c>
      <c r="C6698" s="1" t="n">
        <v>46145</v>
      </c>
      <c r="D6698" t="inlineStr">
        <is>
          <t>VÄSTERBOTTENS LÄN</t>
        </is>
      </c>
      <c r="E6698" t="inlineStr">
        <is>
          <t>LYCKSELE</t>
        </is>
      </c>
      <c r="F6698" t="inlineStr">
        <is>
          <t>Sveaskog</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5280-2025</t>
        </is>
      </c>
      <c r="B6699" s="1" t="n">
        <v>45692.43077546296</v>
      </c>
      <c r="C6699" s="1" t="n">
        <v>46145</v>
      </c>
      <c r="D6699" t="inlineStr">
        <is>
          <t>VÄSTERBOTTENS LÄN</t>
        </is>
      </c>
      <c r="E6699" t="inlineStr">
        <is>
          <t>UMEÅ</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55541-2025</t>
        </is>
      </c>
      <c r="B6700" s="1" t="n">
        <v>45971.63456018519</v>
      </c>
      <c r="C6700" s="1" t="n">
        <v>46145</v>
      </c>
      <c r="D6700" t="inlineStr">
        <is>
          <t>VÄSTERBOTTENS LÄN</t>
        </is>
      </c>
      <c r="E6700" t="inlineStr">
        <is>
          <t>LYCKSELE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55456-2025</t>
        </is>
      </c>
      <c r="B6701" s="1" t="n">
        <v>45971.51086805556</v>
      </c>
      <c r="C6701" s="1" t="n">
        <v>46145</v>
      </c>
      <c r="D6701" t="inlineStr">
        <is>
          <t>VÄSTERBOTTENS LÄN</t>
        </is>
      </c>
      <c r="E6701" t="inlineStr">
        <is>
          <t>VILHELMINA</t>
        </is>
      </c>
      <c r="F6701" t="inlineStr">
        <is>
          <t>SCA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42268-2024</t>
        </is>
      </c>
      <c r="B6702" s="1" t="n">
        <v>45562.5971412037</v>
      </c>
      <c r="C6702" s="1" t="n">
        <v>46145</v>
      </c>
      <c r="D6702" t="inlineStr">
        <is>
          <t>VÄSTERBOTTENS LÄN</t>
        </is>
      </c>
      <c r="E6702" t="inlineStr">
        <is>
          <t>ÅSELE</t>
        </is>
      </c>
      <c r="F6702" t="inlineStr">
        <is>
          <t>Naturvårdsverket</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55342-2025</t>
        </is>
      </c>
      <c r="B6703" s="1" t="n">
        <v>45971.34835648148</v>
      </c>
      <c r="C6703" s="1" t="n">
        <v>46145</v>
      </c>
      <c r="D6703" t="inlineStr">
        <is>
          <t>VÄSTERBOTTENS LÄN</t>
        </is>
      </c>
      <c r="E6703" t="inlineStr">
        <is>
          <t>ÅSELE</t>
        </is>
      </c>
      <c r="F6703" t="inlineStr">
        <is>
          <t>Holmen skog AB</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11907-2025</t>
        </is>
      </c>
      <c r="B6704" s="1" t="n">
        <v>45728</v>
      </c>
      <c r="C6704" s="1" t="n">
        <v>46145</v>
      </c>
      <c r="D6704" t="inlineStr">
        <is>
          <t>VÄSTERBOTTENS LÄN</t>
        </is>
      </c>
      <c r="E6704" t="inlineStr">
        <is>
          <t>SKELLEFTEÅ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55536-2025</t>
        </is>
      </c>
      <c r="B6705" s="1" t="n">
        <v>45971.63290509259</v>
      </c>
      <c r="C6705" s="1" t="n">
        <v>46145</v>
      </c>
      <c r="D6705" t="inlineStr">
        <is>
          <t>VÄSTERBOTTENS LÄN</t>
        </is>
      </c>
      <c r="E6705" t="inlineStr">
        <is>
          <t>LYCKSELE</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55552-2025</t>
        </is>
      </c>
      <c r="B6706" s="1" t="n">
        <v>45971.64434027778</v>
      </c>
      <c r="C6706" s="1" t="n">
        <v>46145</v>
      </c>
      <c r="D6706" t="inlineStr">
        <is>
          <t>VÄSTERBOTTENS LÄN</t>
        </is>
      </c>
      <c r="E6706" t="inlineStr">
        <is>
          <t>SKELLEFTEÅ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55558-2025</t>
        </is>
      </c>
      <c r="B6707" s="1" t="n">
        <v>45971.64960648148</v>
      </c>
      <c r="C6707" s="1" t="n">
        <v>46145</v>
      </c>
      <c r="D6707" t="inlineStr">
        <is>
          <t>VÄSTERBOTTENS LÄN</t>
        </is>
      </c>
      <c r="E6707" t="inlineStr">
        <is>
          <t>SKELLEFTEÅ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55741-2025</t>
        </is>
      </c>
      <c r="B6708" s="1" t="n">
        <v>45972.56950231481</v>
      </c>
      <c r="C6708" s="1" t="n">
        <v>46145</v>
      </c>
      <c r="D6708" t="inlineStr">
        <is>
          <t>VÄSTERBOTTENS LÄN</t>
        </is>
      </c>
      <c r="E6708" t="inlineStr">
        <is>
          <t>LYCKSELE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55752-2025</t>
        </is>
      </c>
      <c r="B6709" s="1" t="n">
        <v>45972.58538194445</v>
      </c>
      <c r="C6709" s="1" t="n">
        <v>46145</v>
      </c>
      <c r="D6709" t="inlineStr">
        <is>
          <t>VÄSTERBOTTENS LÄN</t>
        </is>
      </c>
      <c r="E6709" t="inlineStr">
        <is>
          <t>UMEÅ</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10587-2023</t>
        </is>
      </c>
      <c r="B6710" s="1" t="n">
        <v>44984</v>
      </c>
      <c r="C6710" s="1" t="n">
        <v>46145</v>
      </c>
      <c r="D6710" t="inlineStr">
        <is>
          <t>VÄSTERBOTTENS LÄN</t>
        </is>
      </c>
      <c r="E6710" t="inlineStr">
        <is>
          <t>UMEÅ</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50872-2022</t>
        </is>
      </c>
      <c r="B6711" s="1" t="n">
        <v>44867</v>
      </c>
      <c r="C6711" s="1" t="n">
        <v>46145</v>
      </c>
      <c r="D6711" t="inlineStr">
        <is>
          <t>VÄSTERBOTTENS LÄN</t>
        </is>
      </c>
      <c r="E6711" t="inlineStr">
        <is>
          <t>SKELLEFTEÅ</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55817-2025</t>
        </is>
      </c>
      <c r="B6712" s="1" t="n">
        <v>45972.69997685185</v>
      </c>
      <c r="C6712" s="1" t="n">
        <v>46145</v>
      </c>
      <c r="D6712" t="inlineStr">
        <is>
          <t>VÄSTERBOTTENS LÄN</t>
        </is>
      </c>
      <c r="E6712" t="inlineStr">
        <is>
          <t>ÅSELE</t>
        </is>
      </c>
      <c r="F6712" t="inlineStr">
        <is>
          <t>Holmen skog AB</t>
        </is>
      </c>
      <c r="G6712" t="n">
        <v>12.1</v>
      </c>
      <c r="H6712" t="n">
        <v>0</v>
      </c>
      <c r="I6712" t="n">
        <v>0</v>
      </c>
      <c r="J6712" t="n">
        <v>0</v>
      </c>
      <c r="K6712" t="n">
        <v>0</v>
      </c>
      <c r="L6712" t="n">
        <v>0</v>
      </c>
      <c r="M6712" t="n">
        <v>0</v>
      </c>
      <c r="N6712" t="n">
        <v>0</v>
      </c>
      <c r="O6712" t="n">
        <v>0</v>
      </c>
      <c r="P6712" t="n">
        <v>0</v>
      </c>
      <c r="Q6712" t="n">
        <v>0</v>
      </c>
      <c r="R6712" s="2" t="inlineStr"/>
    </row>
    <row r="6713" ht="15" customHeight="1">
      <c r="A6713" t="inlineStr">
        <is>
          <t>A 8939-2025</t>
        </is>
      </c>
      <c r="B6713" s="1" t="n">
        <v>45713.4485300926</v>
      </c>
      <c r="C6713" s="1" t="n">
        <v>46145</v>
      </c>
      <c r="D6713" t="inlineStr">
        <is>
          <t>VÄSTERBOTTENS LÄN</t>
        </is>
      </c>
      <c r="E6713" t="inlineStr">
        <is>
          <t>VÄNNÄS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58672-2024</t>
        </is>
      </c>
      <c r="B6714" s="1" t="n">
        <v>45635</v>
      </c>
      <c r="C6714" s="1" t="n">
        <v>46145</v>
      </c>
      <c r="D6714" t="inlineStr">
        <is>
          <t>VÄSTERBOTTENS LÄN</t>
        </is>
      </c>
      <c r="E6714" t="inlineStr">
        <is>
          <t>SORSELE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58675-2024</t>
        </is>
      </c>
      <c r="B6715" s="1" t="n">
        <v>45635</v>
      </c>
      <c r="C6715" s="1" t="n">
        <v>46145</v>
      </c>
      <c r="D6715" t="inlineStr">
        <is>
          <t>VÄSTERBOTTENS LÄN</t>
        </is>
      </c>
      <c r="E6715" t="inlineStr">
        <is>
          <t>SORSELE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55520-2025</t>
        </is>
      </c>
      <c r="B6716" s="1" t="n">
        <v>45971.60607638889</v>
      </c>
      <c r="C6716" s="1" t="n">
        <v>46145</v>
      </c>
      <c r="D6716" t="inlineStr">
        <is>
          <t>VÄSTERBOTTENS LÄN</t>
        </is>
      </c>
      <c r="E6716" t="inlineStr">
        <is>
          <t>STORUMAN</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24468-2024</t>
        </is>
      </c>
      <c r="B6717" s="1" t="n">
        <v>45458</v>
      </c>
      <c r="C6717" s="1" t="n">
        <v>46145</v>
      </c>
      <c r="D6717" t="inlineStr">
        <is>
          <t>VÄSTERBOTTENS LÄN</t>
        </is>
      </c>
      <c r="E6717" t="inlineStr">
        <is>
          <t>ROBERTSFORS</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55623-2025</t>
        </is>
      </c>
      <c r="B6718" s="1" t="n">
        <v>45971</v>
      </c>
      <c r="C6718" s="1" t="n">
        <v>46145</v>
      </c>
      <c r="D6718" t="inlineStr">
        <is>
          <t>VÄSTERBOTTENS LÄN</t>
        </is>
      </c>
      <c r="E6718" t="inlineStr">
        <is>
          <t>DOROTEA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54463-2025</t>
        </is>
      </c>
      <c r="B6719" s="1" t="n">
        <v>45964</v>
      </c>
      <c r="C6719" s="1" t="n">
        <v>46145</v>
      </c>
      <c r="D6719" t="inlineStr">
        <is>
          <t>VÄSTERBOTTENS LÄN</t>
        </is>
      </c>
      <c r="E6719" t="inlineStr">
        <is>
          <t>MALÅ</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38361-2023</t>
        </is>
      </c>
      <c r="B6720" s="1" t="n">
        <v>45161.94315972222</v>
      </c>
      <c r="C6720" s="1" t="n">
        <v>46145</v>
      </c>
      <c r="D6720" t="inlineStr">
        <is>
          <t>VÄSTERBOTTENS LÄN</t>
        </is>
      </c>
      <c r="E6720" t="inlineStr">
        <is>
          <t>VILHELMINA</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55366-2025</t>
        </is>
      </c>
      <c r="B6721" s="1" t="n">
        <v>45971.40711805555</v>
      </c>
      <c r="C6721" s="1" t="n">
        <v>46145</v>
      </c>
      <c r="D6721" t="inlineStr">
        <is>
          <t>VÄSTERBOTTENS LÄN</t>
        </is>
      </c>
      <c r="E6721" t="inlineStr">
        <is>
          <t>DOROTEA</t>
        </is>
      </c>
      <c r="G6721" t="n">
        <v>25.6</v>
      </c>
      <c r="H6721" t="n">
        <v>0</v>
      </c>
      <c r="I6721" t="n">
        <v>0</v>
      </c>
      <c r="J6721" t="n">
        <v>0</v>
      </c>
      <c r="K6721" t="n">
        <v>0</v>
      </c>
      <c r="L6721" t="n">
        <v>0</v>
      </c>
      <c r="M6721" t="n">
        <v>0</v>
      </c>
      <c r="N6721" t="n">
        <v>0</v>
      </c>
      <c r="O6721" t="n">
        <v>0</v>
      </c>
      <c r="P6721" t="n">
        <v>0</v>
      </c>
      <c r="Q6721" t="n">
        <v>0</v>
      </c>
      <c r="R6721" s="2" t="inlineStr"/>
    </row>
    <row r="6722" ht="15" customHeight="1">
      <c r="A6722" t="inlineStr">
        <is>
          <t>A 55508-2025</t>
        </is>
      </c>
      <c r="B6722" s="1" t="n">
        <v>45971.59414351852</v>
      </c>
      <c r="C6722" s="1" t="n">
        <v>46145</v>
      </c>
      <c r="D6722" t="inlineStr">
        <is>
          <t>VÄSTERBOTTENS LÄN</t>
        </is>
      </c>
      <c r="E6722" t="inlineStr">
        <is>
          <t>LYCKSELE</t>
        </is>
      </c>
      <c r="G6722" t="n">
        <v>10.5</v>
      </c>
      <c r="H6722" t="n">
        <v>0</v>
      </c>
      <c r="I6722" t="n">
        <v>0</v>
      </c>
      <c r="J6722" t="n">
        <v>0</v>
      </c>
      <c r="K6722" t="n">
        <v>0</v>
      </c>
      <c r="L6722" t="n">
        <v>0</v>
      </c>
      <c r="M6722" t="n">
        <v>0</v>
      </c>
      <c r="N6722" t="n">
        <v>0</v>
      </c>
      <c r="O6722" t="n">
        <v>0</v>
      </c>
      <c r="P6722" t="n">
        <v>0</v>
      </c>
      <c r="Q6722" t="n">
        <v>0</v>
      </c>
      <c r="R6722" s="2" t="inlineStr"/>
    </row>
    <row r="6723" ht="15" customHeight="1">
      <c r="A6723" t="inlineStr">
        <is>
          <t>A 17148-2025</t>
        </is>
      </c>
      <c r="B6723" s="1" t="n">
        <v>45756.30644675926</v>
      </c>
      <c r="C6723" s="1" t="n">
        <v>46145</v>
      </c>
      <c r="D6723" t="inlineStr">
        <is>
          <t>VÄSTERBOTTENS LÄN</t>
        </is>
      </c>
      <c r="E6723" t="inlineStr">
        <is>
          <t>ÅSELE</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17162-2025</t>
        </is>
      </c>
      <c r="B6724" s="1" t="n">
        <v>45756.3552199074</v>
      </c>
      <c r="C6724" s="1" t="n">
        <v>46145</v>
      </c>
      <c r="D6724" t="inlineStr">
        <is>
          <t>VÄSTERBOTTENS LÄN</t>
        </is>
      </c>
      <c r="E6724" t="inlineStr">
        <is>
          <t>SKELLEFTEÅ</t>
        </is>
      </c>
      <c r="G6724" t="n">
        <v>23.9</v>
      </c>
      <c r="H6724" t="n">
        <v>0</v>
      </c>
      <c r="I6724" t="n">
        <v>0</v>
      </c>
      <c r="J6724" t="n">
        <v>0</v>
      </c>
      <c r="K6724" t="n">
        <v>0</v>
      </c>
      <c r="L6724" t="n">
        <v>0</v>
      </c>
      <c r="M6724" t="n">
        <v>0</v>
      </c>
      <c r="N6724" t="n">
        <v>0</v>
      </c>
      <c r="O6724" t="n">
        <v>0</v>
      </c>
      <c r="P6724" t="n">
        <v>0</v>
      </c>
      <c r="Q6724" t="n">
        <v>0</v>
      </c>
      <c r="R6724" s="2" t="inlineStr"/>
    </row>
    <row r="6725" ht="15" customHeight="1">
      <c r="A6725" t="inlineStr">
        <is>
          <t>A 55551-2025</t>
        </is>
      </c>
      <c r="B6725" s="1" t="n">
        <v>45971.63873842593</v>
      </c>
      <c r="C6725" s="1" t="n">
        <v>46145</v>
      </c>
      <c r="D6725" t="inlineStr">
        <is>
          <t>VÄSTERBOTTENS LÄN</t>
        </is>
      </c>
      <c r="E6725" t="inlineStr">
        <is>
          <t>LYCKSELE</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55731-2025</t>
        </is>
      </c>
      <c r="B6726" s="1" t="n">
        <v>45972.54170138889</v>
      </c>
      <c r="C6726" s="1" t="n">
        <v>46145</v>
      </c>
      <c r="D6726" t="inlineStr">
        <is>
          <t>VÄSTERBOTTENS LÄN</t>
        </is>
      </c>
      <c r="E6726" t="inlineStr">
        <is>
          <t>SKELLEFTEÅ</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18108-2025</t>
        </is>
      </c>
      <c r="B6727" s="1" t="n">
        <v>45761.56107638889</v>
      </c>
      <c r="C6727" s="1" t="n">
        <v>46145</v>
      </c>
      <c r="D6727" t="inlineStr">
        <is>
          <t>VÄSTERBOTTENS LÄN</t>
        </is>
      </c>
      <c r="E6727" t="inlineStr">
        <is>
          <t>UMEÅ</t>
        </is>
      </c>
      <c r="F6727" t="inlineStr">
        <is>
          <t>Holmen skog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16903-2025</t>
        </is>
      </c>
      <c r="B6728" s="1" t="n">
        <v>45755.34568287037</v>
      </c>
      <c r="C6728" s="1" t="n">
        <v>46145</v>
      </c>
      <c r="D6728" t="inlineStr">
        <is>
          <t>VÄSTERBOTTENS LÄN</t>
        </is>
      </c>
      <c r="E6728" t="inlineStr">
        <is>
          <t>UMEÅ</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52899-2024</t>
        </is>
      </c>
      <c r="B6729" s="1" t="n">
        <v>45610.67768518518</v>
      </c>
      <c r="C6729" s="1" t="n">
        <v>46145</v>
      </c>
      <c r="D6729" t="inlineStr">
        <is>
          <t>VÄSTERBOTTENS LÄN</t>
        </is>
      </c>
      <c r="E6729" t="inlineStr">
        <is>
          <t>DOROTEA</t>
        </is>
      </c>
      <c r="F6729" t="inlineStr">
        <is>
          <t>SCA</t>
        </is>
      </c>
      <c r="G6729" t="n">
        <v>12.4</v>
      </c>
      <c r="H6729" t="n">
        <v>0</v>
      </c>
      <c r="I6729" t="n">
        <v>0</v>
      </c>
      <c r="J6729" t="n">
        <v>0</v>
      </c>
      <c r="K6729" t="n">
        <v>0</v>
      </c>
      <c r="L6729" t="n">
        <v>0</v>
      </c>
      <c r="M6729" t="n">
        <v>0</v>
      </c>
      <c r="N6729" t="n">
        <v>0</v>
      </c>
      <c r="O6729" t="n">
        <v>0</v>
      </c>
      <c r="P6729" t="n">
        <v>0</v>
      </c>
      <c r="Q6729" t="n">
        <v>0</v>
      </c>
      <c r="R6729" s="2" t="inlineStr"/>
    </row>
    <row r="6730" ht="15" customHeight="1">
      <c r="A6730" t="inlineStr">
        <is>
          <t>A 55333-2025</t>
        </is>
      </c>
      <c r="B6730" s="1" t="n">
        <v>45971.34361111111</v>
      </c>
      <c r="C6730" s="1" t="n">
        <v>46145</v>
      </c>
      <c r="D6730" t="inlineStr">
        <is>
          <t>VÄSTERBOTTENS LÄN</t>
        </is>
      </c>
      <c r="E6730" t="inlineStr">
        <is>
          <t>LYCKSELE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55346-2025</t>
        </is>
      </c>
      <c r="B6731" s="1" t="n">
        <v>45971.35061342592</v>
      </c>
      <c r="C6731" s="1" t="n">
        <v>46145</v>
      </c>
      <c r="D6731" t="inlineStr">
        <is>
          <t>VÄSTERBOTTENS LÄN</t>
        </is>
      </c>
      <c r="E6731" t="inlineStr">
        <is>
          <t>SKELLEFTEÅ</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55349-2025</t>
        </is>
      </c>
      <c r="B6732" s="1" t="n">
        <v>45971.35710648148</v>
      </c>
      <c r="C6732" s="1" t="n">
        <v>46145</v>
      </c>
      <c r="D6732" t="inlineStr">
        <is>
          <t>VÄSTERBOTTENS LÄN</t>
        </is>
      </c>
      <c r="E6732" t="inlineStr">
        <is>
          <t>SKELLEFTEÅ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10340-2024</t>
        </is>
      </c>
      <c r="B6733" s="1" t="n">
        <v>45365</v>
      </c>
      <c r="C6733" s="1" t="n">
        <v>46145</v>
      </c>
      <c r="D6733" t="inlineStr">
        <is>
          <t>VÄSTERBOTTENS LÄN</t>
        </is>
      </c>
      <c r="E6733" t="inlineStr">
        <is>
          <t>SKELLEFTEÅ</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61523-2022</t>
        </is>
      </c>
      <c r="B6734" s="1" t="n">
        <v>44916</v>
      </c>
      <c r="C6734" s="1" t="n">
        <v>46145</v>
      </c>
      <c r="D6734" t="inlineStr">
        <is>
          <t>VÄSTERBOTTENS LÄN</t>
        </is>
      </c>
      <c r="E6734" t="inlineStr">
        <is>
          <t>VINDELN</t>
        </is>
      </c>
      <c r="F6734" t="inlineStr">
        <is>
          <t>Holmen skog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54455-2025</t>
        </is>
      </c>
      <c r="B6735" s="1" t="n">
        <v>45964</v>
      </c>
      <c r="C6735" s="1" t="n">
        <v>46145</v>
      </c>
      <c r="D6735" t="inlineStr">
        <is>
          <t>VÄSTERBOTTENS LÄN</t>
        </is>
      </c>
      <c r="E6735" t="inlineStr">
        <is>
          <t>MALÅ</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55661-2025</t>
        </is>
      </c>
      <c r="B6736" s="1" t="n">
        <v>45972.39516203704</v>
      </c>
      <c r="C6736" s="1" t="n">
        <v>46145</v>
      </c>
      <c r="D6736" t="inlineStr">
        <is>
          <t>VÄSTERBOTTENS LÄN</t>
        </is>
      </c>
      <c r="E6736" t="inlineStr">
        <is>
          <t>MALÅ</t>
        </is>
      </c>
      <c r="F6736" t="inlineStr">
        <is>
          <t>Sveaskog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566-2025</t>
        </is>
      </c>
      <c r="B6737" s="1" t="n">
        <v>45660</v>
      </c>
      <c r="C6737" s="1" t="n">
        <v>46145</v>
      </c>
      <c r="D6737" t="inlineStr">
        <is>
          <t>VÄSTERBOTTENS LÄN</t>
        </is>
      </c>
      <c r="E6737" t="inlineStr">
        <is>
          <t>SORSELE</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28890-2024</t>
        </is>
      </c>
      <c r="B6738" s="1" t="n">
        <v>45479.94907407407</v>
      </c>
      <c r="C6738" s="1" t="n">
        <v>46145</v>
      </c>
      <c r="D6738" t="inlineStr">
        <is>
          <t>VÄSTERBOTTENS LÄN</t>
        </is>
      </c>
      <c r="E6738" t="inlineStr">
        <is>
          <t>LYCKSELE</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17945-2023</t>
        </is>
      </c>
      <c r="B6739" s="1" t="n">
        <v>45037</v>
      </c>
      <c r="C6739" s="1" t="n">
        <v>46145</v>
      </c>
      <c r="D6739" t="inlineStr">
        <is>
          <t>VÄSTERBOTTENS LÄN</t>
        </is>
      </c>
      <c r="E6739" t="inlineStr">
        <is>
          <t>UMEÅ</t>
        </is>
      </c>
      <c r="F6739" t="inlineStr">
        <is>
          <t>Kommuner</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36867-2024</t>
        </is>
      </c>
      <c r="B6740" s="1" t="n">
        <v>45538.57938657407</v>
      </c>
      <c r="C6740" s="1" t="n">
        <v>46145</v>
      </c>
      <c r="D6740" t="inlineStr">
        <is>
          <t>VÄSTERBOTTENS LÄN</t>
        </is>
      </c>
      <c r="E6740" t="inlineStr">
        <is>
          <t>SKELLEFTEÅ</t>
        </is>
      </c>
      <c r="F6740" t="inlineStr">
        <is>
          <t>Holmen skog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39690-2024</t>
        </is>
      </c>
      <c r="B6741" s="1" t="n">
        <v>45552</v>
      </c>
      <c r="C6741" s="1" t="n">
        <v>46145</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39691-2024</t>
        </is>
      </c>
      <c r="B6742" s="1" t="n">
        <v>45552</v>
      </c>
      <c r="C6742" s="1" t="n">
        <v>46145</v>
      </c>
      <c r="D6742" t="inlineStr">
        <is>
          <t>VÄSTERBOTTENS LÄN</t>
        </is>
      </c>
      <c r="E6742" t="inlineStr">
        <is>
          <t>SKELLEFTEÅ</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28892-2024</t>
        </is>
      </c>
      <c r="B6743" s="1" t="n">
        <v>45479.94927083333</v>
      </c>
      <c r="C6743" s="1" t="n">
        <v>46145</v>
      </c>
      <c r="D6743" t="inlineStr">
        <is>
          <t>VÄSTERBOTTENS LÄN</t>
        </is>
      </c>
      <c r="E6743" t="inlineStr">
        <is>
          <t>LYCKSELE</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56368-2025</t>
        </is>
      </c>
      <c r="B6744" s="1" t="n">
        <v>45974.67748842593</v>
      </c>
      <c r="C6744" s="1" t="n">
        <v>46145</v>
      </c>
      <c r="D6744" t="inlineStr">
        <is>
          <t>VÄSTERBOTTENS LÄN</t>
        </is>
      </c>
      <c r="E6744" t="inlineStr">
        <is>
          <t>SORSELE</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56390-2025</t>
        </is>
      </c>
      <c r="B6745" s="1" t="n">
        <v>45974.72736111111</v>
      </c>
      <c r="C6745" s="1" t="n">
        <v>46145</v>
      </c>
      <c r="D6745" t="inlineStr">
        <is>
          <t>VÄSTERBOTTENS LÄN</t>
        </is>
      </c>
      <c r="E6745" t="inlineStr">
        <is>
          <t>SKELLEFTEÅ</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58824-2024</t>
        </is>
      </c>
      <c r="B6746" s="1" t="n">
        <v>45636.36488425926</v>
      </c>
      <c r="C6746" s="1" t="n">
        <v>46145</v>
      </c>
      <c r="D6746" t="inlineStr">
        <is>
          <t>VÄSTERBOTTENS LÄN</t>
        </is>
      </c>
      <c r="E6746" t="inlineStr">
        <is>
          <t>VILHELMINA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55876-2025</t>
        </is>
      </c>
      <c r="B6747" s="1" t="n">
        <v>45973.36261574074</v>
      </c>
      <c r="C6747" s="1" t="n">
        <v>46145</v>
      </c>
      <c r="D6747" t="inlineStr">
        <is>
          <t>VÄSTERBOTTENS LÄN</t>
        </is>
      </c>
      <c r="E6747" t="inlineStr">
        <is>
          <t>VINDELN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60377-2024</t>
        </is>
      </c>
      <c r="B6748" s="1" t="n">
        <v>45643</v>
      </c>
      <c r="C6748" s="1" t="n">
        <v>46145</v>
      </c>
      <c r="D6748" t="inlineStr">
        <is>
          <t>VÄSTERBOTTENS LÄN</t>
        </is>
      </c>
      <c r="E6748" t="inlineStr">
        <is>
          <t>VILHELMINA</t>
        </is>
      </c>
      <c r="F6748" t="inlineStr">
        <is>
          <t>SCA</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56247-2025</t>
        </is>
      </c>
      <c r="B6749" s="1" t="n">
        <v>45974.55259259259</v>
      </c>
      <c r="C6749" s="1" t="n">
        <v>46145</v>
      </c>
      <c r="D6749" t="inlineStr">
        <is>
          <t>VÄSTERBOTTENS LÄN</t>
        </is>
      </c>
      <c r="E6749" t="inlineStr">
        <is>
          <t>NORDMALING</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18861-2024</t>
        </is>
      </c>
      <c r="B6750" s="1" t="n">
        <v>45426</v>
      </c>
      <c r="C6750" s="1" t="n">
        <v>46145</v>
      </c>
      <c r="D6750" t="inlineStr">
        <is>
          <t>VÄSTERBOTTENS LÄN</t>
        </is>
      </c>
      <c r="E6750" t="inlineStr">
        <is>
          <t>UMEÅ</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850-2025</t>
        </is>
      </c>
      <c r="B6751" s="1" t="n">
        <v>45665</v>
      </c>
      <c r="C6751" s="1" t="n">
        <v>46145</v>
      </c>
      <c r="D6751" t="inlineStr">
        <is>
          <t>VÄSTERBOTTENS LÄN</t>
        </is>
      </c>
      <c r="E6751" t="inlineStr">
        <is>
          <t>SORSELE</t>
        </is>
      </c>
      <c r="F6751" t="inlineStr">
        <is>
          <t>Allmännings- och besparingsskogar</t>
        </is>
      </c>
      <c r="G6751" t="n">
        <v>35.6</v>
      </c>
      <c r="H6751" t="n">
        <v>0</v>
      </c>
      <c r="I6751" t="n">
        <v>0</v>
      </c>
      <c r="J6751" t="n">
        <v>0</v>
      </c>
      <c r="K6751" t="n">
        <v>0</v>
      </c>
      <c r="L6751" t="n">
        <v>0</v>
      </c>
      <c r="M6751" t="n">
        <v>0</v>
      </c>
      <c r="N6751" t="n">
        <v>0</v>
      </c>
      <c r="O6751" t="n">
        <v>0</v>
      </c>
      <c r="P6751" t="n">
        <v>0</v>
      </c>
      <c r="Q6751" t="n">
        <v>0</v>
      </c>
      <c r="R6751" s="2" t="inlineStr"/>
    </row>
    <row r="6752" ht="15" customHeight="1">
      <c r="A6752" t="inlineStr">
        <is>
          <t>A 858-2025</t>
        </is>
      </c>
      <c r="B6752" s="1" t="n">
        <v>45665</v>
      </c>
      <c r="C6752" s="1" t="n">
        <v>46145</v>
      </c>
      <c r="D6752" t="inlineStr">
        <is>
          <t>VÄSTERBOTTENS LÄN</t>
        </is>
      </c>
      <c r="E6752" t="inlineStr">
        <is>
          <t>VINDELN</t>
        </is>
      </c>
      <c r="F6752" t="inlineStr">
        <is>
          <t>Naturvårdsverket</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56320-2025</t>
        </is>
      </c>
      <c r="B6753" s="1" t="n">
        <v>45974.63405092592</v>
      </c>
      <c r="C6753" s="1" t="n">
        <v>46145</v>
      </c>
      <c r="D6753" t="inlineStr">
        <is>
          <t>VÄSTERBOTTENS LÄN</t>
        </is>
      </c>
      <c r="E6753" t="inlineStr">
        <is>
          <t>VÄNNÄS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15571-2023</t>
        </is>
      </c>
      <c r="B6754" s="1" t="n">
        <v>45019</v>
      </c>
      <c r="C6754" s="1" t="n">
        <v>46145</v>
      </c>
      <c r="D6754" t="inlineStr">
        <is>
          <t>VÄSTERBOTTENS LÄN</t>
        </is>
      </c>
      <c r="E6754" t="inlineStr">
        <is>
          <t>VINDELN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56172-2025</t>
        </is>
      </c>
      <c r="B6755" s="1" t="n">
        <v>45974.39545138889</v>
      </c>
      <c r="C6755" s="1" t="n">
        <v>46145</v>
      </c>
      <c r="D6755" t="inlineStr">
        <is>
          <t>VÄSTERBOTTENS LÄN</t>
        </is>
      </c>
      <c r="E6755" t="inlineStr">
        <is>
          <t>LYCKSELE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32221-2024</t>
        </is>
      </c>
      <c r="B6756" s="1" t="n">
        <v>45511</v>
      </c>
      <c r="C6756" s="1" t="n">
        <v>46145</v>
      </c>
      <c r="D6756" t="inlineStr">
        <is>
          <t>VÄSTERBOTTENS LÄN</t>
        </is>
      </c>
      <c r="E6756" t="inlineStr">
        <is>
          <t>UMEÅ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54277-2024</t>
        </is>
      </c>
      <c r="B6757" s="1" t="n">
        <v>45616.8405324074</v>
      </c>
      <c r="C6757" s="1" t="n">
        <v>46145</v>
      </c>
      <c r="D6757" t="inlineStr">
        <is>
          <t>VÄSTERBOTTENS LÄN</t>
        </is>
      </c>
      <c r="E6757" t="inlineStr">
        <is>
          <t>LYCKSELE</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62227-2021</t>
        </is>
      </c>
      <c r="B6758" s="1" t="n">
        <v>44501</v>
      </c>
      <c r="C6758" s="1" t="n">
        <v>46145</v>
      </c>
      <c r="D6758" t="inlineStr">
        <is>
          <t>VÄSTERBOTTENS LÄN</t>
        </is>
      </c>
      <c r="E6758" t="inlineStr">
        <is>
          <t>SKELLEFTEÅ</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40599-2024</t>
        </is>
      </c>
      <c r="B6759" s="1" t="n">
        <v>45556.34417824074</v>
      </c>
      <c r="C6759" s="1" t="n">
        <v>46145</v>
      </c>
      <c r="D6759" t="inlineStr">
        <is>
          <t>VÄSTERBOTTENS LÄN</t>
        </is>
      </c>
      <c r="E6759" t="inlineStr">
        <is>
          <t>DOROTEA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55844-2025</t>
        </is>
      </c>
      <c r="B6760" s="1" t="n">
        <v>45973.29459490741</v>
      </c>
      <c r="C6760" s="1" t="n">
        <v>46145</v>
      </c>
      <c r="D6760" t="inlineStr">
        <is>
          <t>VÄSTERBOTTENS LÄN</t>
        </is>
      </c>
      <c r="E6760" t="inlineStr">
        <is>
          <t>UMEÅ</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55921-2025</t>
        </is>
      </c>
      <c r="B6761" s="1" t="n">
        <v>45973.42172453704</v>
      </c>
      <c r="C6761" s="1" t="n">
        <v>46145</v>
      </c>
      <c r="D6761" t="inlineStr">
        <is>
          <t>VÄSTERBOTTENS LÄN</t>
        </is>
      </c>
      <c r="E6761" t="inlineStr">
        <is>
          <t>LYCKSELE</t>
        </is>
      </c>
      <c r="F6761" t="inlineStr">
        <is>
          <t>Sveaskog</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56202-2025</t>
        </is>
      </c>
      <c r="B6762" s="1" t="n">
        <v>45974.46417824074</v>
      </c>
      <c r="C6762" s="1" t="n">
        <v>46145</v>
      </c>
      <c r="D6762" t="inlineStr">
        <is>
          <t>VÄSTERBOTTENS LÄN</t>
        </is>
      </c>
      <c r="E6762" t="inlineStr">
        <is>
          <t>SKELLEFTEÅ</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28153-2023</t>
        </is>
      </c>
      <c r="B6763" s="1" t="n">
        <v>45096</v>
      </c>
      <c r="C6763" s="1" t="n">
        <v>46145</v>
      </c>
      <c r="D6763" t="inlineStr">
        <is>
          <t>VÄSTERBOTTENS LÄN</t>
        </is>
      </c>
      <c r="E6763" t="inlineStr">
        <is>
          <t>SKELLEFTEÅ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61953-2024</t>
        </is>
      </c>
      <c r="B6764" s="1" t="n">
        <v>45653.5150462963</v>
      </c>
      <c r="C6764" s="1" t="n">
        <v>46145</v>
      </c>
      <c r="D6764" t="inlineStr">
        <is>
          <t>VÄSTERBOTTENS LÄN</t>
        </is>
      </c>
      <c r="E6764" t="inlineStr">
        <is>
          <t>VILHELMINA</t>
        </is>
      </c>
      <c r="F6764" t="inlineStr">
        <is>
          <t>Kommuner</t>
        </is>
      </c>
      <c r="G6764" t="n">
        <v>10.2</v>
      </c>
      <c r="H6764" t="n">
        <v>0</v>
      </c>
      <c r="I6764" t="n">
        <v>0</v>
      </c>
      <c r="J6764" t="n">
        <v>0</v>
      </c>
      <c r="K6764" t="n">
        <v>0</v>
      </c>
      <c r="L6764" t="n">
        <v>0</v>
      </c>
      <c r="M6764" t="n">
        <v>0</v>
      </c>
      <c r="N6764" t="n">
        <v>0</v>
      </c>
      <c r="O6764" t="n">
        <v>0</v>
      </c>
      <c r="P6764" t="n">
        <v>0</v>
      </c>
      <c r="Q6764" t="n">
        <v>0</v>
      </c>
      <c r="R6764" s="2" t="inlineStr"/>
    </row>
    <row r="6765" ht="15" customHeight="1">
      <c r="A6765" t="inlineStr">
        <is>
          <t>A 55841-2025</t>
        </is>
      </c>
      <c r="B6765" s="1" t="n">
        <v>45973.28767361111</v>
      </c>
      <c r="C6765" s="1" t="n">
        <v>46145</v>
      </c>
      <c r="D6765" t="inlineStr">
        <is>
          <t>VÄSTERBOTTENS LÄN</t>
        </is>
      </c>
      <c r="E6765" t="inlineStr">
        <is>
          <t>SKELLEFTEÅ</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62058-2024</t>
        </is>
      </c>
      <c r="B6766" s="1" t="n">
        <v>45656.37960648148</v>
      </c>
      <c r="C6766" s="1" t="n">
        <v>46145</v>
      </c>
      <c r="D6766" t="inlineStr">
        <is>
          <t>VÄSTERBOTTENS LÄN</t>
        </is>
      </c>
      <c r="E6766" t="inlineStr">
        <is>
          <t>SKELLEFTEÅ</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62100-2024</t>
        </is>
      </c>
      <c r="B6767" s="1" t="n">
        <v>45656</v>
      </c>
      <c r="C6767" s="1" t="n">
        <v>46145</v>
      </c>
      <c r="D6767" t="inlineStr">
        <is>
          <t>VÄSTERBOTTENS LÄN</t>
        </is>
      </c>
      <c r="E6767" t="inlineStr">
        <is>
          <t>VILHELMINA</t>
        </is>
      </c>
      <c r="F6767" t="inlineStr">
        <is>
          <t>SCA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56102-2025</t>
        </is>
      </c>
      <c r="B6768" s="1" t="n">
        <v>45973.720625</v>
      </c>
      <c r="C6768" s="1" t="n">
        <v>46145</v>
      </c>
      <c r="D6768" t="inlineStr">
        <is>
          <t>VÄSTERBOTTENS LÄN</t>
        </is>
      </c>
      <c r="E6768" t="inlineStr">
        <is>
          <t>MALÅ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2251-2025</t>
        </is>
      </c>
      <c r="B6769" s="1" t="n">
        <v>45673.5</v>
      </c>
      <c r="C6769" s="1" t="n">
        <v>46145</v>
      </c>
      <c r="D6769" t="inlineStr">
        <is>
          <t>VÄSTERBOTTENS LÄN</t>
        </is>
      </c>
      <c r="E6769" t="inlineStr">
        <is>
          <t>NORDMALING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56291-2025</t>
        </is>
      </c>
      <c r="B6770" s="1" t="n">
        <v>45974.5987037037</v>
      </c>
      <c r="C6770" s="1" t="n">
        <v>46145</v>
      </c>
      <c r="D6770" t="inlineStr">
        <is>
          <t>VÄSTERBOTTENS LÄN</t>
        </is>
      </c>
      <c r="E6770" t="inlineStr">
        <is>
          <t>ÅSELE</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39054-2024</t>
        </is>
      </c>
      <c r="B6771" s="1" t="n">
        <v>45548.49337962963</v>
      </c>
      <c r="C6771" s="1" t="n">
        <v>46145</v>
      </c>
      <c r="D6771" t="inlineStr">
        <is>
          <t>VÄSTERBOTTENS LÄN</t>
        </is>
      </c>
      <c r="E6771" t="inlineStr">
        <is>
          <t>SKELLEFTEÅ</t>
        </is>
      </c>
      <c r="F6771" t="inlineStr">
        <is>
          <t>Sveaskog</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55936-2025</t>
        </is>
      </c>
      <c r="B6772" s="1" t="n">
        <v>45973.44416666667</v>
      </c>
      <c r="C6772" s="1" t="n">
        <v>46145</v>
      </c>
      <c r="D6772" t="inlineStr">
        <is>
          <t>VÄSTERBOTTENS LÄN</t>
        </is>
      </c>
      <c r="E6772" t="inlineStr">
        <is>
          <t>VINDELN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55986-2025</t>
        </is>
      </c>
      <c r="B6773" s="1" t="n">
        <v>45973.5503587963</v>
      </c>
      <c r="C6773" s="1" t="n">
        <v>46145</v>
      </c>
      <c r="D6773" t="inlineStr">
        <is>
          <t>VÄSTERBOTTENS LÄN</t>
        </is>
      </c>
      <c r="E6773" t="inlineStr">
        <is>
          <t>NORSJÖ</t>
        </is>
      </c>
      <c r="F6773" t="inlineStr">
        <is>
          <t>Holmen skog AB</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31281-2023</t>
        </is>
      </c>
      <c r="B6774" s="1" t="n">
        <v>45114</v>
      </c>
      <c r="C6774" s="1" t="n">
        <v>46145</v>
      </c>
      <c r="D6774" t="inlineStr">
        <is>
          <t>VÄSTERBOTTENS LÄN</t>
        </is>
      </c>
      <c r="E6774" t="inlineStr">
        <is>
          <t>NORSJÖ</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45697-2024</t>
        </is>
      </c>
      <c r="B6775" s="1" t="n">
        <v>45579.55914351852</v>
      </c>
      <c r="C6775" s="1" t="n">
        <v>46145</v>
      </c>
      <c r="D6775" t="inlineStr">
        <is>
          <t>VÄSTERBOTTENS LÄN</t>
        </is>
      </c>
      <c r="E6775" t="inlineStr">
        <is>
          <t>NORSJÖ</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55839-2025</t>
        </is>
      </c>
      <c r="B6776" s="1" t="n">
        <v>45972.90993055556</v>
      </c>
      <c r="C6776" s="1" t="n">
        <v>46145</v>
      </c>
      <c r="D6776" t="inlineStr">
        <is>
          <t>VÄSTERBOTTENS LÄN</t>
        </is>
      </c>
      <c r="E6776" t="inlineStr">
        <is>
          <t>SKELLEFTEÅ</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55915-2025</t>
        </is>
      </c>
      <c r="B6777" s="1" t="n">
        <v>45973.40667824074</v>
      </c>
      <c r="C6777" s="1" t="n">
        <v>46145</v>
      </c>
      <c r="D6777" t="inlineStr">
        <is>
          <t>VÄSTERBOTTENS LÄN</t>
        </is>
      </c>
      <c r="E6777" t="inlineStr">
        <is>
          <t>SKELLEFTEÅ</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55916-2025</t>
        </is>
      </c>
      <c r="B6778" s="1" t="n">
        <v>45973.40679398148</v>
      </c>
      <c r="C6778" s="1" t="n">
        <v>46145</v>
      </c>
      <c r="D6778" t="inlineStr">
        <is>
          <t>VÄSTERBOTTENS LÄN</t>
        </is>
      </c>
      <c r="E6778" t="inlineStr">
        <is>
          <t>SKELLEFTEÅ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15986-2023</t>
        </is>
      </c>
      <c r="B6779" s="1" t="n">
        <v>45022.94265046297</v>
      </c>
      <c r="C6779" s="1" t="n">
        <v>46145</v>
      </c>
      <c r="D6779" t="inlineStr">
        <is>
          <t>VÄSTERBOTTENS LÄN</t>
        </is>
      </c>
      <c r="E6779" t="inlineStr">
        <is>
          <t>NORDMALING</t>
        </is>
      </c>
      <c r="F6779" t="inlineStr">
        <is>
          <t>SCA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15062-2024</t>
        </is>
      </c>
      <c r="B6780" s="1" t="n">
        <v>45399</v>
      </c>
      <c r="C6780" s="1" t="n">
        <v>46145</v>
      </c>
      <c r="D6780" t="inlineStr">
        <is>
          <t>VÄSTERBOTTENS LÄN</t>
        </is>
      </c>
      <c r="E6780" t="inlineStr">
        <is>
          <t>VILHELMINA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15066-2024</t>
        </is>
      </c>
      <c r="B6781" s="1" t="n">
        <v>45399</v>
      </c>
      <c r="C6781" s="1" t="n">
        <v>46145</v>
      </c>
      <c r="D6781" t="inlineStr">
        <is>
          <t>VÄSTERBOTTENS LÄN</t>
        </is>
      </c>
      <c r="E6781" t="inlineStr">
        <is>
          <t>VILHELMINA</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16212-2025</t>
        </is>
      </c>
      <c r="B6782" s="1" t="n">
        <v>45750.62734953704</v>
      </c>
      <c r="C6782" s="1" t="n">
        <v>46145</v>
      </c>
      <c r="D6782" t="inlineStr">
        <is>
          <t>VÄSTERBOTTENS LÄN</t>
        </is>
      </c>
      <c r="E6782" t="inlineStr">
        <is>
          <t>MALÅ</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55791-2025</t>
        </is>
      </c>
      <c r="B6783" s="1" t="n">
        <v>45972.64734953704</v>
      </c>
      <c r="C6783" s="1" t="n">
        <v>46145</v>
      </c>
      <c r="D6783" t="inlineStr">
        <is>
          <t>VÄSTERBOTTENS LÄN</t>
        </is>
      </c>
      <c r="E6783" t="inlineStr">
        <is>
          <t>SKELLEFTEÅ</t>
        </is>
      </c>
      <c r="F6783" t="inlineStr">
        <is>
          <t>Kommuner</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18974-2023</t>
        </is>
      </c>
      <c r="B6784" s="1" t="n">
        <v>45044</v>
      </c>
      <c r="C6784" s="1" t="n">
        <v>46145</v>
      </c>
      <c r="D6784" t="inlineStr">
        <is>
          <t>VÄSTERBOTTENS LÄN</t>
        </is>
      </c>
      <c r="E6784" t="inlineStr">
        <is>
          <t>NORSJÖ</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56083-2024</t>
        </is>
      </c>
      <c r="B6785" s="1" t="n">
        <v>45623</v>
      </c>
      <c r="C6785" s="1" t="n">
        <v>46145</v>
      </c>
      <c r="D6785" t="inlineStr">
        <is>
          <t>VÄSTERBOTTENS LÄN</t>
        </is>
      </c>
      <c r="E6785" t="inlineStr">
        <is>
          <t>UMEÅ</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56218-2025</t>
        </is>
      </c>
      <c r="B6786" s="1" t="n">
        <v>45974.48989583334</v>
      </c>
      <c r="C6786" s="1" t="n">
        <v>46145</v>
      </c>
      <c r="D6786" t="inlineStr">
        <is>
          <t>VÄSTERBOTTENS LÄN</t>
        </is>
      </c>
      <c r="E6786" t="inlineStr">
        <is>
          <t>NORSJÖ</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17071-2023</t>
        </is>
      </c>
      <c r="B6787" s="1" t="n">
        <v>45030</v>
      </c>
      <c r="C6787" s="1" t="n">
        <v>46145</v>
      </c>
      <c r="D6787" t="inlineStr">
        <is>
          <t>VÄSTERBOTTENS LÄN</t>
        </is>
      </c>
      <c r="E6787" t="inlineStr">
        <is>
          <t>SKELLEFTEÅ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56329-2025</t>
        </is>
      </c>
      <c r="B6788" s="1" t="n">
        <v>45974.64</v>
      </c>
      <c r="C6788" s="1" t="n">
        <v>46145</v>
      </c>
      <c r="D6788" t="inlineStr">
        <is>
          <t>VÄSTERBOTTENS LÄN</t>
        </is>
      </c>
      <c r="E6788" t="inlineStr">
        <is>
          <t>VÄNNÄS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73557-2021</t>
        </is>
      </c>
      <c r="B6789" s="1" t="n">
        <v>44551.9203125</v>
      </c>
      <c r="C6789" s="1" t="n">
        <v>46145</v>
      </c>
      <c r="D6789" t="inlineStr">
        <is>
          <t>VÄSTERBOTTENS LÄN</t>
        </is>
      </c>
      <c r="E6789" t="inlineStr">
        <is>
          <t>ROBERTSFORS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48515-2024</t>
        </is>
      </c>
      <c r="B6790" s="1" t="n">
        <v>45593.31179398148</v>
      </c>
      <c r="C6790" s="1" t="n">
        <v>46145</v>
      </c>
      <c r="D6790" t="inlineStr">
        <is>
          <t>VÄSTERBOTTENS LÄN</t>
        </is>
      </c>
      <c r="E6790" t="inlineStr">
        <is>
          <t>NORDMALING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48530-2024</t>
        </is>
      </c>
      <c r="B6791" s="1" t="n">
        <v>45593.34453703704</v>
      </c>
      <c r="C6791" s="1" t="n">
        <v>46145</v>
      </c>
      <c r="D6791" t="inlineStr">
        <is>
          <t>VÄSTERBOTTENS LÄN</t>
        </is>
      </c>
      <c r="E6791" t="inlineStr">
        <is>
          <t>ÅSELE</t>
        </is>
      </c>
      <c r="F6791" t="inlineStr">
        <is>
          <t>SCA</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48531-2024</t>
        </is>
      </c>
      <c r="B6792" s="1" t="n">
        <v>45593</v>
      </c>
      <c r="C6792" s="1" t="n">
        <v>46145</v>
      </c>
      <c r="D6792" t="inlineStr">
        <is>
          <t>VÄSTERBOTTENS LÄN</t>
        </is>
      </c>
      <c r="E6792" t="inlineStr">
        <is>
          <t>ÅSELE</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56231-2025</t>
        </is>
      </c>
      <c r="B6793" s="1" t="n">
        <v>45974.53111111111</v>
      </c>
      <c r="C6793" s="1" t="n">
        <v>46145</v>
      </c>
      <c r="D6793" t="inlineStr">
        <is>
          <t>VÄSTERBOTTENS LÄN</t>
        </is>
      </c>
      <c r="E6793" t="inlineStr">
        <is>
          <t>ROBERTSFORS</t>
        </is>
      </c>
      <c r="F6793" t="inlineStr">
        <is>
          <t>Holmen skog AB</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16785-2025</t>
        </is>
      </c>
      <c r="B6794" s="1" t="n">
        <v>45754</v>
      </c>
      <c r="C6794" s="1" t="n">
        <v>46145</v>
      </c>
      <c r="D6794" t="inlineStr">
        <is>
          <t>VÄSTERBOTTENS LÄN</t>
        </is>
      </c>
      <c r="E6794" t="inlineStr">
        <is>
          <t>ÅSELE</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38377-2023</t>
        </is>
      </c>
      <c r="B6795" s="1" t="n">
        <v>45161.94466435185</v>
      </c>
      <c r="C6795" s="1" t="n">
        <v>46145</v>
      </c>
      <c r="D6795" t="inlineStr">
        <is>
          <t>VÄSTERBOTTENS LÄN</t>
        </is>
      </c>
      <c r="E6795" t="inlineStr">
        <is>
          <t>DOROTEA</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56284-2025</t>
        </is>
      </c>
      <c r="B6796" s="1" t="n">
        <v>45974.59427083333</v>
      </c>
      <c r="C6796" s="1" t="n">
        <v>46145</v>
      </c>
      <c r="D6796" t="inlineStr">
        <is>
          <t>VÄSTERBOTTENS LÄN</t>
        </is>
      </c>
      <c r="E6796" t="inlineStr">
        <is>
          <t>SKELLEFTEÅ</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35360-2023</t>
        </is>
      </c>
      <c r="B6797" s="1" t="n">
        <v>45146.52483796296</v>
      </c>
      <c r="C6797" s="1" t="n">
        <v>46145</v>
      </c>
      <c r="D6797" t="inlineStr">
        <is>
          <t>VÄSTERBOTTENS LÄN</t>
        </is>
      </c>
      <c r="E6797" t="inlineStr">
        <is>
          <t>VÄNNÄS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9541-2023</t>
        </is>
      </c>
      <c r="B6798" s="1" t="n">
        <v>44981</v>
      </c>
      <c r="C6798" s="1" t="n">
        <v>46145</v>
      </c>
      <c r="D6798" t="inlineStr">
        <is>
          <t>VÄSTERBOTTENS LÄN</t>
        </is>
      </c>
      <c r="E6798" t="inlineStr">
        <is>
          <t>NORDMALING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55878-2025</t>
        </is>
      </c>
      <c r="B6799" s="1" t="n">
        <v>45973.36351851852</v>
      </c>
      <c r="C6799" s="1" t="n">
        <v>46145</v>
      </c>
      <c r="D6799" t="inlineStr">
        <is>
          <t>VÄSTERBOTTENS LÄN</t>
        </is>
      </c>
      <c r="E6799" t="inlineStr">
        <is>
          <t>VINDELN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68334-2021</t>
        </is>
      </c>
      <c r="B6800" s="1" t="n">
        <v>44527</v>
      </c>
      <c r="C6800" s="1" t="n">
        <v>46145</v>
      </c>
      <c r="D6800" t="inlineStr">
        <is>
          <t>VÄSTERBOTTENS LÄN</t>
        </is>
      </c>
      <c r="E6800" t="inlineStr">
        <is>
          <t>SKELLEFTEÅ</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17568-2024</t>
        </is>
      </c>
      <c r="B6801" s="1" t="n">
        <v>45415</v>
      </c>
      <c r="C6801" s="1" t="n">
        <v>46145</v>
      </c>
      <c r="D6801" t="inlineStr">
        <is>
          <t>VÄSTERBOTTENS LÄN</t>
        </is>
      </c>
      <c r="E6801" t="inlineStr">
        <is>
          <t>SKELLEFTEÅ</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41408-2023</t>
        </is>
      </c>
      <c r="B6802" s="1" t="n">
        <v>45174</v>
      </c>
      <c r="C6802" s="1" t="n">
        <v>46145</v>
      </c>
      <c r="D6802" t="inlineStr">
        <is>
          <t>VÄSTERBOTTENS LÄN</t>
        </is>
      </c>
      <c r="E6802" t="inlineStr">
        <is>
          <t>ÅSELE</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55679-2025</t>
        </is>
      </c>
      <c r="B6803" s="1" t="n">
        <v>45972.4197337963</v>
      </c>
      <c r="C6803" s="1" t="n">
        <v>46145</v>
      </c>
      <c r="D6803" t="inlineStr">
        <is>
          <t>VÄSTERBOTTENS LÄN</t>
        </is>
      </c>
      <c r="E6803" t="inlineStr">
        <is>
          <t>LYCKSELE</t>
        </is>
      </c>
      <c r="F6803" t="inlineStr">
        <is>
          <t>Sveaskog</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56079-2025</t>
        </is>
      </c>
      <c r="B6804" s="1" t="n">
        <v>45973.65923611111</v>
      </c>
      <c r="C6804" s="1" t="n">
        <v>46145</v>
      </c>
      <c r="D6804" t="inlineStr">
        <is>
          <t>VÄSTERBOTTENS LÄN</t>
        </is>
      </c>
      <c r="E6804" t="inlineStr">
        <is>
          <t>SKELLEFTEÅ</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8229-2022</t>
        </is>
      </c>
      <c r="B6805" s="1" t="n">
        <v>44609</v>
      </c>
      <c r="C6805" s="1" t="n">
        <v>46145</v>
      </c>
      <c r="D6805" t="inlineStr">
        <is>
          <t>VÄSTERBOTTENS LÄN</t>
        </is>
      </c>
      <c r="E6805" t="inlineStr">
        <is>
          <t>VILHELMINA</t>
        </is>
      </c>
      <c r="F6805" t="inlineStr">
        <is>
          <t>SCA</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53889-2024</t>
        </is>
      </c>
      <c r="B6806" s="1" t="n">
        <v>45615.67903935185</v>
      </c>
      <c r="C6806" s="1" t="n">
        <v>46145</v>
      </c>
      <c r="D6806" t="inlineStr">
        <is>
          <t>VÄSTERBOTTENS LÄN</t>
        </is>
      </c>
      <c r="E6806" t="inlineStr">
        <is>
          <t>NORDMALING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46483-2024</t>
        </is>
      </c>
      <c r="B6807" s="1" t="n">
        <v>45582.5741087963</v>
      </c>
      <c r="C6807" s="1" t="n">
        <v>46145</v>
      </c>
      <c r="D6807" t="inlineStr">
        <is>
          <t>VÄSTERBOTTENS LÄN</t>
        </is>
      </c>
      <c r="E6807" t="inlineStr">
        <is>
          <t>VINDELN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33701-2023</t>
        </is>
      </c>
      <c r="B6808" s="1" t="n">
        <v>45132</v>
      </c>
      <c r="C6808" s="1" t="n">
        <v>46145</v>
      </c>
      <c r="D6808" t="inlineStr">
        <is>
          <t>VÄSTERBOTTENS LÄN</t>
        </is>
      </c>
      <c r="E6808" t="inlineStr">
        <is>
          <t>VINDELN</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33710-2023</t>
        </is>
      </c>
      <c r="B6809" s="1" t="n">
        <v>45132.92306712963</v>
      </c>
      <c r="C6809" s="1" t="n">
        <v>46145</v>
      </c>
      <c r="D6809" t="inlineStr">
        <is>
          <t>VÄSTERBOTTENS LÄN</t>
        </is>
      </c>
      <c r="E6809" t="inlineStr">
        <is>
          <t>SKELLEFTEÅ</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55883-2025</t>
        </is>
      </c>
      <c r="B6810" s="1" t="n">
        <v>45973.36787037037</v>
      </c>
      <c r="C6810" s="1" t="n">
        <v>46145</v>
      </c>
      <c r="D6810" t="inlineStr">
        <is>
          <t>VÄSTERBOTTENS LÄN</t>
        </is>
      </c>
      <c r="E6810" t="inlineStr">
        <is>
          <t>VINDELN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56104-2025</t>
        </is>
      </c>
      <c r="B6811" s="1" t="n">
        <v>45973.72788194445</v>
      </c>
      <c r="C6811" s="1" t="n">
        <v>46145</v>
      </c>
      <c r="D6811" t="inlineStr">
        <is>
          <t>VÄSTERBOTTENS LÄN</t>
        </is>
      </c>
      <c r="E6811" t="inlineStr">
        <is>
          <t>SKELLEFTEÅ</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34904-2023</t>
        </is>
      </c>
      <c r="B6812" s="1" t="n">
        <v>45141</v>
      </c>
      <c r="C6812" s="1" t="n">
        <v>46145</v>
      </c>
      <c r="D6812" t="inlineStr">
        <is>
          <t>VÄSTERBOTTENS LÄN</t>
        </is>
      </c>
      <c r="E6812" t="inlineStr">
        <is>
          <t>NORDMALING</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43748-2024</t>
        </is>
      </c>
      <c r="B6813" s="1" t="n">
        <v>45569.66576388889</v>
      </c>
      <c r="C6813" s="1" t="n">
        <v>46145</v>
      </c>
      <c r="D6813" t="inlineStr">
        <is>
          <t>VÄSTERBOTTENS LÄN</t>
        </is>
      </c>
      <c r="E6813" t="inlineStr">
        <is>
          <t>SKELLEFTEÅ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43754-2024</t>
        </is>
      </c>
      <c r="B6814" s="1" t="n">
        <v>45569.67591435185</v>
      </c>
      <c r="C6814" s="1" t="n">
        <v>46145</v>
      </c>
      <c r="D6814" t="inlineStr">
        <is>
          <t>VÄSTERBOTTENS LÄN</t>
        </is>
      </c>
      <c r="E6814" t="inlineStr">
        <is>
          <t>VINDELN</t>
        </is>
      </c>
      <c r="F6814" t="inlineStr">
        <is>
          <t>Naturvårdsverket</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55984-2025</t>
        </is>
      </c>
      <c r="B6815" s="1" t="n">
        <v>45973.5440162037</v>
      </c>
      <c r="C6815" s="1" t="n">
        <v>46145</v>
      </c>
      <c r="D6815" t="inlineStr">
        <is>
          <t>VÄSTERBOTTENS LÄN</t>
        </is>
      </c>
      <c r="E6815" t="inlineStr">
        <is>
          <t>VINDELN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56018-2025</t>
        </is>
      </c>
      <c r="B6816" s="1" t="n">
        <v>45973.59322916667</v>
      </c>
      <c r="C6816" s="1" t="n">
        <v>46145</v>
      </c>
      <c r="D6816" t="inlineStr">
        <is>
          <t>VÄSTERBOTTENS LÄN</t>
        </is>
      </c>
      <c r="E6816" t="inlineStr">
        <is>
          <t>ÅSELE</t>
        </is>
      </c>
      <c r="F6816" t="inlineStr">
        <is>
          <t>Holmen skog AB</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55899-2025</t>
        </is>
      </c>
      <c r="B6817" s="1" t="n">
        <v>45973.3863425926</v>
      </c>
      <c r="C6817" s="1" t="n">
        <v>46145</v>
      </c>
      <c r="D6817" t="inlineStr">
        <is>
          <t>VÄSTERBOTTENS LÄN</t>
        </is>
      </c>
      <c r="E6817" t="inlineStr">
        <is>
          <t>SKELLEFTEÅ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34991-2023</t>
        </is>
      </c>
      <c r="B6818" s="1" t="n">
        <v>45142.80528935185</v>
      </c>
      <c r="C6818" s="1" t="n">
        <v>46145</v>
      </c>
      <c r="D6818" t="inlineStr">
        <is>
          <t>VÄSTERBOTTENS LÄN</t>
        </is>
      </c>
      <c r="E6818" t="inlineStr">
        <is>
          <t>UMEÅ</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31496-2023</t>
        </is>
      </c>
      <c r="B6819" s="1" t="n">
        <v>45114.94138888889</v>
      </c>
      <c r="C6819" s="1" t="n">
        <v>46145</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72886-2021</t>
        </is>
      </c>
      <c r="B6820" s="1" t="n">
        <v>44546</v>
      </c>
      <c r="C6820" s="1" t="n">
        <v>46145</v>
      </c>
      <c r="D6820" t="inlineStr">
        <is>
          <t>VÄSTERBOTTENS LÄN</t>
        </is>
      </c>
      <c r="E6820" t="inlineStr">
        <is>
          <t>SORSELE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53420-2024</t>
        </is>
      </c>
      <c r="B6821" s="1" t="n">
        <v>45614.51158564815</v>
      </c>
      <c r="C6821" s="1" t="n">
        <v>46145</v>
      </c>
      <c r="D6821" t="inlineStr">
        <is>
          <t>VÄSTERBOTTENS LÄN</t>
        </is>
      </c>
      <c r="E6821" t="inlineStr">
        <is>
          <t>SKELLEFTEÅ</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53472-2024</t>
        </is>
      </c>
      <c r="B6822" s="1" t="n">
        <v>45614.55703703704</v>
      </c>
      <c r="C6822" s="1" t="n">
        <v>46145</v>
      </c>
      <c r="D6822" t="inlineStr">
        <is>
          <t>VÄSTERBOTTENS LÄN</t>
        </is>
      </c>
      <c r="E6822" t="inlineStr">
        <is>
          <t>NORSJÖ</t>
        </is>
      </c>
      <c r="F6822" t="inlineStr">
        <is>
          <t>Holmen skog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56369-2025</t>
        </is>
      </c>
      <c r="B6823" s="1" t="n">
        <v>45974.67760416667</v>
      </c>
      <c r="C6823" s="1" t="n">
        <v>46145</v>
      </c>
      <c r="D6823" t="inlineStr">
        <is>
          <t>VÄSTERBOTTENS LÄN</t>
        </is>
      </c>
      <c r="E6823" t="inlineStr">
        <is>
          <t>SORSELE</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55864-2025</t>
        </is>
      </c>
      <c r="B6824" s="1" t="n">
        <v>45973.3483449074</v>
      </c>
      <c r="C6824" s="1" t="n">
        <v>46145</v>
      </c>
      <c r="D6824" t="inlineStr">
        <is>
          <t>VÄSTERBOTTENS LÄN</t>
        </is>
      </c>
      <c r="E6824" t="inlineStr">
        <is>
          <t>SKELLEFTEÅ</t>
        </is>
      </c>
      <c r="F6824" t="inlineStr">
        <is>
          <t>Kommuner</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28860-2024</t>
        </is>
      </c>
      <c r="B6825" s="1" t="n">
        <v>45478.92875</v>
      </c>
      <c r="C6825" s="1" t="n">
        <v>46145</v>
      </c>
      <c r="D6825" t="inlineStr">
        <is>
          <t>VÄSTERBOTTENS LÄN</t>
        </is>
      </c>
      <c r="E6825" t="inlineStr">
        <is>
          <t>UMEÅ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29622-2024</t>
        </is>
      </c>
      <c r="B6826" s="1" t="n">
        <v>45484.65622685185</v>
      </c>
      <c r="C6826" s="1" t="n">
        <v>46145</v>
      </c>
      <c r="D6826" t="inlineStr">
        <is>
          <t>VÄSTERBOTTENS LÄN</t>
        </is>
      </c>
      <c r="E6826" t="inlineStr">
        <is>
          <t>ROBERTSFORS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22072-2024</t>
        </is>
      </c>
      <c r="B6827" s="1" t="n">
        <v>45443.63575231482</v>
      </c>
      <c r="C6827" s="1" t="n">
        <v>46145</v>
      </c>
      <c r="D6827" t="inlineStr">
        <is>
          <t>VÄSTERBOTTENS LÄN</t>
        </is>
      </c>
      <c r="E6827" t="inlineStr">
        <is>
          <t>SKELLEFTEÅ</t>
        </is>
      </c>
      <c r="F6827" t="inlineStr">
        <is>
          <t>Holmen skog AB</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59376-2024</t>
        </is>
      </c>
      <c r="B6828" s="1" t="n">
        <v>45638.34984953704</v>
      </c>
      <c r="C6828" s="1" t="n">
        <v>46145</v>
      </c>
      <c r="D6828" t="inlineStr">
        <is>
          <t>VÄSTERBOTTENS LÄN</t>
        </is>
      </c>
      <c r="E6828" t="inlineStr">
        <is>
          <t>LYCKSELE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47516-2024</t>
        </is>
      </c>
      <c r="B6829" s="1" t="n">
        <v>45587</v>
      </c>
      <c r="C6829" s="1" t="n">
        <v>46145</v>
      </c>
      <c r="D6829" t="inlineStr">
        <is>
          <t>VÄSTERBOTTENS LÄN</t>
        </is>
      </c>
      <c r="E6829" t="inlineStr">
        <is>
          <t>NORDMALING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55902-2025</t>
        </is>
      </c>
      <c r="B6830" s="1" t="n">
        <v>45973.38936342593</v>
      </c>
      <c r="C6830" s="1" t="n">
        <v>46145</v>
      </c>
      <c r="D6830" t="inlineStr">
        <is>
          <t>VÄSTERBOTTENS LÄN</t>
        </is>
      </c>
      <c r="E6830" t="inlineStr">
        <is>
          <t>BJURHOLM</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55922-2025</t>
        </is>
      </c>
      <c r="B6831" s="1" t="n">
        <v>45973.4247800926</v>
      </c>
      <c r="C6831" s="1" t="n">
        <v>46145</v>
      </c>
      <c r="D6831" t="inlineStr">
        <is>
          <t>VÄSTERBOTTENS LÄN</t>
        </is>
      </c>
      <c r="E6831" t="inlineStr">
        <is>
          <t>LYCKSELE</t>
        </is>
      </c>
      <c r="F6831" t="inlineStr">
        <is>
          <t>Sveaskog</t>
        </is>
      </c>
      <c r="G6831" t="n">
        <v>10.2</v>
      </c>
      <c r="H6831" t="n">
        <v>0</v>
      </c>
      <c r="I6831" t="n">
        <v>0</v>
      </c>
      <c r="J6831" t="n">
        <v>0</v>
      </c>
      <c r="K6831" t="n">
        <v>0</v>
      </c>
      <c r="L6831" t="n">
        <v>0</v>
      </c>
      <c r="M6831" t="n">
        <v>0</v>
      </c>
      <c r="N6831" t="n">
        <v>0</v>
      </c>
      <c r="O6831" t="n">
        <v>0</v>
      </c>
      <c r="P6831" t="n">
        <v>0</v>
      </c>
      <c r="Q6831" t="n">
        <v>0</v>
      </c>
      <c r="R6831" s="2" t="inlineStr"/>
    </row>
    <row r="6832" ht="15" customHeight="1">
      <c r="A6832" t="inlineStr">
        <is>
          <t>A 55946-2025</t>
        </is>
      </c>
      <c r="B6832" s="1" t="n">
        <v>45973.46240740741</v>
      </c>
      <c r="C6832" s="1" t="n">
        <v>46145</v>
      </c>
      <c r="D6832" t="inlineStr">
        <is>
          <t>VÄSTERBOTTENS LÄN</t>
        </is>
      </c>
      <c r="E6832" t="inlineStr">
        <is>
          <t>SKELLEFTEÅ</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55979-2025</t>
        </is>
      </c>
      <c r="B6833" s="1" t="n">
        <v>45973</v>
      </c>
      <c r="C6833" s="1" t="n">
        <v>46145</v>
      </c>
      <c r="D6833" t="inlineStr">
        <is>
          <t>VÄSTERBOTTENS LÄN</t>
        </is>
      </c>
      <c r="E6833" t="inlineStr">
        <is>
          <t>SKELLEFTEÅ</t>
        </is>
      </c>
      <c r="F6833" t="inlineStr">
        <is>
          <t>Kommuner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55983-2025</t>
        </is>
      </c>
      <c r="B6834" s="1" t="n">
        <v>45973.54331018519</v>
      </c>
      <c r="C6834" s="1" t="n">
        <v>46145</v>
      </c>
      <c r="D6834" t="inlineStr">
        <is>
          <t>VÄSTERBOTTENS LÄN</t>
        </is>
      </c>
      <c r="E6834" t="inlineStr">
        <is>
          <t>NORSJÖ</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56484-2025</t>
        </is>
      </c>
      <c r="B6835" s="1" t="n">
        <v>45975.4071412037</v>
      </c>
      <c r="C6835" s="1" t="n">
        <v>46145</v>
      </c>
      <c r="D6835" t="inlineStr">
        <is>
          <t>VÄSTERBOTTENS LÄN</t>
        </is>
      </c>
      <c r="E6835" t="inlineStr">
        <is>
          <t>DOROTEA</t>
        </is>
      </c>
      <c r="F6835" t="inlineStr">
        <is>
          <t>SCA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56553-2025</t>
        </is>
      </c>
      <c r="B6836" s="1" t="n">
        <v>45975.48762731482</v>
      </c>
      <c r="C6836" s="1" t="n">
        <v>46145</v>
      </c>
      <c r="D6836" t="inlineStr">
        <is>
          <t>VÄSTERBOTTENS LÄN</t>
        </is>
      </c>
      <c r="E6836" t="inlineStr">
        <is>
          <t>VÄNNÄS</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56617-2025</t>
        </is>
      </c>
      <c r="B6837" s="1" t="n">
        <v>45975.59364583333</v>
      </c>
      <c r="C6837" s="1" t="n">
        <v>46145</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56513-2025</t>
        </is>
      </c>
      <c r="B6838" s="1" t="n">
        <v>45975.45373842592</v>
      </c>
      <c r="C6838" s="1" t="n">
        <v>46145</v>
      </c>
      <c r="D6838" t="inlineStr">
        <is>
          <t>VÄSTERBOTTENS LÄN</t>
        </is>
      </c>
      <c r="E6838" t="inlineStr">
        <is>
          <t>VÄNNÄS</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50725-2024</t>
        </is>
      </c>
      <c r="B6839" s="1" t="n">
        <v>45602.38738425926</v>
      </c>
      <c r="C6839" s="1" t="n">
        <v>46145</v>
      </c>
      <c r="D6839" t="inlineStr">
        <is>
          <t>VÄSTERBOTTENS LÄN</t>
        </is>
      </c>
      <c r="E6839" t="inlineStr">
        <is>
          <t>NORSJÖ</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50762-2024</t>
        </is>
      </c>
      <c r="B6840" s="1" t="n">
        <v>45602.4377662037</v>
      </c>
      <c r="C6840" s="1" t="n">
        <v>46145</v>
      </c>
      <c r="D6840" t="inlineStr">
        <is>
          <t>VÄSTERBOTTENS LÄN</t>
        </is>
      </c>
      <c r="E6840" t="inlineStr">
        <is>
          <t>BJURHOLM</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50773-2024</t>
        </is>
      </c>
      <c r="B6841" s="1" t="n">
        <v>45602.44862268519</v>
      </c>
      <c r="C6841" s="1" t="n">
        <v>46145</v>
      </c>
      <c r="D6841" t="inlineStr">
        <is>
          <t>VÄSTERBOTTENS LÄN</t>
        </is>
      </c>
      <c r="E6841" t="inlineStr">
        <is>
          <t>BJURHOLM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56709-2025</t>
        </is>
      </c>
      <c r="B6842" s="1" t="n">
        <v>45977.77412037037</v>
      </c>
      <c r="C6842" s="1" t="n">
        <v>46145</v>
      </c>
      <c r="D6842" t="inlineStr">
        <is>
          <t>VÄSTERBOTTENS LÄN</t>
        </is>
      </c>
      <c r="E6842" t="inlineStr">
        <is>
          <t>SKELLEFTEÅ</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4617-2024</t>
        </is>
      </c>
      <c r="B6843" s="1" t="n">
        <v>45327</v>
      </c>
      <c r="C6843" s="1" t="n">
        <v>46145</v>
      </c>
      <c r="D6843" t="inlineStr">
        <is>
          <t>VÄSTERBOTTENS LÄN</t>
        </is>
      </c>
      <c r="E6843" t="inlineStr">
        <is>
          <t>SKELLEFTEÅ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35909-2023</t>
        </is>
      </c>
      <c r="B6844" s="1" t="n">
        <v>45148</v>
      </c>
      <c r="C6844" s="1" t="n">
        <v>46145</v>
      </c>
      <c r="D6844" t="inlineStr">
        <is>
          <t>VÄSTERBOTTENS LÄN</t>
        </is>
      </c>
      <c r="E6844" t="inlineStr">
        <is>
          <t>VINDELN</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56555-2025</t>
        </is>
      </c>
      <c r="B6845" s="1" t="n">
        <v>45975.48876157407</v>
      </c>
      <c r="C6845" s="1" t="n">
        <v>46145</v>
      </c>
      <c r="D6845" t="inlineStr">
        <is>
          <t>VÄSTERBOTTENS LÄN</t>
        </is>
      </c>
      <c r="E6845" t="inlineStr">
        <is>
          <t>UMEÅ</t>
        </is>
      </c>
      <c r="F6845" t="inlineStr">
        <is>
          <t>Holmen skog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56635-2025</t>
        </is>
      </c>
      <c r="B6846" s="1" t="n">
        <v>45975.61641203704</v>
      </c>
      <c r="C6846" s="1" t="n">
        <v>46145</v>
      </c>
      <c r="D6846" t="inlineStr">
        <is>
          <t>VÄSTERBOTTENS LÄN</t>
        </is>
      </c>
      <c r="E6846" t="inlineStr">
        <is>
          <t>DOROTEA</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4656-2024</t>
        </is>
      </c>
      <c r="B6847" s="1" t="n">
        <v>45327</v>
      </c>
      <c r="C6847" s="1" t="n">
        <v>46145</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56571-2025</t>
        </is>
      </c>
      <c r="B6848" s="1" t="n">
        <v>45975.52336805555</v>
      </c>
      <c r="C6848" s="1" t="n">
        <v>46145</v>
      </c>
      <c r="D6848" t="inlineStr">
        <is>
          <t>VÄSTERBOTTENS LÄN</t>
        </is>
      </c>
      <c r="E6848" t="inlineStr">
        <is>
          <t>SKELLEFTEÅ</t>
        </is>
      </c>
      <c r="F6848" t="inlineStr">
        <is>
          <t>Holmen skog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56551-2025</t>
        </is>
      </c>
      <c r="B6849" s="1" t="n">
        <v>45975.48168981481</v>
      </c>
      <c r="C6849" s="1" t="n">
        <v>46145</v>
      </c>
      <c r="D6849" t="inlineStr">
        <is>
          <t>VÄSTERBOTTENS LÄN</t>
        </is>
      </c>
      <c r="E6849" t="inlineStr">
        <is>
          <t>ÅSELE</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37549-2023</t>
        </is>
      </c>
      <c r="B6850" s="1" t="n">
        <v>45158</v>
      </c>
      <c r="C6850" s="1" t="n">
        <v>46145</v>
      </c>
      <c r="D6850" t="inlineStr">
        <is>
          <t>VÄSTERBOTTENS LÄN</t>
        </is>
      </c>
      <c r="E6850" t="inlineStr">
        <is>
          <t>NORDMALING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29000-2024</t>
        </is>
      </c>
      <c r="B6851" s="1" t="n">
        <v>45481.50622685185</v>
      </c>
      <c r="C6851" s="1" t="n">
        <v>46145</v>
      </c>
      <c r="D6851" t="inlineStr">
        <is>
          <t>VÄSTERBOTTENS LÄN</t>
        </is>
      </c>
      <c r="E6851" t="inlineStr">
        <is>
          <t>UMEÅ</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56835-2025</t>
        </is>
      </c>
      <c r="B6852" s="1" t="n">
        <v>45978.47366898148</v>
      </c>
      <c r="C6852" s="1" t="n">
        <v>46145</v>
      </c>
      <c r="D6852" t="inlineStr">
        <is>
          <t>VÄSTERBOTTENS LÄN</t>
        </is>
      </c>
      <c r="E6852" t="inlineStr">
        <is>
          <t>VÄNNÄS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57236-2025</t>
        </is>
      </c>
      <c r="B6853" s="1" t="n">
        <v>45978</v>
      </c>
      <c r="C6853" s="1" t="n">
        <v>46145</v>
      </c>
      <c r="D6853" t="inlineStr">
        <is>
          <t>VÄSTERBOTTENS LÄN</t>
        </is>
      </c>
      <c r="E6853" t="inlineStr">
        <is>
          <t>DOROTEA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56966-2025</t>
        </is>
      </c>
      <c r="B6854" s="1" t="n">
        <v>45978.67543981481</v>
      </c>
      <c r="C6854" s="1" t="n">
        <v>46145</v>
      </c>
      <c r="D6854" t="inlineStr">
        <is>
          <t>VÄSTERBOTTENS LÄN</t>
        </is>
      </c>
      <c r="E6854" t="inlineStr">
        <is>
          <t>VÄNNÄS</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49429-2024</t>
        </is>
      </c>
      <c r="B6855" s="1" t="n">
        <v>45595.80703703704</v>
      </c>
      <c r="C6855" s="1" t="n">
        <v>46145</v>
      </c>
      <c r="D6855" t="inlineStr">
        <is>
          <t>VÄSTERBOTTENS LÄN</t>
        </is>
      </c>
      <c r="E6855" t="inlineStr">
        <is>
          <t>SKELLEFTEÅ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56974-2025</t>
        </is>
      </c>
      <c r="B6856" s="1" t="n">
        <v>45978.68910879629</v>
      </c>
      <c r="C6856" s="1" t="n">
        <v>46145</v>
      </c>
      <c r="D6856" t="inlineStr">
        <is>
          <t>VÄSTERBOTTENS LÄN</t>
        </is>
      </c>
      <c r="E6856" t="inlineStr">
        <is>
          <t>ÅSELE</t>
        </is>
      </c>
      <c r="F6856" t="inlineStr">
        <is>
          <t>Holmen skog AB</t>
        </is>
      </c>
      <c r="G6856" t="n">
        <v>15.5</v>
      </c>
      <c r="H6856" t="n">
        <v>0</v>
      </c>
      <c r="I6856" t="n">
        <v>0</v>
      </c>
      <c r="J6856" t="n">
        <v>0</v>
      </c>
      <c r="K6856" t="n">
        <v>0</v>
      </c>
      <c r="L6856" t="n">
        <v>0</v>
      </c>
      <c r="M6856" t="n">
        <v>0</v>
      </c>
      <c r="N6856" t="n">
        <v>0</v>
      </c>
      <c r="O6856" t="n">
        <v>0</v>
      </c>
      <c r="P6856" t="n">
        <v>0</v>
      </c>
      <c r="Q6856" t="n">
        <v>0</v>
      </c>
      <c r="R6856" s="2" t="inlineStr"/>
    </row>
    <row r="6857" ht="15" customHeight="1">
      <c r="A6857" t="inlineStr">
        <is>
          <t>A 53124-2024</t>
        </is>
      </c>
      <c r="B6857" s="1" t="n">
        <v>45611.58855324074</v>
      </c>
      <c r="C6857" s="1" t="n">
        <v>46145</v>
      </c>
      <c r="D6857" t="inlineStr">
        <is>
          <t>VÄSTERBOTTENS LÄN</t>
        </is>
      </c>
      <c r="E6857" t="inlineStr">
        <is>
          <t>SKELLEFTEÅ</t>
        </is>
      </c>
      <c r="F6857" t="inlineStr">
        <is>
          <t>Holmen skog AB</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55233-2025</t>
        </is>
      </c>
      <c r="B6858" s="1" t="n">
        <v>45968</v>
      </c>
      <c r="C6858" s="1" t="n">
        <v>46145</v>
      </c>
      <c r="D6858" t="inlineStr">
        <is>
          <t>VÄSTERBOTTENS LÄN</t>
        </is>
      </c>
      <c r="E6858" t="inlineStr">
        <is>
          <t>SKELLEFTEÅ</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56542-2025</t>
        </is>
      </c>
      <c r="B6859" s="1" t="n">
        <v>45975.47570601852</v>
      </c>
      <c r="C6859" s="1" t="n">
        <v>46145</v>
      </c>
      <c r="D6859" t="inlineStr">
        <is>
          <t>VÄSTERBOTTENS LÄN</t>
        </is>
      </c>
      <c r="E6859" t="inlineStr">
        <is>
          <t>UMEÅ</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60425-2021</t>
        </is>
      </c>
      <c r="B6860" s="1" t="n">
        <v>44496</v>
      </c>
      <c r="C6860" s="1" t="n">
        <v>46145</v>
      </c>
      <c r="D6860" t="inlineStr">
        <is>
          <t>VÄSTERBOTTENS LÄN</t>
        </is>
      </c>
      <c r="E6860" t="inlineStr">
        <is>
          <t>LYCKSELE</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56428-2025</t>
        </is>
      </c>
      <c r="B6861" s="1" t="n">
        <v>45975.34587962963</v>
      </c>
      <c r="C6861" s="1" t="n">
        <v>46145</v>
      </c>
      <c r="D6861" t="inlineStr">
        <is>
          <t>VÄSTERBOTTENS LÄN</t>
        </is>
      </c>
      <c r="E6861" t="inlineStr">
        <is>
          <t>DOROTEA</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56993-2025</t>
        </is>
      </c>
      <c r="B6862" s="1" t="n">
        <v>45977</v>
      </c>
      <c r="C6862" s="1" t="n">
        <v>46145</v>
      </c>
      <c r="D6862" t="inlineStr">
        <is>
          <t>VÄSTERBOTTENS LÄN</t>
        </is>
      </c>
      <c r="E6862" t="inlineStr">
        <is>
          <t>SKELLEFTEÅ</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56782-2025</t>
        </is>
      </c>
      <c r="B6863" s="1" t="n">
        <v>45978.40677083333</v>
      </c>
      <c r="C6863" s="1" t="n">
        <v>46145</v>
      </c>
      <c r="D6863" t="inlineStr">
        <is>
          <t>VÄSTERBOTTENS LÄN</t>
        </is>
      </c>
      <c r="E6863" t="inlineStr">
        <is>
          <t>DOROTEA</t>
        </is>
      </c>
      <c r="F6863" t="inlineStr">
        <is>
          <t>SCA</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46625-2024</t>
        </is>
      </c>
      <c r="B6864" s="1" t="n">
        <v>45583.3296875</v>
      </c>
      <c r="C6864" s="1" t="n">
        <v>46145</v>
      </c>
      <c r="D6864" t="inlineStr">
        <is>
          <t>VÄSTERBOTTENS LÄN</t>
        </is>
      </c>
      <c r="E6864" t="inlineStr">
        <is>
          <t>NORDMALING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56713-2025</t>
        </is>
      </c>
      <c r="B6865" s="1" t="n">
        <v>45977.84247685185</v>
      </c>
      <c r="C6865" s="1" t="n">
        <v>46145</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46966-2024</t>
        </is>
      </c>
      <c r="B6866" s="1" t="n">
        <v>45586.32145833333</v>
      </c>
      <c r="C6866" s="1" t="n">
        <v>46145</v>
      </c>
      <c r="D6866" t="inlineStr">
        <is>
          <t>VÄSTERBOTTENS LÄN</t>
        </is>
      </c>
      <c r="E6866" t="inlineStr">
        <is>
          <t>DOROTEA</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56816-2025</t>
        </is>
      </c>
      <c r="B6867" s="1" t="n">
        <v>45978.46039351852</v>
      </c>
      <c r="C6867" s="1" t="n">
        <v>46145</v>
      </c>
      <c r="D6867" t="inlineStr">
        <is>
          <t>VÄSTERBOTTENS LÄN</t>
        </is>
      </c>
      <c r="E6867" t="inlineStr">
        <is>
          <t>UMEÅ</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56843-2025</t>
        </is>
      </c>
      <c r="B6868" s="1" t="n">
        <v>45978.48373842592</v>
      </c>
      <c r="C6868" s="1" t="n">
        <v>46145</v>
      </c>
      <c r="D6868" t="inlineStr">
        <is>
          <t>VÄSTERBOTTENS LÄN</t>
        </is>
      </c>
      <c r="E6868" t="inlineStr">
        <is>
          <t>SKELLEFTEÅ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56808-2025</t>
        </is>
      </c>
      <c r="B6869" s="1" t="n">
        <v>45978.45061342593</v>
      </c>
      <c r="C6869" s="1" t="n">
        <v>46145</v>
      </c>
      <c r="D6869" t="inlineStr">
        <is>
          <t>VÄSTERBOTTENS LÄN</t>
        </is>
      </c>
      <c r="E6869" t="inlineStr">
        <is>
          <t>BJURHOLM</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56856-2025</t>
        </is>
      </c>
      <c r="B6870" s="1" t="n">
        <v>45978.49891203704</v>
      </c>
      <c r="C6870" s="1" t="n">
        <v>46145</v>
      </c>
      <c r="D6870" t="inlineStr">
        <is>
          <t>VÄSTERBOTTENS LÄN</t>
        </is>
      </c>
      <c r="E6870" t="inlineStr">
        <is>
          <t>VINDELN</t>
        </is>
      </c>
      <c r="F6870" t="inlineStr">
        <is>
          <t>Holmen skog AB</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15786-2025</t>
        </is>
      </c>
      <c r="B6871" s="1" t="n">
        <v>45748.62240740741</v>
      </c>
      <c r="C6871" s="1" t="n">
        <v>46145</v>
      </c>
      <c r="D6871" t="inlineStr">
        <is>
          <t>VÄSTERBOTTENS LÄN</t>
        </is>
      </c>
      <c r="E6871" t="inlineStr">
        <is>
          <t>VILHELMINA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35123-2023</t>
        </is>
      </c>
      <c r="B6872" s="1" t="n">
        <v>45145.50380787037</v>
      </c>
      <c r="C6872" s="1" t="n">
        <v>46145</v>
      </c>
      <c r="D6872" t="inlineStr">
        <is>
          <t>VÄSTERBOTTENS LÄN</t>
        </is>
      </c>
      <c r="E6872" t="inlineStr">
        <is>
          <t>VÄNNÄS</t>
        </is>
      </c>
      <c r="F6872" t="inlineStr">
        <is>
          <t>Holmen skog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56935-2025</t>
        </is>
      </c>
      <c r="B6873" s="1" t="n">
        <v>45978.61539351852</v>
      </c>
      <c r="C6873" s="1" t="n">
        <v>46145</v>
      </c>
      <c r="D6873" t="inlineStr">
        <is>
          <t>VÄSTERBOTTENS LÄN</t>
        </is>
      </c>
      <c r="E6873" t="inlineStr">
        <is>
          <t>SKELLEFTEÅ</t>
        </is>
      </c>
      <c r="G6873" t="n">
        <v>26.8</v>
      </c>
      <c r="H6873" t="n">
        <v>0</v>
      </c>
      <c r="I6873" t="n">
        <v>0</v>
      </c>
      <c r="J6873" t="n">
        <v>0</v>
      </c>
      <c r="K6873" t="n">
        <v>0</v>
      </c>
      <c r="L6873" t="n">
        <v>0</v>
      </c>
      <c r="M6873" t="n">
        <v>0</v>
      </c>
      <c r="N6873" t="n">
        <v>0</v>
      </c>
      <c r="O6873" t="n">
        <v>0</v>
      </c>
      <c r="P6873" t="n">
        <v>0</v>
      </c>
      <c r="Q6873" t="n">
        <v>0</v>
      </c>
      <c r="R6873" s="2" t="inlineStr"/>
    </row>
    <row r="6874" ht="15" customHeight="1">
      <c r="A6874" t="inlineStr">
        <is>
          <t>A 35149-2023</t>
        </is>
      </c>
      <c r="B6874" s="1" t="n">
        <v>45145.55239583334</v>
      </c>
      <c r="C6874" s="1" t="n">
        <v>46145</v>
      </c>
      <c r="D6874" t="inlineStr">
        <is>
          <t>VÄSTERBOTTENS LÄN</t>
        </is>
      </c>
      <c r="E6874" t="inlineStr">
        <is>
          <t>ROBERTSFORS</t>
        </is>
      </c>
      <c r="F6874" t="inlineStr">
        <is>
          <t>Holmen skog AB</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8724-2025</t>
        </is>
      </c>
      <c r="B6875" s="1" t="n">
        <v>45712.51121527778</v>
      </c>
      <c r="C6875" s="1" t="n">
        <v>46145</v>
      </c>
      <c r="D6875" t="inlineStr">
        <is>
          <t>VÄSTERBOTTENS LÄN</t>
        </is>
      </c>
      <c r="E6875" t="inlineStr">
        <is>
          <t>ÅSELE</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56831-2025</t>
        </is>
      </c>
      <c r="B6876" s="1" t="n">
        <v>45978.46716435185</v>
      </c>
      <c r="C6876" s="1" t="n">
        <v>46145</v>
      </c>
      <c r="D6876" t="inlineStr">
        <is>
          <t>VÄSTERBOTTENS LÄN</t>
        </is>
      </c>
      <c r="E6876" t="inlineStr">
        <is>
          <t>VÄNNÄS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56840-2025</t>
        </is>
      </c>
      <c r="B6877" s="1" t="n">
        <v>45978.48197916667</v>
      </c>
      <c r="C6877" s="1" t="n">
        <v>46145</v>
      </c>
      <c r="D6877" t="inlineStr">
        <is>
          <t>VÄSTERBOTTENS LÄN</t>
        </is>
      </c>
      <c r="E6877" t="inlineStr">
        <is>
          <t>VINDELN</t>
        </is>
      </c>
      <c r="F6877" t="inlineStr">
        <is>
          <t>Holmen skog AB</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8753-2025</t>
        </is>
      </c>
      <c r="B6878" s="1" t="n">
        <v>45712</v>
      </c>
      <c r="C6878" s="1" t="n">
        <v>46145</v>
      </c>
      <c r="D6878" t="inlineStr">
        <is>
          <t>VÄSTERBOTTENS LÄN</t>
        </is>
      </c>
      <c r="E6878" t="inlineStr">
        <is>
          <t>ROBERTSFORS</t>
        </is>
      </c>
      <c r="F6878" t="inlineStr">
        <is>
          <t>Kommuner</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35284-2023</t>
        </is>
      </c>
      <c r="B6879" s="1" t="n">
        <v>45145</v>
      </c>
      <c r="C6879" s="1" t="n">
        <v>46145</v>
      </c>
      <c r="D6879" t="inlineStr">
        <is>
          <t>VÄSTERBOTTENS LÄN</t>
        </is>
      </c>
      <c r="E6879" t="inlineStr">
        <is>
          <t>LYCKSELE</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35292-2023</t>
        </is>
      </c>
      <c r="B6880" s="1" t="n">
        <v>45145</v>
      </c>
      <c r="C6880" s="1" t="n">
        <v>46145</v>
      </c>
      <c r="D6880" t="inlineStr">
        <is>
          <t>VÄSTERBOTTENS LÄN</t>
        </is>
      </c>
      <c r="E6880" t="inlineStr">
        <is>
          <t>NORDMALING</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35294-2023</t>
        </is>
      </c>
      <c r="B6881" s="1" t="n">
        <v>45145</v>
      </c>
      <c r="C6881" s="1" t="n">
        <v>46145</v>
      </c>
      <c r="D6881" t="inlineStr">
        <is>
          <t>VÄSTERBOTTENS LÄN</t>
        </is>
      </c>
      <c r="E6881" t="inlineStr">
        <is>
          <t>VINDELN</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56515-2025</t>
        </is>
      </c>
      <c r="B6882" s="1" t="n">
        <v>45975.45572916666</v>
      </c>
      <c r="C6882" s="1" t="n">
        <v>46145</v>
      </c>
      <c r="D6882" t="inlineStr">
        <is>
          <t>VÄSTERBOTTENS LÄN</t>
        </is>
      </c>
      <c r="E6882" t="inlineStr">
        <is>
          <t>UMEÅ</t>
        </is>
      </c>
      <c r="F6882" t="inlineStr">
        <is>
          <t>Holmen skog AB</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20000-2025</t>
        </is>
      </c>
      <c r="B6883" s="1" t="n">
        <v>45771.90070601852</v>
      </c>
      <c r="C6883" s="1" t="n">
        <v>46145</v>
      </c>
      <c r="D6883" t="inlineStr">
        <is>
          <t>VÄSTERBOTTENS LÄN</t>
        </is>
      </c>
      <c r="E6883" t="inlineStr">
        <is>
          <t>VINDELN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20001-2025</t>
        </is>
      </c>
      <c r="B6884" s="1" t="n">
        <v>45771</v>
      </c>
      <c r="C6884" s="1" t="n">
        <v>46145</v>
      </c>
      <c r="D6884" t="inlineStr">
        <is>
          <t>VÄSTERBOTTENS LÄN</t>
        </is>
      </c>
      <c r="E6884" t="inlineStr">
        <is>
          <t>VINDELN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20026-2025</t>
        </is>
      </c>
      <c r="B6885" s="1" t="n">
        <v>45772.34459490741</v>
      </c>
      <c r="C6885" s="1" t="n">
        <v>46145</v>
      </c>
      <c r="D6885" t="inlineStr">
        <is>
          <t>VÄSTERBOTTENS LÄN</t>
        </is>
      </c>
      <c r="E6885" t="inlineStr">
        <is>
          <t>LYCKSELE</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20034-2025</t>
        </is>
      </c>
      <c r="B6886" s="1" t="n">
        <v>45772.36483796296</v>
      </c>
      <c r="C6886" s="1" t="n">
        <v>46145</v>
      </c>
      <c r="D6886" t="inlineStr">
        <is>
          <t>VÄSTERBOTTENS LÄN</t>
        </is>
      </c>
      <c r="E6886" t="inlineStr">
        <is>
          <t>LYCKSELE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48073-2023</t>
        </is>
      </c>
      <c r="B6887" s="1" t="n">
        <v>45204</v>
      </c>
      <c r="C6887" s="1" t="n">
        <v>46145</v>
      </c>
      <c r="D6887" t="inlineStr">
        <is>
          <t>VÄSTERBOTTENS LÄN</t>
        </is>
      </c>
      <c r="E6887" t="inlineStr">
        <is>
          <t>ÅSELE</t>
        </is>
      </c>
      <c r="F6887" t="inlineStr">
        <is>
          <t>SCA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41109-2023</t>
        </is>
      </c>
      <c r="B6888" s="1" t="n">
        <v>45170</v>
      </c>
      <c r="C6888" s="1" t="n">
        <v>46145</v>
      </c>
      <c r="D6888" t="inlineStr">
        <is>
          <t>VÄSTERBOTTENS LÄN</t>
        </is>
      </c>
      <c r="E6888" t="inlineStr">
        <is>
          <t>SKELLEFTEÅ</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56662-2025</t>
        </is>
      </c>
      <c r="B6889" s="1" t="n">
        <v>45975.65717592592</v>
      </c>
      <c r="C6889" s="1" t="n">
        <v>46145</v>
      </c>
      <c r="D6889" t="inlineStr">
        <is>
          <t>VÄSTERBOTTENS LÄN</t>
        </is>
      </c>
      <c r="E6889" t="inlineStr">
        <is>
          <t>SKELLEFTEÅ</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61609-2024</t>
        </is>
      </c>
      <c r="B6890" s="1" t="n">
        <v>45645</v>
      </c>
      <c r="C6890" s="1" t="n">
        <v>46145</v>
      </c>
      <c r="D6890" t="inlineStr">
        <is>
          <t>VÄSTERBOTTENS LÄN</t>
        </is>
      </c>
      <c r="E6890" t="inlineStr">
        <is>
          <t>MALÅ</t>
        </is>
      </c>
      <c r="F6890" t="inlineStr">
        <is>
          <t>Sveaskog</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56447-2025</t>
        </is>
      </c>
      <c r="B6891" s="1" t="n">
        <v>45975.34850694444</v>
      </c>
      <c r="C6891" s="1" t="n">
        <v>46145</v>
      </c>
      <c r="D6891" t="inlineStr">
        <is>
          <t>VÄSTERBOTTENS LÄN</t>
        </is>
      </c>
      <c r="E6891" t="inlineStr">
        <is>
          <t>SKELLEFTEÅ</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39589-2023</t>
        </is>
      </c>
      <c r="B6892" s="1" t="n">
        <v>45167.44805555556</v>
      </c>
      <c r="C6892" s="1" t="n">
        <v>46145</v>
      </c>
      <c r="D6892" t="inlineStr">
        <is>
          <t>VÄSTERBOTTENS LÄN</t>
        </is>
      </c>
      <c r="E6892" t="inlineStr">
        <is>
          <t>SKELLEFTEÅ</t>
        </is>
      </c>
      <c r="F6892" t="inlineStr">
        <is>
          <t>Holmen skog AB</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2925-2025</t>
        </is>
      </c>
      <c r="B6893" s="1" t="n">
        <v>45678.32653935185</v>
      </c>
      <c r="C6893" s="1" t="n">
        <v>46145</v>
      </c>
      <c r="D6893" t="inlineStr">
        <is>
          <t>VÄSTERBOTTENS LÄN</t>
        </is>
      </c>
      <c r="E6893" t="inlineStr">
        <is>
          <t>NORDMALING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56558-2025</t>
        </is>
      </c>
      <c r="B6894" s="1" t="n">
        <v>45975.49052083334</v>
      </c>
      <c r="C6894" s="1" t="n">
        <v>46145</v>
      </c>
      <c r="D6894" t="inlineStr">
        <is>
          <t>VÄSTERBOTTENS LÄN</t>
        </is>
      </c>
      <c r="E6894" t="inlineStr">
        <is>
          <t>SKELLEFTEÅ</t>
        </is>
      </c>
      <c r="F6894" t="inlineStr">
        <is>
          <t>Holmen skog AB</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39663-2023</t>
        </is>
      </c>
      <c r="B6895" s="1" t="n">
        <v>45167</v>
      </c>
      <c r="C6895" s="1" t="n">
        <v>46145</v>
      </c>
      <c r="D6895" t="inlineStr">
        <is>
          <t>VÄSTERBOTTENS LÄN</t>
        </is>
      </c>
      <c r="E6895" t="inlineStr">
        <is>
          <t>MALÅ</t>
        </is>
      </c>
      <c r="F6895" t="inlineStr">
        <is>
          <t>Sveaskog</t>
        </is>
      </c>
      <c r="G6895" t="n">
        <v>30.8</v>
      </c>
      <c r="H6895" t="n">
        <v>0</v>
      </c>
      <c r="I6895" t="n">
        <v>0</v>
      </c>
      <c r="J6895" t="n">
        <v>0</v>
      </c>
      <c r="K6895" t="n">
        <v>0</v>
      </c>
      <c r="L6895" t="n">
        <v>0</v>
      </c>
      <c r="M6895" t="n">
        <v>0</v>
      </c>
      <c r="N6895" t="n">
        <v>0</v>
      </c>
      <c r="O6895" t="n">
        <v>0</v>
      </c>
      <c r="P6895" t="n">
        <v>0</v>
      </c>
      <c r="Q6895" t="n">
        <v>0</v>
      </c>
      <c r="R6895" s="2" t="inlineStr"/>
    </row>
    <row r="6896" ht="15" customHeight="1">
      <c r="A6896" t="inlineStr">
        <is>
          <t>A 38315-2023</t>
        </is>
      </c>
      <c r="B6896" s="1" t="n">
        <v>45161.6918287037</v>
      </c>
      <c r="C6896" s="1" t="n">
        <v>46145</v>
      </c>
      <c r="D6896" t="inlineStr">
        <is>
          <t>VÄSTERBOTTENS LÄN</t>
        </is>
      </c>
      <c r="E6896" t="inlineStr">
        <is>
          <t>VINDELN</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56562-2025</t>
        </is>
      </c>
      <c r="B6897" s="1" t="n">
        <v>45975.49438657407</v>
      </c>
      <c r="C6897" s="1" t="n">
        <v>46145</v>
      </c>
      <c r="D6897" t="inlineStr">
        <is>
          <t>VÄSTERBOTTENS LÄN</t>
        </is>
      </c>
      <c r="E6897" t="inlineStr">
        <is>
          <t>ÅSELE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56622-2025</t>
        </is>
      </c>
      <c r="B6898" s="1" t="n">
        <v>45975.60040509259</v>
      </c>
      <c r="C6898" s="1" t="n">
        <v>46145</v>
      </c>
      <c r="D6898" t="inlineStr">
        <is>
          <t>VÄSTERBOTTENS LÄN</t>
        </is>
      </c>
      <c r="E6898" t="inlineStr">
        <is>
          <t>VÄNNÄS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56988-2025</t>
        </is>
      </c>
      <c r="B6899" s="1" t="n">
        <v>45977</v>
      </c>
      <c r="C6899" s="1" t="n">
        <v>46145</v>
      </c>
      <c r="D6899" t="inlineStr">
        <is>
          <t>VÄSTERBOTTENS LÄN</t>
        </is>
      </c>
      <c r="E6899" t="inlineStr">
        <is>
          <t>SKELLEFTEÅ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56556-2025</t>
        </is>
      </c>
      <c r="B6900" s="1" t="n">
        <v>45975.49017361111</v>
      </c>
      <c r="C6900" s="1" t="n">
        <v>46145</v>
      </c>
      <c r="D6900" t="inlineStr">
        <is>
          <t>VÄSTERBOTTENS LÄN</t>
        </is>
      </c>
      <c r="E6900" t="inlineStr">
        <is>
          <t>DOROTEA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56567-2025</t>
        </is>
      </c>
      <c r="B6901" s="1" t="n">
        <v>45975.51262731481</v>
      </c>
      <c r="C6901" s="1" t="n">
        <v>46145</v>
      </c>
      <c r="D6901" t="inlineStr">
        <is>
          <t>VÄSTERBOTTENS LÄN</t>
        </is>
      </c>
      <c r="E6901" t="inlineStr">
        <is>
          <t>SKELLEFTEÅ</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50072-2024</t>
        </is>
      </c>
      <c r="B6902" s="1" t="n">
        <v>45600.36332175926</v>
      </c>
      <c r="C6902" s="1" t="n">
        <v>46145</v>
      </c>
      <c r="D6902" t="inlineStr">
        <is>
          <t>VÄSTERBOTTENS LÄN</t>
        </is>
      </c>
      <c r="E6902" t="inlineStr">
        <is>
          <t>LYCKSELE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31558-2023</t>
        </is>
      </c>
      <c r="B6903" s="1" t="n">
        <v>45104</v>
      </c>
      <c r="C6903" s="1" t="n">
        <v>46145</v>
      </c>
      <c r="D6903" t="inlineStr">
        <is>
          <t>VÄSTERBOTTENS LÄN</t>
        </is>
      </c>
      <c r="E6903" t="inlineStr">
        <is>
          <t>SKELLEFTEÅ</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56583-2025</t>
        </is>
      </c>
      <c r="B6904" s="1" t="n">
        <v>45975.5490625</v>
      </c>
      <c r="C6904" s="1" t="n">
        <v>46145</v>
      </c>
      <c r="D6904" t="inlineStr">
        <is>
          <t>VÄSTERBOTTENS LÄN</t>
        </is>
      </c>
      <c r="E6904" t="inlineStr">
        <is>
          <t>ÅSELE</t>
        </is>
      </c>
      <c r="G6904" t="n">
        <v>11.6</v>
      </c>
      <c r="H6904" t="n">
        <v>0</v>
      </c>
      <c r="I6904" t="n">
        <v>0</v>
      </c>
      <c r="J6904" t="n">
        <v>0</v>
      </c>
      <c r="K6904" t="n">
        <v>0</v>
      </c>
      <c r="L6904" t="n">
        <v>0</v>
      </c>
      <c r="M6904" t="n">
        <v>0</v>
      </c>
      <c r="N6904" t="n">
        <v>0</v>
      </c>
      <c r="O6904" t="n">
        <v>0</v>
      </c>
      <c r="P6904" t="n">
        <v>0</v>
      </c>
      <c r="Q6904" t="n">
        <v>0</v>
      </c>
      <c r="R6904" s="2" t="inlineStr"/>
    </row>
    <row r="6905" ht="15" customHeight="1">
      <c r="A6905" t="inlineStr">
        <is>
          <t>A 56833-2025</t>
        </is>
      </c>
      <c r="B6905" s="1" t="n">
        <v>45978.47253472222</v>
      </c>
      <c r="C6905" s="1" t="n">
        <v>46145</v>
      </c>
      <c r="D6905" t="inlineStr">
        <is>
          <t>VÄSTERBOTTENS LÄN</t>
        </is>
      </c>
      <c r="E6905" t="inlineStr">
        <is>
          <t>VÄNNÄS</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18533-2023</t>
        </is>
      </c>
      <c r="B6906" s="1" t="n">
        <v>45041</v>
      </c>
      <c r="C6906" s="1" t="n">
        <v>46145</v>
      </c>
      <c r="D6906" t="inlineStr">
        <is>
          <t>VÄSTERBOTTENS LÄN</t>
        </is>
      </c>
      <c r="E6906" t="inlineStr">
        <is>
          <t>ROBERTSFORS</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57157-2025</t>
        </is>
      </c>
      <c r="B6907" s="1" t="n">
        <v>45978</v>
      </c>
      <c r="C6907" s="1" t="n">
        <v>46145</v>
      </c>
      <c r="D6907" t="inlineStr">
        <is>
          <t>VÄSTERBOTTENS LÄN</t>
        </is>
      </c>
      <c r="E6907" t="inlineStr">
        <is>
          <t>DOROTEA</t>
        </is>
      </c>
      <c r="G6907" t="n">
        <v>19.9</v>
      </c>
      <c r="H6907" t="n">
        <v>0</v>
      </c>
      <c r="I6907" t="n">
        <v>0</v>
      </c>
      <c r="J6907" t="n">
        <v>0</v>
      </c>
      <c r="K6907" t="n">
        <v>0</v>
      </c>
      <c r="L6907" t="n">
        <v>0</v>
      </c>
      <c r="M6907" t="n">
        <v>0</v>
      </c>
      <c r="N6907" t="n">
        <v>0</v>
      </c>
      <c r="O6907" t="n">
        <v>0</v>
      </c>
      <c r="P6907" t="n">
        <v>0</v>
      </c>
      <c r="Q6907" t="n">
        <v>0</v>
      </c>
      <c r="R6907" s="2" t="inlineStr"/>
    </row>
    <row r="6908" ht="15" customHeight="1">
      <c r="A6908" t="inlineStr">
        <is>
          <t>A 57178-2025</t>
        </is>
      </c>
      <c r="B6908" s="1" t="n">
        <v>45978</v>
      </c>
      <c r="C6908" s="1" t="n">
        <v>46145</v>
      </c>
      <c r="D6908" t="inlineStr">
        <is>
          <t>VÄSTERBOTTENS LÄN</t>
        </is>
      </c>
      <c r="E6908" t="inlineStr">
        <is>
          <t>DOROTEA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31397-2023</t>
        </is>
      </c>
      <c r="B6909" s="1" t="n">
        <v>45114</v>
      </c>
      <c r="C6909" s="1" t="n">
        <v>46145</v>
      </c>
      <c r="D6909" t="inlineStr">
        <is>
          <t>VÄSTERBOTTENS LÄN</t>
        </is>
      </c>
      <c r="E6909" t="inlineStr">
        <is>
          <t>VINDELN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45593-2024</t>
        </is>
      </c>
      <c r="B6910" s="1" t="n">
        <v>45579</v>
      </c>
      <c r="C6910" s="1" t="n">
        <v>46145</v>
      </c>
      <c r="D6910" t="inlineStr">
        <is>
          <t>VÄSTERBOTTENS LÄN</t>
        </is>
      </c>
      <c r="E6910" t="inlineStr">
        <is>
          <t>VILHELMINA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56547-2025</t>
        </is>
      </c>
      <c r="B6911" s="1" t="n">
        <v>45975.48043981481</v>
      </c>
      <c r="C6911" s="1" t="n">
        <v>46145</v>
      </c>
      <c r="D6911" t="inlineStr">
        <is>
          <t>VÄSTERBOTTENS LÄN</t>
        </is>
      </c>
      <c r="E6911" t="inlineStr">
        <is>
          <t>UMEÅ</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1117-2024</t>
        </is>
      </c>
      <c r="B6912" s="1" t="n">
        <v>45302.43986111111</v>
      </c>
      <c r="C6912" s="1" t="n">
        <v>46145</v>
      </c>
      <c r="D6912" t="inlineStr">
        <is>
          <t>VÄSTERBOTTENS LÄN</t>
        </is>
      </c>
      <c r="E6912" t="inlineStr">
        <is>
          <t>ROBERTSFORS</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48601-2025</t>
        </is>
      </c>
      <c r="B6913" s="1" t="n">
        <v>45936</v>
      </c>
      <c r="C6913" s="1" t="n">
        <v>46145</v>
      </c>
      <c r="D6913" t="inlineStr">
        <is>
          <t>VÄSTERBOTTENS LÄN</t>
        </is>
      </c>
      <c r="E6913" t="inlineStr">
        <is>
          <t>LYCKSELE</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56642-2025</t>
        </is>
      </c>
      <c r="B6914" s="1" t="n">
        <v>45975.62614583333</v>
      </c>
      <c r="C6914" s="1" t="n">
        <v>46145</v>
      </c>
      <c r="D6914" t="inlineStr">
        <is>
          <t>VÄSTERBOTTENS LÄN</t>
        </is>
      </c>
      <c r="E6914" t="inlineStr">
        <is>
          <t>UMEÅ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56467-2025</t>
        </is>
      </c>
      <c r="B6915" s="1" t="n">
        <v>45975.37643518519</v>
      </c>
      <c r="C6915" s="1" t="n">
        <v>46145</v>
      </c>
      <c r="D6915" t="inlineStr">
        <is>
          <t>VÄSTERBOTTENS LÄN</t>
        </is>
      </c>
      <c r="E6915" t="inlineStr">
        <is>
          <t>BJURHOLM</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56788-2025</t>
        </is>
      </c>
      <c r="B6916" s="1" t="n">
        <v>45978</v>
      </c>
      <c r="C6916" s="1" t="n">
        <v>46145</v>
      </c>
      <c r="D6916" t="inlineStr">
        <is>
          <t>VÄSTERBOTTENS LÄN</t>
        </is>
      </c>
      <c r="E6916" t="inlineStr">
        <is>
          <t>DOROTEA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57245-2025</t>
        </is>
      </c>
      <c r="B6917" s="1" t="n">
        <v>45978</v>
      </c>
      <c r="C6917" s="1" t="n">
        <v>46145</v>
      </c>
      <c r="D6917" t="inlineStr">
        <is>
          <t>VÄSTERBOTTENS LÄN</t>
        </is>
      </c>
      <c r="E6917" t="inlineStr">
        <is>
          <t>DOROTEA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57250-2025</t>
        </is>
      </c>
      <c r="B6918" s="1" t="n">
        <v>45978</v>
      </c>
      <c r="C6918" s="1" t="n">
        <v>46145</v>
      </c>
      <c r="D6918" t="inlineStr">
        <is>
          <t>VÄSTERBOTTENS LÄN</t>
        </is>
      </c>
      <c r="E6918" t="inlineStr">
        <is>
          <t>DOROTEA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56627-2024</t>
        </is>
      </c>
      <c r="B6919" s="1" t="n">
        <v>45625</v>
      </c>
      <c r="C6919" s="1" t="n">
        <v>46145</v>
      </c>
      <c r="D6919" t="inlineStr">
        <is>
          <t>VÄSTERBOTTENS LÄN</t>
        </is>
      </c>
      <c r="E6919" t="inlineStr">
        <is>
          <t>VILHELMINA</t>
        </is>
      </c>
      <c r="F6919" t="inlineStr">
        <is>
          <t>Allmännings- och besparingsskogar</t>
        </is>
      </c>
      <c r="G6919" t="n">
        <v>21.5</v>
      </c>
      <c r="H6919" t="n">
        <v>0</v>
      </c>
      <c r="I6919" t="n">
        <v>0</v>
      </c>
      <c r="J6919" t="n">
        <v>0</v>
      </c>
      <c r="K6919" t="n">
        <v>0</v>
      </c>
      <c r="L6919" t="n">
        <v>0</v>
      </c>
      <c r="M6919" t="n">
        <v>0</v>
      </c>
      <c r="N6919" t="n">
        <v>0</v>
      </c>
      <c r="O6919" t="n">
        <v>0</v>
      </c>
      <c r="P6919" t="n">
        <v>0</v>
      </c>
      <c r="Q6919" t="n">
        <v>0</v>
      </c>
      <c r="R6919" s="2" t="inlineStr"/>
    </row>
    <row r="6920" ht="15" customHeight="1">
      <c r="A6920" t="inlineStr">
        <is>
          <t>A 23718-2024</t>
        </is>
      </c>
      <c r="B6920" s="1" t="n">
        <v>45454.81177083333</v>
      </c>
      <c r="C6920" s="1" t="n">
        <v>46145</v>
      </c>
      <c r="D6920" t="inlineStr">
        <is>
          <t>VÄSTERBOTTENS LÄN</t>
        </is>
      </c>
      <c r="E6920" t="inlineStr">
        <is>
          <t>UMEÅ</t>
        </is>
      </c>
      <c r="F6920" t="inlineStr">
        <is>
          <t>Holmen skog AB</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56424-2025</t>
        </is>
      </c>
      <c r="B6921" s="1" t="n">
        <v>45975.34542824074</v>
      </c>
      <c r="C6921" s="1" t="n">
        <v>46145</v>
      </c>
      <c r="D6921" t="inlineStr">
        <is>
          <t>VÄSTERBOTTENS LÄN</t>
        </is>
      </c>
      <c r="E6921" t="inlineStr">
        <is>
          <t>DOROTEA</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56604-2025</t>
        </is>
      </c>
      <c r="B6922" s="1" t="n">
        <v>45975.57861111111</v>
      </c>
      <c r="C6922" s="1" t="n">
        <v>46145</v>
      </c>
      <c r="D6922" t="inlineStr">
        <is>
          <t>VÄSTERBOTTENS LÄN</t>
        </is>
      </c>
      <c r="E6922" t="inlineStr">
        <is>
          <t>ROBERTSFORS</t>
        </is>
      </c>
      <c r="F6922" t="inlineStr">
        <is>
          <t>Holmen skog AB</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56536-2025</t>
        </is>
      </c>
      <c r="B6923" s="1" t="n">
        <v>45975.47174768519</v>
      </c>
      <c r="C6923" s="1" t="n">
        <v>46145</v>
      </c>
      <c r="D6923" t="inlineStr">
        <is>
          <t>VÄSTERBOTTENS LÄN</t>
        </is>
      </c>
      <c r="E6923" t="inlineStr">
        <is>
          <t>ÅSELE</t>
        </is>
      </c>
      <c r="F6923" t="inlineStr">
        <is>
          <t>Holmen skog AB</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56744-2025</t>
        </is>
      </c>
      <c r="B6924" s="1" t="n">
        <v>45978.36097222222</v>
      </c>
      <c r="C6924" s="1" t="n">
        <v>46145</v>
      </c>
      <c r="D6924" t="inlineStr">
        <is>
          <t>VÄSTERBOTTENS LÄN</t>
        </is>
      </c>
      <c r="E6924" t="inlineStr">
        <is>
          <t>LYCKSELE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56883-2025</t>
        </is>
      </c>
      <c r="B6925" s="1" t="n">
        <v>45978.55603009259</v>
      </c>
      <c r="C6925" s="1" t="n">
        <v>46145</v>
      </c>
      <c r="D6925" t="inlineStr">
        <is>
          <t>VÄSTERBOTTENS LÄN</t>
        </is>
      </c>
      <c r="E6925" t="inlineStr">
        <is>
          <t>SKELLEFTEÅ</t>
        </is>
      </c>
      <c r="F6925" t="inlineStr">
        <is>
          <t>Holmen skog AB</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38229-2024</t>
        </is>
      </c>
      <c r="B6926" s="1" t="n">
        <v>45545.54909722223</v>
      </c>
      <c r="C6926" s="1" t="n">
        <v>46145</v>
      </c>
      <c r="D6926" t="inlineStr">
        <is>
          <t>VÄSTERBOTTENS LÄN</t>
        </is>
      </c>
      <c r="E6926" t="inlineStr">
        <is>
          <t>VINDELN</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11989-2023</t>
        </is>
      </c>
      <c r="B6927" s="1" t="n">
        <v>44994</v>
      </c>
      <c r="C6927" s="1" t="n">
        <v>46145</v>
      </c>
      <c r="D6927" t="inlineStr">
        <is>
          <t>VÄSTERBOTTENS LÄN</t>
        </is>
      </c>
      <c r="E6927" t="inlineStr">
        <is>
          <t>SKELLEFTEÅ</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56446-2025</t>
        </is>
      </c>
      <c r="B6928" s="1" t="n">
        <v>45975.34840277778</v>
      </c>
      <c r="C6928" s="1" t="n">
        <v>46145</v>
      </c>
      <c r="D6928" t="inlineStr">
        <is>
          <t>VÄSTERBOTTENS LÄN</t>
        </is>
      </c>
      <c r="E6928" t="inlineStr">
        <is>
          <t>SKELLEFTEÅ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43976-2024</t>
        </is>
      </c>
      <c r="B6929" s="1" t="n">
        <v>45572</v>
      </c>
      <c r="C6929" s="1" t="n">
        <v>46145</v>
      </c>
      <c r="D6929" t="inlineStr">
        <is>
          <t>VÄSTERBOTTENS LÄN</t>
        </is>
      </c>
      <c r="E6929" t="inlineStr">
        <is>
          <t>UMEÅ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43977-2024</t>
        </is>
      </c>
      <c r="B6930" s="1" t="n">
        <v>45572.49082175926</v>
      </c>
      <c r="C6930" s="1" t="n">
        <v>46145</v>
      </c>
      <c r="D6930" t="inlineStr">
        <is>
          <t>VÄSTERBOTTENS LÄN</t>
        </is>
      </c>
      <c r="E6930" t="inlineStr">
        <is>
          <t>UMEÅ</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18605-2023</t>
        </is>
      </c>
      <c r="B6931" s="1" t="n">
        <v>45041</v>
      </c>
      <c r="C6931" s="1" t="n">
        <v>46145</v>
      </c>
      <c r="D6931" t="inlineStr">
        <is>
          <t>VÄSTERBOTTENS LÄN</t>
        </is>
      </c>
      <c r="E6931" t="inlineStr">
        <is>
          <t>ÅSELE</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6619-2023</t>
        </is>
      </c>
      <c r="B6932" s="1" t="n">
        <v>44963</v>
      </c>
      <c r="C6932" s="1" t="n">
        <v>46145</v>
      </c>
      <c r="D6932" t="inlineStr">
        <is>
          <t>VÄSTERBOTTENS LÄN</t>
        </is>
      </c>
      <c r="E6932" t="inlineStr">
        <is>
          <t>NORSJÖ</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60896-2021</t>
        </is>
      </c>
      <c r="B6933" s="1" t="n">
        <v>44496</v>
      </c>
      <c r="C6933" s="1" t="n">
        <v>46145</v>
      </c>
      <c r="D6933" t="inlineStr">
        <is>
          <t>VÄSTERBOTTENS LÄN</t>
        </is>
      </c>
      <c r="E6933" t="inlineStr">
        <is>
          <t>SORSELE</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17989-2023</t>
        </is>
      </c>
      <c r="B6934" s="1" t="n">
        <v>45040</v>
      </c>
      <c r="C6934" s="1" t="n">
        <v>46145</v>
      </c>
      <c r="D6934" t="inlineStr">
        <is>
          <t>VÄSTERBOTTENS LÄN</t>
        </is>
      </c>
      <c r="E6934" t="inlineStr">
        <is>
          <t>UMEÅ</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46657-2024</t>
        </is>
      </c>
      <c r="B6935" s="1" t="n">
        <v>45583.36118055556</v>
      </c>
      <c r="C6935" s="1" t="n">
        <v>46145</v>
      </c>
      <c r="D6935" t="inlineStr">
        <is>
          <t>VÄSTERBOTTENS LÄN</t>
        </is>
      </c>
      <c r="E6935" t="inlineStr">
        <is>
          <t>SKELLEFTEÅ</t>
        </is>
      </c>
      <c r="F6935" t="inlineStr">
        <is>
          <t>Holmen skog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46663-2024</t>
        </is>
      </c>
      <c r="B6936" s="1" t="n">
        <v>45583.3650462963</v>
      </c>
      <c r="C6936" s="1" t="n">
        <v>46145</v>
      </c>
      <c r="D6936" t="inlineStr">
        <is>
          <t>VÄSTERBOTTENS LÄN</t>
        </is>
      </c>
      <c r="E6936" t="inlineStr">
        <is>
          <t>ROBERTSFORS</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46726-2024</t>
        </is>
      </c>
      <c r="B6937" s="1" t="n">
        <v>45583.46103009259</v>
      </c>
      <c r="C6937" s="1" t="n">
        <v>46145</v>
      </c>
      <c r="D6937" t="inlineStr">
        <is>
          <t>VÄSTERBOTTENS LÄN</t>
        </is>
      </c>
      <c r="E6937" t="inlineStr">
        <is>
          <t>VÄNNÄS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46731-2024</t>
        </is>
      </c>
      <c r="B6938" s="1" t="n">
        <v>45583</v>
      </c>
      <c r="C6938" s="1" t="n">
        <v>46145</v>
      </c>
      <c r="D6938" t="inlineStr">
        <is>
          <t>VÄSTERBOTTENS LÄN</t>
        </is>
      </c>
      <c r="E6938" t="inlineStr">
        <is>
          <t>SKELLEFTEÅ</t>
        </is>
      </c>
      <c r="F6938" t="inlineStr">
        <is>
          <t>Holmen skog AB</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46435-2024</t>
        </is>
      </c>
      <c r="B6939" s="1" t="n">
        <v>45582.47464120371</v>
      </c>
      <c r="C6939" s="1" t="n">
        <v>46145</v>
      </c>
      <c r="D6939" t="inlineStr">
        <is>
          <t>VÄSTERBOTTENS LÄN</t>
        </is>
      </c>
      <c r="E6939" t="inlineStr">
        <is>
          <t>BJURHOLM</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56943-2025</t>
        </is>
      </c>
      <c r="B6940" s="1" t="n">
        <v>45978</v>
      </c>
      <c r="C6940" s="1" t="n">
        <v>46145</v>
      </c>
      <c r="D6940" t="inlineStr">
        <is>
          <t>VÄSTERBOTTENS LÄN</t>
        </is>
      </c>
      <c r="E6940" t="inlineStr">
        <is>
          <t>DOROTEA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56661-2025</t>
        </is>
      </c>
      <c r="B6941" s="1" t="n">
        <v>45975.65702546296</v>
      </c>
      <c r="C6941" s="1" t="n">
        <v>46145</v>
      </c>
      <c r="D6941" t="inlineStr">
        <is>
          <t>VÄSTERBOTTENS LÄN</t>
        </is>
      </c>
      <c r="E6941" t="inlineStr">
        <is>
          <t>SKELLEFTEÅ</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56707-2025</t>
        </is>
      </c>
      <c r="B6942" s="1" t="n">
        <v>45977.6983912037</v>
      </c>
      <c r="C6942" s="1" t="n">
        <v>46145</v>
      </c>
      <c r="D6942" t="inlineStr">
        <is>
          <t>VÄSTERBOTTENS LÄN</t>
        </is>
      </c>
      <c r="E6942" t="inlineStr">
        <is>
          <t>DOROTEA</t>
        </is>
      </c>
      <c r="F6942" t="inlineStr">
        <is>
          <t>SCA</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56712-2025</t>
        </is>
      </c>
      <c r="B6943" s="1" t="n">
        <v>45977.83019675926</v>
      </c>
      <c r="C6943" s="1" t="n">
        <v>46145</v>
      </c>
      <c r="D6943" t="inlineStr">
        <is>
          <t>VÄSTERBOTTENS LÄN</t>
        </is>
      </c>
      <c r="E6943" t="inlineStr">
        <is>
          <t>SKELLEFTEÅ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56724-2025</t>
        </is>
      </c>
      <c r="B6944" s="1" t="n">
        <v>45978.30922453704</v>
      </c>
      <c r="C6944" s="1" t="n">
        <v>46145</v>
      </c>
      <c r="D6944" t="inlineStr">
        <is>
          <t>VÄSTERBOTTENS LÄN</t>
        </is>
      </c>
      <c r="E6944" t="inlineStr">
        <is>
          <t>BJURHOLM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56743-2025</t>
        </is>
      </c>
      <c r="B6945" s="1" t="n">
        <v>45978.36053240741</v>
      </c>
      <c r="C6945" s="1" t="n">
        <v>46145</v>
      </c>
      <c r="D6945" t="inlineStr">
        <is>
          <t>VÄSTERBOTTENS LÄN</t>
        </is>
      </c>
      <c r="E6945" t="inlineStr">
        <is>
          <t>ÅSELE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46858-2024</t>
        </is>
      </c>
      <c r="B6946" s="1" t="n">
        <v>45583</v>
      </c>
      <c r="C6946" s="1" t="n">
        <v>46145</v>
      </c>
      <c r="D6946" t="inlineStr">
        <is>
          <t>VÄSTERBOTTENS LÄN</t>
        </is>
      </c>
      <c r="E6946" t="inlineStr">
        <is>
          <t>SKELLEFTEÅ</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57583-2025</t>
        </is>
      </c>
      <c r="B6947" s="1" t="n">
        <v>45980</v>
      </c>
      <c r="C6947" s="1" t="n">
        <v>46145</v>
      </c>
      <c r="D6947" t="inlineStr">
        <is>
          <t>VÄSTERBOTTENS LÄN</t>
        </is>
      </c>
      <c r="E6947" t="inlineStr">
        <is>
          <t>SORSELE</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57585-2025</t>
        </is>
      </c>
      <c r="B6948" s="1" t="n">
        <v>45980</v>
      </c>
      <c r="C6948" s="1" t="n">
        <v>46145</v>
      </c>
      <c r="D6948" t="inlineStr">
        <is>
          <t>VÄSTERBOTTENS LÄN</t>
        </is>
      </c>
      <c r="E6948" t="inlineStr">
        <is>
          <t>MALÅ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57021-2025</t>
        </is>
      </c>
      <c r="B6949" s="1" t="n">
        <v>45978.88092592593</v>
      </c>
      <c r="C6949" s="1" t="n">
        <v>46145</v>
      </c>
      <c r="D6949" t="inlineStr">
        <is>
          <t>VÄSTERBOTTENS LÄN</t>
        </is>
      </c>
      <c r="E6949" t="inlineStr">
        <is>
          <t>SKELLEFTEÅ</t>
        </is>
      </c>
      <c r="F6949" t="inlineStr">
        <is>
          <t>Sveaskog</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57121-2025</t>
        </is>
      </c>
      <c r="B6950" s="1" t="n">
        <v>45979.46834490741</v>
      </c>
      <c r="C6950" s="1" t="n">
        <v>46145</v>
      </c>
      <c r="D6950" t="inlineStr">
        <is>
          <t>VÄSTERBOTTENS LÄN</t>
        </is>
      </c>
      <c r="E6950" t="inlineStr">
        <is>
          <t>VINDELN</t>
        </is>
      </c>
      <c r="F6950" t="inlineStr">
        <is>
          <t>Sveaskog</t>
        </is>
      </c>
      <c r="G6950" t="n">
        <v>13.1</v>
      </c>
      <c r="H6950" t="n">
        <v>0</v>
      </c>
      <c r="I6950" t="n">
        <v>0</v>
      </c>
      <c r="J6950" t="n">
        <v>0</v>
      </c>
      <c r="K6950" t="n">
        <v>0</v>
      </c>
      <c r="L6950" t="n">
        <v>0</v>
      </c>
      <c r="M6950" t="n">
        <v>0</v>
      </c>
      <c r="N6950" t="n">
        <v>0</v>
      </c>
      <c r="O6950" t="n">
        <v>0</v>
      </c>
      <c r="P6950" t="n">
        <v>0</v>
      </c>
      <c r="Q6950" t="n">
        <v>0</v>
      </c>
      <c r="R6950" s="2" t="inlineStr"/>
    </row>
    <row r="6951" ht="15" customHeight="1">
      <c r="A6951" t="inlineStr">
        <is>
          <t>A 57105-2025</t>
        </is>
      </c>
      <c r="B6951" s="1" t="n">
        <v>45979.44579861111</v>
      </c>
      <c r="C6951" s="1" t="n">
        <v>46145</v>
      </c>
      <c r="D6951" t="inlineStr">
        <is>
          <t>VÄSTERBOTTENS LÄN</t>
        </is>
      </c>
      <c r="E6951" t="inlineStr">
        <is>
          <t>UMEÅ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57249-2025</t>
        </is>
      </c>
      <c r="B6952" s="1" t="n">
        <v>45979.63585648148</v>
      </c>
      <c r="C6952" s="1" t="n">
        <v>46145</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49221-2024</t>
        </is>
      </c>
      <c r="B6953" s="1" t="n">
        <v>45595.41166666667</v>
      </c>
      <c r="C6953" s="1" t="n">
        <v>46145</v>
      </c>
      <c r="D6953" t="inlineStr">
        <is>
          <t>VÄSTERBOTTENS LÄN</t>
        </is>
      </c>
      <c r="E6953" t="inlineStr">
        <is>
          <t>VILHELMINA</t>
        </is>
      </c>
      <c r="G6953" t="n">
        <v>11.4</v>
      </c>
      <c r="H6953" t="n">
        <v>0</v>
      </c>
      <c r="I6953" t="n">
        <v>0</v>
      </c>
      <c r="J6953" t="n">
        <v>0</v>
      </c>
      <c r="K6953" t="n">
        <v>0</v>
      </c>
      <c r="L6953" t="n">
        <v>0</v>
      </c>
      <c r="M6953" t="n">
        <v>0</v>
      </c>
      <c r="N6953" t="n">
        <v>0</v>
      </c>
      <c r="O6953" t="n">
        <v>0</v>
      </c>
      <c r="P6953" t="n">
        <v>0</v>
      </c>
      <c r="Q6953" t="n">
        <v>0</v>
      </c>
      <c r="R6953" s="2" t="inlineStr"/>
    </row>
    <row r="6954" ht="15" customHeight="1">
      <c r="A6954" t="inlineStr">
        <is>
          <t>A 57587-2025</t>
        </is>
      </c>
      <c r="B6954" s="1" t="n">
        <v>45980</v>
      </c>
      <c r="C6954" s="1" t="n">
        <v>46145</v>
      </c>
      <c r="D6954" t="inlineStr">
        <is>
          <t>VÄSTERBOTTENS LÄN</t>
        </is>
      </c>
      <c r="E6954" t="inlineStr">
        <is>
          <t>MALÅ</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57588-2025</t>
        </is>
      </c>
      <c r="B6955" s="1" t="n">
        <v>45980</v>
      </c>
      <c r="C6955" s="1" t="n">
        <v>46145</v>
      </c>
      <c r="D6955" t="inlineStr">
        <is>
          <t>VÄSTERBOTTENS LÄN</t>
        </is>
      </c>
      <c r="E6955" t="inlineStr">
        <is>
          <t>STORUMAN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57368-2025</t>
        </is>
      </c>
      <c r="B6956" s="1" t="n">
        <v>45980.3821875</v>
      </c>
      <c r="C6956" s="1" t="n">
        <v>46145</v>
      </c>
      <c r="D6956" t="inlineStr">
        <is>
          <t>VÄSTERBOTTENS LÄN</t>
        </is>
      </c>
      <c r="E6956" t="inlineStr">
        <is>
          <t>BJURHOLM</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31006-2023</t>
        </is>
      </c>
      <c r="B6957" s="1" t="n">
        <v>45103</v>
      </c>
      <c r="C6957" s="1" t="n">
        <v>46145</v>
      </c>
      <c r="D6957" t="inlineStr">
        <is>
          <t>VÄSTERBOTTENS LÄN</t>
        </is>
      </c>
      <c r="E6957" t="inlineStr">
        <is>
          <t>SKELLEFTEÅ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49246-2024</t>
        </is>
      </c>
      <c r="B6958" s="1" t="n">
        <v>45595.4618287037</v>
      </c>
      <c r="C6958" s="1" t="n">
        <v>46145</v>
      </c>
      <c r="D6958" t="inlineStr">
        <is>
          <t>VÄSTERBOTTENS LÄN</t>
        </is>
      </c>
      <c r="E6958" t="inlineStr">
        <is>
          <t>VILHELMINA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67893-2021</t>
        </is>
      </c>
      <c r="B6959" s="1" t="n">
        <v>44525</v>
      </c>
      <c r="C6959" s="1" t="n">
        <v>46145</v>
      </c>
      <c r="D6959" t="inlineStr">
        <is>
          <t>VÄSTERBOTTENS LÄN</t>
        </is>
      </c>
      <c r="E6959" t="inlineStr">
        <is>
          <t>SKELLEFTEÅ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57441-2025</t>
        </is>
      </c>
      <c r="B6960" s="1" t="n">
        <v>45979</v>
      </c>
      <c r="C6960" s="1" t="n">
        <v>46145</v>
      </c>
      <c r="D6960" t="inlineStr">
        <is>
          <t>VÄSTERBOTTENS LÄN</t>
        </is>
      </c>
      <c r="E6960" t="inlineStr">
        <is>
          <t>SKELLEFTEÅ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57330-2025</t>
        </is>
      </c>
      <c r="B6961" s="1" t="n">
        <v>45980.34450231482</v>
      </c>
      <c r="C6961" s="1" t="n">
        <v>46145</v>
      </c>
      <c r="D6961" t="inlineStr">
        <is>
          <t>VÄSTERBOTTENS LÄN</t>
        </is>
      </c>
      <c r="E6961" t="inlineStr">
        <is>
          <t>LYCKSELE</t>
        </is>
      </c>
      <c r="F6961" t="inlineStr">
        <is>
          <t>Sveaskog</t>
        </is>
      </c>
      <c r="G6961" t="n">
        <v>9.300000000000001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57141-2025</t>
        </is>
      </c>
      <c r="B6962" s="1" t="n">
        <v>45979.48398148148</v>
      </c>
      <c r="C6962" s="1" t="n">
        <v>46145</v>
      </c>
      <c r="D6962" t="inlineStr">
        <is>
          <t>VÄSTERBOTTENS LÄN</t>
        </is>
      </c>
      <c r="E6962" t="inlineStr">
        <is>
          <t>SKELLEFTEÅ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57531-2025</t>
        </is>
      </c>
      <c r="B6963" s="1" t="n">
        <v>45980.63579861111</v>
      </c>
      <c r="C6963" s="1" t="n">
        <v>46145</v>
      </c>
      <c r="D6963" t="inlineStr">
        <is>
          <t>VÄSTERBOTTENS LÄN</t>
        </is>
      </c>
      <c r="E6963" t="inlineStr">
        <is>
          <t>LYCKSELE</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57534-2025</t>
        </is>
      </c>
      <c r="B6964" s="1" t="n">
        <v>45980</v>
      </c>
      <c r="C6964" s="1" t="n">
        <v>46145</v>
      </c>
      <c r="D6964" t="inlineStr">
        <is>
          <t>VÄSTERBOTTENS LÄN</t>
        </is>
      </c>
      <c r="E6964" t="inlineStr">
        <is>
          <t>SORSELE</t>
        </is>
      </c>
      <c r="G6964" t="n">
        <v>10.3</v>
      </c>
      <c r="H6964" t="n">
        <v>0</v>
      </c>
      <c r="I6964" t="n">
        <v>0</v>
      </c>
      <c r="J6964" t="n">
        <v>0</v>
      </c>
      <c r="K6964" t="n">
        <v>0</v>
      </c>
      <c r="L6964" t="n">
        <v>0</v>
      </c>
      <c r="M6964" t="n">
        <v>0</v>
      </c>
      <c r="N6964" t="n">
        <v>0</v>
      </c>
      <c r="O6964" t="n">
        <v>0</v>
      </c>
      <c r="P6964" t="n">
        <v>0</v>
      </c>
      <c r="Q6964" t="n">
        <v>0</v>
      </c>
      <c r="R6964" s="2" t="inlineStr"/>
    </row>
    <row r="6965" ht="15" customHeight="1">
      <c r="A6965" t="inlineStr">
        <is>
          <t>A 25352-2024</t>
        </is>
      </c>
      <c r="B6965" s="1" t="n">
        <v>45462</v>
      </c>
      <c r="C6965" s="1" t="n">
        <v>46145</v>
      </c>
      <c r="D6965" t="inlineStr">
        <is>
          <t>VÄSTERBOTTENS LÄN</t>
        </is>
      </c>
      <c r="E6965" t="inlineStr">
        <is>
          <t>NORSJÖ</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57577-2025</t>
        </is>
      </c>
      <c r="B6966" s="1" t="n">
        <v>45980</v>
      </c>
      <c r="C6966" s="1" t="n">
        <v>46145</v>
      </c>
      <c r="D6966" t="inlineStr">
        <is>
          <t>VÄSTERBOTTENS LÄN</t>
        </is>
      </c>
      <c r="E6966" t="inlineStr">
        <is>
          <t>STORUMAN</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57583-2025</t>
        </is>
      </c>
      <c r="B6967" s="1" t="n">
        <v>45980</v>
      </c>
      <c r="C6967" s="1" t="n">
        <v>46145</v>
      </c>
      <c r="D6967" t="inlineStr">
        <is>
          <t>VÄSTERBOTTENS LÄN</t>
        </is>
      </c>
      <c r="E6967" t="inlineStr">
        <is>
          <t>SORSELE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25373-2024</t>
        </is>
      </c>
      <c r="B6968" s="1" t="n">
        <v>45462.96096064815</v>
      </c>
      <c r="C6968" s="1" t="n">
        <v>46145</v>
      </c>
      <c r="D6968" t="inlineStr">
        <is>
          <t>VÄSTERBOTTENS LÄN</t>
        </is>
      </c>
      <c r="E6968" t="inlineStr">
        <is>
          <t>NORDMALING</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57339-2025</t>
        </is>
      </c>
      <c r="B6969" s="1" t="n">
        <v>45980.345625</v>
      </c>
      <c r="C6969" s="1" t="n">
        <v>46145</v>
      </c>
      <c r="D6969" t="inlineStr">
        <is>
          <t>VÄSTERBOTTENS LÄN</t>
        </is>
      </c>
      <c r="E6969" t="inlineStr">
        <is>
          <t>ÅSELE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57347-2025</t>
        </is>
      </c>
      <c r="B6970" s="1" t="n">
        <v>45980.35763888889</v>
      </c>
      <c r="C6970" s="1" t="n">
        <v>46145</v>
      </c>
      <c r="D6970" t="inlineStr">
        <is>
          <t>VÄSTERBOTTENS LÄN</t>
        </is>
      </c>
      <c r="E6970" t="inlineStr">
        <is>
          <t>VÄNNÄS</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57491-2025</t>
        </is>
      </c>
      <c r="B6971" s="1" t="n">
        <v>45980</v>
      </c>
      <c r="C6971" s="1" t="n">
        <v>46145</v>
      </c>
      <c r="D6971" t="inlineStr">
        <is>
          <t>VÄSTERBOTTENS LÄN</t>
        </is>
      </c>
      <c r="E6971" t="inlineStr">
        <is>
          <t>SORSELE</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64355-2021</t>
        </is>
      </c>
      <c r="B6972" s="1" t="n">
        <v>44511</v>
      </c>
      <c r="C6972" s="1" t="n">
        <v>46145</v>
      </c>
      <c r="D6972" t="inlineStr">
        <is>
          <t>VÄSTERBOTTENS LÄN</t>
        </is>
      </c>
      <c r="E6972" t="inlineStr">
        <is>
          <t>UMEÅ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57018-2025</t>
        </is>
      </c>
      <c r="B6973" s="1" t="n">
        <v>45978.84679398148</v>
      </c>
      <c r="C6973" s="1" t="n">
        <v>46145</v>
      </c>
      <c r="D6973" t="inlineStr">
        <is>
          <t>VÄSTERBOTTENS LÄN</t>
        </is>
      </c>
      <c r="E6973" t="inlineStr">
        <is>
          <t>UMEÅ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57065-2025</t>
        </is>
      </c>
      <c r="B6974" s="1" t="n">
        <v>45979.38577546296</v>
      </c>
      <c r="C6974" s="1" t="n">
        <v>46145</v>
      </c>
      <c r="D6974" t="inlineStr">
        <is>
          <t>VÄSTERBOTTENS LÄN</t>
        </is>
      </c>
      <c r="E6974" t="inlineStr">
        <is>
          <t>NORDMALING</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57406-2025</t>
        </is>
      </c>
      <c r="B6975" s="1" t="n">
        <v>45980.44347222222</v>
      </c>
      <c r="C6975" s="1" t="n">
        <v>46145</v>
      </c>
      <c r="D6975" t="inlineStr">
        <is>
          <t>VÄSTERBOTTENS LÄN</t>
        </is>
      </c>
      <c r="E6975" t="inlineStr">
        <is>
          <t>SKELLEFTEÅ</t>
        </is>
      </c>
      <c r="G6975" t="n">
        <v>18.7</v>
      </c>
      <c r="H6975" t="n">
        <v>0</v>
      </c>
      <c r="I6975" t="n">
        <v>0</v>
      </c>
      <c r="J6975" t="n">
        <v>0</v>
      </c>
      <c r="K6975" t="n">
        <v>0</v>
      </c>
      <c r="L6975" t="n">
        <v>0</v>
      </c>
      <c r="M6975" t="n">
        <v>0</v>
      </c>
      <c r="N6975" t="n">
        <v>0</v>
      </c>
      <c r="O6975" t="n">
        <v>0</v>
      </c>
      <c r="P6975" t="n">
        <v>0</v>
      </c>
      <c r="Q6975" t="n">
        <v>0</v>
      </c>
      <c r="R6975" s="2" t="inlineStr"/>
    </row>
    <row r="6976" ht="15" customHeight="1">
      <c r="A6976" t="inlineStr">
        <is>
          <t>A 57674-2025</t>
        </is>
      </c>
      <c r="B6976" s="1" t="n">
        <v>45980.25484953704</v>
      </c>
      <c r="C6976" s="1" t="n">
        <v>46145</v>
      </c>
      <c r="D6976" t="inlineStr">
        <is>
          <t>VÄSTERBOTTENS LÄN</t>
        </is>
      </c>
      <c r="E6976" t="inlineStr">
        <is>
          <t>VINDELN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57685-2025</t>
        </is>
      </c>
      <c r="B6977" s="1" t="n">
        <v>45980.31484953704</v>
      </c>
      <c r="C6977" s="1" t="n">
        <v>46145</v>
      </c>
      <c r="D6977" t="inlineStr">
        <is>
          <t>VÄSTERBOTTENS LÄN</t>
        </is>
      </c>
      <c r="E6977" t="inlineStr">
        <is>
          <t>SKELLEFTEÅ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33046-2024</t>
        </is>
      </c>
      <c r="B6978" s="1" t="n">
        <v>45517.61690972222</v>
      </c>
      <c r="C6978" s="1" t="n">
        <v>46145</v>
      </c>
      <c r="D6978" t="inlineStr">
        <is>
          <t>VÄSTERBOTTENS LÄN</t>
        </is>
      </c>
      <c r="E6978" t="inlineStr">
        <is>
          <t>VINDELN</t>
        </is>
      </c>
      <c r="F6978" t="inlineStr">
        <is>
          <t>Sveaskog</t>
        </is>
      </c>
      <c r="G6978" t="n">
        <v>10.2</v>
      </c>
      <c r="H6978" t="n">
        <v>0</v>
      </c>
      <c r="I6978" t="n">
        <v>0</v>
      </c>
      <c r="J6978" t="n">
        <v>0</v>
      </c>
      <c r="K6978" t="n">
        <v>0</v>
      </c>
      <c r="L6978" t="n">
        <v>0</v>
      </c>
      <c r="M6978" t="n">
        <v>0</v>
      </c>
      <c r="N6978" t="n">
        <v>0</v>
      </c>
      <c r="O6978" t="n">
        <v>0</v>
      </c>
      <c r="P6978" t="n">
        <v>0</v>
      </c>
      <c r="Q6978" t="n">
        <v>0</v>
      </c>
      <c r="R6978" s="2" t="inlineStr"/>
    </row>
    <row r="6979" ht="15" customHeight="1">
      <c r="A6979" t="inlineStr">
        <is>
          <t>A 57146-2025</t>
        </is>
      </c>
      <c r="B6979" s="1" t="n">
        <v>45979.49057870371</v>
      </c>
      <c r="C6979" s="1" t="n">
        <v>46145</v>
      </c>
      <c r="D6979" t="inlineStr">
        <is>
          <t>VÄSTERBOTTENS LÄN</t>
        </is>
      </c>
      <c r="E6979" t="inlineStr">
        <is>
          <t>NORDMALING</t>
        </is>
      </c>
      <c r="G6979" t="n">
        <v>7.4</v>
      </c>
      <c r="H6979" t="n">
        <v>0</v>
      </c>
      <c r="I6979" t="n">
        <v>0</v>
      </c>
      <c r="J6979" t="n">
        <v>0</v>
      </c>
      <c r="K6979" t="n">
        <v>0</v>
      </c>
      <c r="L6979" t="n">
        <v>0</v>
      </c>
      <c r="M6979" t="n">
        <v>0</v>
      </c>
      <c r="N6979" t="n">
        <v>0</v>
      </c>
      <c r="O6979" t="n">
        <v>0</v>
      </c>
      <c r="P6979" t="n">
        <v>0</v>
      </c>
      <c r="Q6979" t="n">
        <v>0</v>
      </c>
      <c r="R6979" s="2" t="inlineStr"/>
    </row>
    <row r="6980" ht="15" customHeight="1">
      <c r="A6980" t="inlineStr">
        <is>
          <t>A 57565-2025</t>
        </is>
      </c>
      <c r="B6980" s="1" t="n">
        <v>45980.71736111111</v>
      </c>
      <c r="C6980" s="1" t="n">
        <v>46145</v>
      </c>
      <c r="D6980" t="inlineStr">
        <is>
          <t>VÄSTERBOTTENS LÄN</t>
        </is>
      </c>
      <c r="E6980" t="inlineStr">
        <is>
          <t>VILHELMINA</t>
        </is>
      </c>
      <c r="G6980" t="n">
        <v>22.9</v>
      </c>
      <c r="H6980" t="n">
        <v>0</v>
      </c>
      <c r="I6980" t="n">
        <v>0</v>
      </c>
      <c r="J6980" t="n">
        <v>0</v>
      </c>
      <c r="K6980" t="n">
        <v>0</v>
      </c>
      <c r="L6980" t="n">
        <v>0</v>
      </c>
      <c r="M6980" t="n">
        <v>0</v>
      </c>
      <c r="N6980" t="n">
        <v>0</v>
      </c>
      <c r="O6980" t="n">
        <v>0</v>
      </c>
      <c r="P6980" t="n">
        <v>0</v>
      </c>
      <c r="Q6980" t="n">
        <v>0</v>
      </c>
      <c r="R6980" s="2" t="inlineStr"/>
    </row>
    <row r="6981" ht="15" customHeight="1">
      <c r="A6981" t="inlineStr">
        <is>
          <t>A 57578-2025</t>
        </is>
      </c>
      <c r="B6981" s="1" t="n">
        <v>45980</v>
      </c>
      <c r="C6981" s="1" t="n">
        <v>46145</v>
      </c>
      <c r="D6981" t="inlineStr">
        <is>
          <t>VÄSTERBOTTENS LÄN</t>
        </is>
      </c>
      <c r="E6981" t="inlineStr">
        <is>
          <t>STORUMAN</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57579-2025</t>
        </is>
      </c>
      <c r="B6982" s="1" t="n">
        <v>45980</v>
      </c>
      <c r="C6982" s="1" t="n">
        <v>46145</v>
      </c>
      <c r="D6982" t="inlineStr">
        <is>
          <t>VÄSTERBOTTENS LÄN</t>
        </is>
      </c>
      <c r="E6982" t="inlineStr">
        <is>
          <t>STORUMAN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57589-2025</t>
        </is>
      </c>
      <c r="B6983" s="1" t="n">
        <v>45980</v>
      </c>
      <c r="C6983" s="1" t="n">
        <v>46145</v>
      </c>
      <c r="D6983" t="inlineStr">
        <is>
          <t>VÄSTERBOTTENS LÄN</t>
        </is>
      </c>
      <c r="E6983" t="inlineStr">
        <is>
          <t>SORSELE</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31193-2023</t>
        </is>
      </c>
      <c r="B6984" s="1" t="n">
        <v>45113.94976851852</v>
      </c>
      <c r="C6984" s="1" t="n">
        <v>46145</v>
      </c>
      <c r="D6984" t="inlineStr">
        <is>
          <t>VÄSTERBOTTENS LÄN</t>
        </is>
      </c>
      <c r="E6984" t="inlineStr">
        <is>
          <t>ÅSELE</t>
        </is>
      </c>
      <c r="F6984" t="inlineStr">
        <is>
          <t>SCA</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42515-2023</t>
        </is>
      </c>
      <c r="B6985" s="1" t="n">
        <v>45180</v>
      </c>
      <c r="C6985" s="1" t="n">
        <v>46145</v>
      </c>
      <c r="D6985" t="inlineStr">
        <is>
          <t>VÄSTERBOTTENS LÄN</t>
        </is>
      </c>
      <c r="E6985" t="inlineStr">
        <is>
          <t>DOROTEA</t>
        </is>
      </c>
      <c r="F6985" t="inlineStr">
        <is>
          <t>SCA</t>
        </is>
      </c>
      <c r="G6985" t="n">
        <v>27.7</v>
      </c>
      <c r="H6985" t="n">
        <v>0</v>
      </c>
      <c r="I6985" t="n">
        <v>0</v>
      </c>
      <c r="J6985" t="n">
        <v>0</v>
      </c>
      <c r="K6985" t="n">
        <v>0</v>
      </c>
      <c r="L6985" t="n">
        <v>0</v>
      </c>
      <c r="M6985" t="n">
        <v>0</v>
      </c>
      <c r="N6985" t="n">
        <v>0</v>
      </c>
      <c r="O6985" t="n">
        <v>0</v>
      </c>
      <c r="P6985" t="n">
        <v>0</v>
      </c>
      <c r="Q6985" t="n">
        <v>0</v>
      </c>
      <c r="R6985" s="2" t="inlineStr"/>
    </row>
    <row r="6986" ht="15" customHeight="1">
      <c r="A6986" t="inlineStr">
        <is>
          <t>A 57394-2025</t>
        </is>
      </c>
      <c r="B6986" s="1" t="n">
        <v>45980.42696759259</v>
      </c>
      <c r="C6986" s="1" t="n">
        <v>46145</v>
      </c>
      <c r="D6986" t="inlineStr">
        <is>
          <t>VÄSTERBOTTENS LÄN</t>
        </is>
      </c>
      <c r="E6986" t="inlineStr">
        <is>
          <t>VINDELN</t>
        </is>
      </c>
      <c r="F6986" t="inlineStr">
        <is>
          <t>Sveaskog</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63424-2023</t>
        </is>
      </c>
      <c r="B6987" s="1" t="n">
        <v>45274</v>
      </c>
      <c r="C6987" s="1" t="n">
        <v>46145</v>
      </c>
      <c r="D6987" t="inlineStr">
        <is>
          <t>VÄSTERBOTTENS LÄN</t>
        </is>
      </c>
      <c r="E6987" t="inlineStr">
        <is>
          <t>NORSJÖ</t>
        </is>
      </c>
      <c r="F6987" t="inlineStr">
        <is>
          <t>Sveaskog</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15888-2024</t>
        </is>
      </c>
      <c r="B6988" s="1" t="n">
        <v>45405</v>
      </c>
      <c r="C6988" s="1" t="n">
        <v>46145</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54152-2024</t>
        </is>
      </c>
      <c r="B6989" s="1" t="n">
        <v>45616</v>
      </c>
      <c r="C6989" s="1" t="n">
        <v>46145</v>
      </c>
      <c r="D6989" t="inlineStr">
        <is>
          <t>VÄSTERBOTTENS LÄN</t>
        </is>
      </c>
      <c r="E6989" t="inlineStr">
        <is>
          <t>UMEÅ</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57448-2025</t>
        </is>
      </c>
      <c r="B6990" s="1" t="n">
        <v>45980.49452546296</v>
      </c>
      <c r="C6990" s="1" t="n">
        <v>46145</v>
      </c>
      <c r="D6990" t="inlineStr">
        <is>
          <t>VÄSTERBOTTENS LÄN</t>
        </is>
      </c>
      <c r="E6990" t="inlineStr">
        <is>
          <t>VÄNNÄS</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36493-2023</t>
        </is>
      </c>
      <c r="B6991" s="1" t="n">
        <v>45152.92484953703</v>
      </c>
      <c r="C6991" s="1" t="n">
        <v>46145</v>
      </c>
      <c r="D6991" t="inlineStr">
        <is>
          <t>VÄSTERBOTTENS LÄN</t>
        </is>
      </c>
      <c r="E6991" t="inlineStr">
        <is>
          <t>SKELLEFTEÅ</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36495-2023</t>
        </is>
      </c>
      <c r="B6992" s="1" t="n">
        <v>45152.92496527778</v>
      </c>
      <c r="C6992" s="1" t="n">
        <v>46145</v>
      </c>
      <c r="D6992" t="inlineStr">
        <is>
          <t>VÄSTERBOTTENS LÄN</t>
        </is>
      </c>
      <c r="E6992" t="inlineStr">
        <is>
          <t>SKELLEFTEÅ</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57480-2025</t>
        </is>
      </c>
      <c r="B6993" s="1" t="n">
        <v>45980.57395833333</v>
      </c>
      <c r="C6993" s="1" t="n">
        <v>46145</v>
      </c>
      <c r="D6993" t="inlineStr">
        <is>
          <t>VÄSTERBOTTENS LÄN</t>
        </is>
      </c>
      <c r="E6993" t="inlineStr">
        <is>
          <t>DOROTEA</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57481-2025</t>
        </is>
      </c>
      <c r="B6994" s="1" t="n">
        <v>45980.57414351852</v>
      </c>
      <c r="C6994" s="1" t="n">
        <v>46145</v>
      </c>
      <c r="D6994" t="inlineStr">
        <is>
          <t>VÄSTERBOTTENS LÄN</t>
        </is>
      </c>
      <c r="E6994" t="inlineStr">
        <is>
          <t>DOROTEA</t>
        </is>
      </c>
      <c r="F6994" t="inlineStr">
        <is>
          <t>SCA</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57063-2025</t>
        </is>
      </c>
      <c r="B6995" s="1" t="n">
        <v>45979.38047453704</v>
      </c>
      <c r="C6995" s="1" t="n">
        <v>46145</v>
      </c>
      <c r="D6995" t="inlineStr">
        <is>
          <t>VÄSTERBOTTENS LÄN</t>
        </is>
      </c>
      <c r="E6995" t="inlineStr">
        <is>
          <t>VINDELN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57229-2025</t>
        </is>
      </c>
      <c r="B6996" s="1" t="n">
        <v>45979.61703703704</v>
      </c>
      <c r="C6996" s="1" t="n">
        <v>46145</v>
      </c>
      <c r="D6996" t="inlineStr">
        <is>
          <t>VÄSTERBOTTENS LÄN</t>
        </is>
      </c>
      <c r="E6996" t="inlineStr">
        <is>
          <t>SORSELE</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46501-2024</t>
        </is>
      </c>
      <c r="B6997" s="1" t="n">
        <v>45582.6006712963</v>
      </c>
      <c r="C6997" s="1" t="n">
        <v>46145</v>
      </c>
      <c r="D6997" t="inlineStr">
        <is>
          <t>VÄSTERBOTTENS LÄN</t>
        </is>
      </c>
      <c r="E6997" t="inlineStr">
        <is>
          <t>VÄNNÄS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26489-2024</t>
        </is>
      </c>
      <c r="B6998" s="1" t="n">
        <v>45469.5581712963</v>
      </c>
      <c r="C6998" s="1" t="n">
        <v>46145</v>
      </c>
      <c r="D6998" t="inlineStr">
        <is>
          <t>VÄSTERBOTTENS LÄN</t>
        </is>
      </c>
      <c r="E6998" t="inlineStr">
        <is>
          <t>VINDELN</t>
        </is>
      </c>
      <c r="F6998" t="inlineStr">
        <is>
          <t>Holmen skog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57590-2025</t>
        </is>
      </c>
      <c r="B6999" s="1" t="n">
        <v>45980</v>
      </c>
      <c r="C6999" s="1" t="n">
        <v>46145</v>
      </c>
      <c r="D6999" t="inlineStr">
        <is>
          <t>VÄSTERBOTTENS LÄN</t>
        </is>
      </c>
      <c r="E6999" t="inlineStr">
        <is>
          <t>SORSELE</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57551-2025</t>
        </is>
      </c>
      <c r="B7000" s="1" t="n">
        <v>45980.65818287037</v>
      </c>
      <c r="C7000" s="1" t="n">
        <v>46145</v>
      </c>
      <c r="D7000" t="inlineStr">
        <is>
          <t>VÄSTERBOTTENS LÄN</t>
        </is>
      </c>
      <c r="E7000" t="inlineStr">
        <is>
          <t>UMEÅ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57328-2025</t>
        </is>
      </c>
      <c r="B7001" s="1" t="n">
        <v>45980.34083333334</v>
      </c>
      <c r="C7001" s="1" t="n">
        <v>46145</v>
      </c>
      <c r="D7001" t="inlineStr">
        <is>
          <t>VÄSTERBOTTENS LÄN</t>
        </is>
      </c>
      <c r="E7001" t="inlineStr">
        <is>
          <t>SKELLEFTEÅ</t>
        </is>
      </c>
      <c r="F7001" t="inlineStr">
        <is>
          <t>Sveaskog</t>
        </is>
      </c>
      <c r="G7001" t="n">
        <v>14.2</v>
      </c>
      <c r="H7001" t="n">
        <v>0</v>
      </c>
      <c r="I7001" t="n">
        <v>0</v>
      </c>
      <c r="J7001" t="n">
        <v>0</v>
      </c>
      <c r="K7001" t="n">
        <v>0</v>
      </c>
      <c r="L7001" t="n">
        <v>0</v>
      </c>
      <c r="M7001" t="n">
        <v>0</v>
      </c>
      <c r="N7001" t="n">
        <v>0</v>
      </c>
      <c r="O7001" t="n">
        <v>0</v>
      </c>
      <c r="P7001" t="n">
        <v>0</v>
      </c>
      <c r="Q7001" t="n">
        <v>0</v>
      </c>
      <c r="R7001" s="2" t="inlineStr"/>
    </row>
    <row r="7002" ht="15" customHeight="1">
      <c r="A7002" t="inlineStr">
        <is>
          <t>A 33132-2024</t>
        </is>
      </c>
      <c r="B7002" s="1" t="n">
        <v>45518.31344907408</v>
      </c>
      <c r="C7002" s="1" t="n">
        <v>46145</v>
      </c>
      <c r="D7002" t="inlineStr">
        <is>
          <t>VÄSTERBOTTENS LÄN</t>
        </is>
      </c>
      <c r="E7002" t="inlineStr">
        <is>
          <t>VINDELN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24696-2024</t>
        </is>
      </c>
      <c r="B7003" s="1" t="n">
        <v>45460</v>
      </c>
      <c r="C7003" s="1" t="n">
        <v>46145</v>
      </c>
      <c r="D7003" t="inlineStr">
        <is>
          <t>VÄSTERBOTTENS LÄN</t>
        </is>
      </c>
      <c r="E7003" t="inlineStr">
        <is>
          <t>SKELLEFTEÅ</t>
        </is>
      </c>
      <c r="F7003" t="inlineStr">
        <is>
          <t>Holmen skog AB</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57203-2025</t>
        </is>
      </c>
      <c r="B7004" s="1" t="n">
        <v>45979.58972222222</v>
      </c>
      <c r="C7004" s="1" t="n">
        <v>46145</v>
      </c>
      <c r="D7004" t="inlineStr">
        <is>
          <t>VÄSTERBOTTENS LÄN</t>
        </is>
      </c>
      <c r="E7004" t="inlineStr">
        <is>
          <t>VÄNNÄS</t>
        </is>
      </c>
      <c r="F7004" t="inlineStr">
        <is>
          <t>Sveaskog</t>
        </is>
      </c>
      <c r="G7004" t="n">
        <v>20.1</v>
      </c>
      <c r="H7004" t="n">
        <v>0</v>
      </c>
      <c r="I7004" t="n">
        <v>0</v>
      </c>
      <c r="J7004" t="n">
        <v>0</v>
      </c>
      <c r="K7004" t="n">
        <v>0</v>
      </c>
      <c r="L7004" t="n">
        <v>0</v>
      </c>
      <c r="M7004" t="n">
        <v>0</v>
      </c>
      <c r="N7004" t="n">
        <v>0</v>
      </c>
      <c r="O7004" t="n">
        <v>0</v>
      </c>
      <c r="P7004" t="n">
        <v>0</v>
      </c>
      <c r="Q7004" t="n">
        <v>0</v>
      </c>
      <c r="R7004" s="2" t="inlineStr"/>
    </row>
    <row r="7005" ht="15" customHeight="1">
      <c r="A7005" t="inlineStr">
        <is>
          <t>A 57204-2025</t>
        </is>
      </c>
      <c r="B7005" s="1" t="n">
        <v>45979</v>
      </c>
      <c r="C7005" s="1" t="n">
        <v>46145</v>
      </c>
      <c r="D7005" t="inlineStr">
        <is>
          <t>VÄSTERBOTTENS LÄN</t>
        </is>
      </c>
      <c r="E7005" t="inlineStr">
        <is>
          <t>SORSELE</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33206-2024</t>
        </is>
      </c>
      <c r="B7006" s="1" t="n">
        <v>45518</v>
      </c>
      <c r="C7006" s="1" t="n">
        <v>46145</v>
      </c>
      <c r="D7006" t="inlineStr">
        <is>
          <t>VÄSTERBOTTENS LÄN</t>
        </is>
      </c>
      <c r="E7006" t="inlineStr">
        <is>
          <t>VINDELN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57238-2025</t>
        </is>
      </c>
      <c r="B7007" s="1" t="n">
        <v>45979</v>
      </c>
      <c r="C7007" s="1" t="n">
        <v>46145</v>
      </c>
      <c r="D7007" t="inlineStr">
        <is>
          <t>VÄSTERBOTTENS LÄN</t>
        </is>
      </c>
      <c r="E7007" t="inlineStr">
        <is>
          <t>LYCKSELE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57243-2025</t>
        </is>
      </c>
      <c r="B7008" s="1" t="n">
        <v>45979</v>
      </c>
      <c r="C7008" s="1" t="n">
        <v>46145</v>
      </c>
      <c r="D7008" t="inlineStr">
        <is>
          <t>VÄSTERBOTTENS LÄN</t>
        </is>
      </c>
      <c r="E7008" t="inlineStr">
        <is>
          <t>LYCKSELE</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57034-2025</t>
        </is>
      </c>
      <c r="B7009" s="1" t="n">
        <v>45979.34461805555</v>
      </c>
      <c r="C7009" s="1" t="n">
        <v>46145</v>
      </c>
      <c r="D7009" t="inlineStr">
        <is>
          <t>VÄSTERBOTTENS LÄN</t>
        </is>
      </c>
      <c r="E7009" t="inlineStr">
        <is>
          <t>DOROTEA</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57340-2025</t>
        </is>
      </c>
      <c r="B7010" s="1" t="n">
        <v>45980.34586805556</v>
      </c>
      <c r="C7010" s="1" t="n">
        <v>46145</v>
      </c>
      <c r="D7010" t="inlineStr">
        <is>
          <t>VÄSTERBOTTENS LÄN</t>
        </is>
      </c>
      <c r="E7010" t="inlineStr">
        <is>
          <t>SKELLEFTEÅ</t>
        </is>
      </c>
      <c r="F7010" t="inlineStr">
        <is>
          <t>Sveaskog</t>
        </is>
      </c>
      <c r="G7010" t="n">
        <v>24.1</v>
      </c>
      <c r="H7010" t="n">
        <v>0</v>
      </c>
      <c r="I7010" t="n">
        <v>0</v>
      </c>
      <c r="J7010" t="n">
        <v>0</v>
      </c>
      <c r="K7010" t="n">
        <v>0</v>
      </c>
      <c r="L7010" t="n">
        <v>0</v>
      </c>
      <c r="M7010" t="n">
        <v>0</v>
      </c>
      <c r="N7010" t="n">
        <v>0</v>
      </c>
      <c r="O7010" t="n">
        <v>0</v>
      </c>
      <c r="P7010" t="n">
        <v>0</v>
      </c>
      <c r="Q7010" t="n">
        <v>0</v>
      </c>
      <c r="R7010" s="2" t="inlineStr"/>
      <c r="U7010">
        <f>HYPERLINK("https://klasma.github.io/Logging_2482/knärot/A 57340-2025 karta knärot.png", "A 57340-2025")</f>
        <v/>
      </c>
      <c r="V7010">
        <f>HYPERLINK("https://klasma.github.io/Logging_2482/klagomål/A 57340-2025 FSC-klagomål.docx", "A 57340-2025")</f>
        <v/>
      </c>
      <c r="W7010">
        <f>HYPERLINK("https://klasma.github.io/Logging_2482/klagomålsmail/A 57340-2025 FSC-klagomål mail.docx", "A 57340-2025")</f>
        <v/>
      </c>
      <c r="X7010">
        <f>HYPERLINK("https://klasma.github.io/Logging_2482/tillsyn/A 57340-2025 tillsynsbegäran.docx", "A 57340-2025")</f>
        <v/>
      </c>
      <c r="Y7010">
        <f>HYPERLINK("https://klasma.github.io/Logging_2482/tillsynsmail/A 57340-2025 tillsynsbegäran mail.docx", "A 57340-2025")</f>
        <v/>
      </c>
    </row>
    <row r="7011" ht="15" customHeight="1">
      <c r="A7011" t="inlineStr">
        <is>
          <t>A 48448-2024</t>
        </is>
      </c>
      <c r="B7011" s="1" t="n">
        <v>45590.70138888889</v>
      </c>
      <c r="C7011" s="1" t="n">
        <v>46145</v>
      </c>
      <c r="D7011" t="inlineStr">
        <is>
          <t>VÄSTERBOTTENS LÄN</t>
        </is>
      </c>
      <c r="E7011" t="inlineStr">
        <is>
          <t>UMEÅ</t>
        </is>
      </c>
      <c r="F7011" t="inlineStr">
        <is>
          <t>Holmen skog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57093-2025</t>
        </is>
      </c>
      <c r="B7012" s="1" t="n">
        <v>45979.42771990741</v>
      </c>
      <c r="C7012" s="1" t="n">
        <v>46145</v>
      </c>
      <c r="D7012" t="inlineStr">
        <is>
          <t>VÄSTERBOTTENS LÄN</t>
        </is>
      </c>
      <c r="E7012" t="inlineStr">
        <is>
          <t>NORDMALING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57113-2025</t>
        </is>
      </c>
      <c r="B7013" s="1" t="n">
        <v>45979.454375</v>
      </c>
      <c r="C7013" s="1" t="n">
        <v>46145</v>
      </c>
      <c r="D7013" t="inlineStr">
        <is>
          <t>VÄSTERBOTTENS LÄN</t>
        </is>
      </c>
      <c r="E7013" t="inlineStr">
        <is>
          <t>VINDELN</t>
        </is>
      </c>
      <c r="F7013" t="inlineStr">
        <is>
          <t>Holmen skog AB</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57189-2025</t>
        </is>
      </c>
      <c r="B7014" s="1" t="n">
        <v>45979.57579861111</v>
      </c>
      <c r="C7014" s="1" t="n">
        <v>46145</v>
      </c>
      <c r="D7014" t="inlineStr">
        <is>
          <t>VÄSTERBOTTENS LÄN</t>
        </is>
      </c>
      <c r="E7014" t="inlineStr">
        <is>
          <t>LYCKSELE</t>
        </is>
      </c>
      <c r="F7014" t="inlineStr">
        <is>
          <t>Sveaskog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57424-2025</t>
        </is>
      </c>
      <c r="B7015" s="1" t="n">
        <v>45980.46134259259</v>
      </c>
      <c r="C7015" s="1" t="n">
        <v>46145</v>
      </c>
      <c r="D7015" t="inlineStr">
        <is>
          <t>VÄSTERBOTTENS LÄN</t>
        </is>
      </c>
      <c r="E7015" t="inlineStr">
        <is>
          <t>VÄNNÄS</t>
        </is>
      </c>
      <c r="F7015" t="inlineStr">
        <is>
          <t>Sveaskog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57426-2025</t>
        </is>
      </c>
      <c r="B7016" s="1" t="n">
        <v>45980.46651620371</v>
      </c>
      <c r="C7016" s="1" t="n">
        <v>46145</v>
      </c>
      <c r="D7016" t="inlineStr">
        <is>
          <t>VÄSTERBOTTENS LÄN</t>
        </is>
      </c>
      <c r="E7016" t="inlineStr">
        <is>
          <t>STORUMAN</t>
        </is>
      </c>
      <c r="F7016" t="inlineStr">
        <is>
          <t>Sveaskog</t>
        </is>
      </c>
      <c r="G7016" t="n">
        <v>22.6</v>
      </c>
      <c r="H7016" t="n">
        <v>0</v>
      </c>
      <c r="I7016" t="n">
        <v>0</v>
      </c>
      <c r="J7016" t="n">
        <v>0</v>
      </c>
      <c r="K7016" t="n">
        <v>0</v>
      </c>
      <c r="L7016" t="n">
        <v>0</v>
      </c>
      <c r="M7016" t="n">
        <v>0</v>
      </c>
      <c r="N7016" t="n">
        <v>0</v>
      </c>
      <c r="O7016" t="n">
        <v>0</v>
      </c>
      <c r="P7016" t="n">
        <v>0</v>
      </c>
      <c r="Q7016" t="n">
        <v>0</v>
      </c>
      <c r="R7016" s="2" t="inlineStr"/>
    </row>
    <row r="7017" ht="15" customHeight="1">
      <c r="A7017" t="inlineStr">
        <is>
          <t>A 57436-2025</t>
        </is>
      </c>
      <c r="B7017" s="1" t="n">
        <v>45979</v>
      </c>
      <c r="C7017" s="1" t="n">
        <v>46145</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57449-2025</t>
        </is>
      </c>
      <c r="B7018" s="1" t="n">
        <v>45979</v>
      </c>
      <c r="C7018" s="1" t="n">
        <v>46145</v>
      </c>
      <c r="D7018" t="inlineStr">
        <is>
          <t>VÄSTERBOTTENS LÄN</t>
        </is>
      </c>
      <c r="E7018" t="inlineStr">
        <is>
          <t>SKELLEFTEÅ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57456-2025</t>
        </is>
      </c>
      <c r="B7019" s="1" t="n">
        <v>45980.52962962963</v>
      </c>
      <c r="C7019" s="1" t="n">
        <v>46145</v>
      </c>
      <c r="D7019" t="inlineStr">
        <is>
          <t>VÄSTERBOTTENS LÄN</t>
        </is>
      </c>
      <c r="E7019" t="inlineStr">
        <is>
          <t>SKELLEFTEÅ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41285-2024</t>
        </is>
      </c>
      <c r="B7020" s="1" t="n">
        <v>45559.5952662037</v>
      </c>
      <c r="C7020" s="1" t="n">
        <v>46145</v>
      </c>
      <c r="D7020" t="inlineStr">
        <is>
          <t>VÄSTERBOTTENS LÄN</t>
        </is>
      </c>
      <c r="E7020" t="inlineStr">
        <is>
          <t>LYCKSELE</t>
        </is>
      </c>
      <c r="F7020" t="inlineStr">
        <is>
          <t>Holmen skog AB</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57118-2025</t>
        </is>
      </c>
      <c r="B7021" s="1" t="n">
        <v>45979.4640625</v>
      </c>
      <c r="C7021" s="1" t="n">
        <v>46145</v>
      </c>
      <c r="D7021" t="inlineStr">
        <is>
          <t>VÄSTERBOTTENS LÄN</t>
        </is>
      </c>
      <c r="E7021" t="inlineStr">
        <is>
          <t>ÅSELE</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57123-2025</t>
        </is>
      </c>
      <c r="B7022" s="1" t="n">
        <v>45979.46946759259</v>
      </c>
      <c r="C7022" s="1" t="n">
        <v>46145</v>
      </c>
      <c r="D7022" t="inlineStr">
        <is>
          <t>VÄSTERBOTTENS LÄN</t>
        </is>
      </c>
      <c r="E7022" t="inlineStr">
        <is>
          <t>STORUMAN</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57126-2025</t>
        </is>
      </c>
      <c r="B7023" s="1" t="n">
        <v>45979.47136574074</v>
      </c>
      <c r="C7023" s="1" t="n">
        <v>46145</v>
      </c>
      <c r="D7023" t="inlineStr">
        <is>
          <t>VÄSTERBOTTENS LÄN</t>
        </is>
      </c>
      <c r="E7023" t="inlineStr">
        <is>
          <t>SKELLEFTEÅ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57548-2025</t>
        </is>
      </c>
      <c r="B7024" s="1" t="n">
        <v>45980.65704861111</v>
      </c>
      <c r="C7024" s="1" t="n">
        <v>46145</v>
      </c>
      <c r="D7024" t="inlineStr">
        <is>
          <t>VÄSTERBOTTENS LÄN</t>
        </is>
      </c>
      <c r="E7024" t="inlineStr">
        <is>
          <t>NORDMALING</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57553-2025</t>
        </is>
      </c>
      <c r="B7025" s="1" t="n">
        <v>45980.66048611111</v>
      </c>
      <c r="C7025" s="1" t="n">
        <v>46145</v>
      </c>
      <c r="D7025" t="inlineStr">
        <is>
          <t>VÄSTERBOTTENS LÄN</t>
        </is>
      </c>
      <c r="E7025" t="inlineStr">
        <is>
          <t>NORDMALING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57263-2025</t>
        </is>
      </c>
      <c r="B7026" s="1" t="n">
        <v>45979.65953703703</v>
      </c>
      <c r="C7026" s="1" t="n">
        <v>46145</v>
      </c>
      <c r="D7026" t="inlineStr">
        <is>
          <t>VÄSTERBOTTENS LÄN</t>
        </is>
      </c>
      <c r="E7026" t="inlineStr">
        <is>
          <t>BJURHOLM</t>
        </is>
      </c>
      <c r="F7026" t="inlineStr">
        <is>
          <t>Sveaskog</t>
        </is>
      </c>
      <c r="G7026" t="n">
        <v>28.7</v>
      </c>
      <c r="H7026" t="n">
        <v>0</v>
      </c>
      <c r="I7026" t="n">
        <v>0</v>
      </c>
      <c r="J7026" t="n">
        <v>0</v>
      </c>
      <c r="K7026" t="n">
        <v>0</v>
      </c>
      <c r="L7026" t="n">
        <v>0</v>
      </c>
      <c r="M7026" t="n">
        <v>0</v>
      </c>
      <c r="N7026" t="n">
        <v>0</v>
      </c>
      <c r="O7026" t="n">
        <v>0</v>
      </c>
      <c r="P7026" t="n">
        <v>0</v>
      </c>
      <c r="Q7026" t="n">
        <v>0</v>
      </c>
      <c r="R7026" s="2" t="inlineStr"/>
    </row>
    <row r="7027" ht="15" customHeight="1">
      <c r="A7027" t="inlineStr">
        <is>
          <t>A 36032-2024</t>
        </is>
      </c>
      <c r="B7027" s="1" t="n">
        <v>45533</v>
      </c>
      <c r="C7027" s="1" t="n">
        <v>46145</v>
      </c>
      <c r="D7027" t="inlineStr">
        <is>
          <t>VÄSTERBOTTENS LÄN</t>
        </is>
      </c>
      <c r="E7027" t="inlineStr">
        <is>
          <t>VINDELN</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57584-2025</t>
        </is>
      </c>
      <c r="B7028" s="1" t="n">
        <v>45980</v>
      </c>
      <c r="C7028" s="1" t="n">
        <v>46145</v>
      </c>
      <c r="D7028" t="inlineStr">
        <is>
          <t>VÄSTERBOTTENS LÄN</t>
        </is>
      </c>
      <c r="E7028" t="inlineStr">
        <is>
          <t>MALÅ</t>
        </is>
      </c>
      <c r="G7028" t="n">
        <v>15.4</v>
      </c>
      <c r="H7028" t="n">
        <v>0</v>
      </c>
      <c r="I7028" t="n">
        <v>0</v>
      </c>
      <c r="J7028" t="n">
        <v>0</v>
      </c>
      <c r="K7028" t="n">
        <v>0</v>
      </c>
      <c r="L7028" t="n">
        <v>0</v>
      </c>
      <c r="M7028" t="n">
        <v>0</v>
      </c>
      <c r="N7028" t="n">
        <v>0</v>
      </c>
      <c r="O7028" t="n">
        <v>0</v>
      </c>
      <c r="P7028" t="n">
        <v>0</v>
      </c>
      <c r="Q7028" t="n">
        <v>0</v>
      </c>
      <c r="R7028" s="2" t="inlineStr"/>
    </row>
    <row r="7029" ht="15" customHeight="1">
      <c r="A7029" t="inlineStr">
        <is>
          <t>A 57591-2025</t>
        </is>
      </c>
      <c r="B7029" s="1" t="n">
        <v>45980</v>
      </c>
      <c r="C7029" s="1" t="n">
        <v>46145</v>
      </c>
      <c r="D7029" t="inlineStr">
        <is>
          <t>VÄSTERBOTTENS LÄN</t>
        </is>
      </c>
      <c r="E7029" t="inlineStr">
        <is>
          <t>SORSELE</t>
        </is>
      </c>
      <c r="G7029" t="n">
        <v>12.4</v>
      </c>
      <c r="H7029" t="n">
        <v>0</v>
      </c>
      <c r="I7029" t="n">
        <v>0</v>
      </c>
      <c r="J7029" t="n">
        <v>0</v>
      </c>
      <c r="K7029" t="n">
        <v>0</v>
      </c>
      <c r="L7029" t="n">
        <v>0</v>
      </c>
      <c r="M7029" t="n">
        <v>0</v>
      </c>
      <c r="N7029" t="n">
        <v>0</v>
      </c>
      <c r="O7029" t="n">
        <v>0</v>
      </c>
      <c r="P7029" t="n">
        <v>0</v>
      </c>
      <c r="Q7029" t="n">
        <v>0</v>
      </c>
      <c r="R7029" s="2" t="inlineStr"/>
    </row>
    <row r="7030" ht="15" customHeight="1">
      <c r="A7030" t="inlineStr">
        <is>
          <t>A 57180-2025</t>
        </is>
      </c>
      <c r="B7030" s="1" t="n">
        <v>45979.56042824074</v>
      </c>
      <c r="C7030" s="1" t="n">
        <v>46145</v>
      </c>
      <c r="D7030" t="inlineStr">
        <is>
          <t>VÄSTERBOTTENS LÄN</t>
        </is>
      </c>
      <c r="E7030" t="inlineStr">
        <is>
          <t>SKELLEFTEÅ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57521-2025</t>
        </is>
      </c>
      <c r="B7031" s="1" t="n">
        <v>45980.62366898148</v>
      </c>
      <c r="C7031" s="1" t="n">
        <v>46145</v>
      </c>
      <c r="D7031" t="inlineStr">
        <is>
          <t>VÄSTERBOTTENS LÄN</t>
        </is>
      </c>
      <c r="E7031" t="inlineStr">
        <is>
          <t>SKELLEFTEÅ</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57535-2025</t>
        </is>
      </c>
      <c r="B7032" s="1" t="n">
        <v>45980.64270833333</v>
      </c>
      <c r="C7032" s="1" t="n">
        <v>46145</v>
      </c>
      <c r="D7032" t="inlineStr">
        <is>
          <t>VÄSTERBOTTENS LÄN</t>
        </is>
      </c>
      <c r="E7032" t="inlineStr">
        <is>
          <t>NORDMALING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57541-2025</t>
        </is>
      </c>
      <c r="B7033" s="1" t="n">
        <v>45980.65039351852</v>
      </c>
      <c r="C7033" s="1" t="n">
        <v>46145</v>
      </c>
      <c r="D7033" t="inlineStr">
        <is>
          <t>VÄSTERBOTTENS LÄN</t>
        </is>
      </c>
      <c r="E7033" t="inlineStr">
        <is>
          <t>NORDMALING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57345-2025</t>
        </is>
      </c>
      <c r="B7034" s="1" t="n">
        <v>45980.35304398148</v>
      </c>
      <c r="C7034" s="1" t="n">
        <v>46145</v>
      </c>
      <c r="D7034" t="inlineStr">
        <is>
          <t>VÄSTERBOTTENS LÄN</t>
        </is>
      </c>
      <c r="E7034" t="inlineStr">
        <is>
          <t>SKELLEFTEÅ</t>
        </is>
      </c>
      <c r="F7034" t="inlineStr">
        <is>
          <t>Sveaskog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57562-2025</t>
        </is>
      </c>
      <c r="B7035" s="1" t="n">
        <v>45980.69892361111</v>
      </c>
      <c r="C7035" s="1" t="n">
        <v>46145</v>
      </c>
      <c r="D7035" t="inlineStr">
        <is>
          <t>VÄSTERBOTTENS LÄN</t>
        </is>
      </c>
      <c r="E7035" t="inlineStr">
        <is>
          <t>NORSJÖ</t>
        </is>
      </c>
      <c r="G7035" t="n">
        <v>12.4</v>
      </c>
      <c r="H7035" t="n">
        <v>0</v>
      </c>
      <c r="I7035" t="n">
        <v>0</v>
      </c>
      <c r="J7035" t="n">
        <v>0</v>
      </c>
      <c r="K7035" t="n">
        <v>0</v>
      </c>
      <c r="L7035" t="n">
        <v>0</v>
      </c>
      <c r="M7035" t="n">
        <v>0</v>
      </c>
      <c r="N7035" t="n">
        <v>0</v>
      </c>
      <c r="O7035" t="n">
        <v>0</v>
      </c>
      <c r="P7035" t="n">
        <v>0</v>
      </c>
      <c r="Q7035" t="n">
        <v>0</v>
      </c>
      <c r="R7035" s="2" t="inlineStr"/>
    </row>
    <row r="7036" ht="15" customHeight="1">
      <c r="A7036" t="inlineStr">
        <is>
          <t>A 57350-2025</t>
        </is>
      </c>
      <c r="B7036" s="1" t="n">
        <v>45980.36420138889</v>
      </c>
      <c r="C7036" s="1" t="n">
        <v>46145</v>
      </c>
      <c r="D7036" t="inlineStr">
        <is>
          <t>VÄSTERBOTTENS LÄN</t>
        </is>
      </c>
      <c r="E7036" t="inlineStr">
        <is>
          <t>SKELLEFTEÅ</t>
        </is>
      </c>
      <c r="F7036" t="inlineStr">
        <is>
          <t>Sveaskog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45361-2024</t>
        </is>
      </c>
      <c r="B7037" s="1" t="n">
        <v>45576.48423611111</v>
      </c>
      <c r="C7037" s="1" t="n">
        <v>46145</v>
      </c>
      <c r="D7037" t="inlineStr">
        <is>
          <t>VÄSTERBOTTENS LÄN</t>
        </is>
      </c>
      <c r="E7037" t="inlineStr">
        <is>
          <t>LYCKSELE</t>
        </is>
      </c>
      <c r="F7037" t="inlineStr">
        <is>
          <t>Holmen skog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57366-2025</t>
        </is>
      </c>
      <c r="B7038" s="1" t="n">
        <v>45980.37606481482</v>
      </c>
      <c r="C7038" s="1" t="n">
        <v>46145</v>
      </c>
      <c r="D7038" t="inlineStr">
        <is>
          <t>VÄSTERBOTTENS LÄN</t>
        </is>
      </c>
      <c r="E7038" t="inlineStr">
        <is>
          <t>UMEÅ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57374-2025</t>
        </is>
      </c>
      <c r="B7039" s="1" t="n">
        <v>45980.38856481481</v>
      </c>
      <c r="C7039" s="1" t="n">
        <v>46145</v>
      </c>
      <c r="D7039" t="inlineStr">
        <is>
          <t>VÄSTERBOTTENS LÄN</t>
        </is>
      </c>
      <c r="E7039" t="inlineStr">
        <is>
          <t>UMEÅ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57376-2025</t>
        </is>
      </c>
      <c r="B7040" s="1" t="n">
        <v>45980.39418981481</v>
      </c>
      <c r="C7040" s="1" t="n">
        <v>46145</v>
      </c>
      <c r="D7040" t="inlineStr">
        <is>
          <t>VÄSTERBOTTENS LÄN</t>
        </is>
      </c>
      <c r="E7040" t="inlineStr">
        <is>
          <t>SKELLEFTEÅ</t>
        </is>
      </c>
      <c r="F7040" t="inlineStr">
        <is>
          <t>Sveaskog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57380-2025</t>
        </is>
      </c>
      <c r="B7041" s="1" t="n">
        <v>45980.40675925926</v>
      </c>
      <c r="C7041" s="1" t="n">
        <v>46145</v>
      </c>
      <c r="D7041" t="inlineStr">
        <is>
          <t>VÄSTERBOTTENS LÄN</t>
        </is>
      </c>
      <c r="E7041" t="inlineStr">
        <is>
          <t>DOROTEA</t>
        </is>
      </c>
      <c r="F7041" t="inlineStr">
        <is>
          <t>SCA</t>
        </is>
      </c>
      <c r="G7041" t="n">
        <v>10.2</v>
      </c>
      <c r="H7041" t="n">
        <v>0</v>
      </c>
      <c r="I7041" t="n">
        <v>0</v>
      </c>
      <c r="J7041" t="n">
        <v>0</v>
      </c>
      <c r="K7041" t="n">
        <v>0</v>
      </c>
      <c r="L7041" t="n">
        <v>0</v>
      </c>
      <c r="M7041" t="n">
        <v>0</v>
      </c>
      <c r="N7041" t="n">
        <v>0</v>
      </c>
      <c r="O7041" t="n">
        <v>0</v>
      </c>
      <c r="P7041" t="n">
        <v>0</v>
      </c>
      <c r="Q7041" t="n">
        <v>0</v>
      </c>
      <c r="R7041" s="2" t="inlineStr"/>
    </row>
    <row r="7042" ht="15" customHeight="1">
      <c r="A7042" t="inlineStr">
        <is>
          <t>A 57222-2025</t>
        </is>
      </c>
      <c r="B7042" s="1" t="n">
        <v>45979.61474537037</v>
      </c>
      <c r="C7042" s="1" t="n">
        <v>46145</v>
      </c>
      <c r="D7042" t="inlineStr">
        <is>
          <t>VÄSTERBOTTENS LÄN</t>
        </is>
      </c>
      <c r="E7042" t="inlineStr">
        <is>
          <t>SKELLEFTEÅ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57234-2025</t>
        </is>
      </c>
      <c r="B7043" s="1" t="n">
        <v>45979.6216087963</v>
      </c>
      <c r="C7043" s="1" t="n">
        <v>46145</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15082-2023</t>
        </is>
      </c>
      <c r="B7044" s="1" t="n">
        <v>45016</v>
      </c>
      <c r="C7044" s="1" t="n">
        <v>46145</v>
      </c>
      <c r="D7044" t="inlineStr">
        <is>
          <t>VÄSTERBOTTENS LÄN</t>
        </is>
      </c>
      <c r="E7044" t="inlineStr">
        <is>
          <t>ÅSELE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57326-2025</t>
        </is>
      </c>
      <c r="B7045" s="1" t="n">
        <v>45980.33506944445</v>
      </c>
      <c r="C7045" s="1" t="n">
        <v>46145</v>
      </c>
      <c r="D7045" t="inlineStr">
        <is>
          <t>VÄSTERBOTTENS LÄN</t>
        </is>
      </c>
      <c r="E7045" t="inlineStr">
        <is>
          <t>VINDELN</t>
        </is>
      </c>
      <c r="F7045" t="inlineStr">
        <is>
          <t>Holmen skog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1502-2025</t>
        </is>
      </c>
      <c r="B7046" s="1" t="n">
        <v>45670.42223379629</v>
      </c>
      <c r="C7046" s="1" t="n">
        <v>46145</v>
      </c>
      <c r="D7046" t="inlineStr">
        <is>
          <t>VÄSTERBOTTENS LÄN</t>
        </is>
      </c>
      <c r="E7046" t="inlineStr">
        <is>
          <t>UMEÅ</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57060-2025</t>
        </is>
      </c>
      <c r="B7047" s="1" t="n">
        <v>45979.36954861111</v>
      </c>
      <c r="C7047" s="1" t="n">
        <v>46145</v>
      </c>
      <c r="D7047" t="inlineStr">
        <is>
          <t>VÄSTERBOTTENS LÄN</t>
        </is>
      </c>
      <c r="E7047" t="inlineStr">
        <is>
          <t>NORSJÖ</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57529-2025</t>
        </is>
      </c>
      <c r="B7048" s="1" t="n">
        <v>45980.63456018519</v>
      </c>
      <c r="C7048" s="1" t="n">
        <v>46145</v>
      </c>
      <c r="D7048" t="inlineStr">
        <is>
          <t>VÄSTERBOTTENS LÄN</t>
        </is>
      </c>
      <c r="E7048" t="inlineStr">
        <is>
          <t>NORDMALING</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57235-2025</t>
        </is>
      </c>
      <c r="B7049" s="1" t="n">
        <v>45979.62174768518</v>
      </c>
      <c r="C7049" s="1" t="n">
        <v>46145</v>
      </c>
      <c r="D7049" t="inlineStr">
        <is>
          <t>VÄSTERBOTTENS LÄN</t>
        </is>
      </c>
      <c r="E7049" t="inlineStr">
        <is>
          <t>STORUMAN</t>
        </is>
      </c>
      <c r="F7049" t="inlineStr">
        <is>
          <t>Sveaskog</t>
        </is>
      </c>
      <c r="G7049" t="n">
        <v>22.2</v>
      </c>
      <c r="H7049" t="n">
        <v>0</v>
      </c>
      <c r="I7049" t="n">
        <v>0</v>
      </c>
      <c r="J7049" t="n">
        <v>0</v>
      </c>
      <c r="K7049" t="n">
        <v>0</v>
      </c>
      <c r="L7049" t="n">
        <v>0</v>
      </c>
      <c r="M7049" t="n">
        <v>0</v>
      </c>
      <c r="N7049" t="n">
        <v>0</v>
      </c>
      <c r="O7049" t="n">
        <v>0</v>
      </c>
      <c r="P7049" t="n">
        <v>0</v>
      </c>
      <c r="Q7049" t="n">
        <v>0</v>
      </c>
      <c r="R7049" s="2" t="inlineStr"/>
    </row>
    <row r="7050" ht="15" customHeight="1">
      <c r="A7050" t="inlineStr">
        <is>
          <t>A 42329-2023</t>
        </is>
      </c>
      <c r="B7050" s="1" t="n">
        <v>45175</v>
      </c>
      <c r="C7050" s="1" t="n">
        <v>46145</v>
      </c>
      <c r="D7050" t="inlineStr">
        <is>
          <t>VÄSTERBOTTENS LÄN</t>
        </is>
      </c>
      <c r="E7050" t="inlineStr">
        <is>
          <t>SKELLEFTEÅ</t>
        </is>
      </c>
      <c r="F7050" t="inlineStr">
        <is>
          <t>Kyrkan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30686-2023</t>
        </is>
      </c>
      <c r="B7051" s="1" t="n">
        <v>45112</v>
      </c>
      <c r="C7051" s="1" t="n">
        <v>46145</v>
      </c>
      <c r="D7051" t="inlineStr">
        <is>
          <t>VÄSTERBOTTENS LÄN</t>
        </is>
      </c>
      <c r="E7051" t="inlineStr">
        <is>
          <t>SKELLEFTEÅ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57227-2025</t>
        </is>
      </c>
      <c r="B7052" s="1" t="n">
        <v>45979</v>
      </c>
      <c r="C7052" s="1" t="n">
        <v>46145</v>
      </c>
      <c r="D7052" t="inlineStr">
        <is>
          <t>VÄSTERBOTTENS LÄN</t>
        </is>
      </c>
      <c r="E7052" t="inlineStr">
        <is>
          <t>LYCKSELE</t>
        </is>
      </c>
      <c r="G7052" t="n">
        <v>13.7</v>
      </c>
      <c r="H7052" t="n">
        <v>0</v>
      </c>
      <c r="I7052" t="n">
        <v>0</v>
      </c>
      <c r="J7052" t="n">
        <v>0</v>
      </c>
      <c r="K7052" t="n">
        <v>0</v>
      </c>
      <c r="L7052" t="n">
        <v>0</v>
      </c>
      <c r="M7052" t="n">
        <v>0</v>
      </c>
      <c r="N7052" t="n">
        <v>0</v>
      </c>
      <c r="O7052" t="n">
        <v>0</v>
      </c>
      <c r="P7052" t="n">
        <v>0</v>
      </c>
      <c r="Q7052" t="n">
        <v>0</v>
      </c>
      <c r="R7052" s="2" t="inlineStr"/>
    </row>
    <row r="7053" ht="15" customHeight="1">
      <c r="A7053" t="inlineStr">
        <is>
          <t>A 57228-2025</t>
        </is>
      </c>
      <c r="B7053" s="1" t="n">
        <v>45979.6162962963</v>
      </c>
      <c r="C7053" s="1" t="n">
        <v>46145</v>
      </c>
      <c r="D7053" t="inlineStr">
        <is>
          <t>VÄSTERBOTTENS LÄN</t>
        </is>
      </c>
      <c r="E7053" t="inlineStr">
        <is>
          <t>SKELLEFTEÅ</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40593-2023</t>
        </is>
      </c>
      <c r="B7054" s="1" t="n">
        <v>45170</v>
      </c>
      <c r="C7054" s="1" t="n">
        <v>46145</v>
      </c>
      <c r="D7054" t="inlineStr">
        <is>
          <t>VÄSTERBOTTENS LÄN</t>
        </is>
      </c>
      <c r="E7054" t="inlineStr">
        <is>
          <t>MALÅ</t>
        </is>
      </c>
      <c r="F7054" t="inlineStr">
        <is>
          <t>Sveaskog</t>
        </is>
      </c>
      <c r="G7054" t="n">
        <v>18.2</v>
      </c>
      <c r="H7054" t="n">
        <v>0</v>
      </c>
      <c r="I7054" t="n">
        <v>0</v>
      </c>
      <c r="J7054" t="n">
        <v>0</v>
      </c>
      <c r="K7054" t="n">
        <v>0</v>
      </c>
      <c r="L7054" t="n">
        <v>0</v>
      </c>
      <c r="M7054" t="n">
        <v>0</v>
      </c>
      <c r="N7054" t="n">
        <v>0</v>
      </c>
      <c r="O7054" t="n">
        <v>0</v>
      </c>
      <c r="P7054" t="n">
        <v>0</v>
      </c>
      <c r="Q7054" t="n">
        <v>0</v>
      </c>
      <c r="R7054" s="2" t="inlineStr"/>
    </row>
    <row r="7055" ht="15" customHeight="1">
      <c r="A7055" t="inlineStr">
        <is>
          <t>A 57404-2025</t>
        </is>
      </c>
      <c r="B7055" s="1" t="n">
        <v>45980.44158564815</v>
      </c>
      <c r="C7055" s="1" t="n">
        <v>46145</v>
      </c>
      <c r="D7055" t="inlineStr">
        <is>
          <t>VÄSTERBOTTENS LÄN</t>
        </is>
      </c>
      <c r="E7055" t="inlineStr">
        <is>
          <t>VINDELN</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57382-2025</t>
        </is>
      </c>
      <c r="B7056" s="1" t="n">
        <v>45980.40696759259</v>
      </c>
      <c r="C7056" s="1" t="n">
        <v>46145</v>
      </c>
      <c r="D7056" t="inlineStr">
        <is>
          <t>VÄSTERBOTTENS LÄN</t>
        </is>
      </c>
      <c r="E7056" t="inlineStr">
        <is>
          <t>SKELLEFTEÅ</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57197-2025</t>
        </is>
      </c>
      <c r="B7057" s="1" t="n">
        <v>45979.58075231482</v>
      </c>
      <c r="C7057" s="1" t="n">
        <v>46145</v>
      </c>
      <c r="D7057" t="inlineStr">
        <is>
          <t>VÄSTERBOTTENS LÄN</t>
        </is>
      </c>
      <c r="E7057" t="inlineStr">
        <is>
          <t>LYCKSELE</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57182-2025</t>
        </is>
      </c>
      <c r="B7058" s="1" t="n">
        <v>45979</v>
      </c>
      <c r="C7058" s="1" t="n">
        <v>46145</v>
      </c>
      <c r="D7058" t="inlineStr">
        <is>
          <t>VÄSTERBOTTENS LÄN</t>
        </is>
      </c>
      <c r="E7058" t="inlineStr">
        <is>
          <t>SORSELE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57193-2025</t>
        </is>
      </c>
      <c r="B7059" s="1" t="n">
        <v>45979.5778125</v>
      </c>
      <c r="C7059" s="1" t="n">
        <v>46145</v>
      </c>
      <c r="D7059" t="inlineStr">
        <is>
          <t>VÄSTERBOTTENS LÄN</t>
        </is>
      </c>
      <c r="E7059" t="inlineStr">
        <is>
          <t>VINDELN</t>
        </is>
      </c>
      <c r="F7059" t="inlineStr">
        <is>
          <t>Sveaskog</t>
        </is>
      </c>
      <c r="G7059" t="n">
        <v>11.3</v>
      </c>
      <c r="H7059" t="n">
        <v>0</v>
      </c>
      <c r="I7059" t="n">
        <v>0</v>
      </c>
      <c r="J7059" t="n">
        <v>0</v>
      </c>
      <c r="K7059" t="n">
        <v>0</v>
      </c>
      <c r="L7059" t="n">
        <v>0</v>
      </c>
      <c r="M7059" t="n">
        <v>0</v>
      </c>
      <c r="N7059" t="n">
        <v>0</v>
      </c>
      <c r="O7059" t="n">
        <v>0</v>
      </c>
      <c r="P7059" t="n">
        <v>0</v>
      </c>
      <c r="Q7059" t="n">
        <v>0</v>
      </c>
      <c r="R7059" s="2" t="inlineStr"/>
    </row>
    <row r="7060" ht="15" customHeight="1">
      <c r="A7060" t="inlineStr">
        <is>
          <t>A 57215-2025</t>
        </is>
      </c>
      <c r="B7060" s="1" t="n">
        <v>45979.60740740741</v>
      </c>
      <c r="C7060" s="1" t="n">
        <v>46145</v>
      </c>
      <c r="D7060" t="inlineStr">
        <is>
          <t>VÄSTERBOTTENS LÄN</t>
        </is>
      </c>
      <c r="E7060" t="inlineStr">
        <is>
          <t>BJURHOLM</t>
        </is>
      </c>
      <c r="F7060" t="inlineStr">
        <is>
          <t>Sveaskog</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57241-2025</t>
        </is>
      </c>
      <c r="B7061" s="1" t="n">
        <v>45979.62626157407</v>
      </c>
      <c r="C7061" s="1" t="n">
        <v>46145</v>
      </c>
      <c r="D7061" t="inlineStr">
        <is>
          <t>VÄSTERBOTTENS LÄN</t>
        </is>
      </c>
      <c r="E7061" t="inlineStr">
        <is>
          <t>LYCKSELE</t>
        </is>
      </c>
      <c r="F7061" t="inlineStr">
        <is>
          <t>Sveaskog</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57378-2025</t>
        </is>
      </c>
      <c r="B7062" s="1" t="n">
        <v>45980.40011574074</v>
      </c>
      <c r="C7062" s="1" t="n">
        <v>46145</v>
      </c>
      <c r="D7062" t="inlineStr">
        <is>
          <t>VÄSTERBOTTENS LÄN</t>
        </is>
      </c>
      <c r="E7062" t="inlineStr">
        <is>
          <t>SKELLEFTEÅ</t>
        </is>
      </c>
      <c r="F7062" t="inlineStr">
        <is>
          <t>Sveaskog</t>
        </is>
      </c>
      <c r="G7062" t="n">
        <v>19.1</v>
      </c>
      <c r="H7062" t="n">
        <v>0</v>
      </c>
      <c r="I7062" t="n">
        <v>0</v>
      </c>
      <c r="J7062" t="n">
        <v>0</v>
      </c>
      <c r="K7062" t="n">
        <v>0</v>
      </c>
      <c r="L7062" t="n">
        <v>0</v>
      </c>
      <c r="M7062" t="n">
        <v>0</v>
      </c>
      <c r="N7062" t="n">
        <v>0</v>
      </c>
      <c r="O7062" t="n">
        <v>0</v>
      </c>
      <c r="P7062" t="n">
        <v>0</v>
      </c>
      <c r="Q7062" t="n">
        <v>0</v>
      </c>
      <c r="R7062" s="2" t="inlineStr"/>
    </row>
    <row r="7063" ht="15" customHeight="1">
      <c r="A7063" t="inlineStr">
        <is>
          <t>A 57379-2025</t>
        </is>
      </c>
      <c r="B7063" s="1" t="n">
        <v>45980.40270833333</v>
      </c>
      <c r="C7063" s="1" t="n">
        <v>46145</v>
      </c>
      <c r="D7063" t="inlineStr">
        <is>
          <t>VÄSTERBOTTENS LÄN</t>
        </is>
      </c>
      <c r="E7063" t="inlineStr">
        <is>
          <t>ÅSELE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57385-2025</t>
        </is>
      </c>
      <c r="B7064" s="1" t="n">
        <v>45980.41197916667</v>
      </c>
      <c r="C7064" s="1" t="n">
        <v>46145</v>
      </c>
      <c r="D7064" t="inlineStr">
        <is>
          <t>VÄSTERBOTTENS LÄN</t>
        </is>
      </c>
      <c r="E7064" t="inlineStr">
        <is>
          <t>LYCKSELE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57419-2025</t>
        </is>
      </c>
      <c r="B7065" s="1" t="n">
        <v>45980.45418981482</v>
      </c>
      <c r="C7065" s="1" t="n">
        <v>46145</v>
      </c>
      <c r="D7065" t="inlineStr">
        <is>
          <t>VÄSTERBOTTENS LÄN</t>
        </is>
      </c>
      <c r="E7065" t="inlineStr">
        <is>
          <t>VINDELN</t>
        </is>
      </c>
      <c r="F7065" t="inlineStr">
        <is>
          <t>Sveaskog</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40505-2024</t>
        </is>
      </c>
      <c r="B7066" s="1" t="n">
        <v>45555.57373842593</v>
      </c>
      <c r="C7066" s="1" t="n">
        <v>46145</v>
      </c>
      <c r="D7066" t="inlineStr">
        <is>
          <t>VÄSTERBOTTENS LÄN</t>
        </is>
      </c>
      <c r="E7066" t="inlineStr">
        <is>
          <t>VILHELMINA</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57207-2025</t>
        </is>
      </c>
      <c r="B7067" s="1" t="n">
        <v>45979.59443287037</v>
      </c>
      <c r="C7067" s="1" t="n">
        <v>46145</v>
      </c>
      <c r="D7067" t="inlineStr">
        <is>
          <t>VÄSTERBOTTENS LÄN</t>
        </is>
      </c>
      <c r="E7067" t="inlineStr">
        <is>
          <t>VILHELMINA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57217-2025</t>
        </is>
      </c>
      <c r="B7068" s="1" t="n">
        <v>45979.61125</v>
      </c>
      <c r="C7068" s="1" t="n">
        <v>46145</v>
      </c>
      <c r="D7068" t="inlineStr">
        <is>
          <t>VÄSTERBOTTENS LÄN</t>
        </is>
      </c>
      <c r="E7068" t="inlineStr">
        <is>
          <t>SKELLEFTEÅ</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57502-2025</t>
        </is>
      </c>
      <c r="B7069" s="1" t="n">
        <v>45980.59350694445</v>
      </c>
      <c r="C7069" s="1" t="n">
        <v>46145</v>
      </c>
      <c r="D7069" t="inlineStr">
        <is>
          <t>VÄSTERBOTTENS LÄN</t>
        </is>
      </c>
      <c r="E7069" t="inlineStr">
        <is>
          <t>VINDELN</t>
        </is>
      </c>
      <c r="F7069" t="inlineStr">
        <is>
          <t>Holmen skog AB</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57516-2025</t>
        </is>
      </c>
      <c r="B7070" s="1" t="n">
        <v>45980.61847222222</v>
      </c>
      <c r="C7070" s="1" t="n">
        <v>46145</v>
      </c>
      <c r="D7070" t="inlineStr">
        <is>
          <t>VÄSTERBOTTENS LÄN</t>
        </is>
      </c>
      <c r="E7070" t="inlineStr">
        <is>
          <t>SKELLEFTEÅ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57519-2025</t>
        </is>
      </c>
      <c r="B7071" s="1" t="n">
        <v>45980.62025462963</v>
      </c>
      <c r="C7071" s="1" t="n">
        <v>46145</v>
      </c>
      <c r="D7071" t="inlineStr">
        <is>
          <t>VÄSTERBOTTENS LÄN</t>
        </is>
      </c>
      <c r="E7071" t="inlineStr">
        <is>
          <t>SKELLEFTEÅ</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55645-2024</t>
        </is>
      </c>
      <c r="B7072" s="1" t="n">
        <v>45621</v>
      </c>
      <c r="C7072" s="1" t="n">
        <v>46145</v>
      </c>
      <c r="D7072" t="inlineStr">
        <is>
          <t>VÄSTERBOTTENS LÄN</t>
        </is>
      </c>
      <c r="E7072" t="inlineStr">
        <is>
          <t>SKELLEFTEÅ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57539-2025</t>
        </is>
      </c>
      <c r="B7073" s="1" t="n">
        <v>45980.64873842592</v>
      </c>
      <c r="C7073" s="1" t="n">
        <v>46145</v>
      </c>
      <c r="D7073" t="inlineStr">
        <is>
          <t>VÄSTERBOTTENS LÄN</t>
        </is>
      </c>
      <c r="E7073" t="inlineStr">
        <is>
          <t>NORSJÖ</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57542-2025</t>
        </is>
      </c>
      <c r="B7074" s="1" t="n">
        <v>45980</v>
      </c>
      <c r="C7074" s="1" t="n">
        <v>46145</v>
      </c>
      <c r="D7074" t="inlineStr">
        <is>
          <t>VÄSTERBOTTENS LÄN</t>
        </is>
      </c>
      <c r="E7074" t="inlineStr">
        <is>
          <t>SORSELE</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57967-2025</t>
        </is>
      </c>
      <c r="B7075" s="1" t="n">
        <v>45982.38572916666</v>
      </c>
      <c r="C7075" s="1" t="n">
        <v>46145</v>
      </c>
      <c r="D7075" t="inlineStr">
        <is>
          <t>VÄSTERBOTTENS LÄN</t>
        </is>
      </c>
      <c r="E7075" t="inlineStr">
        <is>
          <t>SKELLEFTEÅ</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55657-2024</t>
        </is>
      </c>
      <c r="B7076" s="1" t="n">
        <v>45622.63604166666</v>
      </c>
      <c r="C7076" s="1" t="n">
        <v>46145</v>
      </c>
      <c r="D7076" t="inlineStr">
        <is>
          <t>VÄSTERBOTTENS LÄN</t>
        </is>
      </c>
      <c r="E7076" t="inlineStr">
        <is>
          <t>ÅSELE</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58044-2025</t>
        </is>
      </c>
      <c r="B7077" s="1" t="n">
        <v>45982.5025</v>
      </c>
      <c r="C7077" s="1" t="n">
        <v>46145</v>
      </c>
      <c r="D7077" t="inlineStr">
        <is>
          <t>VÄSTERBOTTENS LÄN</t>
        </is>
      </c>
      <c r="E7077" t="inlineStr">
        <is>
          <t>UMEÅ</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45990-2024</t>
        </is>
      </c>
      <c r="B7078" s="1" t="n">
        <v>45580.62873842593</v>
      </c>
      <c r="C7078" s="1" t="n">
        <v>46145</v>
      </c>
      <c r="D7078" t="inlineStr">
        <is>
          <t>VÄSTERBOTTENS LÄN</t>
        </is>
      </c>
      <c r="E7078" t="inlineStr">
        <is>
          <t>NORSJÖ</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18368-2024</t>
        </is>
      </c>
      <c r="B7079" s="1" t="n">
        <v>45422</v>
      </c>
      <c r="C7079" s="1" t="n">
        <v>46145</v>
      </c>
      <c r="D7079" t="inlineStr">
        <is>
          <t>VÄSTERBOTTENS LÄN</t>
        </is>
      </c>
      <c r="E7079" t="inlineStr">
        <is>
          <t>SKELLEFTEÅ</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55743-2024</t>
        </is>
      </c>
      <c r="B7080" s="1" t="n">
        <v>45623.30952546297</v>
      </c>
      <c r="C7080" s="1" t="n">
        <v>46145</v>
      </c>
      <c r="D7080" t="inlineStr">
        <is>
          <t>VÄSTERBOTTENS LÄN</t>
        </is>
      </c>
      <c r="E7080" t="inlineStr">
        <is>
          <t>SKELLEFTEÅ</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48045-2024</t>
        </is>
      </c>
      <c r="B7081" s="1" t="n">
        <v>45589</v>
      </c>
      <c r="C7081" s="1" t="n">
        <v>46145</v>
      </c>
      <c r="D7081" t="inlineStr">
        <is>
          <t>VÄSTERBOTTENS LÄN</t>
        </is>
      </c>
      <c r="E7081" t="inlineStr">
        <is>
          <t>SORSELE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58136-2025</t>
        </is>
      </c>
      <c r="B7082" s="1" t="n">
        <v>45981</v>
      </c>
      <c r="C7082" s="1" t="n">
        <v>46145</v>
      </c>
      <c r="D7082" t="inlineStr">
        <is>
          <t>VÄSTERBOTTENS LÄN</t>
        </is>
      </c>
      <c r="E7082" t="inlineStr">
        <is>
          <t>BJURHOLM</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58143-2025</t>
        </is>
      </c>
      <c r="B7083" s="1" t="n">
        <v>45982.63961805555</v>
      </c>
      <c r="C7083" s="1" t="n">
        <v>46145</v>
      </c>
      <c r="D7083" t="inlineStr">
        <is>
          <t>VÄSTERBOTTENS LÄN</t>
        </is>
      </c>
      <c r="E7083" t="inlineStr">
        <is>
          <t>SORSELE</t>
        </is>
      </c>
      <c r="F7083" t="inlineStr">
        <is>
          <t>Övriga statliga verk och myndigheter</t>
        </is>
      </c>
      <c r="G7083" t="n">
        <v>13.4</v>
      </c>
      <c r="H7083" t="n">
        <v>0</v>
      </c>
      <c r="I7083" t="n">
        <v>0</v>
      </c>
      <c r="J7083" t="n">
        <v>0</v>
      </c>
      <c r="K7083" t="n">
        <v>0</v>
      </c>
      <c r="L7083" t="n">
        <v>0</v>
      </c>
      <c r="M7083" t="n">
        <v>0</v>
      </c>
      <c r="N7083" t="n">
        <v>0</v>
      </c>
      <c r="O7083" t="n">
        <v>0</v>
      </c>
      <c r="P7083" t="n">
        <v>0</v>
      </c>
      <c r="Q7083" t="n">
        <v>0</v>
      </c>
      <c r="R7083" s="2" t="inlineStr"/>
    </row>
    <row r="7084" ht="15" customHeight="1">
      <c r="A7084" t="inlineStr">
        <is>
          <t>A 57626-2025</t>
        </is>
      </c>
      <c r="B7084" s="1" t="n">
        <v>45981.34576388889</v>
      </c>
      <c r="C7084" s="1" t="n">
        <v>46145</v>
      </c>
      <c r="D7084" t="inlineStr">
        <is>
          <t>VÄSTERBOTTENS LÄN</t>
        </is>
      </c>
      <c r="E7084" t="inlineStr">
        <is>
          <t>SKELLEFTEÅ</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43535-2024</t>
        </is>
      </c>
      <c r="B7085" s="1" t="n">
        <v>45569.35552083333</v>
      </c>
      <c r="C7085" s="1" t="n">
        <v>46145</v>
      </c>
      <c r="D7085" t="inlineStr">
        <is>
          <t>VÄSTERBOTTENS LÄN</t>
        </is>
      </c>
      <c r="E7085" t="inlineStr">
        <is>
          <t>VINDELN</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58542-2024</t>
        </is>
      </c>
      <c r="B7086" s="1" t="n">
        <v>45635.45708333333</v>
      </c>
      <c r="C7086" s="1" t="n">
        <v>46145</v>
      </c>
      <c r="D7086" t="inlineStr">
        <is>
          <t>VÄSTERBOTTENS LÄN</t>
        </is>
      </c>
      <c r="E7086" t="inlineStr">
        <is>
          <t>SKELLEFTEÅ</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58544-2024</t>
        </is>
      </c>
      <c r="B7087" s="1" t="n">
        <v>45635.45777777778</v>
      </c>
      <c r="C7087" s="1" t="n">
        <v>46145</v>
      </c>
      <c r="D7087" t="inlineStr">
        <is>
          <t>VÄSTERBOTTENS LÄN</t>
        </is>
      </c>
      <c r="E7087" t="inlineStr">
        <is>
          <t>VINDELN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57669-2025</t>
        </is>
      </c>
      <c r="B7088" s="1" t="n">
        <v>45981.42792824074</v>
      </c>
      <c r="C7088" s="1" t="n">
        <v>46145</v>
      </c>
      <c r="D7088" t="inlineStr">
        <is>
          <t>VÄSTERBOTTENS LÄN</t>
        </is>
      </c>
      <c r="E7088" t="inlineStr">
        <is>
          <t>LYCKSELE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58070-2025</t>
        </is>
      </c>
      <c r="B7089" s="1" t="n">
        <v>45982.55038194444</v>
      </c>
      <c r="C7089" s="1" t="n">
        <v>46145</v>
      </c>
      <c r="D7089" t="inlineStr">
        <is>
          <t>VÄSTERBOTTENS LÄN</t>
        </is>
      </c>
      <c r="E7089" t="inlineStr">
        <is>
          <t>SKELLEFTEÅ</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58074-2025</t>
        </is>
      </c>
      <c r="B7090" s="1" t="n">
        <v>45982.55253472222</v>
      </c>
      <c r="C7090" s="1" t="n">
        <v>46145</v>
      </c>
      <c r="D7090" t="inlineStr">
        <is>
          <t>VÄSTERBOTTENS LÄN</t>
        </is>
      </c>
      <c r="E7090" t="inlineStr">
        <is>
          <t>VILHELMINA</t>
        </is>
      </c>
      <c r="F7090" t="inlineStr">
        <is>
          <t>SCA</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37159-2023</t>
        </is>
      </c>
      <c r="B7091" s="1" t="n">
        <v>45154</v>
      </c>
      <c r="C7091" s="1" t="n">
        <v>46145</v>
      </c>
      <c r="D7091" t="inlineStr">
        <is>
          <t>VÄSTERBOTTENS LÄN</t>
        </is>
      </c>
      <c r="E7091" t="inlineStr">
        <is>
          <t>MALÅ</t>
        </is>
      </c>
      <c r="G7091" t="n">
        <v>63.5</v>
      </c>
      <c r="H7091" t="n">
        <v>0</v>
      </c>
      <c r="I7091" t="n">
        <v>0</v>
      </c>
      <c r="J7091" t="n">
        <v>0</v>
      </c>
      <c r="K7091" t="n">
        <v>0</v>
      </c>
      <c r="L7091" t="n">
        <v>0</v>
      </c>
      <c r="M7091" t="n">
        <v>0</v>
      </c>
      <c r="N7091" t="n">
        <v>0</v>
      </c>
      <c r="O7091" t="n">
        <v>0</v>
      </c>
      <c r="P7091" t="n">
        <v>0</v>
      </c>
      <c r="Q7091" t="n">
        <v>0</v>
      </c>
      <c r="R7091" s="2" t="inlineStr"/>
    </row>
    <row r="7092" ht="15" customHeight="1">
      <c r="A7092" t="inlineStr">
        <is>
          <t>A 37250-2023</t>
        </is>
      </c>
      <c r="B7092" s="1" t="n">
        <v>45155</v>
      </c>
      <c r="C7092" s="1" t="n">
        <v>46145</v>
      </c>
      <c r="D7092" t="inlineStr">
        <is>
          <t>VÄSTERBOTTENS LÄN</t>
        </is>
      </c>
      <c r="E7092" t="inlineStr">
        <is>
          <t>VINDELN</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38694-2023</t>
        </is>
      </c>
      <c r="B7093" s="1" t="n">
        <v>45162</v>
      </c>
      <c r="C7093" s="1" t="n">
        <v>46145</v>
      </c>
      <c r="D7093" t="inlineStr">
        <is>
          <t>VÄSTERBOTTENS LÄN</t>
        </is>
      </c>
      <c r="E7093" t="inlineStr">
        <is>
          <t>SORSELE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52987-2025</t>
        </is>
      </c>
      <c r="B7094" s="1" t="n">
        <v>45957.70400462963</v>
      </c>
      <c r="C7094" s="1" t="n">
        <v>46145</v>
      </c>
      <c r="D7094" t="inlineStr">
        <is>
          <t>VÄSTERBOTTENS LÄN</t>
        </is>
      </c>
      <c r="E7094" t="inlineStr">
        <is>
          <t>SKELLEFTEÅ</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38717-2023</t>
        </is>
      </c>
      <c r="B7095" s="1" t="n">
        <v>45160</v>
      </c>
      <c r="C7095" s="1" t="n">
        <v>46145</v>
      </c>
      <c r="D7095" t="inlineStr">
        <is>
          <t>VÄSTERBOTTENS LÄN</t>
        </is>
      </c>
      <c r="E7095" t="inlineStr">
        <is>
          <t>SKELLEFTEÅ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58014-2025</t>
        </is>
      </c>
      <c r="B7096" s="1" t="n">
        <v>45982.46956018519</v>
      </c>
      <c r="C7096" s="1" t="n">
        <v>46145</v>
      </c>
      <c r="D7096" t="inlineStr">
        <is>
          <t>VÄSTERBOTTENS LÄN</t>
        </is>
      </c>
      <c r="E7096" t="inlineStr">
        <is>
          <t>DOROTEA</t>
        </is>
      </c>
      <c r="F7096" t="inlineStr">
        <is>
          <t>SCA</t>
        </is>
      </c>
      <c r="G7096" t="n">
        <v>18.2</v>
      </c>
      <c r="H7096" t="n">
        <v>0</v>
      </c>
      <c r="I7096" t="n">
        <v>0</v>
      </c>
      <c r="J7096" t="n">
        <v>0</v>
      </c>
      <c r="K7096" t="n">
        <v>0</v>
      </c>
      <c r="L7096" t="n">
        <v>0</v>
      </c>
      <c r="M7096" t="n">
        <v>0</v>
      </c>
      <c r="N7096" t="n">
        <v>0</v>
      </c>
      <c r="O7096" t="n">
        <v>0</v>
      </c>
      <c r="P7096" t="n">
        <v>0</v>
      </c>
      <c r="Q7096" t="n">
        <v>0</v>
      </c>
      <c r="R7096" s="2" t="inlineStr"/>
    </row>
    <row r="7097" ht="15" customHeight="1">
      <c r="A7097" t="inlineStr">
        <is>
          <t>A 58080-2025</t>
        </is>
      </c>
      <c r="B7097" s="1" t="n">
        <v>45982.55920138889</v>
      </c>
      <c r="C7097" s="1" t="n">
        <v>46145</v>
      </c>
      <c r="D7097" t="inlineStr">
        <is>
          <t>VÄSTERBOTTENS LÄN</t>
        </is>
      </c>
      <c r="E7097" t="inlineStr">
        <is>
          <t>UMEÅ</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58094-2025</t>
        </is>
      </c>
      <c r="B7098" s="1" t="n">
        <v>45982.57611111111</v>
      </c>
      <c r="C7098" s="1" t="n">
        <v>46145</v>
      </c>
      <c r="D7098" t="inlineStr">
        <is>
          <t>VÄSTERBOTTENS LÄN</t>
        </is>
      </c>
      <c r="E7098" t="inlineStr">
        <is>
          <t>LYCKSELE</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58145-2025</t>
        </is>
      </c>
      <c r="B7099" s="1" t="n">
        <v>45982.64233796296</v>
      </c>
      <c r="C7099" s="1" t="n">
        <v>46145</v>
      </c>
      <c r="D7099" t="inlineStr">
        <is>
          <t>VÄSTERBOTTENS LÄN</t>
        </is>
      </c>
      <c r="E7099" t="inlineStr">
        <is>
          <t>SORSELE</t>
        </is>
      </c>
      <c r="F7099" t="inlineStr">
        <is>
          <t>Övriga statliga verk och myndigheter</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58149-2025</t>
        </is>
      </c>
      <c r="B7100" s="1" t="n">
        <v>45982.64745370371</v>
      </c>
      <c r="C7100" s="1" t="n">
        <v>46145</v>
      </c>
      <c r="D7100" t="inlineStr">
        <is>
          <t>VÄSTERBOTTENS LÄN</t>
        </is>
      </c>
      <c r="E7100" t="inlineStr">
        <is>
          <t>SORSELE</t>
        </is>
      </c>
      <c r="F7100" t="inlineStr">
        <is>
          <t>Övriga statliga verk och myndigheter</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25099-2024</t>
        </is>
      </c>
      <c r="B7101" s="1" t="n">
        <v>45462.41755787037</v>
      </c>
      <c r="C7101" s="1" t="n">
        <v>46145</v>
      </c>
      <c r="D7101" t="inlineStr">
        <is>
          <t>VÄSTERBOTTENS LÄN</t>
        </is>
      </c>
      <c r="E7101" t="inlineStr">
        <is>
          <t>SKELLEFTEÅ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57623-2025</t>
        </is>
      </c>
      <c r="B7102" s="1" t="n">
        <v>45981.34552083333</v>
      </c>
      <c r="C7102" s="1" t="n">
        <v>46145</v>
      </c>
      <c r="D7102" t="inlineStr">
        <is>
          <t>VÄSTERBOTTENS LÄN</t>
        </is>
      </c>
      <c r="E7102" t="inlineStr">
        <is>
          <t>NORSJÖ</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57625-2025</t>
        </is>
      </c>
      <c r="B7103" s="1" t="n">
        <v>45981.34565972222</v>
      </c>
      <c r="C7103" s="1" t="n">
        <v>46145</v>
      </c>
      <c r="D7103" t="inlineStr">
        <is>
          <t>VÄSTERBOTTENS LÄN</t>
        </is>
      </c>
      <c r="E7103" t="inlineStr">
        <is>
          <t>NORSJÖ</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57722-2025</t>
        </is>
      </c>
      <c r="B7104" s="1" t="n">
        <v>45981.49009259259</v>
      </c>
      <c r="C7104" s="1" t="n">
        <v>46145</v>
      </c>
      <c r="D7104" t="inlineStr">
        <is>
          <t>VÄSTERBOTTENS LÄN</t>
        </is>
      </c>
      <c r="E7104" t="inlineStr">
        <is>
          <t>DOROTEA</t>
        </is>
      </c>
      <c r="F7104" t="inlineStr">
        <is>
          <t>SCA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57668-2025</t>
        </is>
      </c>
      <c r="B7105" s="1" t="n">
        <v>45981.42790509259</v>
      </c>
      <c r="C7105" s="1" t="n">
        <v>46145</v>
      </c>
      <c r="D7105" t="inlineStr">
        <is>
          <t>VÄSTERBOTTENS LÄN</t>
        </is>
      </c>
      <c r="E7105" t="inlineStr">
        <is>
          <t>LYCKSELE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39214-2023</t>
        </is>
      </c>
      <c r="B7106" s="1" t="n">
        <v>45166</v>
      </c>
      <c r="C7106" s="1" t="n">
        <v>46145</v>
      </c>
      <c r="D7106" t="inlineStr">
        <is>
          <t>VÄSTERBOTTENS LÄN</t>
        </is>
      </c>
      <c r="E7106" t="inlineStr">
        <is>
          <t>MALÅ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38035-2023</t>
        </is>
      </c>
      <c r="B7107" s="1" t="n">
        <v>45159</v>
      </c>
      <c r="C7107" s="1" t="n">
        <v>46145</v>
      </c>
      <c r="D7107" t="inlineStr">
        <is>
          <t>VÄSTERBOTTENS LÄN</t>
        </is>
      </c>
      <c r="E7107" t="inlineStr">
        <is>
          <t>VINDELN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57819-2025</t>
        </is>
      </c>
      <c r="B7108" s="1" t="n">
        <v>45981</v>
      </c>
      <c r="C7108" s="1" t="n">
        <v>46145</v>
      </c>
      <c r="D7108" t="inlineStr">
        <is>
          <t>VÄSTERBOTTENS LÄN</t>
        </is>
      </c>
      <c r="E7108" t="inlineStr">
        <is>
          <t>DOROTEA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57812-2025</t>
        </is>
      </c>
      <c r="B7109" s="1" t="n">
        <v>45981</v>
      </c>
      <c r="C7109" s="1" t="n">
        <v>46145</v>
      </c>
      <c r="D7109" t="inlineStr">
        <is>
          <t>VÄSTERBOTTENS LÄN</t>
        </is>
      </c>
      <c r="E7109" t="inlineStr">
        <is>
          <t>VILHELMINA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59289-2024</t>
        </is>
      </c>
      <c r="B7110" s="1" t="n">
        <v>45637.64994212963</v>
      </c>
      <c r="C7110" s="1" t="n">
        <v>46145</v>
      </c>
      <c r="D7110" t="inlineStr">
        <is>
          <t>VÄSTERBOTTENS LÄN</t>
        </is>
      </c>
      <c r="E7110" t="inlineStr">
        <is>
          <t>NORDMALING</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59290-2024</t>
        </is>
      </c>
      <c r="B7111" s="1" t="n">
        <v>45637.65096064815</v>
      </c>
      <c r="C7111" s="1" t="n">
        <v>46145</v>
      </c>
      <c r="D7111" t="inlineStr">
        <is>
          <t>VÄSTERBOTTENS LÄN</t>
        </is>
      </c>
      <c r="E7111" t="inlineStr">
        <is>
          <t>MALÅ</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59309-2024</t>
        </is>
      </c>
      <c r="B7112" s="1" t="n">
        <v>45637.67839120371</v>
      </c>
      <c r="C7112" s="1" t="n">
        <v>46145</v>
      </c>
      <c r="D7112" t="inlineStr">
        <is>
          <t>VÄSTERBOTTENS LÄN</t>
        </is>
      </c>
      <c r="E7112" t="inlineStr">
        <is>
          <t>MALÅ</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13529-2023</t>
        </is>
      </c>
      <c r="B7113" s="1" t="n">
        <v>45005</v>
      </c>
      <c r="C7113" s="1" t="n">
        <v>46145</v>
      </c>
      <c r="D7113" t="inlineStr">
        <is>
          <t>VÄSTERBOTTENS LÄN</t>
        </is>
      </c>
      <c r="E7113" t="inlineStr">
        <is>
          <t>ROBERTSFORS</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2859-2022</t>
        </is>
      </c>
      <c r="B7114" s="1" t="n">
        <v>44581</v>
      </c>
      <c r="C7114" s="1" t="n">
        <v>46145</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57898-2025</t>
        </is>
      </c>
      <c r="B7115" s="1" t="n">
        <v>45981.72505787037</v>
      </c>
      <c r="C7115" s="1" t="n">
        <v>46145</v>
      </c>
      <c r="D7115" t="inlineStr">
        <is>
          <t>VÄSTERBOTTENS LÄN</t>
        </is>
      </c>
      <c r="E7115" t="inlineStr">
        <is>
          <t>NORDMALING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57903-2025</t>
        </is>
      </c>
      <c r="B7116" s="1" t="n">
        <v>45981.75262731482</v>
      </c>
      <c r="C7116" s="1" t="n">
        <v>46145</v>
      </c>
      <c r="D7116" t="inlineStr">
        <is>
          <t>VÄSTERBOTTENS LÄN</t>
        </is>
      </c>
      <c r="E7116" t="inlineStr">
        <is>
          <t>NORDMALING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57793-2025</t>
        </is>
      </c>
      <c r="B7117" s="1" t="n">
        <v>45981.57976851852</v>
      </c>
      <c r="C7117" s="1" t="n">
        <v>46145</v>
      </c>
      <c r="D7117" t="inlineStr">
        <is>
          <t>VÄSTERBOTTENS LÄN</t>
        </is>
      </c>
      <c r="E7117" t="inlineStr">
        <is>
          <t>ROBERTSFORS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22114-2024</t>
        </is>
      </c>
      <c r="B7118" s="1" t="n">
        <v>45443</v>
      </c>
      <c r="C7118" s="1" t="n">
        <v>46145</v>
      </c>
      <c r="D7118" t="inlineStr">
        <is>
          <t>VÄSTERBOTTENS LÄN</t>
        </is>
      </c>
      <c r="E7118" t="inlineStr">
        <is>
          <t>ÅSELE</t>
        </is>
      </c>
      <c r="F7118" t="inlineStr">
        <is>
          <t>SCA</t>
        </is>
      </c>
      <c r="G7118" t="n">
        <v>30.2</v>
      </c>
      <c r="H7118" t="n">
        <v>0</v>
      </c>
      <c r="I7118" t="n">
        <v>0</v>
      </c>
      <c r="J7118" t="n">
        <v>0</v>
      </c>
      <c r="K7118" t="n">
        <v>0</v>
      </c>
      <c r="L7118" t="n">
        <v>0</v>
      </c>
      <c r="M7118" t="n">
        <v>0</v>
      </c>
      <c r="N7118" t="n">
        <v>0</v>
      </c>
      <c r="O7118" t="n">
        <v>0</v>
      </c>
      <c r="P7118" t="n">
        <v>0</v>
      </c>
      <c r="Q7118" t="n">
        <v>0</v>
      </c>
      <c r="R7118" s="2" t="inlineStr"/>
    </row>
    <row r="7119" ht="15" customHeight="1">
      <c r="A7119" t="inlineStr">
        <is>
          <t>A 58075-2025</t>
        </is>
      </c>
      <c r="B7119" s="1" t="n">
        <v>45982.55265046296</v>
      </c>
      <c r="C7119" s="1" t="n">
        <v>46145</v>
      </c>
      <c r="D7119" t="inlineStr">
        <is>
          <t>VÄSTERBOTTENS LÄN</t>
        </is>
      </c>
      <c r="E7119" t="inlineStr">
        <is>
          <t>NORDMALING</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58150-2025</t>
        </is>
      </c>
      <c r="B7120" s="1" t="n">
        <v>45982.64979166666</v>
      </c>
      <c r="C7120" s="1" t="n">
        <v>46145</v>
      </c>
      <c r="D7120" t="inlineStr">
        <is>
          <t>VÄSTERBOTTENS LÄN</t>
        </is>
      </c>
      <c r="E7120" t="inlineStr">
        <is>
          <t>BJURHOLM</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57624-2025</t>
        </is>
      </c>
      <c r="B7121" s="1" t="n">
        <v>45981.34559027778</v>
      </c>
      <c r="C7121" s="1" t="n">
        <v>46145</v>
      </c>
      <c r="D7121" t="inlineStr">
        <is>
          <t>VÄSTERBOTTENS LÄN</t>
        </is>
      </c>
      <c r="E7121" t="inlineStr">
        <is>
          <t>SKELLEFTEÅ</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57629-2025</t>
        </is>
      </c>
      <c r="B7122" s="1" t="n">
        <v>45981.34599537037</v>
      </c>
      <c r="C7122" s="1" t="n">
        <v>46145</v>
      </c>
      <c r="D7122" t="inlineStr">
        <is>
          <t>VÄSTERBOTTENS LÄN</t>
        </is>
      </c>
      <c r="E7122" t="inlineStr">
        <is>
          <t>NORSJÖ</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57630-2025</t>
        </is>
      </c>
      <c r="B7123" s="1" t="n">
        <v>45981.34608796296</v>
      </c>
      <c r="C7123" s="1" t="n">
        <v>46145</v>
      </c>
      <c r="D7123" t="inlineStr">
        <is>
          <t>VÄSTERBOTTENS LÄN</t>
        </is>
      </c>
      <c r="E7123" t="inlineStr">
        <is>
          <t>SKELLEFTEÅ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57653-2025</t>
        </is>
      </c>
      <c r="B7124" s="1" t="n">
        <v>45981.39643518518</v>
      </c>
      <c r="C7124" s="1" t="n">
        <v>46145</v>
      </c>
      <c r="D7124" t="inlineStr">
        <is>
          <t>VÄSTERBOTTENS LÄN</t>
        </is>
      </c>
      <c r="E7124" t="inlineStr">
        <is>
          <t>LYCKSELE</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46049-2024</t>
        </is>
      </c>
      <c r="B7125" s="1" t="n">
        <v>45580.85546296297</v>
      </c>
      <c r="C7125" s="1" t="n">
        <v>46145</v>
      </c>
      <c r="D7125" t="inlineStr">
        <is>
          <t>VÄSTERBOTTENS LÄN</t>
        </is>
      </c>
      <c r="E7125" t="inlineStr">
        <is>
          <t>SKELLEFTEÅ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57731-2025</t>
        </is>
      </c>
      <c r="B7126" s="1" t="n">
        <v>45981.51090277778</v>
      </c>
      <c r="C7126" s="1" t="n">
        <v>46145</v>
      </c>
      <c r="D7126" t="inlineStr">
        <is>
          <t>VÄSTERBOTTENS LÄN</t>
        </is>
      </c>
      <c r="E7126" t="inlineStr">
        <is>
          <t>DOROTEA</t>
        </is>
      </c>
      <c r="F7126" t="inlineStr">
        <is>
          <t>SCA</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57735-2025</t>
        </is>
      </c>
      <c r="B7127" s="1" t="n">
        <v>45981.51204861111</v>
      </c>
      <c r="C7127" s="1" t="n">
        <v>46145</v>
      </c>
      <c r="D7127" t="inlineStr">
        <is>
          <t>VÄSTERBOTTENS LÄN</t>
        </is>
      </c>
      <c r="E7127" t="inlineStr">
        <is>
          <t>LYCKSELE</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57691-2025</t>
        </is>
      </c>
      <c r="B7128" s="1" t="n">
        <v>45981.44681712963</v>
      </c>
      <c r="C7128" s="1" t="n">
        <v>46145</v>
      </c>
      <c r="D7128" t="inlineStr">
        <is>
          <t>VÄSTERBOTTENS LÄN</t>
        </is>
      </c>
      <c r="E7128" t="inlineStr">
        <is>
          <t>SKELLEFTEÅ</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65133-2021</t>
        </is>
      </c>
      <c r="B7129" s="1" t="n">
        <v>44515</v>
      </c>
      <c r="C7129" s="1" t="n">
        <v>46145</v>
      </c>
      <c r="D7129" t="inlineStr">
        <is>
          <t>VÄSTERBOTTENS LÄN</t>
        </is>
      </c>
      <c r="E7129" t="inlineStr">
        <is>
          <t>VILHELMINA</t>
        </is>
      </c>
      <c r="G7129" t="n">
        <v>16.4</v>
      </c>
      <c r="H7129" t="n">
        <v>0</v>
      </c>
      <c r="I7129" t="n">
        <v>0</v>
      </c>
      <c r="J7129" t="n">
        <v>0</v>
      </c>
      <c r="K7129" t="n">
        <v>0</v>
      </c>
      <c r="L7129" t="n">
        <v>0</v>
      </c>
      <c r="M7129" t="n">
        <v>0</v>
      </c>
      <c r="N7129" t="n">
        <v>0</v>
      </c>
      <c r="O7129" t="n">
        <v>0</v>
      </c>
      <c r="P7129" t="n">
        <v>0</v>
      </c>
      <c r="Q7129" t="n">
        <v>0</v>
      </c>
      <c r="R7129" s="2" t="inlineStr"/>
    </row>
    <row r="7130" ht="15" customHeight="1">
      <c r="A7130" t="inlineStr">
        <is>
          <t>A 57698-2025</t>
        </is>
      </c>
      <c r="B7130" s="1" t="n">
        <v>45981.45725694444</v>
      </c>
      <c r="C7130" s="1" t="n">
        <v>46145</v>
      </c>
      <c r="D7130" t="inlineStr">
        <is>
          <t>VÄSTERBOTTENS LÄN</t>
        </is>
      </c>
      <c r="E7130" t="inlineStr">
        <is>
          <t>ROBERTSFORS</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58028-2025</t>
        </is>
      </c>
      <c r="B7131" s="1" t="n">
        <v>45982.48462962963</v>
      </c>
      <c r="C7131" s="1" t="n">
        <v>46145</v>
      </c>
      <c r="D7131" t="inlineStr">
        <is>
          <t>VÄSTERBOTTENS LÄN</t>
        </is>
      </c>
      <c r="E7131" t="inlineStr">
        <is>
          <t>UMEÅ</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31867-2023</t>
        </is>
      </c>
      <c r="B7132" s="1" t="n">
        <v>45118.61844907407</v>
      </c>
      <c r="C7132" s="1" t="n">
        <v>46145</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58171-2025</t>
        </is>
      </c>
      <c r="B7133" s="1" t="n">
        <v>45982.7372337963</v>
      </c>
      <c r="C7133" s="1" t="n">
        <v>46145</v>
      </c>
      <c r="D7133" t="inlineStr">
        <is>
          <t>VÄSTERBOTTENS LÄN</t>
        </is>
      </c>
      <c r="E7133" t="inlineStr">
        <is>
          <t>LYCKSELE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58005-2025</t>
        </is>
      </c>
      <c r="B7134" s="1" t="n">
        <v>45982.44800925926</v>
      </c>
      <c r="C7134" s="1" t="n">
        <v>46145</v>
      </c>
      <c r="D7134" t="inlineStr">
        <is>
          <t>VÄSTERBOTTENS LÄN</t>
        </is>
      </c>
      <c r="E7134" t="inlineStr">
        <is>
          <t>BJURHOLM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37496-2024</t>
        </is>
      </c>
      <c r="B7135" s="1" t="n">
        <v>45541.36414351852</v>
      </c>
      <c r="C7135" s="1" t="n">
        <v>46145</v>
      </c>
      <c r="D7135" t="inlineStr">
        <is>
          <t>VÄSTERBOTTENS LÄN</t>
        </is>
      </c>
      <c r="E7135" t="inlineStr">
        <is>
          <t>NORSJÖ</t>
        </is>
      </c>
      <c r="F7135" t="inlineStr">
        <is>
          <t>Holmen skog AB</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58036-2025</t>
        </is>
      </c>
      <c r="B7136" s="1" t="n">
        <v>45982.49006944444</v>
      </c>
      <c r="C7136" s="1" t="n">
        <v>46145</v>
      </c>
      <c r="D7136" t="inlineStr">
        <is>
          <t>VÄSTERBOTTENS LÄN</t>
        </is>
      </c>
      <c r="E7136" t="inlineStr">
        <is>
          <t>SORSELE</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11369-2023</t>
        </is>
      </c>
      <c r="B7137" s="1" t="n">
        <v>44993.43899305556</v>
      </c>
      <c r="C7137" s="1" t="n">
        <v>46145</v>
      </c>
      <c r="D7137" t="inlineStr">
        <is>
          <t>VÄSTERBOTTENS LÄN</t>
        </is>
      </c>
      <c r="E7137" t="inlineStr">
        <is>
          <t>NORDMALING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34252-2024</t>
        </is>
      </c>
      <c r="B7138" s="1" t="n">
        <v>45524.59075231481</v>
      </c>
      <c r="C7138" s="1" t="n">
        <v>46145</v>
      </c>
      <c r="D7138" t="inlineStr">
        <is>
          <t>VÄSTERBOTTENS LÄN</t>
        </is>
      </c>
      <c r="E7138" t="inlineStr">
        <is>
          <t>NORDMALING</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58054-2025</t>
        </is>
      </c>
      <c r="B7139" s="1" t="n">
        <v>45982.52274305555</v>
      </c>
      <c r="C7139" s="1" t="n">
        <v>46145</v>
      </c>
      <c r="D7139" t="inlineStr">
        <is>
          <t>VÄSTERBOTTENS LÄN</t>
        </is>
      </c>
      <c r="E7139" t="inlineStr">
        <is>
          <t>SKELLEFTEÅ</t>
        </is>
      </c>
      <c r="F7139" t="inlineStr">
        <is>
          <t>Sveaskog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58060-2025</t>
        </is>
      </c>
      <c r="B7140" s="1" t="n">
        <v>45982.53171296296</v>
      </c>
      <c r="C7140" s="1" t="n">
        <v>46145</v>
      </c>
      <c r="D7140" t="inlineStr">
        <is>
          <t>VÄSTERBOTTENS LÄN</t>
        </is>
      </c>
      <c r="E7140" t="inlineStr">
        <is>
          <t>SKELLEFTEÅ</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3265-2022</t>
        </is>
      </c>
      <c r="B7141" s="1" t="n">
        <v>44583.7693287037</v>
      </c>
      <c r="C7141" s="1" t="n">
        <v>46145</v>
      </c>
      <c r="D7141" t="inlineStr">
        <is>
          <t>VÄSTERBOTTENS LÄN</t>
        </is>
      </c>
      <c r="E7141" t="inlineStr">
        <is>
          <t>SKELLEFTEÅ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34857-2024</t>
        </is>
      </c>
      <c r="B7142" s="1" t="n">
        <v>45527.32915509259</v>
      </c>
      <c r="C7142" s="1" t="n">
        <v>46145</v>
      </c>
      <c r="D7142" t="inlineStr">
        <is>
          <t>VÄSTERBOTTENS LÄN</t>
        </is>
      </c>
      <c r="E7142" t="inlineStr">
        <is>
          <t>LYCKSELE</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18566-2025</t>
        </is>
      </c>
      <c r="B7143" s="1" t="n">
        <v>45763.45278935185</v>
      </c>
      <c r="C7143" s="1" t="n">
        <v>46145</v>
      </c>
      <c r="D7143" t="inlineStr">
        <is>
          <t>VÄSTERBOTTENS LÄN</t>
        </is>
      </c>
      <c r="E7143" t="inlineStr">
        <is>
          <t>LYCKSELE</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57743-2025</t>
        </is>
      </c>
      <c r="B7144" s="1" t="n">
        <v>45981.53181712963</v>
      </c>
      <c r="C7144" s="1" t="n">
        <v>46145</v>
      </c>
      <c r="D7144" t="inlineStr">
        <is>
          <t>VÄSTERBOTTENS LÄN</t>
        </is>
      </c>
      <c r="E7144" t="inlineStr">
        <is>
          <t>DOROTEA</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57779-2025</t>
        </is>
      </c>
      <c r="B7145" s="1" t="n">
        <v>45981.56964120371</v>
      </c>
      <c r="C7145" s="1" t="n">
        <v>46145</v>
      </c>
      <c r="D7145" t="inlineStr">
        <is>
          <t>VÄSTERBOTTENS LÄN</t>
        </is>
      </c>
      <c r="E7145" t="inlineStr">
        <is>
          <t>UMEÅ</t>
        </is>
      </c>
      <c r="F7145" t="inlineStr">
        <is>
          <t>Holmen skog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57737-2025</t>
        </is>
      </c>
      <c r="B7146" s="1" t="n">
        <v>45981.51613425926</v>
      </c>
      <c r="C7146" s="1" t="n">
        <v>46145</v>
      </c>
      <c r="D7146" t="inlineStr">
        <is>
          <t>VÄSTERBOTTENS LÄN</t>
        </is>
      </c>
      <c r="E7146" t="inlineStr">
        <is>
          <t>ROBERTSFORS</t>
        </is>
      </c>
      <c r="F7146" t="inlineStr">
        <is>
          <t>Holmen skog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57895-2025</t>
        </is>
      </c>
      <c r="B7147" s="1" t="n">
        <v>45981.70042824074</v>
      </c>
      <c r="C7147" s="1" t="n">
        <v>46145</v>
      </c>
      <c r="D7147" t="inlineStr">
        <is>
          <t>VÄSTERBOTTENS LÄN</t>
        </is>
      </c>
      <c r="E7147" t="inlineStr">
        <is>
          <t>ÅSELE</t>
        </is>
      </c>
      <c r="F7147" t="inlineStr">
        <is>
          <t>Holmen skog AB</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57897-2025</t>
        </is>
      </c>
      <c r="B7148" s="1" t="n">
        <v>45981.71798611111</v>
      </c>
      <c r="C7148" s="1" t="n">
        <v>46145</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18598-2025</t>
        </is>
      </c>
      <c r="B7149" s="1" t="n">
        <v>45763.48916666667</v>
      </c>
      <c r="C7149" s="1" t="n">
        <v>46145</v>
      </c>
      <c r="D7149" t="inlineStr">
        <is>
          <t>VÄSTERBOTTENS LÄN</t>
        </is>
      </c>
      <c r="E7149" t="inlineStr">
        <is>
          <t>VINDELN</t>
        </is>
      </c>
      <c r="F7149" t="inlineStr">
        <is>
          <t>Naturvårdsverket</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57899-2025</t>
        </is>
      </c>
      <c r="B7150" s="1" t="n">
        <v>45981.72832175926</v>
      </c>
      <c r="C7150" s="1" t="n">
        <v>46145</v>
      </c>
      <c r="D7150" t="inlineStr">
        <is>
          <t>VÄSTERBOTTENS LÄN</t>
        </is>
      </c>
      <c r="E7150" t="inlineStr">
        <is>
          <t>NORDMALING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57901-2025</t>
        </is>
      </c>
      <c r="B7151" s="1" t="n">
        <v>45981.74396990741</v>
      </c>
      <c r="C7151" s="1" t="n">
        <v>46145</v>
      </c>
      <c r="D7151" t="inlineStr">
        <is>
          <t>VÄSTERBOTTENS LÄN</t>
        </is>
      </c>
      <c r="E7151" t="inlineStr">
        <is>
          <t>NORDMALING</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18637-2025</t>
        </is>
      </c>
      <c r="B7152" s="1" t="n">
        <v>45763.56527777778</v>
      </c>
      <c r="C7152" s="1" t="n">
        <v>46145</v>
      </c>
      <c r="D7152" t="inlineStr">
        <is>
          <t>VÄSTERBOTTENS LÄN</t>
        </is>
      </c>
      <c r="E7152" t="inlineStr">
        <is>
          <t>SKELLEFTEÅ</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57998-2025</t>
        </is>
      </c>
      <c r="B7153" s="1" t="n">
        <v>45982.43335648148</v>
      </c>
      <c r="C7153" s="1" t="n">
        <v>46145</v>
      </c>
      <c r="D7153" t="inlineStr">
        <is>
          <t>VÄSTERBOTTENS LÄN</t>
        </is>
      </c>
      <c r="E7153" t="inlineStr">
        <is>
          <t>UMEÅ</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58138-2025</t>
        </is>
      </c>
      <c r="B7154" s="1" t="n">
        <v>45981</v>
      </c>
      <c r="C7154" s="1" t="n">
        <v>46145</v>
      </c>
      <c r="D7154" t="inlineStr">
        <is>
          <t>VÄSTERBOTTENS LÄN</t>
        </is>
      </c>
      <c r="E7154" t="inlineStr">
        <is>
          <t>STORUMAN</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28962-2024</t>
        </is>
      </c>
      <c r="B7155" s="1" t="n">
        <v>45481.41788194444</v>
      </c>
      <c r="C7155" s="1" t="n">
        <v>46145</v>
      </c>
      <c r="D7155" t="inlineStr">
        <is>
          <t>VÄSTERBOTTENS LÄN</t>
        </is>
      </c>
      <c r="E7155" t="inlineStr">
        <is>
          <t>ÅSELE</t>
        </is>
      </c>
      <c r="F7155" t="inlineStr">
        <is>
          <t>Sveaskog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10649-2025</t>
        </is>
      </c>
      <c r="B7156" s="1" t="n">
        <v>45721</v>
      </c>
      <c r="C7156" s="1" t="n">
        <v>46145</v>
      </c>
      <c r="D7156" t="inlineStr">
        <is>
          <t>VÄSTERBOTTENS LÄN</t>
        </is>
      </c>
      <c r="E7156" t="inlineStr">
        <is>
          <t>DOROTEA</t>
        </is>
      </c>
      <c r="F7156" t="inlineStr">
        <is>
          <t>SCA</t>
        </is>
      </c>
      <c r="G7156" t="n">
        <v>12.2</v>
      </c>
      <c r="H7156" t="n">
        <v>0</v>
      </c>
      <c r="I7156" t="n">
        <v>0</v>
      </c>
      <c r="J7156" t="n">
        <v>0</v>
      </c>
      <c r="K7156" t="n">
        <v>0</v>
      </c>
      <c r="L7156" t="n">
        <v>0</v>
      </c>
      <c r="M7156" t="n">
        <v>0</v>
      </c>
      <c r="N7156" t="n">
        <v>0</v>
      </c>
      <c r="O7156" t="n">
        <v>0</v>
      </c>
      <c r="P7156" t="n">
        <v>0</v>
      </c>
      <c r="Q7156" t="n">
        <v>0</v>
      </c>
      <c r="R7156" s="2" t="inlineStr"/>
    </row>
    <row r="7157" ht="15" customHeight="1">
      <c r="A7157" t="inlineStr">
        <is>
          <t>A 29511-2024</t>
        </is>
      </c>
      <c r="B7157" s="1" t="n">
        <v>45484</v>
      </c>
      <c r="C7157" s="1" t="n">
        <v>46145</v>
      </c>
      <c r="D7157" t="inlineStr">
        <is>
          <t>VÄSTERBOTTENS LÄN</t>
        </is>
      </c>
      <c r="E7157" t="inlineStr">
        <is>
          <t>ÅSELE</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29517-2024</t>
        </is>
      </c>
      <c r="B7158" s="1" t="n">
        <v>45484</v>
      </c>
      <c r="C7158" s="1" t="n">
        <v>46145</v>
      </c>
      <c r="D7158" t="inlineStr">
        <is>
          <t>VÄSTERBOTTENS LÄN</t>
        </is>
      </c>
      <c r="E7158" t="inlineStr">
        <is>
          <t>ÅSELE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58146-2025</t>
        </is>
      </c>
      <c r="B7159" s="1" t="n">
        <v>45982.6434375</v>
      </c>
      <c r="C7159" s="1" t="n">
        <v>46145</v>
      </c>
      <c r="D7159" t="inlineStr">
        <is>
          <t>VÄSTERBOTTENS LÄN</t>
        </is>
      </c>
      <c r="E7159" t="inlineStr">
        <is>
          <t>SORSELE</t>
        </is>
      </c>
      <c r="F7159" t="inlineStr">
        <is>
          <t>Övriga statliga verk och myndigheter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57791-2025</t>
        </is>
      </c>
      <c r="B7160" s="1" t="n">
        <v>45981.57913194445</v>
      </c>
      <c r="C7160" s="1" t="n">
        <v>46145</v>
      </c>
      <c r="D7160" t="inlineStr">
        <is>
          <t>VÄSTERBOTTENS LÄN</t>
        </is>
      </c>
      <c r="E7160" t="inlineStr">
        <is>
          <t>UMEÅ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38364-2023</t>
        </is>
      </c>
      <c r="B7161" s="1" t="n">
        <v>45161</v>
      </c>
      <c r="C7161" s="1" t="n">
        <v>46145</v>
      </c>
      <c r="D7161" t="inlineStr">
        <is>
          <t>VÄSTERBOTTENS LÄN</t>
        </is>
      </c>
      <c r="E7161" t="inlineStr">
        <is>
          <t>VILHELMINA</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57136-2025</t>
        </is>
      </c>
      <c r="B7162" s="1" t="n">
        <v>45979</v>
      </c>
      <c r="C7162" s="1" t="n">
        <v>46145</v>
      </c>
      <c r="D7162" t="inlineStr">
        <is>
          <t>VÄSTERBOTTENS LÄN</t>
        </is>
      </c>
      <c r="E7162" t="inlineStr">
        <is>
          <t>SKELLEFTEÅ</t>
        </is>
      </c>
      <c r="G7162" t="n">
        <v>16.5</v>
      </c>
      <c r="H7162" t="n">
        <v>0</v>
      </c>
      <c r="I7162" t="n">
        <v>0</v>
      </c>
      <c r="J7162" t="n">
        <v>0</v>
      </c>
      <c r="K7162" t="n">
        <v>0</v>
      </c>
      <c r="L7162" t="n">
        <v>0</v>
      </c>
      <c r="M7162" t="n">
        <v>0</v>
      </c>
      <c r="N7162" t="n">
        <v>0</v>
      </c>
      <c r="O7162" t="n">
        <v>0</v>
      </c>
      <c r="P7162" t="n">
        <v>0</v>
      </c>
      <c r="Q7162" t="n">
        <v>0</v>
      </c>
      <c r="R7162" s="2" t="inlineStr"/>
    </row>
    <row r="7163" ht="15" customHeight="1">
      <c r="A7163" t="inlineStr">
        <is>
          <t>A 57702-2025</t>
        </is>
      </c>
      <c r="B7163" s="1" t="n">
        <v>45981.46765046296</v>
      </c>
      <c r="C7163" s="1" t="n">
        <v>46145</v>
      </c>
      <c r="D7163" t="inlineStr">
        <is>
          <t>VÄSTERBOTTENS LÄN</t>
        </is>
      </c>
      <c r="E7163" t="inlineStr">
        <is>
          <t>SKELLEFTEÅ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25030-2023</t>
        </is>
      </c>
      <c r="B7164" s="1" t="n">
        <v>45085.92760416667</v>
      </c>
      <c r="C7164" s="1" t="n">
        <v>46145</v>
      </c>
      <c r="D7164" t="inlineStr">
        <is>
          <t>VÄSTERBOTTENS LÄN</t>
        </is>
      </c>
      <c r="E7164" t="inlineStr">
        <is>
          <t>NORSJÖ</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14697-2023</t>
        </is>
      </c>
      <c r="B7165" s="1" t="n">
        <v>45012</v>
      </c>
      <c r="C7165" s="1" t="n">
        <v>46145</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33319-2023</t>
        </is>
      </c>
      <c r="B7166" s="1" t="n">
        <v>45127.88890046296</v>
      </c>
      <c r="C7166" s="1" t="n">
        <v>46145</v>
      </c>
      <c r="D7166" t="inlineStr">
        <is>
          <t>VÄSTERBOTTENS LÄN</t>
        </is>
      </c>
      <c r="E7166" t="inlineStr">
        <is>
          <t>VÄNNÄS</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57797-2025</t>
        </is>
      </c>
      <c r="B7167" s="1" t="n">
        <v>45981.5828587963</v>
      </c>
      <c r="C7167" s="1" t="n">
        <v>46145</v>
      </c>
      <c r="D7167" t="inlineStr">
        <is>
          <t>VÄSTERBOTTENS LÄN</t>
        </is>
      </c>
      <c r="E7167" t="inlineStr">
        <is>
          <t>SKELLEFTEÅ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6283-2025</t>
        </is>
      </c>
      <c r="B7168" s="1" t="n">
        <v>45698.63582175926</v>
      </c>
      <c r="C7168" s="1" t="n">
        <v>46145</v>
      </c>
      <c r="D7168" t="inlineStr">
        <is>
          <t>VÄSTERBOTTENS LÄN</t>
        </is>
      </c>
      <c r="E7168" t="inlineStr">
        <is>
          <t>ÅSELE</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58067-2025</t>
        </is>
      </c>
      <c r="B7169" s="1" t="n">
        <v>45982.54563657408</v>
      </c>
      <c r="C7169" s="1" t="n">
        <v>46145</v>
      </c>
      <c r="D7169" t="inlineStr">
        <is>
          <t>VÄSTERBOTTENS LÄN</t>
        </is>
      </c>
      <c r="E7169" t="inlineStr">
        <is>
          <t>VINDELN</t>
        </is>
      </c>
      <c r="F7169" t="inlineStr">
        <is>
          <t>Sveaskog</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58068-2025</t>
        </is>
      </c>
      <c r="B7170" s="1" t="n">
        <v>45982.54613425926</v>
      </c>
      <c r="C7170" s="1" t="n">
        <v>46145</v>
      </c>
      <c r="D7170" t="inlineStr">
        <is>
          <t>VÄSTERBOTTENS LÄN</t>
        </is>
      </c>
      <c r="E7170" t="inlineStr">
        <is>
          <t>SKELLEFTEÅ</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58084-2025</t>
        </is>
      </c>
      <c r="B7171" s="1" t="n">
        <v>45982.56637731481</v>
      </c>
      <c r="C7171" s="1" t="n">
        <v>46145</v>
      </c>
      <c r="D7171" t="inlineStr">
        <is>
          <t>VÄSTERBOTTENS LÄN</t>
        </is>
      </c>
      <c r="E7171" t="inlineStr">
        <is>
          <t>SKELLEFTEÅ</t>
        </is>
      </c>
      <c r="G7171" t="n">
        <v>19.7</v>
      </c>
      <c r="H7171" t="n">
        <v>0</v>
      </c>
      <c r="I7171" t="n">
        <v>0</v>
      </c>
      <c r="J7171" t="n">
        <v>0</v>
      </c>
      <c r="K7171" t="n">
        <v>0</v>
      </c>
      <c r="L7171" t="n">
        <v>0</v>
      </c>
      <c r="M7171" t="n">
        <v>0</v>
      </c>
      <c r="N7171" t="n">
        <v>0</v>
      </c>
      <c r="O7171" t="n">
        <v>0</v>
      </c>
      <c r="P7171" t="n">
        <v>0</v>
      </c>
      <c r="Q7171" t="n">
        <v>0</v>
      </c>
      <c r="R7171" s="2" t="inlineStr"/>
    </row>
    <row r="7172" ht="15" customHeight="1">
      <c r="A7172" t="inlineStr">
        <is>
          <t>A 58097-2025</t>
        </is>
      </c>
      <c r="B7172" s="1" t="n">
        <v>45982.58362268518</v>
      </c>
      <c r="C7172" s="1" t="n">
        <v>46145</v>
      </c>
      <c r="D7172" t="inlineStr">
        <is>
          <t>VÄSTERBOTTENS LÄN</t>
        </is>
      </c>
      <c r="E7172" t="inlineStr">
        <is>
          <t>LYCKSELE</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58102-2025</t>
        </is>
      </c>
      <c r="B7173" s="1" t="n">
        <v>45982.589375</v>
      </c>
      <c r="C7173" s="1" t="n">
        <v>46145</v>
      </c>
      <c r="D7173" t="inlineStr">
        <is>
          <t>VÄSTERBOTTENS LÄN</t>
        </is>
      </c>
      <c r="E7173" t="inlineStr">
        <is>
          <t>UMEÅ</t>
        </is>
      </c>
      <c r="F7173" t="inlineStr">
        <is>
          <t>Holmen skog AB</t>
        </is>
      </c>
      <c r="G7173" t="n">
        <v>20.8</v>
      </c>
      <c r="H7173" t="n">
        <v>0</v>
      </c>
      <c r="I7173" t="n">
        <v>0</v>
      </c>
      <c r="J7173" t="n">
        <v>0</v>
      </c>
      <c r="K7173" t="n">
        <v>0</v>
      </c>
      <c r="L7173" t="n">
        <v>0</v>
      </c>
      <c r="M7173" t="n">
        <v>0</v>
      </c>
      <c r="N7173" t="n">
        <v>0</v>
      </c>
      <c r="O7173" t="n">
        <v>0</v>
      </c>
      <c r="P7173" t="n">
        <v>0</v>
      </c>
      <c r="Q7173" t="n">
        <v>0</v>
      </c>
      <c r="R7173" s="2" t="inlineStr"/>
    </row>
    <row r="7174" ht="15" customHeight="1">
      <c r="A7174" t="inlineStr">
        <is>
          <t>A 58105-2025</t>
        </is>
      </c>
      <c r="B7174" s="1" t="n">
        <v>45982.59347222222</v>
      </c>
      <c r="C7174" s="1" t="n">
        <v>46145</v>
      </c>
      <c r="D7174" t="inlineStr">
        <is>
          <t>VÄSTERBOTTENS LÄN</t>
        </is>
      </c>
      <c r="E7174" t="inlineStr">
        <is>
          <t>SKELLEFTEÅ</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58147-2025</t>
        </is>
      </c>
      <c r="B7175" s="1" t="n">
        <v>45982.64435185185</v>
      </c>
      <c r="C7175" s="1" t="n">
        <v>46145</v>
      </c>
      <c r="D7175" t="inlineStr">
        <is>
          <t>VÄSTERBOTTENS LÄN</t>
        </is>
      </c>
      <c r="E7175" t="inlineStr">
        <is>
          <t>SORSELE</t>
        </is>
      </c>
      <c r="F7175" t="inlineStr">
        <is>
          <t>Övriga statliga verk och myndigheter</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57649-2025</t>
        </is>
      </c>
      <c r="B7176" s="1" t="n">
        <v>45981.38592592593</v>
      </c>
      <c r="C7176" s="1" t="n">
        <v>46145</v>
      </c>
      <c r="D7176" t="inlineStr">
        <is>
          <t>VÄSTERBOTTENS LÄN</t>
        </is>
      </c>
      <c r="E7176" t="inlineStr">
        <is>
          <t>DOROTEA</t>
        </is>
      </c>
      <c r="F7176" t="inlineStr">
        <is>
          <t>SCA</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57697-2025</t>
        </is>
      </c>
      <c r="B7177" s="1" t="n">
        <v>45981.45693287037</v>
      </c>
      <c r="C7177" s="1" t="n">
        <v>46145</v>
      </c>
      <c r="D7177" t="inlineStr">
        <is>
          <t>VÄSTERBOTTENS LÄN</t>
        </is>
      </c>
      <c r="E7177" t="inlineStr">
        <is>
          <t>ÅSELE</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57923-2025</t>
        </is>
      </c>
      <c r="B7178" s="1" t="n">
        <v>45981.82354166666</v>
      </c>
      <c r="C7178" s="1" t="n">
        <v>46145</v>
      </c>
      <c r="D7178" t="inlineStr">
        <is>
          <t>VÄSTERBOTTENS LÄN</t>
        </is>
      </c>
      <c r="E7178" t="inlineStr">
        <is>
          <t>SORSELE</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58256-2023</t>
        </is>
      </c>
      <c r="B7179" s="1" t="n">
        <v>45250.48440972222</v>
      </c>
      <c r="C7179" s="1" t="n">
        <v>46145</v>
      </c>
      <c r="D7179" t="inlineStr">
        <is>
          <t>VÄSTERBOTTENS LÄN</t>
        </is>
      </c>
      <c r="E7179" t="inlineStr">
        <is>
          <t>UMEÅ</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57635-2025</t>
        </is>
      </c>
      <c r="B7180" s="1" t="n">
        <v>45981.35362268519</v>
      </c>
      <c r="C7180" s="1" t="n">
        <v>46145</v>
      </c>
      <c r="D7180" t="inlineStr">
        <is>
          <t>VÄSTERBOTTENS LÄN</t>
        </is>
      </c>
      <c r="E7180" t="inlineStr">
        <is>
          <t>UMEÅ</t>
        </is>
      </c>
      <c r="F7180" t="inlineStr">
        <is>
          <t>Holmen skog AB</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57683-2025</t>
        </is>
      </c>
      <c r="B7181" s="1" t="n">
        <v>45981.43561342593</v>
      </c>
      <c r="C7181" s="1" t="n">
        <v>46145</v>
      </c>
      <c r="D7181" t="inlineStr">
        <is>
          <t>VÄSTERBOTTENS LÄN</t>
        </is>
      </c>
      <c r="E7181" t="inlineStr">
        <is>
          <t>SKELLEFTEÅ</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20397-2025</t>
        </is>
      </c>
      <c r="B7182" s="1" t="n">
        <v>45775.45503472222</v>
      </c>
      <c r="C7182" s="1" t="n">
        <v>46145</v>
      </c>
      <c r="D7182" t="inlineStr">
        <is>
          <t>VÄSTERBOTTENS LÄN</t>
        </is>
      </c>
      <c r="E7182" t="inlineStr">
        <is>
          <t>ÅSELE</t>
        </is>
      </c>
      <c r="G7182" t="n">
        <v>11.9</v>
      </c>
      <c r="H7182" t="n">
        <v>0</v>
      </c>
      <c r="I7182" t="n">
        <v>0</v>
      </c>
      <c r="J7182" t="n">
        <v>0</v>
      </c>
      <c r="K7182" t="n">
        <v>0</v>
      </c>
      <c r="L7182" t="n">
        <v>0</v>
      </c>
      <c r="M7182" t="n">
        <v>0</v>
      </c>
      <c r="N7182" t="n">
        <v>0</v>
      </c>
      <c r="O7182" t="n">
        <v>0</v>
      </c>
      <c r="P7182" t="n">
        <v>0</v>
      </c>
      <c r="Q7182" t="n">
        <v>0</v>
      </c>
      <c r="R7182" s="2" t="inlineStr"/>
    </row>
    <row r="7183" ht="15" customHeight="1">
      <c r="A7183" t="inlineStr">
        <is>
          <t>A 58061-2025</t>
        </is>
      </c>
      <c r="B7183" s="1" t="n">
        <v>45982.53173611111</v>
      </c>
      <c r="C7183" s="1" t="n">
        <v>46145</v>
      </c>
      <c r="D7183" t="inlineStr">
        <is>
          <t>VÄSTERBOTTENS LÄN</t>
        </is>
      </c>
      <c r="E7183" t="inlineStr">
        <is>
          <t>SKELLEFTEÅ</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58088-2025</t>
        </is>
      </c>
      <c r="B7184" s="1" t="n">
        <v>45982.57263888889</v>
      </c>
      <c r="C7184" s="1" t="n">
        <v>46145</v>
      </c>
      <c r="D7184" t="inlineStr">
        <is>
          <t>VÄSTERBOTTENS LÄN</t>
        </is>
      </c>
      <c r="E7184" t="inlineStr">
        <is>
          <t>UMEÅ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58140-2025</t>
        </is>
      </c>
      <c r="B7185" s="1" t="n">
        <v>45981</v>
      </c>
      <c r="C7185" s="1" t="n">
        <v>46145</v>
      </c>
      <c r="D7185" t="inlineStr">
        <is>
          <t>VÄSTERBOTTENS LÄN</t>
        </is>
      </c>
      <c r="E7185" t="inlineStr">
        <is>
          <t>LYCKSELE</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32308-2023</t>
        </is>
      </c>
      <c r="B7186" s="1" t="n">
        <v>45120.43883101852</v>
      </c>
      <c r="C7186" s="1" t="n">
        <v>46145</v>
      </c>
      <c r="D7186" t="inlineStr">
        <is>
          <t>VÄSTERBOTTENS LÄN</t>
        </is>
      </c>
      <c r="E7186" t="inlineStr">
        <is>
          <t>ÅSELE</t>
        </is>
      </c>
      <c r="F7186" t="inlineStr">
        <is>
          <t>Sveaskog</t>
        </is>
      </c>
      <c r="G7186" t="n">
        <v>22.9</v>
      </c>
      <c r="H7186" t="n">
        <v>0</v>
      </c>
      <c r="I7186" t="n">
        <v>0</v>
      </c>
      <c r="J7186" t="n">
        <v>0</v>
      </c>
      <c r="K7186" t="n">
        <v>0</v>
      </c>
      <c r="L7186" t="n">
        <v>0</v>
      </c>
      <c r="M7186" t="n">
        <v>0</v>
      </c>
      <c r="N7186" t="n">
        <v>0</v>
      </c>
      <c r="O7186" t="n">
        <v>0</v>
      </c>
      <c r="P7186" t="n">
        <v>0</v>
      </c>
      <c r="Q7186" t="n">
        <v>0</v>
      </c>
      <c r="R7186" s="2" t="inlineStr"/>
    </row>
    <row r="7187" ht="15" customHeight="1">
      <c r="A7187" t="inlineStr">
        <is>
          <t>A 57989-2025</t>
        </is>
      </c>
      <c r="B7187" s="1" t="n">
        <v>45982.42314814815</v>
      </c>
      <c r="C7187" s="1" t="n">
        <v>46145</v>
      </c>
      <c r="D7187" t="inlineStr">
        <is>
          <t>VÄSTERBOTTENS LÄN</t>
        </is>
      </c>
      <c r="E7187" t="inlineStr">
        <is>
          <t>SKELLEFTEÅ</t>
        </is>
      </c>
      <c r="F7187" t="inlineStr">
        <is>
          <t>Sveaskog</t>
        </is>
      </c>
      <c r="G7187" t="n">
        <v>20.8</v>
      </c>
      <c r="H7187" t="n">
        <v>0</v>
      </c>
      <c r="I7187" t="n">
        <v>0</v>
      </c>
      <c r="J7187" t="n">
        <v>0</v>
      </c>
      <c r="K7187" t="n">
        <v>0</v>
      </c>
      <c r="L7187" t="n">
        <v>0</v>
      </c>
      <c r="M7187" t="n">
        <v>0</v>
      </c>
      <c r="N7187" t="n">
        <v>0</v>
      </c>
      <c r="O7187" t="n">
        <v>0</v>
      </c>
      <c r="P7187" t="n">
        <v>0</v>
      </c>
      <c r="Q7187" t="n">
        <v>0</v>
      </c>
      <c r="R7187" s="2" t="inlineStr"/>
    </row>
    <row r="7188" ht="15" customHeight="1">
      <c r="A7188" t="inlineStr">
        <is>
          <t>A 57792-2025</t>
        </is>
      </c>
      <c r="B7188" s="1" t="n">
        <v>45981.57957175926</v>
      </c>
      <c r="C7188" s="1" t="n">
        <v>46145</v>
      </c>
      <c r="D7188" t="inlineStr">
        <is>
          <t>VÄSTERBOTTENS LÄN</t>
        </is>
      </c>
      <c r="E7188" t="inlineStr">
        <is>
          <t>VILHELMINA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57874-2025</t>
        </is>
      </c>
      <c r="B7189" s="1" t="n">
        <v>45981</v>
      </c>
      <c r="C7189" s="1" t="n">
        <v>46145</v>
      </c>
      <c r="D7189" t="inlineStr">
        <is>
          <t>VÄSTERBOTTENS LÄN</t>
        </is>
      </c>
      <c r="E7189" t="inlineStr">
        <is>
          <t>DOROTEA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7668-2024</t>
        </is>
      </c>
      <c r="B7190" s="1" t="n">
        <v>45348</v>
      </c>
      <c r="C7190" s="1" t="n">
        <v>46145</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57888-2025</t>
        </is>
      </c>
      <c r="B7191" s="1" t="n">
        <v>45981.67790509259</v>
      </c>
      <c r="C7191" s="1" t="n">
        <v>46145</v>
      </c>
      <c r="D7191" t="inlineStr">
        <is>
          <t>VÄSTERBOTTENS LÄN</t>
        </is>
      </c>
      <c r="E7191" t="inlineStr">
        <is>
          <t>SKELLEFTEÅ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57947-2025</t>
        </is>
      </c>
      <c r="B7192" s="1" t="n">
        <v>45982.34423611111</v>
      </c>
      <c r="C7192" s="1" t="n">
        <v>46145</v>
      </c>
      <c r="D7192" t="inlineStr">
        <is>
          <t>VÄSTERBOTTENS LÄN</t>
        </is>
      </c>
      <c r="E7192" t="inlineStr">
        <is>
          <t>DOROTEA</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17981-2024</t>
        </is>
      </c>
      <c r="B7193" s="1" t="n">
        <v>45419</v>
      </c>
      <c r="C7193" s="1" t="n">
        <v>46145</v>
      </c>
      <c r="D7193" t="inlineStr">
        <is>
          <t>VÄSTERBOTTENS LÄN</t>
        </is>
      </c>
      <c r="E7193" t="inlineStr">
        <is>
          <t>VÄNNÄS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57984-2025</t>
        </is>
      </c>
      <c r="B7194" s="1" t="n">
        <v>45982.41556712963</v>
      </c>
      <c r="C7194" s="1" t="n">
        <v>46145</v>
      </c>
      <c r="D7194" t="inlineStr">
        <is>
          <t>VÄSTERBOTTENS LÄN</t>
        </is>
      </c>
      <c r="E7194" t="inlineStr">
        <is>
          <t>LYCKSELE</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50151-2024</t>
        </is>
      </c>
      <c r="B7195" s="1" t="n">
        <v>45600.45456018519</v>
      </c>
      <c r="C7195" s="1" t="n">
        <v>46145</v>
      </c>
      <c r="D7195" t="inlineStr">
        <is>
          <t>VÄSTERBOTTENS LÄN</t>
        </is>
      </c>
      <c r="E7195" t="inlineStr">
        <is>
          <t>ÅSELE</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58409-2025</t>
        </is>
      </c>
      <c r="B7196" s="1" t="n">
        <v>45985.57230324074</v>
      </c>
      <c r="C7196" s="1" t="n">
        <v>46145</v>
      </c>
      <c r="D7196" t="inlineStr">
        <is>
          <t>VÄSTERBOTTENS LÄN</t>
        </is>
      </c>
      <c r="E7196" t="inlineStr">
        <is>
          <t>SKELLEFTEÅ</t>
        </is>
      </c>
      <c r="F7196" t="inlineStr">
        <is>
          <t>Sveaskog</t>
        </is>
      </c>
      <c r="G7196" t="n">
        <v>20.8</v>
      </c>
      <c r="H7196" t="n">
        <v>0</v>
      </c>
      <c r="I7196" t="n">
        <v>0</v>
      </c>
      <c r="J7196" t="n">
        <v>0</v>
      </c>
      <c r="K7196" t="n">
        <v>0</v>
      </c>
      <c r="L7196" t="n">
        <v>0</v>
      </c>
      <c r="M7196" t="n">
        <v>0</v>
      </c>
      <c r="N7196" t="n">
        <v>0</v>
      </c>
      <c r="O7196" t="n">
        <v>0</v>
      </c>
      <c r="P7196" t="n">
        <v>0</v>
      </c>
      <c r="Q7196" t="n">
        <v>0</v>
      </c>
      <c r="R7196" s="2" t="inlineStr"/>
    </row>
    <row r="7197" ht="15" customHeight="1">
      <c r="A7197" t="inlineStr">
        <is>
          <t>A 58423-2025</t>
        </is>
      </c>
      <c r="B7197" s="1" t="n">
        <v>45985.59456018519</v>
      </c>
      <c r="C7197" s="1" t="n">
        <v>46145</v>
      </c>
      <c r="D7197" t="inlineStr">
        <is>
          <t>VÄSTERBOTTENS LÄN</t>
        </is>
      </c>
      <c r="E7197" t="inlineStr">
        <is>
          <t>ÅSELE</t>
        </is>
      </c>
      <c r="F7197" t="inlineStr">
        <is>
          <t>Sveaskog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17016-2025</t>
        </is>
      </c>
      <c r="B7198" s="1" t="n">
        <v>45755.55481481482</v>
      </c>
      <c r="C7198" s="1" t="n">
        <v>46145</v>
      </c>
      <c r="D7198" t="inlineStr">
        <is>
          <t>VÄSTERBOTTENS LÄN</t>
        </is>
      </c>
      <c r="E7198" t="inlineStr">
        <is>
          <t>VINDELN</t>
        </is>
      </c>
      <c r="F7198" t="inlineStr">
        <is>
          <t>Holmen skog AB</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58420-2025</t>
        </is>
      </c>
      <c r="B7199" s="1" t="n">
        <v>45985.58819444444</v>
      </c>
      <c r="C7199" s="1" t="n">
        <v>46145</v>
      </c>
      <c r="D7199" t="inlineStr">
        <is>
          <t>VÄSTERBOTTENS LÄN</t>
        </is>
      </c>
      <c r="E7199" t="inlineStr">
        <is>
          <t>VILHELMINA</t>
        </is>
      </c>
      <c r="F7199" t="inlineStr">
        <is>
          <t>Sveaskog</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58441-2025</t>
        </is>
      </c>
      <c r="B7200" s="1" t="n">
        <v>45985.61600694444</v>
      </c>
      <c r="C7200" s="1" t="n">
        <v>46145</v>
      </c>
      <c r="D7200" t="inlineStr">
        <is>
          <t>VÄSTERBOTTENS LÄN</t>
        </is>
      </c>
      <c r="E7200" t="inlineStr">
        <is>
          <t>ÅSELE</t>
        </is>
      </c>
      <c r="F7200" t="inlineStr">
        <is>
          <t>Sveaskog</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14434-2024</t>
        </is>
      </c>
      <c r="B7201" s="1" t="n">
        <v>45394</v>
      </c>
      <c r="C7201" s="1" t="n">
        <v>46145</v>
      </c>
      <c r="D7201" t="inlineStr">
        <is>
          <t>VÄSTERBOTTENS LÄN</t>
        </is>
      </c>
      <c r="E7201" t="inlineStr">
        <is>
          <t>NORDMALING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17740-2024</t>
        </is>
      </c>
      <c r="B7202" s="1" t="n">
        <v>45418</v>
      </c>
      <c r="C7202" s="1" t="n">
        <v>46145</v>
      </c>
      <c r="D7202" t="inlineStr">
        <is>
          <t>VÄSTERBOTTENS LÄN</t>
        </is>
      </c>
      <c r="E7202" t="inlineStr">
        <is>
          <t>BJURHOLM</t>
        </is>
      </c>
      <c r="F7202" t="inlineStr">
        <is>
          <t>Holmen skog AB</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8499-2024</t>
        </is>
      </c>
      <c r="B7203" s="1" t="n">
        <v>45351</v>
      </c>
      <c r="C7203" s="1" t="n">
        <v>46145</v>
      </c>
      <c r="D7203" t="inlineStr">
        <is>
          <t>VÄSTERBOTTENS LÄN</t>
        </is>
      </c>
      <c r="E7203" t="inlineStr">
        <is>
          <t>BJURHOLM</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58218-2025</t>
        </is>
      </c>
      <c r="B7204" s="1" t="n">
        <v>45985.36025462963</v>
      </c>
      <c r="C7204" s="1" t="n">
        <v>46145</v>
      </c>
      <c r="D7204" t="inlineStr">
        <is>
          <t>VÄSTERBOTTENS LÄN</t>
        </is>
      </c>
      <c r="E7204" t="inlineStr">
        <is>
          <t>STORUMAN</t>
        </is>
      </c>
      <c r="G7204" t="n">
        <v>19.9</v>
      </c>
      <c r="H7204" t="n">
        <v>0</v>
      </c>
      <c r="I7204" t="n">
        <v>0</v>
      </c>
      <c r="J7204" t="n">
        <v>0</v>
      </c>
      <c r="K7204" t="n">
        <v>0</v>
      </c>
      <c r="L7204" t="n">
        <v>0</v>
      </c>
      <c r="M7204" t="n">
        <v>0</v>
      </c>
      <c r="N7204" t="n">
        <v>0</v>
      </c>
      <c r="O7204" t="n">
        <v>0</v>
      </c>
      <c r="P7204" t="n">
        <v>0</v>
      </c>
      <c r="Q7204" t="n">
        <v>0</v>
      </c>
      <c r="R7204" s="2" t="inlineStr"/>
    </row>
    <row r="7205" ht="15" customHeight="1">
      <c r="A7205" t="inlineStr">
        <is>
          <t>A 58223-2025</t>
        </is>
      </c>
      <c r="B7205" s="1" t="n">
        <v>45985.36523148148</v>
      </c>
      <c r="C7205" s="1" t="n">
        <v>46145</v>
      </c>
      <c r="D7205" t="inlineStr">
        <is>
          <t>VÄSTERBOTTENS LÄN</t>
        </is>
      </c>
      <c r="E7205" t="inlineStr">
        <is>
          <t>LYCKSELE</t>
        </is>
      </c>
      <c r="F7205" t="inlineStr">
        <is>
          <t>Sveaskog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34945-2024</t>
        </is>
      </c>
      <c r="B7206" s="1" t="n">
        <v>45527.46944444445</v>
      </c>
      <c r="C7206" s="1" t="n">
        <v>46145</v>
      </c>
      <c r="D7206" t="inlineStr">
        <is>
          <t>VÄSTERBOTTENS LÄN</t>
        </is>
      </c>
      <c r="E7206" t="inlineStr">
        <is>
          <t>NORSJÖ</t>
        </is>
      </c>
      <c r="F7206" t="inlineStr">
        <is>
          <t>Holmen skog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36201-2024</t>
        </is>
      </c>
      <c r="B7207" s="1" t="n">
        <v>45534.43785879629</v>
      </c>
      <c r="C7207" s="1" t="n">
        <v>46145</v>
      </c>
      <c r="D7207" t="inlineStr">
        <is>
          <t>VÄSTERBOTTENS LÄN</t>
        </is>
      </c>
      <c r="E7207" t="inlineStr">
        <is>
          <t>SKELLEFTEÅ</t>
        </is>
      </c>
      <c r="F7207" t="inlineStr">
        <is>
          <t>Holmen skog AB</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58261-2025</t>
        </is>
      </c>
      <c r="B7208" s="1" t="n">
        <v>45985.41515046296</v>
      </c>
      <c r="C7208" s="1" t="n">
        <v>46145</v>
      </c>
      <c r="D7208" t="inlineStr">
        <is>
          <t>VÄSTERBOTTENS LÄN</t>
        </is>
      </c>
      <c r="E7208" t="inlineStr">
        <is>
          <t>LYCKSELE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32914-2024</t>
        </is>
      </c>
      <c r="B7209" s="1" t="n">
        <v>45516.95133101852</v>
      </c>
      <c r="C7209" s="1" t="n">
        <v>46145</v>
      </c>
      <c r="D7209" t="inlineStr">
        <is>
          <t>VÄSTERBOTTENS LÄN</t>
        </is>
      </c>
      <c r="E7209" t="inlineStr">
        <is>
          <t>SKELLEFTEÅ</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41398-2024</t>
        </is>
      </c>
      <c r="B7210" s="1" t="n">
        <v>45560</v>
      </c>
      <c r="C7210" s="1" t="n">
        <v>46145</v>
      </c>
      <c r="D7210" t="inlineStr">
        <is>
          <t>VÄSTERBOTTENS LÄN</t>
        </is>
      </c>
      <c r="E7210" t="inlineStr">
        <is>
          <t>VINDELN</t>
        </is>
      </c>
      <c r="F7210" t="inlineStr">
        <is>
          <t>Naturvårdsverket</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32925-2024</t>
        </is>
      </c>
      <c r="B7211" s="1" t="n">
        <v>45516.95302083333</v>
      </c>
      <c r="C7211" s="1" t="n">
        <v>46145</v>
      </c>
      <c r="D7211" t="inlineStr">
        <is>
          <t>VÄSTERBOTTENS LÄN</t>
        </is>
      </c>
      <c r="E7211" t="inlineStr">
        <is>
          <t>VILHELMINA</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32926-2024</t>
        </is>
      </c>
      <c r="B7212" s="1" t="n">
        <v>45516.95311342592</v>
      </c>
      <c r="C7212" s="1" t="n">
        <v>46145</v>
      </c>
      <c r="D7212" t="inlineStr">
        <is>
          <t>VÄSTERBOTTENS LÄN</t>
        </is>
      </c>
      <c r="E7212" t="inlineStr">
        <is>
          <t>VILHELMINA</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41402-2024</t>
        </is>
      </c>
      <c r="B7213" s="1" t="n">
        <v>45560.33498842592</v>
      </c>
      <c r="C7213" s="1" t="n">
        <v>46145</v>
      </c>
      <c r="D7213" t="inlineStr">
        <is>
          <t>VÄSTERBOTTENS LÄN</t>
        </is>
      </c>
      <c r="E7213" t="inlineStr">
        <is>
          <t>ÅSELE</t>
        </is>
      </c>
      <c r="F7213" t="inlineStr">
        <is>
          <t>Holmen skog AB</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58631-2025</t>
        </is>
      </c>
      <c r="B7214" s="1" t="n">
        <v>45986.48609953704</v>
      </c>
      <c r="C7214" s="1" t="n">
        <v>46145</v>
      </c>
      <c r="D7214" t="inlineStr">
        <is>
          <t>VÄSTERBOTTENS LÄN</t>
        </is>
      </c>
      <c r="E7214" t="inlineStr">
        <is>
          <t>LYCKSELE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41966-2024</t>
        </is>
      </c>
      <c r="B7215" s="1" t="n">
        <v>45561.59516203704</v>
      </c>
      <c r="C7215" s="1" t="n">
        <v>46145</v>
      </c>
      <c r="D7215" t="inlineStr">
        <is>
          <t>VÄSTERBOTTENS LÄN</t>
        </is>
      </c>
      <c r="E7215" t="inlineStr">
        <is>
          <t>NORSJÖ</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58699-2025</t>
        </is>
      </c>
      <c r="B7216" s="1" t="n">
        <v>45986.58903935185</v>
      </c>
      <c r="C7216" s="1" t="n">
        <v>46145</v>
      </c>
      <c r="D7216" t="inlineStr">
        <is>
          <t>VÄSTERBOTTENS LÄN</t>
        </is>
      </c>
      <c r="E7216" t="inlineStr">
        <is>
          <t>UMEÅ</t>
        </is>
      </c>
      <c r="F7216" t="inlineStr">
        <is>
          <t>Sveaskog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32820-2023</t>
        </is>
      </c>
      <c r="B7217" s="1" t="n">
        <v>45112</v>
      </c>
      <c r="C7217" s="1" t="n">
        <v>46145</v>
      </c>
      <c r="D7217" t="inlineStr">
        <is>
          <t>VÄSTERBOTTENS LÄN</t>
        </is>
      </c>
      <c r="E7217" t="inlineStr">
        <is>
          <t>SKELLEFTEÅ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58300-2025</t>
        </is>
      </c>
      <c r="B7218" s="1" t="n">
        <v>45985</v>
      </c>
      <c r="C7218" s="1" t="n">
        <v>46145</v>
      </c>
      <c r="D7218" t="inlineStr">
        <is>
          <t>VÄSTERBOTTENS LÄN</t>
        </is>
      </c>
      <c r="E7218" t="inlineStr">
        <is>
          <t>VILHELMINA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58548-2025</t>
        </is>
      </c>
      <c r="B7219" s="1" t="n">
        <v>45986.32143518519</v>
      </c>
      <c r="C7219" s="1" t="n">
        <v>46145</v>
      </c>
      <c r="D7219" t="inlineStr">
        <is>
          <t>VÄSTERBOTTENS LÄN</t>
        </is>
      </c>
      <c r="E7219" t="inlineStr">
        <is>
          <t>SORSELE</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44475-2024</t>
        </is>
      </c>
      <c r="B7220" s="1" t="n">
        <v>45574</v>
      </c>
      <c r="C7220" s="1" t="n">
        <v>46145</v>
      </c>
      <c r="D7220" t="inlineStr">
        <is>
          <t>VÄSTERBOTTENS LÄN</t>
        </is>
      </c>
      <c r="E7220" t="inlineStr">
        <is>
          <t>NORDMALING</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44479-2024</t>
        </is>
      </c>
      <c r="B7221" s="1" t="n">
        <v>45574</v>
      </c>
      <c r="C7221" s="1" t="n">
        <v>46145</v>
      </c>
      <c r="D7221" t="inlineStr">
        <is>
          <t>VÄSTERBOTTENS LÄN</t>
        </is>
      </c>
      <c r="E7221" t="inlineStr">
        <is>
          <t>SKELLEFTEÅ</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8341-2024</t>
        </is>
      </c>
      <c r="B7222" s="1" t="n">
        <v>45351</v>
      </c>
      <c r="C7222" s="1" t="n">
        <v>46145</v>
      </c>
      <c r="D7222" t="inlineStr">
        <is>
          <t>VÄSTERBOTTENS LÄN</t>
        </is>
      </c>
      <c r="E7222" t="inlineStr">
        <is>
          <t>SKELLEFTEÅ</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58586-2025</t>
        </is>
      </c>
      <c r="B7223" s="1" t="n">
        <v>45986.39921296296</v>
      </c>
      <c r="C7223" s="1" t="n">
        <v>46145</v>
      </c>
      <c r="D7223" t="inlineStr">
        <is>
          <t>VÄSTERBOTTENS LÄN</t>
        </is>
      </c>
      <c r="E7223" t="inlineStr">
        <is>
          <t>NORSJÖ</t>
        </is>
      </c>
      <c r="F7223" t="inlineStr">
        <is>
          <t>Holmen skog AB</t>
        </is>
      </c>
      <c r="G7223" t="n">
        <v>22.9</v>
      </c>
      <c r="H7223" t="n">
        <v>0</v>
      </c>
      <c r="I7223" t="n">
        <v>0</v>
      </c>
      <c r="J7223" t="n">
        <v>0</v>
      </c>
      <c r="K7223" t="n">
        <v>0</v>
      </c>
      <c r="L7223" t="n">
        <v>0</v>
      </c>
      <c r="M7223" t="n">
        <v>0</v>
      </c>
      <c r="N7223" t="n">
        <v>0</v>
      </c>
      <c r="O7223" t="n">
        <v>0</v>
      </c>
      <c r="P7223" t="n">
        <v>0</v>
      </c>
      <c r="Q7223" t="n">
        <v>0</v>
      </c>
      <c r="R7223" s="2" t="inlineStr"/>
    </row>
    <row r="7224" ht="15" customHeight="1">
      <c r="A7224" t="inlineStr">
        <is>
          <t>A 44505-2024</t>
        </is>
      </c>
      <c r="B7224" s="1" t="n">
        <v>45574.40974537037</v>
      </c>
      <c r="C7224" s="1" t="n">
        <v>46145</v>
      </c>
      <c r="D7224" t="inlineStr">
        <is>
          <t>VÄSTERBOTTENS LÄN</t>
        </is>
      </c>
      <c r="E7224" t="inlineStr">
        <is>
          <t>VILHELMINA</t>
        </is>
      </c>
      <c r="G7224" t="n">
        <v>15.5</v>
      </c>
      <c r="H7224" t="n">
        <v>0</v>
      </c>
      <c r="I7224" t="n">
        <v>0</v>
      </c>
      <c r="J7224" t="n">
        <v>0</v>
      </c>
      <c r="K7224" t="n">
        <v>0</v>
      </c>
      <c r="L7224" t="n">
        <v>0</v>
      </c>
      <c r="M7224" t="n">
        <v>0</v>
      </c>
      <c r="N7224" t="n">
        <v>0</v>
      </c>
      <c r="O7224" t="n">
        <v>0</v>
      </c>
      <c r="P7224" t="n">
        <v>0</v>
      </c>
      <c r="Q7224" t="n">
        <v>0</v>
      </c>
      <c r="R7224" s="2" t="inlineStr"/>
    </row>
    <row r="7225" ht="15" customHeight="1">
      <c r="A7225" t="inlineStr">
        <is>
          <t>A 5603-2024</t>
        </is>
      </c>
      <c r="B7225" s="1" t="n">
        <v>45334</v>
      </c>
      <c r="C7225" s="1" t="n">
        <v>46145</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58263-2025</t>
        </is>
      </c>
      <c r="B7226" s="1" t="n">
        <v>45985.41804398148</v>
      </c>
      <c r="C7226" s="1" t="n">
        <v>46145</v>
      </c>
      <c r="D7226" t="inlineStr">
        <is>
          <t>VÄSTERBOTTENS LÄN</t>
        </is>
      </c>
      <c r="E7226" t="inlineStr">
        <is>
          <t>LYCKSELE</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5249-2024</t>
        </is>
      </c>
      <c r="B7227" s="1" t="n">
        <v>45330.93196759259</v>
      </c>
      <c r="C7227" s="1" t="n">
        <v>46145</v>
      </c>
      <c r="D7227" t="inlineStr">
        <is>
          <t>VÄSTERBOTTENS LÄN</t>
        </is>
      </c>
      <c r="E7227" t="inlineStr">
        <is>
          <t>ÅSELE</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58322-2025</t>
        </is>
      </c>
      <c r="B7228" s="1" t="n">
        <v>45985.47521990741</v>
      </c>
      <c r="C7228" s="1" t="n">
        <v>46145</v>
      </c>
      <c r="D7228" t="inlineStr">
        <is>
          <t>VÄSTERBOTTENS LÄN</t>
        </is>
      </c>
      <c r="E7228" t="inlineStr">
        <is>
          <t>VINDELN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5258-2024</t>
        </is>
      </c>
      <c r="B7229" s="1" t="n">
        <v>45330</v>
      </c>
      <c r="C7229" s="1" t="n">
        <v>46145</v>
      </c>
      <c r="D7229" t="inlineStr">
        <is>
          <t>VÄSTERBOTTENS LÄN</t>
        </is>
      </c>
      <c r="E7229" t="inlineStr">
        <is>
          <t>NORDMALING</t>
        </is>
      </c>
      <c r="F7229" t="inlineStr">
        <is>
          <t>SCA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58358-2025</t>
        </is>
      </c>
      <c r="B7230" s="1" t="n">
        <v>45985.51590277778</v>
      </c>
      <c r="C7230" s="1" t="n">
        <v>46145</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55714-2023</t>
        </is>
      </c>
      <c r="B7231" s="1" t="n">
        <v>45232</v>
      </c>
      <c r="C7231" s="1" t="n">
        <v>46145</v>
      </c>
      <c r="D7231" t="inlineStr">
        <is>
          <t>VÄSTERBOTTENS LÄN</t>
        </is>
      </c>
      <c r="E7231" t="inlineStr">
        <is>
          <t>VILHELMINA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58729-2025</t>
        </is>
      </c>
      <c r="B7232" s="1" t="n">
        <v>45986.62428240741</v>
      </c>
      <c r="C7232" s="1" t="n">
        <v>46145</v>
      </c>
      <c r="D7232" t="inlineStr">
        <is>
          <t>VÄSTERBOTTENS LÄN</t>
        </is>
      </c>
      <c r="E7232" t="inlineStr">
        <is>
          <t>BJURHOLM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34489-2024</t>
        </is>
      </c>
      <c r="B7233" s="1" t="n">
        <v>45525.61174768519</v>
      </c>
      <c r="C7233" s="1" t="n">
        <v>46145</v>
      </c>
      <c r="D7233" t="inlineStr">
        <is>
          <t>VÄSTERBOTTENS LÄN</t>
        </is>
      </c>
      <c r="E7233" t="inlineStr">
        <is>
          <t>NORDMALING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45899-2024</t>
        </is>
      </c>
      <c r="B7234" s="1" t="n">
        <v>45580.43047453704</v>
      </c>
      <c r="C7234" s="1" t="n">
        <v>46145</v>
      </c>
      <c r="D7234" t="inlineStr">
        <is>
          <t>VÄSTERBOTTENS LÄN</t>
        </is>
      </c>
      <c r="E7234" t="inlineStr">
        <is>
          <t>VÄNNÄS</t>
        </is>
      </c>
      <c r="F7234" t="inlineStr">
        <is>
          <t>Holmen skog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60224-2024</t>
        </is>
      </c>
      <c r="B7235" s="1" t="n">
        <v>45642.70561342593</v>
      </c>
      <c r="C7235" s="1" t="n">
        <v>46145</v>
      </c>
      <c r="D7235" t="inlineStr">
        <is>
          <t>VÄSTERBOTTENS LÄN</t>
        </is>
      </c>
      <c r="E7235" t="inlineStr">
        <is>
          <t>BJURHOLM</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48714-2024</t>
        </is>
      </c>
      <c r="B7236" s="1" t="n">
        <v>45593.54328703704</v>
      </c>
      <c r="C7236" s="1" t="n">
        <v>46145</v>
      </c>
      <c r="D7236" t="inlineStr">
        <is>
          <t>VÄSTERBOTTENS LÄN</t>
        </is>
      </c>
      <c r="E7236" t="inlineStr">
        <is>
          <t>UMEÅ</t>
        </is>
      </c>
      <c r="F7236" t="inlineStr">
        <is>
          <t>Holmen skog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48716-2024</t>
        </is>
      </c>
      <c r="B7237" s="1" t="n">
        <v>45593</v>
      </c>
      <c r="C7237" s="1" t="n">
        <v>46145</v>
      </c>
      <c r="D7237" t="inlineStr">
        <is>
          <t>VÄSTERBOTTENS LÄN</t>
        </is>
      </c>
      <c r="E7237" t="inlineStr">
        <is>
          <t>STORUMAN</t>
        </is>
      </c>
      <c r="F7237" t="inlineStr">
        <is>
          <t>Allmännings- och besparingsskogar</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58213-2025</t>
        </is>
      </c>
      <c r="B7238" s="1" t="n">
        <v>45985.3491087963</v>
      </c>
      <c r="C7238" s="1" t="n">
        <v>46145</v>
      </c>
      <c r="D7238" t="inlineStr">
        <is>
          <t>VÄSTERBOTTENS LÄN</t>
        </is>
      </c>
      <c r="E7238" t="inlineStr">
        <is>
          <t>SKELLEFTEÅ</t>
        </is>
      </c>
      <c r="F7238" t="inlineStr">
        <is>
          <t>Sveaskog</t>
        </is>
      </c>
      <c r="G7238" t="n">
        <v>22.1</v>
      </c>
      <c r="H7238" t="n">
        <v>0</v>
      </c>
      <c r="I7238" t="n">
        <v>0</v>
      </c>
      <c r="J7238" t="n">
        <v>0</v>
      </c>
      <c r="K7238" t="n">
        <v>0</v>
      </c>
      <c r="L7238" t="n">
        <v>0</v>
      </c>
      <c r="M7238" t="n">
        <v>0</v>
      </c>
      <c r="N7238" t="n">
        <v>0</v>
      </c>
      <c r="O7238" t="n">
        <v>0</v>
      </c>
      <c r="P7238" t="n">
        <v>0</v>
      </c>
      <c r="Q7238" t="n">
        <v>0</v>
      </c>
      <c r="R7238" s="2" t="inlineStr"/>
    </row>
    <row r="7239" ht="15" customHeight="1">
      <c r="A7239" t="inlineStr">
        <is>
          <t>A 45312-2024</t>
        </is>
      </c>
      <c r="B7239" s="1" t="n">
        <v>45576.4328587963</v>
      </c>
      <c r="C7239" s="1" t="n">
        <v>46145</v>
      </c>
      <c r="D7239" t="inlineStr">
        <is>
          <t>VÄSTERBOTTENS LÄN</t>
        </is>
      </c>
      <c r="E7239" t="inlineStr">
        <is>
          <t>LYCKSELE</t>
        </is>
      </c>
      <c r="F7239" t="inlineStr">
        <is>
          <t>Sveaskog</t>
        </is>
      </c>
      <c r="G7239" t="n">
        <v>10.8</v>
      </c>
      <c r="H7239" t="n">
        <v>0</v>
      </c>
      <c r="I7239" t="n">
        <v>0</v>
      </c>
      <c r="J7239" t="n">
        <v>0</v>
      </c>
      <c r="K7239" t="n">
        <v>0</v>
      </c>
      <c r="L7239" t="n">
        <v>0</v>
      </c>
      <c r="M7239" t="n">
        <v>0</v>
      </c>
      <c r="N7239" t="n">
        <v>0</v>
      </c>
      <c r="O7239" t="n">
        <v>0</v>
      </c>
      <c r="P7239" t="n">
        <v>0</v>
      </c>
      <c r="Q7239" t="n">
        <v>0</v>
      </c>
      <c r="R7239" s="2" t="inlineStr"/>
    </row>
    <row r="7240" ht="15" customHeight="1">
      <c r="A7240" t="inlineStr">
        <is>
          <t>A 58608-2025</t>
        </is>
      </c>
      <c r="B7240" s="1" t="n">
        <v>45986.44831018519</v>
      </c>
      <c r="C7240" s="1" t="n">
        <v>46145</v>
      </c>
      <c r="D7240" t="inlineStr">
        <is>
          <t>VÄSTERBOTTENS LÄN</t>
        </is>
      </c>
      <c r="E7240" t="inlineStr">
        <is>
          <t>UMEÅ</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45352-2024</t>
        </is>
      </c>
      <c r="B7241" s="1" t="n">
        <v>45576</v>
      </c>
      <c r="C7241" s="1" t="n">
        <v>46145</v>
      </c>
      <c r="D7241" t="inlineStr">
        <is>
          <t>VÄSTERBOTTENS LÄN</t>
        </is>
      </c>
      <c r="E7241" t="inlineStr">
        <is>
          <t>LYCKSELE</t>
        </is>
      </c>
      <c r="F7241" t="inlineStr">
        <is>
          <t>Sveaskog</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58491-2025</t>
        </is>
      </c>
      <c r="B7242" s="1" t="n">
        <v>45985.67225694445</v>
      </c>
      <c r="C7242" s="1" t="n">
        <v>46145</v>
      </c>
      <c r="D7242" t="inlineStr">
        <is>
          <t>VÄSTERBOTTENS LÄN</t>
        </is>
      </c>
      <c r="E7242" t="inlineStr">
        <is>
          <t>VINDELN</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58264-2025</t>
        </is>
      </c>
      <c r="B7243" s="1" t="n">
        <v>45985.41994212963</v>
      </c>
      <c r="C7243" s="1" t="n">
        <v>46145</v>
      </c>
      <c r="D7243" t="inlineStr">
        <is>
          <t>VÄSTERBOTTENS LÄN</t>
        </is>
      </c>
      <c r="E7243" t="inlineStr">
        <is>
          <t>STORUMAN</t>
        </is>
      </c>
      <c r="F7243" t="inlineStr">
        <is>
          <t>Övriga statliga verk och myndigheter</t>
        </is>
      </c>
      <c r="G7243" t="n">
        <v>102.4</v>
      </c>
      <c r="H7243" t="n">
        <v>0</v>
      </c>
      <c r="I7243" t="n">
        <v>0</v>
      </c>
      <c r="J7243" t="n">
        <v>0</v>
      </c>
      <c r="K7243" t="n">
        <v>0</v>
      </c>
      <c r="L7243" t="n">
        <v>0</v>
      </c>
      <c r="M7243" t="n">
        <v>0</v>
      </c>
      <c r="N7243" t="n">
        <v>0</v>
      </c>
      <c r="O7243" t="n">
        <v>0</v>
      </c>
      <c r="P7243" t="n">
        <v>0</v>
      </c>
      <c r="Q7243" t="n">
        <v>0</v>
      </c>
      <c r="R7243" s="2" t="inlineStr"/>
    </row>
    <row r="7244" ht="15" customHeight="1">
      <c r="A7244" t="inlineStr">
        <is>
          <t>A 18010-2025</t>
        </is>
      </c>
      <c r="B7244" s="1" t="n">
        <v>45761.43072916667</v>
      </c>
      <c r="C7244" s="1" t="n">
        <v>46145</v>
      </c>
      <c r="D7244" t="inlineStr">
        <is>
          <t>VÄSTERBOTTENS LÄN</t>
        </is>
      </c>
      <c r="E7244" t="inlineStr">
        <is>
          <t>UMEÅ</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18674-2025</t>
        </is>
      </c>
      <c r="B7245" s="1" t="n">
        <v>45763.59829861111</v>
      </c>
      <c r="C7245" s="1" t="n">
        <v>46145</v>
      </c>
      <c r="D7245" t="inlineStr">
        <is>
          <t>VÄSTERBOTTENS LÄN</t>
        </is>
      </c>
      <c r="E7245" t="inlineStr">
        <is>
          <t>LYCKSELE</t>
        </is>
      </c>
      <c r="F7245" t="inlineStr">
        <is>
          <t>Holmen skog AB</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45673-2023</t>
        </is>
      </c>
      <c r="B7246" s="1" t="n">
        <v>45194</v>
      </c>
      <c r="C7246" s="1" t="n">
        <v>46145</v>
      </c>
      <c r="D7246" t="inlineStr">
        <is>
          <t>VÄSTERBOTTENS LÄN</t>
        </is>
      </c>
      <c r="E7246" t="inlineStr">
        <is>
          <t>VILHELMINA</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52062-2023</t>
        </is>
      </c>
      <c r="B7247" s="1" t="n">
        <v>45216</v>
      </c>
      <c r="C7247" s="1" t="n">
        <v>46145</v>
      </c>
      <c r="D7247" t="inlineStr">
        <is>
          <t>VÄSTERBOTTENS LÄN</t>
        </is>
      </c>
      <c r="E7247" t="inlineStr">
        <is>
          <t>SKELLEFTEÅ</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25237-2023</t>
        </is>
      </c>
      <c r="B7248" s="1" t="n">
        <v>45079</v>
      </c>
      <c r="C7248" s="1" t="n">
        <v>46145</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58621-2025</t>
        </is>
      </c>
      <c r="B7249" s="1" t="n">
        <v>45986.46953703704</v>
      </c>
      <c r="C7249" s="1" t="n">
        <v>46145</v>
      </c>
      <c r="D7249" t="inlineStr">
        <is>
          <t>VÄSTERBOTTENS LÄN</t>
        </is>
      </c>
      <c r="E7249" t="inlineStr">
        <is>
          <t>NORDMALING</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58637-2025</t>
        </is>
      </c>
      <c r="B7250" s="1" t="n">
        <v>45986.49008101852</v>
      </c>
      <c r="C7250" s="1" t="n">
        <v>46145</v>
      </c>
      <c r="D7250" t="inlineStr">
        <is>
          <t>VÄSTERBOTTENS LÄN</t>
        </is>
      </c>
      <c r="E7250" t="inlineStr">
        <is>
          <t>VÄNNÄS</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41227-2024</t>
        </is>
      </c>
      <c r="B7251" s="1" t="n">
        <v>45559.55923611111</v>
      </c>
      <c r="C7251" s="1" t="n">
        <v>46145</v>
      </c>
      <c r="D7251" t="inlineStr">
        <is>
          <t>VÄSTERBOTTENS LÄN</t>
        </is>
      </c>
      <c r="E7251" t="inlineStr">
        <is>
          <t>VINDELN</t>
        </is>
      </c>
      <c r="F7251" t="inlineStr">
        <is>
          <t>Holmen skog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58249-2025</t>
        </is>
      </c>
      <c r="B7252" s="1" t="n">
        <v>45985.3935300926</v>
      </c>
      <c r="C7252" s="1" t="n">
        <v>46145</v>
      </c>
      <c r="D7252" t="inlineStr">
        <is>
          <t>VÄSTERBOTTENS LÄN</t>
        </is>
      </c>
      <c r="E7252" t="inlineStr">
        <is>
          <t>VINDELN</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58258-2025</t>
        </is>
      </c>
      <c r="B7253" s="1" t="n">
        <v>45985</v>
      </c>
      <c r="C7253" s="1" t="n">
        <v>46145</v>
      </c>
      <c r="D7253" t="inlineStr">
        <is>
          <t>VÄSTERBOTTENS LÄN</t>
        </is>
      </c>
      <c r="E7253" t="inlineStr">
        <is>
          <t>MALÅ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19390-2024</t>
        </is>
      </c>
      <c r="B7254" s="1" t="n">
        <v>45429.37934027778</v>
      </c>
      <c r="C7254" s="1" t="n">
        <v>46145</v>
      </c>
      <c r="D7254" t="inlineStr">
        <is>
          <t>VÄSTERBOTTENS LÄN</t>
        </is>
      </c>
      <c r="E7254" t="inlineStr">
        <is>
          <t>LYCKSELE</t>
        </is>
      </c>
      <c r="F7254" t="inlineStr">
        <is>
          <t>Holmen skog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58465-2025</t>
        </is>
      </c>
      <c r="B7255" s="1" t="n">
        <v>45985.63663194444</v>
      </c>
      <c r="C7255" s="1" t="n">
        <v>46145</v>
      </c>
      <c r="D7255" t="inlineStr">
        <is>
          <t>VÄSTERBOTTENS LÄN</t>
        </is>
      </c>
      <c r="E7255" t="inlineStr">
        <is>
          <t>ÅSELE</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54207-2024</t>
        </is>
      </c>
      <c r="B7256" s="1" t="n">
        <v>45616.65459490741</v>
      </c>
      <c r="C7256" s="1" t="n">
        <v>46145</v>
      </c>
      <c r="D7256" t="inlineStr">
        <is>
          <t>VÄSTERBOTTENS LÄN</t>
        </is>
      </c>
      <c r="E7256" t="inlineStr">
        <is>
          <t>NORDMALING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54251-2024</t>
        </is>
      </c>
      <c r="B7257" s="1" t="n">
        <v>45616.69726851852</v>
      </c>
      <c r="C7257" s="1" t="n">
        <v>46145</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54680-2024</t>
        </is>
      </c>
      <c r="B7258" s="1" t="n">
        <v>45618.3540162037</v>
      </c>
      <c r="C7258" s="1" t="n">
        <v>46145</v>
      </c>
      <c r="D7258" t="inlineStr">
        <is>
          <t>VÄSTERBOTTENS LÄN</t>
        </is>
      </c>
      <c r="E7258" t="inlineStr">
        <is>
          <t>LYCKSELE</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58460-2025</t>
        </is>
      </c>
      <c r="B7259" s="1" t="n">
        <v>45985.63626157407</v>
      </c>
      <c r="C7259" s="1" t="n">
        <v>46145</v>
      </c>
      <c r="D7259" t="inlineStr">
        <is>
          <t>VÄSTERBOTTENS LÄN</t>
        </is>
      </c>
      <c r="E7259" t="inlineStr">
        <is>
          <t>ÅSELE</t>
        </is>
      </c>
      <c r="F7259" t="inlineStr">
        <is>
          <t>SCA</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58566-2025</t>
        </is>
      </c>
      <c r="B7260" s="1" t="n">
        <v>45986.36526620371</v>
      </c>
      <c r="C7260" s="1" t="n">
        <v>46145</v>
      </c>
      <c r="D7260" t="inlineStr">
        <is>
          <t>VÄSTERBOTTENS LÄN</t>
        </is>
      </c>
      <c r="E7260" t="inlineStr">
        <is>
          <t>SKELLEFTEÅ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58471-2025</t>
        </is>
      </c>
      <c r="B7261" s="1" t="n">
        <v>45985</v>
      </c>
      <c r="C7261" s="1" t="n">
        <v>46145</v>
      </c>
      <c r="D7261" t="inlineStr">
        <is>
          <t>VÄSTERBOTTENS LÄN</t>
        </is>
      </c>
      <c r="E7261" t="inlineStr">
        <is>
          <t>VILHELMINA</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5902-2024</t>
        </is>
      </c>
      <c r="B7262" s="1" t="n">
        <v>45335</v>
      </c>
      <c r="C7262" s="1" t="n">
        <v>46145</v>
      </c>
      <c r="D7262" t="inlineStr">
        <is>
          <t>VÄSTERBOTTENS LÄN</t>
        </is>
      </c>
      <c r="E7262" t="inlineStr">
        <is>
          <t>ROBERTSFORS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58635-2025</t>
        </is>
      </c>
      <c r="B7263" s="1" t="n">
        <v>45986.48967592593</v>
      </c>
      <c r="C7263" s="1" t="n">
        <v>46145</v>
      </c>
      <c r="D7263" t="inlineStr">
        <is>
          <t>VÄSTERBOTTENS LÄN</t>
        </is>
      </c>
      <c r="E7263" t="inlineStr">
        <is>
          <t>SORSELE</t>
        </is>
      </c>
      <c r="G7263" t="n">
        <v>26.4</v>
      </c>
      <c r="H7263" t="n">
        <v>0</v>
      </c>
      <c r="I7263" t="n">
        <v>0</v>
      </c>
      <c r="J7263" t="n">
        <v>0</v>
      </c>
      <c r="K7263" t="n">
        <v>0</v>
      </c>
      <c r="L7263" t="n">
        <v>0</v>
      </c>
      <c r="M7263" t="n">
        <v>0</v>
      </c>
      <c r="N7263" t="n">
        <v>0</v>
      </c>
      <c r="O7263" t="n">
        <v>0</v>
      </c>
      <c r="P7263" t="n">
        <v>0</v>
      </c>
      <c r="Q7263" t="n">
        <v>0</v>
      </c>
      <c r="R7263" s="2" t="inlineStr"/>
    </row>
    <row r="7264" ht="15" customHeight="1">
      <c r="A7264" t="inlineStr">
        <is>
          <t>A 58642-2025</t>
        </is>
      </c>
      <c r="B7264" s="1" t="n">
        <v>45986.49467592593</v>
      </c>
      <c r="C7264" s="1" t="n">
        <v>46145</v>
      </c>
      <c r="D7264" t="inlineStr">
        <is>
          <t>VÄSTERBOTTENS LÄN</t>
        </is>
      </c>
      <c r="E7264" t="inlineStr">
        <is>
          <t>SORSELE</t>
        </is>
      </c>
      <c r="G7264" t="n">
        <v>12.3</v>
      </c>
      <c r="H7264" t="n">
        <v>0</v>
      </c>
      <c r="I7264" t="n">
        <v>0</v>
      </c>
      <c r="J7264" t="n">
        <v>0</v>
      </c>
      <c r="K7264" t="n">
        <v>0</v>
      </c>
      <c r="L7264" t="n">
        <v>0</v>
      </c>
      <c r="M7264" t="n">
        <v>0</v>
      </c>
      <c r="N7264" t="n">
        <v>0</v>
      </c>
      <c r="O7264" t="n">
        <v>0</v>
      </c>
      <c r="P7264" t="n">
        <v>0</v>
      </c>
      <c r="Q7264" t="n">
        <v>0</v>
      </c>
      <c r="R7264" s="2" t="inlineStr"/>
    </row>
    <row r="7265" ht="15" customHeight="1">
      <c r="A7265" t="inlineStr">
        <is>
          <t>A 31817-2024</t>
        </is>
      </c>
      <c r="B7265" s="1" t="n">
        <v>45509</v>
      </c>
      <c r="C7265" s="1" t="n">
        <v>46145</v>
      </c>
      <c r="D7265" t="inlineStr">
        <is>
          <t>VÄSTERBOTTENS LÄN</t>
        </is>
      </c>
      <c r="E7265" t="inlineStr">
        <is>
          <t>VÄNNÄS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5495-2024</t>
        </is>
      </c>
      <c r="B7266" s="1" t="n">
        <v>45331</v>
      </c>
      <c r="C7266" s="1" t="n">
        <v>46145</v>
      </c>
      <c r="D7266" t="inlineStr">
        <is>
          <t>VÄSTERBOTTENS LÄN</t>
        </is>
      </c>
      <c r="E7266" t="inlineStr">
        <is>
          <t>DOROTEA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58309-2025</t>
        </is>
      </c>
      <c r="B7267" s="1" t="n">
        <v>45985.46605324074</v>
      </c>
      <c r="C7267" s="1" t="n">
        <v>46145</v>
      </c>
      <c r="D7267" t="inlineStr">
        <is>
          <t>VÄSTERBOTTENS LÄN</t>
        </is>
      </c>
      <c r="E7267" t="inlineStr">
        <is>
          <t>UMEÅ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58620-2025</t>
        </is>
      </c>
      <c r="B7268" s="1" t="n">
        <v>45986.46951388889</v>
      </c>
      <c r="C7268" s="1" t="n">
        <v>46145</v>
      </c>
      <c r="D7268" t="inlineStr">
        <is>
          <t>VÄSTERBOTTENS LÄN</t>
        </is>
      </c>
      <c r="E7268" t="inlineStr">
        <is>
          <t>NORDMALING</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1402-2025</t>
        </is>
      </c>
      <c r="B7269" s="1" t="n">
        <v>45667.70535879629</v>
      </c>
      <c r="C7269" s="1" t="n">
        <v>46145</v>
      </c>
      <c r="D7269" t="inlineStr">
        <is>
          <t>VÄSTERBOTTENS LÄN</t>
        </is>
      </c>
      <c r="E7269" t="inlineStr">
        <is>
          <t>SKELLEFTEÅ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58666-2025</t>
        </is>
      </c>
      <c r="B7270" s="1" t="n">
        <v>45986.54143518519</v>
      </c>
      <c r="C7270" s="1" t="n">
        <v>46145</v>
      </c>
      <c r="D7270" t="inlineStr">
        <is>
          <t>VÄSTERBOTTENS LÄN</t>
        </is>
      </c>
      <c r="E7270" t="inlineStr">
        <is>
          <t>LYCKSELE</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58724-2025</t>
        </is>
      </c>
      <c r="B7271" s="1" t="n">
        <v>45986.61917824074</v>
      </c>
      <c r="C7271" s="1" t="n">
        <v>46145</v>
      </c>
      <c r="D7271" t="inlineStr">
        <is>
          <t>VÄSTERBOTTENS LÄN</t>
        </is>
      </c>
      <c r="E7271" t="inlineStr">
        <is>
          <t>BJURHOLM</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58600-2025</t>
        </is>
      </c>
      <c r="B7272" s="1" t="n">
        <v>45986.42753472222</v>
      </c>
      <c r="C7272" s="1" t="n">
        <v>46145</v>
      </c>
      <c r="D7272" t="inlineStr">
        <is>
          <t>VÄSTERBOTTENS LÄN</t>
        </is>
      </c>
      <c r="E7272" t="inlineStr">
        <is>
          <t>DOROTEA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58610-2025</t>
        </is>
      </c>
      <c r="B7273" s="1" t="n">
        <v>45986.45059027777</v>
      </c>
      <c r="C7273" s="1" t="n">
        <v>46145</v>
      </c>
      <c r="D7273" t="inlineStr">
        <is>
          <t>VÄSTERBOTTENS LÄN</t>
        </is>
      </c>
      <c r="E7273" t="inlineStr">
        <is>
          <t>LYCKSELE</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25572-2023</t>
        </is>
      </c>
      <c r="B7274" s="1" t="n">
        <v>45082</v>
      </c>
      <c r="C7274" s="1" t="n">
        <v>46145</v>
      </c>
      <c r="D7274" t="inlineStr">
        <is>
          <t>VÄSTERBOTTENS LÄN</t>
        </is>
      </c>
      <c r="E7274" t="inlineStr">
        <is>
          <t>ROBERTSFORS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58704-2025</t>
        </is>
      </c>
      <c r="B7275" s="1" t="n">
        <v>45986.598125</v>
      </c>
      <c r="C7275" s="1" t="n">
        <v>46145</v>
      </c>
      <c r="D7275" t="inlineStr">
        <is>
          <t>VÄSTERBOTTENS LÄN</t>
        </is>
      </c>
      <c r="E7275" t="inlineStr">
        <is>
          <t>ÅSELE</t>
        </is>
      </c>
      <c r="F7275" t="inlineStr">
        <is>
          <t>Holmen skog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25638-2023</t>
        </is>
      </c>
      <c r="B7276" s="1" t="n">
        <v>45084</v>
      </c>
      <c r="C7276" s="1" t="n">
        <v>46145</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4921-2024</t>
        </is>
      </c>
      <c r="B7277" s="1" t="n">
        <v>45329</v>
      </c>
      <c r="C7277" s="1" t="n">
        <v>46145</v>
      </c>
      <c r="D7277" t="inlineStr">
        <is>
          <t>VÄSTERBOTTENS LÄN</t>
        </is>
      </c>
      <c r="E7277" t="inlineStr">
        <is>
          <t>ÅSELE</t>
        </is>
      </c>
      <c r="F7277" t="inlineStr">
        <is>
          <t>Övriga Aktiebolag</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58579-2025</t>
        </is>
      </c>
      <c r="B7278" s="1" t="n">
        <v>45986.38587962963</v>
      </c>
      <c r="C7278" s="1" t="n">
        <v>46145</v>
      </c>
      <c r="D7278" t="inlineStr">
        <is>
          <t>VÄSTERBOTTENS LÄN</t>
        </is>
      </c>
      <c r="E7278" t="inlineStr">
        <is>
          <t>NORDMALING</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58584-2025</t>
        </is>
      </c>
      <c r="B7279" s="1" t="n">
        <v>45986.39486111111</v>
      </c>
      <c r="C7279" s="1" t="n">
        <v>46145</v>
      </c>
      <c r="D7279" t="inlineStr">
        <is>
          <t>VÄSTERBOTTENS LÄN</t>
        </is>
      </c>
      <c r="E7279" t="inlineStr">
        <is>
          <t>VÄNNÄS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58619-2025</t>
        </is>
      </c>
      <c r="B7280" s="1" t="n">
        <v>45986.46949074074</v>
      </c>
      <c r="C7280" s="1" t="n">
        <v>46145</v>
      </c>
      <c r="D7280" t="inlineStr">
        <is>
          <t>VÄSTERBOTTENS LÄN</t>
        </is>
      </c>
      <c r="E7280" t="inlineStr">
        <is>
          <t>NORDMALING</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58622-2025</t>
        </is>
      </c>
      <c r="B7281" s="1" t="n">
        <v>45986.46958333333</v>
      </c>
      <c r="C7281" s="1" t="n">
        <v>46145</v>
      </c>
      <c r="D7281" t="inlineStr">
        <is>
          <t>VÄSTERBOTTENS LÄN</t>
        </is>
      </c>
      <c r="E7281" t="inlineStr">
        <is>
          <t>ÅSELE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58572-2025</t>
        </is>
      </c>
      <c r="B7282" s="1" t="n">
        <v>45986.37571759259</v>
      </c>
      <c r="C7282" s="1" t="n">
        <v>46145</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58434-2025</t>
        </is>
      </c>
      <c r="B7283" s="1" t="n">
        <v>45985.61247685185</v>
      </c>
      <c r="C7283" s="1" t="n">
        <v>46145</v>
      </c>
      <c r="D7283" t="inlineStr">
        <is>
          <t>VÄSTERBOTTENS LÄN</t>
        </is>
      </c>
      <c r="E7283" t="inlineStr">
        <is>
          <t>ÅSELE</t>
        </is>
      </c>
      <c r="F7283" t="inlineStr">
        <is>
          <t>Sveaskog</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58569-2025</t>
        </is>
      </c>
      <c r="B7284" s="1" t="n">
        <v>45986.37128472222</v>
      </c>
      <c r="C7284" s="1" t="n">
        <v>46145</v>
      </c>
      <c r="D7284" t="inlineStr">
        <is>
          <t>VÄSTERBOTTENS LÄN</t>
        </is>
      </c>
      <c r="E7284" t="inlineStr">
        <is>
          <t>BJURHOLM</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8575-2025</t>
        </is>
      </c>
      <c r="B7285" s="1" t="n">
        <v>45709.66362268518</v>
      </c>
      <c r="C7285" s="1" t="n">
        <v>46145</v>
      </c>
      <c r="D7285" t="inlineStr">
        <is>
          <t>VÄSTERBOTTENS LÄN</t>
        </is>
      </c>
      <c r="E7285" t="inlineStr">
        <is>
          <t>UMEÅ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8578-2025</t>
        </is>
      </c>
      <c r="B7286" s="1" t="n">
        <v>45709</v>
      </c>
      <c r="C7286" s="1" t="n">
        <v>46145</v>
      </c>
      <c r="D7286" t="inlineStr">
        <is>
          <t>VÄSTERBOTTENS LÄN</t>
        </is>
      </c>
      <c r="E7286" t="inlineStr">
        <is>
          <t>VILHELMINA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13131-2022</t>
        </is>
      </c>
      <c r="B7287" s="1" t="n">
        <v>44644.38203703704</v>
      </c>
      <c r="C7287" s="1" t="n">
        <v>46145</v>
      </c>
      <c r="D7287" t="inlineStr">
        <is>
          <t>VÄSTERBOTTENS LÄN</t>
        </is>
      </c>
      <c r="E7287" t="inlineStr">
        <is>
          <t>SKELLEFTEÅ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58222-2025</t>
        </is>
      </c>
      <c r="B7288" s="1" t="n">
        <v>45985.36491898148</v>
      </c>
      <c r="C7288" s="1" t="n">
        <v>46145</v>
      </c>
      <c r="D7288" t="inlineStr">
        <is>
          <t>VÄSTERBOTTENS LÄN</t>
        </is>
      </c>
      <c r="E7288" t="inlineStr">
        <is>
          <t>STORUMAN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45111-2024</t>
        </is>
      </c>
      <c r="B7289" s="1" t="n">
        <v>45575</v>
      </c>
      <c r="C7289" s="1" t="n">
        <v>46145</v>
      </c>
      <c r="D7289" t="inlineStr">
        <is>
          <t>VÄSTERBOTTENS LÄN</t>
        </is>
      </c>
      <c r="E7289" t="inlineStr">
        <is>
          <t>SKELLEFTEÅ</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5374-2022</t>
        </is>
      </c>
      <c r="B7290" s="1" t="n">
        <v>44594.92151620371</v>
      </c>
      <c r="C7290" s="1" t="n">
        <v>46145</v>
      </c>
      <c r="D7290" t="inlineStr">
        <is>
          <t>VÄSTERBOTTENS LÄN</t>
        </is>
      </c>
      <c r="E7290" t="inlineStr">
        <is>
          <t>UMEÅ</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58368-2025</t>
        </is>
      </c>
      <c r="B7291" s="1" t="n">
        <v>45985.5278125</v>
      </c>
      <c r="C7291" s="1" t="n">
        <v>46145</v>
      </c>
      <c r="D7291" t="inlineStr">
        <is>
          <t>VÄSTERBOTTENS LÄN</t>
        </is>
      </c>
      <c r="E7291" t="inlineStr">
        <is>
          <t>LYCKSELE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28833-2024</t>
        </is>
      </c>
      <c r="B7292" s="1" t="n">
        <v>45478.6802662037</v>
      </c>
      <c r="C7292" s="1" t="n">
        <v>46145</v>
      </c>
      <c r="D7292" t="inlineStr">
        <is>
          <t>VÄSTERBOTTENS LÄN</t>
        </is>
      </c>
      <c r="E7292" t="inlineStr">
        <is>
          <t>LYCKSELE</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8644-2025</t>
        </is>
      </c>
      <c r="B7293" s="1" t="n">
        <v>45712</v>
      </c>
      <c r="C7293" s="1" t="n">
        <v>46145</v>
      </c>
      <c r="D7293" t="inlineStr">
        <is>
          <t>VÄSTERBOTTENS LÄN</t>
        </is>
      </c>
      <c r="E7293" t="inlineStr">
        <is>
          <t>SKELLEFTEÅ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8681-2025</t>
        </is>
      </c>
      <c r="B7294" s="1" t="n">
        <v>45712.44364583334</v>
      </c>
      <c r="C7294" s="1" t="n">
        <v>46145</v>
      </c>
      <c r="D7294" t="inlineStr">
        <is>
          <t>VÄSTERBOTTENS LÄN</t>
        </is>
      </c>
      <c r="E7294" t="inlineStr">
        <is>
          <t>ROBERTSFORS</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57194-2024</t>
        </is>
      </c>
      <c r="B7295" s="1" t="n">
        <v>45629.46908564815</v>
      </c>
      <c r="C7295" s="1" t="n">
        <v>46145</v>
      </c>
      <c r="D7295" t="inlineStr">
        <is>
          <t>VÄSTERBOTTENS LÄN</t>
        </is>
      </c>
      <c r="E7295" t="inlineStr">
        <is>
          <t>VINDELN</t>
        </is>
      </c>
      <c r="F7295" t="inlineStr">
        <is>
          <t>SCA</t>
        </is>
      </c>
      <c r="G7295" t="n">
        <v>15.9</v>
      </c>
      <c r="H7295" t="n">
        <v>0</v>
      </c>
      <c r="I7295" t="n">
        <v>0</v>
      </c>
      <c r="J7295" t="n">
        <v>0</v>
      </c>
      <c r="K7295" t="n">
        <v>0</v>
      </c>
      <c r="L7295" t="n">
        <v>0</v>
      </c>
      <c r="M7295" t="n">
        <v>0</v>
      </c>
      <c r="N7295" t="n">
        <v>0</v>
      </c>
      <c r="O7295" t="n">
        <v>0</v>
      </c>
      <c r="P7295" t="n">
        <v>0</v>
      </c>
      <c r="Q7295" t="n">
        <v>0</v>
      </c>
      <c r="R7295" s="2" t="inlineStr"/>
    </row>
    <row r="7296" ht="15" customHeight="1">
      <c r="A7296" t="inlineStr">
        <is>
          <t>A 8722-2025</t>
        </is>
      </c>
      <c r="B7296" s="1" t="n">
        <v>45712.51097222222</v>
      </c>
      <c r="C7296" s="1" t="n">
        <v>46145</v>
      </c>
      <c r="D7296" t="inlineStr">
        <is>
          <t>VÄSTERBOTTENS LÄN</t>
        </is>
      </c>
      <c r="E7296" t="inlineStr">
        <is>
          <t>ÅSELE</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57200-2024</t>
        </is>
      </c>
      <c r="B7297" s="1" t="n">
        <v>45629.47841435186</v>
      </c>
      <c r="C7297" s="1" t="n">
        <v>46145</v>
      </c>
      <c r="D7297" t="inlineStr">
        <is>
          <t>VÄSTERBOTTENS LÄN</t>
        </is>
      </c>
      <c r="E7297" t="inlineStr">
        <is>
          <t>MALÅ</t>
        </is>
      </c>
      <c r="F7297" t="inlineStr">
        <is>
          <t>Sveaskog</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48202-2024</t>
        </is>
      </c>
      <c r="B7298" s="1" t="n">
        <v>45589</v>
      </c>
      <c r="C7298" s="1" t="n">
        <v>46145</v>
      </c>
      <c r="D7298" t="inlineStr">
        <is>
          <t>VÄSTERBOTTENS LÄN</t>
        </is>
      </c>
      <c r="E7298" t="inlineStr">
        <is>
          <t>SKELLEFTEÅ</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11254-2025</t>
        </is>
      </c>
      <c r="B7299" s="1" t="n">
        <v>45726</v>
      </c>
      <c r="C7299" s="1" t="n">
        <v>46145</v>
      </c>
      <c r="D7299" t="inlineStr">
        <is>
          <t>VÄSTERBOTTENS LÄN</t>
        </is>
      </c>
      <c r="E7299" t="inlineStr">
        <is>
          <t>SKELLEFTEÅ</t>
        </is>
      </c>
      <c r="G7299" t="n">
        <v>12.6</v>
      </c>
      <c r="H7299" t="n">
        <v>0</v>
      </c>
      <c r="I7299" t="n">
        <v>0</v>
      </c>
      <c r="J7299" t="n">
        <v>0</v>
      </c>
      <c r="K7299" t="n">
        <v>0</v>
      </c>
      <c r="L7299" t="n">
        <v>0</v>
      </c>
      <c r="M7299" t="n">
        <v>0</v>
      </c>
      <c r="N7299" t="n">
        <v>0</v>
      </c>
      <c r="O7299" t="n">
        <v>0</v>
      </c>
      <c r="P7299" t="n">
        <v>0</v>
      </c>
      <c r="Q7299" t="n">
        <v>0</v>
      </c>
      <c r="R7299" s="2" t="inlineStr"/>
    </row>
    <row r="7300" ht="15" customHeight="1">
      <c r="A7300" t="inlineStr">
        <is>
          <t>A 48224-2024</t>
        </is>
      </c>
      <c r="B7300" s="1" t="n">
        <v>45590</v>
      </c>
      <c r="C7300" s="1" t="n">
        <v>46145</v>
      </c>
      <c r="D7300" t="inlineStr">
        <is>
          <t>VÄSTERBOTTENS LÄN</t>
        </is>
      </c>
      <c r="E7300" t="inlineStr">
        <is>
          <t>MALÅ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27939-2024</t>
        </is>
      </c>
      <c r="B7301" s="1" t="n">
        <v>45476</v>
      </c>
      <c r="C7301" s="1" t="n">
        <v>46145</v>
      </c>
      <c r="D7301" t="inlineStr">
        <is>
          <t>VÄSTERBOTTENS LÄN</t>
        </is>
      </c>
      <c r="E7301" t="inlineStr">
        <is>
          <t>ÅSELE</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59044-2025</t>
        </is>
      </c>
      <c r="B7302" s="1" t="n">
        <v>45988.37289351852</v>
      </c>
      <c r="C7302" s="1" t="n">
        <v>46145</v>
      </c>
      <c r="D7302" t="inlineStr">
        <is>
          <t>VÄSTERBOTTENS LÄN</t>
        </is>
      </c>
      <c r="E7302" t="inlineStr">
        <is>
          <t>SKELLEFTEÅ</t>
        </is>
      </c>
      <c r="G7302" t="n">
        <v>11.8</v>
      </c>
      <c r="H7302" t="n">
        <v>0</v>
      </c>
      <c r="I7302" t="n">
        <v>0</v>
      </c>
      <c r="J7302" t="n">
        <v>0</v>
      </c>
      <c r="K7302" t="n">
        <v>0</v>
      </c>
      <c r="L7302" t="n">
        <v>0</v>
      </c>
      <c r="M7302" t="n">
        <v>0</v>
      </c>
      <c r="N7302" t="n">
        <v>0</v>
      </c>
      <c r="O7302" t="n">
        <v>0</v>
      </c>
      <c r="P7302" t="n">
        <v>0</v>
      </c>
      <c r="Q7302" t="n">
        <v>0</v>
      </c>
      <c r="R7302" s="2" t="inlineStr"/>
    </row>
    <row r="7303" ht="15" customHeight="1">
      <c r="A7303" t="inlineStr">
        <is>
          <t>A 59053-2025</t>
        </is>
      </c>
      <c r="B7303" s="1" t="n">
        <v>45988.38655092593</v>
      </c>
      <c r="C7303" s="1" t="n">
        <v>46145</v>
      </c>
      <c r="D7303" t="inlineStr">
        <is>
          <t>VÄSTERBOTTENS LÄN</t>
        </is>
      </c>
      <c r="E7303" t="inlineStr">
        <is>
          <t>MALÅ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56094-2025</t>
        </is>
      </c>
      <c r="B7304" s="1" t="n">
        <v>45973</v>
      </c>
      <c r="C7304" s="1" t="n">
        <v>46145</v>
      </c>
      <c r="D7304" t="inlineStr">
        <is>
          <t>VÄSTERBOTTENS LÄN</t>
        </is>
      </c>
      <c r="E7304" t="inlineStr">
        <is>
          <t>MALÅ</t>
        </is>
      </c>
      <c r="G7304" t="n">
        <v>20.7</v>
      </c>
      <c r="H7304" t="n">
        <v>0</v>
      </c>
      <c r="I7304" t="n">
        <v>0</v>
      </c>
      <c r="J7304" t="n">
        <v>0</v>
      </c>
      <c r="K7304" t="n">
        <v>0</v>
      </c>
      <c r="L7304" t="n">
        <v>0</v>
      </c>
      <c r="M7304" t="n">
        <v>0</v>
      </c>
      <c r="N7304" t="n">
        <v>0</v>
      </c>
      <c r="O7304" t="n">
        <v>0</v>
      </c>
      <c r="P7304" t="n">
        <v>0</v>
      </c>
      <c r="Q7304" t="n">
        <v>0</v>
      </c>
      <c r="R7304" s="2" t="inlineStr"/>
    </row>
    <row r="7305" ht="15" customHeight="1">
      <c r="A7305" t="inlineStr">
        <is>
          <t>A 59329-2025</t>
        </is>
      </c>
      <c r="B7305" s="1" t="n">
        <v>45988</v>
      </c>
      <c r="C7305" s="1" t="n">
        <v>46145</v>
      </c>
      <c r="D7305" t="inlineStr">
        <is>
          <t>VÄSTERBOTTENS LÄN</t>
        </is>
      </c>
      <c r="E7305" t="inlineStr">
        <is>
          <t>DOROTEA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59338-2025</t>
        </is>
      </c>
      <c r="B7306" s="1" t="n">
        <v>45988</v>
      </c>
      <c r="C7306" s="1" t="n">
        <v>46145</v>
      </c>
      <c r="D7306" t="inlineStr">
        <is>
          <t>VÄSTERBOTTENS LÄN</t>
        </is>
      </c>
      <c r="E7306" t="inlineStr">
        <is>
          <t>DOROTEA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32434-2024</t>
        </is>
      </c>
      <c r="B7307" s="1" t="n">
        <v>45512.92891203704</v>
      </c>
      <c r="C7307" s="1" t="n">
        <v>46145</v>
      </c>
      <c r="D7307" t="inlineStr">
        <is>
          <t>VÄSTERBOTTENS LÄN</t>
        </is>
      </c>
      <c r="E7307" t="inlineStr">
        <is>
          <t>ROBERTSFORS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46392-2024</t>
        </is>
      </c>
      <c r="B7308" s="1" t="n">
        <v>45582</v>
      </c>
      <c r="C7308" s="1" t="n">
        <v>46145</v>
      </c>
      <c r="D7308" t="inlineStr">
        <is>
          <t>VÄSTERBOTTENS LÄN</t>
        </is>
      </c>
      <c r="E7308" t="inlineStr">
        <is>
          <t>VILHELMINA</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58880-2025</t>
        </is>
      </c>
      <c r="B7309" s="1" t="n">
        <v>45987.47384259259</v>
      </c>
      <c r="C7309" s="1" t="n">
        <v>46145</v>
      </c>
      <c r="D7309" t="inlineStr">
        <is>
          <t>VÄSTERBOTTENS LÄN</t>
        </is>
      </c>
      <c r="E7309" t="inlineStr">
        <is>
          <t>SKELLEFTEÅ</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44012-2023</t>
        </is>
      </c>
      <c r="B7310" s="1" t="n">
        <v>45182</v>
      </c>
      <c r="C7310" s="1" t="n">
        <v>46145</v>
      </c>
      <c r="D7310" t="inlineStr">
        <is>
          <t>VÄSTERBOTTENS LÄN</t>
        </is>
      </c>
      <c r="E7310" t="inlineStr">
        <is>
          <t>NORDMALING</t>
        </is>
      </c>
      <c r="G7310" t="n">
        <v>20.1</v>
      </c>
      <c r="H7310" t="n">
        <v>0</v>
      </c>
      <c r="I7310" t="n">
        <v>0</v>
      </c>
      <c r="J7310" t="n">
        <v>0</v>
      </c>
      <c r="K7310" t="n">
        <v>0</v>
      </c>
      <c r="L7310" t="n">
        <v>0</v>
      </c>
      <c r="M7310" t="n">
        <v>0</v>
      </c>
      <c r="N7310" t="n">
        <v>0</v>
      </c>
      <c r="O7310" t="n">
        <v>0</v>
      </c>
      <c r="P7310" t="n">
        <v>0</v>
      </c>
      <c r="Q7310" t="n">
        <v>0</v>
      </c>
      <c r="R7310" s="2" t="inlineStr"/>
    </row>
    <row r="7311" ht="15" customHeight="1">
      <c r="A7311" t="inlineStr">
        <is>
          <t>A 44025-2023</t>
        </is>
      </c>
      <c r="B7311" s="1" t="n">
        <v>45182</v>
      </c>
      <c r="C7311" s="1" t="n">
        <v>46145</v>
      </c>
      <c r="D7311" t="inlineStr">
        <is>
          <t>VÄSTERBOTTENS LÄN</t>
        </is>
      </c>
      <c r="E7311" t="inlineStr">
        <is>
          <t>SKELLEFTEÅ</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59073-2025</t>
        </is>
      </c>
      <c r="B7312" s="1" t="n">
        <v>45988.42684027777</v>
      </c>
      <c r="C7312" s="1" t="n">
        <v>46145</v>
      </c>
      <c r="D7312" t="inlineStr">
        <is>
          <t>VÄSTERBOTTENS LÄN</t>
        </is>
      </c>
      <c r="E7312" t="inlineStr">
        <is>
          <t>BJURHOLM</t>
        </is>
      </c>
      <c r="F7312" t="inlineStr">
        <is>
          <t>Holmen skog AB</t>
        </is>
      </c>
      <c r="G7312" t="n">
        <v>11.8</v>
      </c>
      <c r="H7312" t="n">
        <v>0</v>
      </c>
      <c r="I7312" t="n">
        <v>0</v>
      </c>
      <c r="J7312" t="n">
        <v>0</v>
      </c>
      <c r="K7312" t="n">
        <v>0</v>
      </c>
      <c r="L7312" t="n">
        <v>0</v>
      </c>
      <c r="M7312" t="n">
        <v>0</v>
      </c>
      <c r="N7312" t="n">
        <v>0</v>
      </c>
      <c r="O7312" t="n">
        <v>0</v>
      </c>
      <c r="P7312" t="n">
        <v>0</v>
      </c>
      <c r="Q7312" t="n">
        <v>0</v>
      </c>
      <c r="R7312" s="2" t="inlineStr"/>
    </row>
    <row r="7313" ht="15" customHeight="1">
      <c r="A7313" t="inlineStr">
        <is>
          <t>A 59026-2025</t>
        </is>
      </c>
      <c r="B7313" s="1" t="n">
        <v>45988</v>
      </c>
      <c r="C7313" s="1" t="n">
        <v>46145</v>
      </c>
      <c r="D7313" t="inlineStr">
        <is>
          <t>VÄSTERBOTTENS LÄN</t>
        </is>
      </c>
      <c r="E7313" t="inlineStr">
        <is>
          <t>NORSJÖ</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59059-2025</t>
        </is>
      </c>
      <c r="B7314" s="1" t="n">
        <v>45988.40299768518</v>
      </c>
      <c r="C7314" s="1" t="n">
        <v>46145</v>
      </c>
      <c r="D7314" t="inlineStr">
        <is>
          <t>VÄSTERBOTTENS LÄN</t>
        </is>
      </c>
      <c r="E7314" t="inlineStr">
        <is>
          <t>SKELLEFTEÅ</t>
        </is>
      </c>
      <c r="F7314" t="inlineStr">
        <is>
          <t>Sveaskog</t>
        </is>
      </c>
      <c r="G7314" t="n">
        <v>33.4</v>
      </c>
      <c r="H7314" t="n">
        <v>0</v>
      </c>
      <c r="I7314" t="n">
        <v>0</v>
      </c>
      <c r="J7314" t="n">
        <v>0</v>
      </c>
      <c r="K7314" t="n">
        <v>0</v>
      </c>
      <c r="L7314" t="n">
        <v>0</v>
      </c>
      <c r="M7314" t="n">
        <v>0</v>
      </c>
      <c r="N7314" t="n">
        <v>0</v>
      </c>
      <c r="O7314" t="n">
        <v>0</v>
      </c>
      <c r="P7314" t="n">
        <v>0</v>
      </c>
      <c r="Q7314" t="n">
        <v>0</v>
      </c>
      <c r="R7314" s="2" t="inlineStr"/>
    </row>
    <row r="7315" ht="15" customHeight="1">
      <c r="A7315" t="inlineStr">
        <is>
          <t>A 59066-2025</t>
        </is>
      </c>
      <c r="B7315" s="1" t="n">
        <v>45988.40792824074</v>
      </c>
      <c r="C7315" s="1" t="n">
        <v>46145</v>
      </c>
      <c r="D7315" t="inlineStr">
        <is>
          <t>VÄSTERBOTTENS LÄN</t>
        </is>
      </c>
      <c r="E7315" t="inlineStr">
        <is>
          <t>DOROTEA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56066-2025</t>
        </is>
      </c>
      <c r="B7316" s="1" t="n">
        <v>45973</v>
      </c>
      <c r="C7316" s="1" t="n">
        <v>46145</v>
      </c>
      <c r="D7316" t="inlineStr">
        <is>
          <t>VÄSTERBOTTENS LÄN</t>
        </is>
      </c>
      <c r="E7316" t="inlineStr">
        <is>
          <t>MALÅ</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2350-2025</t>
        </is>
      </c>
      <c r="B7317" s="1" t="n">
        <v>45673.67822916667</v>
      </c>
      <c r="C7317" s="1" t="n">
        <v>46145</v>
      </c>
      <c r="D7317" t="inlineStr">
        <is>
          <t>VÄSTERBOTTENS LÄN</t>
        </is>
      </c>
      <c r="E7317" t="inlineStr">
        <is>
          <t>DOROTEA</t>
        </is>
      </c>
      <c r="F7317" t="inlineStr">
        <is>
          <t>SCA</t>
        </is>
      </c>
      <c r="G7317" t="n">
        <v>15.8</v>
      </c>
      <c r="H7317" t="n">
        <v>0</v>
      </c>
      <c r="I7317" t="n">
        <v>0</v>
      </c>
      <c r="J7317" t="n">
        <v>0</v>
      </c>
      <c r="K7317" t="n">
        <v>0</v>
      </c>
      <c r="L7317" t="n">
        <v>0</v>
      </c>
      <c r="M7317" t="n">
        <v>0</v>
      </c>
      <c r="N7317" t="n">
        <v>0</v>
      </c>
      <c r="O7317" t="n">
        <v>0</v>
      </c>
      <c r="P7317" t="n">
        <v>0</v>
      </c>
      <c r="Q7317" t="n">
        <v>0</v>
      </c>
      <c r="R7317" s="2" t="inlineStr"/>
    </row>
    <row r="7318" ht="15" customHeight="1">
      <c r="A7318" t="inlineStr">
        <is>
          <t>A 3042-2025</t>
        </is>
      </c>
      <c r="B7318" s="1" t="n">
        <v>45678</v>
      </c>
      <c r="C7318" s="1" t="n">
        <v>46145</v>
      </c>
      <c r="D7318" t="inlineStr">
        <is>
          <t>VÄSTERBOTTENS LÄN</t>
        </is>
      </c>
      <c r="E7318" t="inlineStr">
        <is>
          <t>ROBERTSFORS</t>
        </is>
      </c>
      <c r="F7318" t="inlineStr">
        <is>
          <t>Holmen skog AB</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56078-2025</t>
        </is>
      </c>
      <c r="B7319" s="1" t="n">
        <v>45973</v>
      </c>
      <c r="C7319" s="1" t="n">
        <v>46145</v>
      </c>
      <c r="D7319" t="inlineStr">
        <is>
          <t>VÄSTERBOTTENS LÄN</t>
        </is>
      </c>
      <c r="E7319" t="inlineStr">
        <is>
          <t>MALÅ</t>
        </is>
      </c>
      <c r="G7319" t="n">
        <v>20.2</v>
      </c>
      <c r="H7319" t="n">
        <v>0</v>
      </c>
      <c r="I7319" t="n">
        <v>0</v>
      </c>
      <c r="J7319" t="n">
        <v>0</v>
      </c>
      <c r="K7319" t="n">
        <v>0</v>
      </c>
      <c r="L7319" t="n">
        <v>0</v>
      </c>
      <c r="M7319" t="n">
        <v>0</v>
      </c>
      <c r="N7319" t="n">
        <v>0</v>
      </c>
      <c r="O7319" t="n">
        <v>0</v>
      </c>
      <c r="P7319" t="n">
        <v>0</v>
      </c>
      <c r="Q7319" t="n">
        <v>0</v>
      </c>
      <c r="R7319" s="2" t="inlineStr"/>
    </row>
    <row r="7320" ht="15" customHeight="1">
      <c r="A7320" t="inlineStr">
        <is>
          <t>A 59033-2025</t>
        </is>
      </c>
      <c r="B7320" s="1" t="n">
        <v>45988.36071759259</v>
      </c>
      <c r="C7320" s="1" t="n">
        <v>46145</v>
      </c>
      <c r="D7320" t="inlineStr">
        <is>
          <t>VÄSTERBOTTENS LÄN</t>
        </is>
      </c>
      <c r="E7320" t="inlineStr">
        <is>
          <t>SKELLEFTEÅ</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11109-2022</t>
        </is>
      </c>
      <c r="B7321" s="1" t="n">
        <v>44628.92515046296</v>
      </c>
      <c r="C7321" s="1" t="n">
        <v>46145</v>
      </c>
      <c r="D7321" t="inlineStr">
        <is>
          <t>VÄSTERBOTTENS LÄN</t>
        </is>
      </c>
      <c r="E7321" t="inlineStr">
        <is>
          <t>UMEÅ</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4138-2024</t>
        </is>
      </c>
      <c r="B7322" s="1" t="n">
        <v>45323</v>
      </c>
      <c r="C7322" s="1" t="n">
        <v>46145</v>
      </c>
      <c r="D7322" t="inlineStr">
        <is>
          <t>VÄSTERBOTTENS LÄN</t>
        </is>
      </c>
      <c r="E7322" t="inlineStr">
        <is>
          <t>SKELLEFTEÅ</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59054-2025</t>
        </is>
      </c>
      <c r="B7323" s="1" t="n">
        <v>45988.38663194444</v>
      </c>
      <c r="C7323" s="1" t="n">
        <v>46145</v>
      </c>
      <c r="D7323" t="inlineStr">
        <is>
          <t>VÄSTERBOTTENS LÄN</t>
        </is>
      </c>
      <c r="E7323" t="inlineStr">
        <is>
          <t>DOROTEA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16883-2023</t>
        </is>
      </c>
      <c r="B7324" s="1" t="n">
        <v>45029</v>
      </c>
      <c r="C7324" s="1" t="n">
        <v>46145</v>
      </c>
      <c r="D7324" t="inlineStr">
        <is>
          <t>VÄSTERBOTTENS LÄN</t>
        </is>
      </c>
      <c r="E7324" t="inlineStr">
        <is>
          <t>SORSELE</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58862-2025</t>
        </is>
      </c>
      <c r="B7325" s="1" t="n">
        <v>45987.43667824074</v>
      </c>
      <c r="C7325" s="1" t="n">
        <v>46145</v>
      </c>
      <c r="D7325" t="inlineStr">
        <is>
          <t>VÄSTERBOTTENS LÄN</t>
        </is>
      </c>
      <c r="E7325" t="inlineStr">
        <is>
          <t>SKELLEFTEÅ</t>
        </is>
      </c>
      <c r="F7325" t="inlineStr">
        <is>
          <t>Holmen skog AB</t>
        </is>
      </c>
      <c r="G7325" t="n">
        <v>16.8</v>
      </c>
      <c r="H7325" t="n">
        <v>0</v>
      </c>
      <c r="I7325" t="n">
        <v>0</v>
      </c>
      <c r="J7325" t="n">
        <v>0</v>
      </c>
      <c r="K7325" t="n">
        <v>0</v>
      </c>
      <c r="L7325" t="n">
        <v>0</v>
      </c>
      <c r="M7325" t="n">
        <v>0</v>
      </c>
      <c r="N7325" t="n">
        <v>0</v>
      </c>
      <c r="O7325" t="n">
        <v>0</v>
      </c>
      <c r="P7325" t="n">
        <v>0</v>
      </c>
      <c r="Q7325" t="n">
        <v>0</v>
      </c>
      <c r="R7325" s="2" t="inlineStr"/>
    </row>
    <row r="7326" ht="15" customHeight="1">
      <c r="A7326" t="inlineStr">
        <is>
          <t>A 23300-2023</t>
        </is>
      </c>
      <c r="B7326" s="1" t="n">
        <v>45075</v>
      </c>
      <c r="C7326" s="1" t="n">
        <v>46145</v>
      </c>
      <c r="D7326" t="inlineStr">
        <is>
          <t>VÄSTERBOTTENS LÄN</t>
        </is>
      </c>
      <c r="E7326" t="inlineStr">
        <is>
          <t>DOROTEA</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59257-2025</t>
        </is>
      </c>
      <c r="B7327" s="1" t="n">
        <v>45988.65670138889</v>
      </c>
      <c r="C7327" s="1" t="n">
        <v>46145</v>
      </c>
      <c r="D7327" t="inlineStr">
        <is>
          <t>VÄSTERBOTTENS LÄN</t>
        </is>
      </c>
      <c r="E7327" t="inlineStr">
        <is>
          <t>NORDMALING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52531-2024</t>
        </is>
      </c>
      <c r="B7328" s="1" t="n">
        <v>45609.61578703704</v>
      </c>
      <c r="C7328" s="1" t="n">
        <v>46145</v>
      </c>
      <c r="D7328" t="inlineStr">
        <is>
          <t>VÄSTERBOTTENS LÄN</t>
        </is>
      </c>
      <c r="E7328" t="inlineStr">
        <is>
          <t>VÄNNÄS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52533-2024</t>
        </is>
      </c>
      <c r="B7329" s="1" t="n">
        <v>45609.61697916667</v>
      </c>
      <c r="C7329" s="1" t="n">
        <v>46145</v>
      </c>
      <c r="D7329" t="inlineStr">
        <is>
          <t>VÄSTERBOTTENS LÄN</t>
        </is>
      </c>
      <c r="E7329" t="inlineStr">
        <is>
          <t>VÄNNÄS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23104-2025</t>
        </is>
      </c>
      <c r="B7330" s="1" t="n">
        <v>45791</v>
      </c>
      <c r="C7330" s="1" t="n">
        <v>46145</v>
      </c>
      <c r="D7330" t="inlineStr">
        <is>
          <t>VÄSTERBOTTENS LÄN</t>
        </is>
      </c>
      <c r="E7330" t="inlineStr">
        <is>
          <t>SKELLEFTEÅ</t>
        </is>
      </c>
      <c r="F7330" t="inlineStr">
        <is>
          <t>Holmen skog AB</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41962-2023</t>
        </is>
      </c>
      <c r="B7331" s="1" t="n">
        <v>45177</v>
      </c>
      <c r="C7331" s="1" t="n">
        <v>46145</v>
      </c>
      <c r="D7331" t="inlineStr">
        <is>
          <t>VÄSTERBOTTENS LÄN</t>
        </is>
      </c>
      <c r="E7331" t="inlineStr">
        <is>
          <t>ROBERTSFORS</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52650-2024</t>
        </is>
      </c>
      <c r="B7332" s="1" t="n">
        <v>45610.34976851852</v>
      </c>
      <c r="C7332" s="1" t="n">
        <v>46145</v>
      </c>
      <c r="D7332" t="inlineStr">
        <is>
          <t>VÄSTERBOTTENS LÄN</t>
        </is>
      </c>
      <c r="E7332" t="inlineStr">
        <is>
          <t>ROBERTSFORS</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59173-2025</t>
        </is>
      </c>
      <c r="B7333" s="1" t="n">
        <v>45988.56671296297</v>
      </c>
      <c r="C7333" s="1" t="n">
        <v>46145</v>
      </c>
      <c r="D7333" t="inlineStr">
        <is>
          <t>VÄSTERBOTTENS LÄN</t>
        </is>
      </c>
      <c r="E7333" t="inlineStr">
        <is>
          <t>SKELLEFTEÅ</t>
        </is>
      </c>
      <c r="F7333" t="inlineStr">
        <is>
          <t>Holmen skog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20949-2023</t>
        </is>
      </c>
      <c r="B7334" s="1" t="n">
        <v>45056</v>
      </c>
      <c r="C7334" s="1" t="n">
        <v>46145</v>
      </c>
      <c r="D7334" t="inlineStr">
        <is>
          <t>VÄSTERBOTTENS LÄN</t>
        </is>
      </c>
      <c r="E7334" t="inlineStr">
        <is>
          <t>BJURHOLM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59182-2025</t>
        </is>
      </c>
      <c r="B7335" s="1" t="n">
        <v>45988.57400462963</v>
      </c>
      <c r="C7335" s="1" t="n">
        <v>46145</v>
      </c>
      <c r="D7335" t="inlineStr">
        <is>
          <t>VÄSTERBOTTENS LÄN</t>
        </is>
      </c>
      <c r="E7335" t="inlineStr">
        <is>
          <t>VINDELN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58803-2025</t>
        </is>
      </c>
      <c r="B7336" s="1" t="n">
        <v>45986.88215277778</v>
      </c>
      <c r="C7336" s="1" t="n">
        <v>46145</v>
      </c>
      <c r="D7336" t="inlineStr">
        <is>
          <t>VÄSTERBOTTENS LÄN</t>
        </is>
      </c>
      <c r="E7336" t="inlineStr">
        <is>
          <t>SKELLEFTEÅ</t>
        </is>
      </c>
      <c r="F7336" t="inlineStr">
        <is>
          <t>Sveaskog</t>
        </is>
      </c>
      <c r="G7336" t="n">
        <v>19.4</v>
      </c>
      <c r="H7336" t="n">
        <v>0</v>
      </c>
      <c r="I7336" t="n">
        <v>0</v>
      </c>
      <c r="J7336" t="n">
        <v>0</v>
      </c>
      <c r="K7336" t="n">
        <v>0</v>
      </c>
      <c r="L7336" t="n">
        <v>0</v>
      </c>
      <c r="M7336" t="n">
        <v>0</v>
      </c>
      <c r="N7336" t="n">
        <v>0</v>
      </c>
      <c r="O7336" t="n">
        <v>0</v>
      </c>
      <c r="P7336" t="n">
        <v>0</v>
      </c>
      <c r="Q7336" t="n">
        <v>0</v>
      </c>
      <c r="R7336" s="2" t="inlineStr"/>
    </row>
    <row r="7337" ht="15" customHeight="1">
      <c r="A7337" t="inlineStr">
        <is>
          <t>A 56040-2025</t>
        </is>
      </c>
      <c r="B7337" s="1" t="n">
        <v>45973</v>
      </c>
      <c r="C7337" s="1" t="n">
        <v>46145</v>
      </c>
      <c r="D7337" t="inlineStr">
        <is>
          <t>VÄSTERBOTTENS LÄN</t>
        </is>
      </c>
      <c r="E7337" t="inlineStr">
        <is>
          <t>MALÅ</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17658-2023</t>
        </is>
      </c>
      <c r="B7338" s="1" t="n">
        <v>45036.89533564815</v>
      </c>
      <c r="C7338" s="1" t="n">
        <v>46145</v>
      </c>
      <c r="D7338" t="inlineStr">
        <is>
          <t>VÄSTERBOTTENS LÄN</t>
        </is>
      </c>
      <c r="E7338" t="inlineStr">
        <is>
          <t>DOROTEA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17672-2023</t>
        </is>
      </c>
      <c r="B7339" s="1" t="n">
        <v>45036</v>
      </c>
      <c r="C7339" s="1" t="n">
        <v>46145</v>
      </c>
      <c r="D7339" t="inlineStr">
        <is>
          <t>VÄSTERBOTTENS LÄN</t>
        </is>
      </c>
      <c r="E7339" t="inlineStr">
        <is>
          <t>ÅSELE</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59113-2025</t>
        </is>
      </c>
      <c r="B7340" s="1" t="n">
        <v>45988.48623842592</v>
      </c>
      <c r="C7340" s="1" t="n">
        <v>46145</v>
      </c>
      <c r="D7340" t="inlineStr">
        <is>
          <t>VÄSTERBOTTENS LÄN</t>
        </is>
      </c>
      <c r="E7340" t="inlineStr">
        <is>
          <t>UMEÅ</t>
        </is>
      </c>
      <c r="G7340" t="n">
        <v>11.6</v>
      </c>
      <c r="H7340" t="n">
        <v>0</v>
      </c>
      <c r="I7340" t="n">
        <v>0</v>
      </c>
      <c r="J7340" t="n">
        <v>0</v>
      </c>
      <c r="K7340" t="n">
        <v>0</v>
      </c>
      <c r="L7340" t="n">
        <v>0</v>
      </c>
      <c r="M7340" t="n">
        <v>0</v>
      </c>
      <c r="N7340" t="n">
        <v>0</v>
      </c>
      <c r="O7340" t="n">
        <v>0</v>
      </c>
      <c r="P7340" t="n">
        <v>0</v>
      </c>
      <c r="Q7340" t="n">
        <v>0</v>
      </c>
      <c r="R7340" s="2" t="inlineStr"/>
    </row>
    <row r="7341" ht="15" customHeight="1">
      <c r="A7341" t="inlineStr">
        <is>
          <t>A 59553-2024</t>
        </is>
      </c>
      <c r="B7341" s="1" t="n">
        <v>45638.63533564815</v>
      </c>
      <c r="C7341" s="1" t="n">
        <v>46145</v>
      </c>
      <c r="D7341" t="inlineStr">
        <is>
          <t>VÄSTERBOTTENS LÄN</t>
        </is>
      </c>
      <c r="E7341" t="inlineStr">
        <is>
          <t>BJURHOLM</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17698-2023</t>
        </is>
      </c>
      <c r="B7342" s="1" t="n">
        <v>45035</v>
      </c>
      <c r="C7342" s="1" t="n">
        <v>46145</v>
      </c>
      <c r="D7342" t="inlineStr">
        <is>
          <t>VÄSTERBOTTENS LÄN</t>
        </is>
      </c>
      <c r="E7342" t="inlineStr">
        <is>
          <t>ÅSELE</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59278-2025</t>
        </is>
      </c>
      <c r="B7343" s="1" t="n">
        <v>45988.70458333333</v>
      </c>
      <c r="C7343" s="1" t="n">
        <v>46145</v>
      </c>
      <c r="D7343" t="inlineStr">
        <is>
          <t>VÄSTERBOTTENS LÄN</t>
        </is>
      </c>
      <c r="E7343" t="inlineStr">
        <is>
          <t>BJURHOLM</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58894-2025</t>
        </is>
      </c>
      <c r="B7344" s="1" t="n">
        <v>45987.49078703704</v>
      </c>
      <c r="C7344" s="1" t="n">
        <v>46145</v>
      </c>
      <c r="D7344" t="inlineStr">
        <is>
          <t>VÄSTERBOTTENS LÄN</t>
        </is>
      </c>
      <c r="E7344" t="inlineStr">
        <is>
          <t>MALÅ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59443-2024</t>
        </is>
      </c>
      <c r="B7345" s="1" t="n">
        <v>45638.44944444444</v>
      </c>
      <c r="C7345" s="1" t="n">
        <v>46145</v>
      </c>
      <c r="D7345" t="inlineStr">
        <is>
          <t>VÄSTERBOTTENS LÄN</t>
        </is>
      </c>
      <c r="E7345" t="inlineStr">
        <is>
          <t>SKELLEFTEÅ</t>
        </is>
      </c>
      <c r="F7345" t="inlineStr">
        <is>
          <t>Sveaskog</t>
        </is>
      </c>
      <c r="G7345" t="n">
        <v>11.7</v>
      </c>
      <c r="H7345" t="n">
        <v>0</v>
      </c>
      <c r="I7345" t="n">
        <v>0</v>
      </c>
      <c r="J7345" t="n">
        <v>0</v>
      </c>
      <c r="K7345" t="n">
        <v>0</v>
      </c>
      <c r="L7345" t="n">
        <v>0</v>
      </c>
      <c r="M7345" t="n">
        <v>0</v>
      </c>
      <c r="N7345" t="n">
        <v>0</v>
      </c>
      <c r="O7345" t="n">
        <v>0</v>
      </c>
      <c r="P7345" t="n">
        <v>0</v>
      </c>
      <c r="Q7345" t="n">
        <v>0</v>
      </c>
      <c r="R7345" s="2" t="inlineStr"/>
    </row>
    <row r="7346" ht="15" customHeight="1">
      <c r="A7346" t="inlineStr">
        <is>
          <t>A 59254-2025</t>
        </is>
      </c>
      <c r="B7346" s="1" t="n">
        <v>45988.6530324074</v>
      </c>
      <c r="C7346" s="1" t="n">
        <v>46145</v>
      </c>
      <c r="D7346" t="inlineStr">
        <is>
          <t>VÄSTERBOTTENS LÄN</t>
        </is>
      </c>
      <c r="E7346" t="inlineStr">
        <is>
          <t>SKELLEFTEÅ</t>
        </is>
      </c>
      <c r="G7346" t="n">
        <v>13.5</v>
      </c>
      <c r="H7346" t="n">
        <v>0</v>
      </c>
      <c r="I7346" t="n">
        <v>0</v>
      </c>
      <c r="J7346" t="n">
        <v>0</v>
      </c>
      <c r="K7346" t="n">
        <v>0</v>
      </c>
      <c r="L7346" t="n">
        <v>0</v>
      </c>
      <c r="M7346" t="n">
        <v>0</v>
      </c>
      <c r="N7346" t="n">
        <v>0</v>
      </c>
      <c r="O7346" t="n">
        <v>0</v>
      </c>
      <c r="P7346" t="n">
        <v>0</v>
      </c>
      <c r="Q7346" t="n">
        <v>0</v>
      </c>
      <c r="R7346" s="2" t="inlineStr"/>
    </row>
    <row r="7347" ht="15" customHeight="1">
      <c r="A7347" t="inlineStr">
        <is>
          <t>A 73419-2021</t>
        </is>
      </c>
      <c r="B7347" s="1" t="n">
        <v>44551</v>
      </c>
      <c r="C7347" s="1" t="n">
        <v>46145</v>
      </c>
      <c r="D7347" t="inlineStr">
        <is>
          <t>VÄSTERBOTTENS LÄN</t>
        </is>
      </c>
      <c r="E7347" t="inlineStr">
        <is>
          <t>ÅSELE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72894-2021</t>
        </is>
      </c>
      <c r="B7348" s="1" t="n">
        <v>44546</v>
      </c>
      <c r="C7348" s="1" t="n">
        <v>46145</v>
      </c>
      <c r="D7348" t="inlineStr">
        <is>
          <t>VÄSTERBOTTENS LÄN</t>
        </is>
      </c>
      <c r="E7348" t="inlineStr">
        <is>
          <t>SORSELE</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3616-2022</t>
        </is>
      </c>
      <c r="B7349" s="1" t="n">
        <v>44586</v>
      </c>
      <c r="C7349" s="1" t="n">
        <v>46145</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60179-2024</t>
        </is>
      </c>
      <c r="B7350" s="1" t="n">
        <v>45642.63862268518</v>
      </c>
      <c r="C7350" s="1" t="n">
        <v>46145</v>
      </c>
      <c r="D7350" t="inlineStr">
        <is>
          <t>VÄSTERBOTTENS LÄN</t>
        </is>
      </c>
      <c r="E7350" t="inlineStr">
        <is>
          <t>UMEÅ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58893-2025</t>
        </is>
      </c>
      <c r="B7351" s="1" t="n">
        <v>45987.49075231481</v>
      </c>
      <c r="C7351" s="1" t="n">
        <v>46145</v>
      </c>
      <c r="D7351" t="inlineStr">
        <is>
          <t>VÄSTERBOTTENS LÄN</t>
        </is>
      </c>
      <c r="E7351" t="inlineStr">
        <is>
          <t>MALÅ</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16330-2023</t>
        </is>
      </c>
      <c r="B7352" s="1" t="n">
        <v>45028</v>
      </c>
      <c r="C7352" s="1" t="n">
        <v>46145</v>
      </c>
      <c r="D7352" t="inlineStr">
        <is>
          <t>VÄSTERBOTTENS LÄN</t>
        </is>
      </c>
      <c r="E7352" t="inlineStr">
        <is>
          <t>UMEÅ</t>
        </is>
      </c>
      <c r="F7352" t="inlineStr">
        <is>
          <t>Holmen skog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51466-2024</t>
        </is>
      </c>
      <c r="B7353" s="1" t="n">
        <v>45604</v>
      </c>
      <c r="C7353" s="1" t="n">
        <v>46145</v>
      </c>
      <c r="D7353" t="inlineStr">
        <is>
          <t>VÄSTERBOTTENS LÄN</t>
        </is>
      </c>
      <c r="E7353" t="inlineStr">
        <is>
          <t>LYCKSELE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51352-2024</t>
        </is>
      </c>
      <c r="B7354" s="1" t="n">
        <v>45604.36130787037</v>
      </c>
      <c r="C7354" s="1" t="n">
        <v>46145</v>
      </c>
      <c r="D7354" t="inlineStr">
        <is>
          <t>VÄSTERBOTTENS LÄN</t>
        </is>
      </c>
      <c r="E7354" t="inlineStr">
        <is>
          <t>NORSJÖ</t>
        </is>
      </c>
      <c r="F7354" t="inlineStr">
        <is>
          <t>Holmen skog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18792-2024</t>
        </is>
      </c>
      <c r="B7355" s="1" t="n">
        <v>45426</v>
      </c>
      <c r="C7355" s="1" t="n">
        <v>46145</v>
      </c>
      <c r="D7355" t="inlineStr">
        <is>
          <t>VÄSTERBOTTENS LÄN</t>
        </is>
      </c>
      <c r="E7355" t="inlineStr">
        <is>
          <t>ÅSELE</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59027-2025</t>
        </is>
      </c>
      <c r="B7356" s="1" t="n">
        <v>45988</v>
      </c>
      <c r="C7356" s="1" t="n">
        <v>46145</v>
      </c>
      <c r="D7356" t="inlineStr">
        <is>
          <t>VÄSTERBOTTENS LÄN</t>
        </is>
      </c>
      <c r="E7356" t="inlineStr">
        <is>
          <t>SKELLEFTEÅ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10871-2025</t>
        </is>
      </c>
      <c r="B7357" s="1" t="n">
        <v>45722</v>
      </c>
      <c r="C7357" s="1" t="n">
        <v>46145</v>
      </c>
      <c r="D7357" t="inlineStr">
        <is>
          <t>VÄSTERBOTTENS LÄN</t>
        </is>
      </c>
      <c r="E7357" t="inlineStr">
        <is>
          <t>MALÅ</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37346-2024</t>
        </is>
      </c>
      <c r="B7358" s="1" t="n">
        <v>45540</v>
      </c>
      <c r="C7358" s="1" t="n">
        <v>46145</v>
      </c>
      <c r="D7358" t="inlineStr">
        <is>
          <t>VÄSTERBOTTENS LÄN</t>
        </is>
      </c>
      <c r="E7358" t="inlineStr">
        <is>
          <t>VILHELMINA</t>
        </is>
      </c>
      <c r="G7358" t="n">
        <v>96.3</v>
      </c>
      <c r="H7358" t="n">
        <v>0</v>
      </c>
      <c r="I7358" t="n">
        <v>0</v>
      </c>
      <c r="J7358" t="n">
        <v>0</v>
      </c>
      <c r="K7358" t="n">
        <v>0</v>
      </c>
      <c r="L7358" t="n">
        <v>0</v>
      </c>
      <c r="M7358" t="n">
        <v>0</v>
      </c>
      <c r="N7358" t="n">
        <v>0</v>
      </c>
      <c r="O7358" t="n">
        <v>0</v>
      </c>
      <c r="P7358" t="n">
        <v>0</v>
      </c>
      <c r="Q7358" t="n">
        <v>0</v>
      </c>
      <c r="R7358" s="2" t="inlineStr"/>
    </row>
    <row r="7359" ht="15" customHeight="1">
      <c r="A7359" t="inlineStr">
        <is>
          <t>A 46849-2023</t>
        </is>
      </c>
      <c r="B7359" s="1" t="n">
        <v>45199.87405092592</v>
      </c>
      <c r="C7359" s="1" t="n">
        <v>46145</v>
      </c>
      <c r="D7359" t="inlineStr">
        <is>
          <t>VÄSTERBOTTENS LÄN</t>
        </is>
      </c>
      <c r="E7359" t="inlineStr">
        <is>
          <t>UMEÅ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47171-2024</t>
        </is>
      </c>
      <c r="B7360" s="1" t="n">
        <v>45586</v>
      </c>
      <c r="C7360" s="1" t="n">
        <v>46145</v>
      </c>
      <c r="D7360" t="inlineStr">
        <is>
          <t>VÄSTERBOTTENS LÄN</t>
        </is>
      </c>
      <c r="E7360" t="inlineStr">
        <is>
          <t>UMEÅ</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43095-2023</t>
        </is>
      </c>
      <c r="B7361" s="1" t="n">
        <v>45182</v>
      </c>
      <c r="C7361" s="1" t="n">
        <v>46145</v>
      </c>
      <c r="D7361" t="inlineStr">
        <is>
          <t>VÄSTERBOTTENS LÄN</t>
        </is>
      </c>
      <c r="E7361" t="inlineStr">
        <is>
          <t>ROBERTSFORS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44924-2023</t>
        </is>
      </c>
      <c r="B7362" s="1" t="n">
        <v>45187</v>
      </c>
      <c r="C7362" s="1" t="n">
        <v>46145</v>
      </c>
      <c r="D7362" t="inlineStr">
        <is>
          <t>VÄSTERBOTTENS LÄN</t>
        </is>
      </c>
      <c r="E7362" t="inlineStr">
        <is>
          <t>NORDMALING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5828-2022</t>
        </is>
      </c>
      <c r="B7363" s="1" t="n">
        <v>44596</v>
      </c>
      <c r="C7363" s="1" t="n">
        <v>46145</v>
      </c>
      <c r="D7363" t="inlineStr">
        <is>
          <t>VÄSTERBOTTENS LÄN</t>
        </is>
      </c>
      <c r="E7363" t="inlineStr">
        <is>
          <t>SKELLEFTEÅ</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48327-2023</t>
        </is>
      </c>
      <c r="B7364" s="1" t="n">
        <v>45201</v>
      </c>
      <c r="C7364" s="1" t="n">
        <v>46145</v>
      </c>
      <c r="D7364" t="inlineStr">
        <is>
          <t>VÄSTERBOTTENS LÄN</t>
        </is>
      </c>
      <c r="E7364" t="inlineStr">
        <is>
          <t>MALÅ</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39047-2023</t>
        </is>
      </c>
      <c r="B7365" s="1" t="n">
        <v>45163.92709490741</v>
      </c>
      <c r="C7365" s="1" t="n">
        <v>46145</v>
      </c>
      <c r="D7365" t="inlineStr">
        <is>
          <t>VÄSTERBOTTENS LÄN</t>
        </is>
      </c>
      <c r="E7365" t="inlineStr">
        <is>
          <t>LYCKSELE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40134-2024</t>
        </is>
      </c>
      <c r="B7366" s="1" t="n">
        <v>45554.47363425926</v>
      </c>
      <c r="C7366" s="1" t="n">
        <v>46145</v>
      </c>
      <c r="D7366" t="inlineStr">
        <is>
          <t>VÄSTERBOTTENS LÄN</t>
        </is>
      </c>
      <c r="E7366" t="inlineStr">
        <is>
          <t>VINDELN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59280-2025</t>
        </is>
      </c>
      <c r="B7367" s="1" t="n">
        <v>45988.72273148148</v>
      </c>
      <c r="C7367" s="1" t="n">
        <v>46145</v>
      </c>
      <c r="D7367" t="inlineStr">
        <is>
          <t>VÄSTERBOTTENS LÄN</t>
        </is>
      </c>
      <c r="E7367" t="inlineStr">
        <is>
          <t>SKELLEFTEÅ</t>
        </is>
      </c>
      <c r="F7367" t="inlineStr">
        <is>
          <t>Sveaskog</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39731-2023</t>
        </is>
      </c>
      <c r="B7368" s="1" t="n">
        <v>45167</v>
      </c>
      <c r="C7368" s="1" t="n">
        <v>46145</v>
      </c>
      <c r="D7368" t="inlineStr">
        <is>
          <t>VÄSTERBOTTENS LÄN</t>
        </is>
      </c>
      <c r="E7368" t="inlineStr">
        <is>
          <t>ÅSELE</t>
        </is>
      </c>
      <c r="F7368" t="inlineStr">
        <is>
          <t>Sveaskog</t>
        </is>
      </c>
      <c r="G7368" t="n">
        <v>17.6</v>
      </c>
      <c r="H7368" t="n">
        <v>0</v>
      </c>
      <c r="I7368" t="n">
        <v>0</v>
      </c>
      <c r="J7368" t="n">
        <v>0</v>
      </c>
      <c r="K7368" t="n">
        <v>0</v>
      </c>
      <c r="L7368" t="n">
        <v>0</v>
      </c>
      <c r="M7368" t="n">
        <v>0</v>
      </c>
      <c r="N7368" t="n">
        <v>0</v>
      </c>
      <c r="O7368" t="n">
        <v>0</v>
      </c>
      <c r="P7368" t="n">
        <v>0</v>
      </c>
      <c r="Q7368" t="n">
        <v>0</v>
      </c>
      <c r="R7368" s="2" t="inlineStr"/>
    </row>
    <row r="7369" ht="15" customHeight="1">
      <c r="A7369" t="inlineStr">
        <is>
          <t>A 59025-2025</t>
        </is>
      </c>
      <c r="B7369" s="1" t="n">
        <v>45988.34513888889</v>
      </c>
      <c r="C7369" s="1" t="n">
        <v>46145</v>
      </c>
      <c r="D7369" t="inlineStr">
        <is>
          <t>VÄSTERBOTTENS LÄN</t>
        </is>
      </c>
      <c r="E7369" t="inlineStr">
        <is>
          <t>SKELLEFTEÅ</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18081-2022</t>
        </is>
      </c>
      <c r="B7370" s="1" t="n">
        <v>44684</v>
      </c>
      <c r="C7370" s="1" t="n">
        <v>46145</v>
      </c>
      <c r="D7370" t="inlineStr">
        <is>
          <t>VÄSTERBOTTENS LÄN</t>
        </is>
      </c>
      <c r="E7370" t="inlineStr">
        <is>
          <t>SKELLEFTEÅ</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59071-2025</t>
        </is>
      </c>
      <c r="B7371" s="1" t="n">
        <v>45988.42387731482</v>
      </c>
      <c r="C7371" s="1" t="n">
        <v>46145</v>
      </c>
      <c r="D7371" t="inlineStr">
        <is>
          <t>VÄSTERBOTTENS LÄN</t>
        </is>
      </c>
      <c r="E7371" t="inlineStr">
        <is>
          <t>NORDMALING</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59080-2025</t>
        </is>
      </c>
      <c r="B7372" s="1" t="n">
        <v>45988.43402777778</v>
      </c>
      <c r="C7372" s="1" t="n">
        <v>46145</v>
      </c>
      <c r="D7372" t="inlineStr">
        <is>
          <t>VÄSTERBOTTENS LÄN</t>
        </is>
      </c>
      <c r="E7372" t="inlineStr">
        <is>
          <t>LYCKSELE</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32510-2024</t>
        </is>
      </c>
      <c r="B7373" s="1" t="n">
        <v>45513.45313657408</v>
      </c>
      <c r="C7373" s="1" t="n">
        <v>46145</v>
      </c>
      <c r="D7373" t="inlineStr">
        <is>
          <t>VÄSTERBOTTENS LÄN</t>
        </is>
      </c>
      <c r="E7373" t="inlineStr">
        <is>
          <t>VINDELN</t>
        </is>
      </c>
      <c r="F7373" t="inlineStr">
        <is>
          <t>Holmen skog AB</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59115-2025</t>
        </is>
      </c>
      <c r="B7374" s="1" t="n">
        <v>45988.48995370371</v>
      </c>
      <c r="C7374" s="1" t="n">
        <v>46145</v>
      </c>
      <c r="D7374" t="inlineStr">
        <is>
          <t>VÄSTERBOTTENS LÄN</t>
        </is>
      </c>
      <c r="E7374" t="inlineStr">
        <is>
          <t>UMEÅ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57109-2024</t>
        </is>
      </c>
      <c r="B7375" s="1" t="n">
        <v>45629.36469907407</v>
      </c>
      <c r="C7375" s="1" t="n">
        <v>46145</v>
      </c>
      <c r="D7375" t="inlineStr">
        <is>
          <t>VÄSTERBOTTENS LÄN</t>
        </is>
      </c>
      <c r="E7375" t="inlineStr">
        <is>
          <t>LYCKSELE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58850-2025</t>
        </is>
      </c>
      <c r="B7376" s="1" t="n">
        <v>45987.40146990741</v>
      </c>
      <c r="C7376" s="1" t="n">
        <v>46145</v>
      </c>
      <c r="D7376" t="inlineStr">
        <is>
          <t>VÄSTERBOTTENS LÄN</t>
        </is>
      </c>
      <c r="E7376" t="inlineStr">
        <is>
          <t>ROBERTSFORS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58860-2025</t>
        </is>
      </c>
      <c r="B7377" s="1" t="n">
        <v>45987.42810185185</v>
      </c>
      <c r="C7377" s="1" t="n">
        <v>46145</v>
      </c>
      <c r="D7377" t="inlineStr">
        <is>
          <t>VÄSTERBOTTENS LÄN</t>
        </is>
      </c>
      <c r="E7377" t="inlineStr">
        <is>
          <t>NORSJÖ</t>
        </is>
      </c>
      <c r="G7377" t="n">
        <v>14.1</v>
      </c>
      <c r="H7377" t="n">
        <v>0</v>
      </c>
      <c r="I7377" t="n">
        <v>0</v>
      </c>
      <c r="J7377" t="n">
        <v>0</v>
      </c>
      <c r="K7377" t="n">
        <v>0</v>
      </c>
      <c r="L7377" t="n">
        <v>0</v>
      </c>
      <c r="M7377" t="n">
        <v>0</v>
      </c>
      <c r="N7377" t="n">
        <v>0</v>
      </c>
      <c r="O7377" t="n">
        <v>0</v>
      </c>
      <c r="P7377" t="n">
        <v>0</v>
      </c>
      <c r="Q7377" t="n">
        <v>0</v>
      </c>
      <c r="R7377" s="2" t="inlineStr"/>
    </row>
    <row r="7378" ht="15" customHeight="1">
      <c r="A7378" t="inlineStr">
        <is>
          <t>A 59168-2025</t>
        </is>
      </c>
      <c r="B7378" s="1" t="n">
        <v>45988</v>
      </c>
      <c r="C7378" s="1" t="n">
        <v>46145</v>
      </c>
      <c r="D7378" t="inlineStr">
        <is>
          <t>VÄSTERBOTTENS LÄN</t>
        </is>
      </c>
      <c r="E7378" t="inlineStr">
        <is>
          <t>UMEÅ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59201-2025</t>
        </is>
      </c>
      <c r="B7379" s="1" t="n">
        <v>45988.60271990741</v>
      </c>
      <c r="C7379" s="1" t="n">
        <v>46145</v>
      </c>
      <c r="D7379" t="inlineStr">
        <is>
          <t>VÄSTERBOTTENS LÄN</t>
        </is>
      </c>
      <c r="E7379" t="inlineStr">
        <is>
          <t>SKELLEFTEÅ</t>
        </is>
      </c>
      <c r="F7379" t="inlineStr">
        <is>
          <t>Holmen skog AB</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35990-2023</t>
        </is>
      </c>
      <c r="B7380" s="1" t="n">
        <v>45148.96259259259</v>
      </c>
      <c r="C7380" s="1" t="n">
        <v>46145</v>
      </c>
      <c r="D7380" t="inlineStr">
        <is>
          <t>VÄSTERBOTTENS LÄN</t>
        </is>
      </c>
      <c r="E7380" t="inlineStr">
        <is>
          <t>DOROTEA</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59208-2025</t>
        </is>
      </c>
      <c r="B7381" s="1" t="n">
        <v>45988.61494212963</v>
      </c>
      <c r="C7381" s="1" t="n">
        <v>46145</v>
      </c>
      <c r="D7381" t="inlineStr">
        <is>
          <t>VÄSTERBOTTENS LÄN</t>
        </is>
      </c>
      <c r="E7381" t="inlineStr">
        <is>
          <t>SKELLEFTEÅ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59224-2025</t>
        </is>
      </c>
      <c r="B7382" s="1" t="n">
        <v>45988.61928240741</v>
      </c>
      <c r="C7382" s="1" t="n">
        <v>46145</v>
      </c>
      <c r="D7382" t="inlineStr">
        <is>
          <t>VÄSTERBOTTENS LÄN</t>
        </is>
      </c>
      <c r="E7382" t="inlineStr">
        <is>
          <t>SKELLEFTEÅ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59226-2025</t>
        </is>
      </c>
      <c r="B7383" s="1" t="n">
        <v>45988.62199074074</v>
      </c>
      <c r="C7383" s="1" t="n">
        <v>46145</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25344-2024</t>
        </is>
      </c>
      <c r="B7384" s="1" t="n">
        <v>45462.92693287037</v>
      </c>
      <c r="C7384" s="1" t="n">
        <v>46145</v>
      </c>
      <c r="D7384" t="inlineStr">
        <is>
          <t>VÄSTERBOTTENS LÄN</t>
        </is>
      </c>
      <c r="E7384" t="inlineStr">
        <is>
          <t>NORDMALING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25349-2024</t>
        </is>
      </c>
      <c r="B7385" s="1" t="n">
        <v>45462</v>
      </c>
      <c r="C7385" s="1" t="n">
        <v>46145</v>
      </c>
      <c r="D7385" t="inlineStr">
        <is>
          <t>VÄSTERBOTTENS LÄN</t>
        </is>
      </c>
      <c r="E7385" t="inlineStr">
        <is>
          <t>NORDMALING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48762-2024</t>
        </is>
      </c>
      <c r="B7386" s="1" t="n">
        <v>45593</v>
      </c>
      <c r="C7386" s="1" t="n">
        <v>46145</v>
      </c>
      <c r="D7386" t="inlineStr">
        <is>
          <t>VÄSTERBOTTENS LÄN</t>
        </is>
      </c>
      <c r="E7386" t="inlineStr">
        <is>
          <t>STORUMAN</t>
        </is>
      </c>
      <c r="G7386" t="n">
        <v>17.4</v>
      </c>
      <c r="H7386" t="n">
        <v>0</v>
      </c>
      <c r="I7386" t="n">
        <v>0</v>
      </c>
      <c r="J7386" t="n">
        <v>0</v>
      </c>
      <c r="K7386" t="n">
        <v>0</v>
      </c>
      <c r="L7386" t="n">
        <v>0</v>
      </c>
      <c r="M7386" t="n">
        <v>0</v>
      </c>
      <c r="N7386" t="n">
        <v>0</v>
      </c>
      <c r="O7386" t="n">
        <v>0</v>
      </c>
      <c r="P7386" t="n">
        <v>0</v>
      </c>
      <c r="Q7386" t="n">
        <v>0</v>
      </c>
      <c r="R7386" s="2" t="inlineStr"/>
    </row>
    <row r="7387" ht="15" customHeight="1">
      <c r="A7387" t="inlineStr">
        <is>
          <t>A 58976-2025</t>
        </is>
      </c>
      <c r="B7387" s="1" t="n">
        <v>45987.61980324074</v>
      </c>
      <c r="C7387" s="1" t="n">
        <v>46145</v>
      </c>
      <c r="D7387" t="inlineStr">
        <is>
          <t>VÄSTERBOTTENS LÄN</t>
        </is>
      </c>
      <c r="E7387" t="inlineStr">
        <is>
          <t>SKELLEFTEÅ</t>
        </is>
      </c>
      <c r="F7387" t="inlineStr">
        <is>
          <t>Holmen skog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10063-2025</t>
        </is>
      </c>
      <c r="B7388" s="1" t="n">
        <v>45719</v>
      </c>
      <c r="C7388" s="1" t="n">
        <v>46145</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49731-2024</t>
        </is>
      </c>
      <c r="B7389" s="1" t="n">
        <v>45596</v>
      </c>
      <c r="C7389" s="1" t="n">
        <v>46145</v>
      </c>
      <c r="D7389" t="inlineStr">
        <is>
          <t>VÄSTERBOTTENS LÄN</t>
        </is>
      </c>
      <c r="E7389" t="inlineStr">
        <is>
          <t>SKELLEFTEÅ</t>
        </is>
      </c>
      <c r="F7389" t="inlineStr">
        <is>
          <t>Sveaskog</t>
        </is>
      </c>
      <c r="G7389" t="n">
        <v>15.4</v>
      </c>
      <c r="H7389" t="n">
        <v>0</v>
      </c>
      <c r="I7389" t="n">
        <v>0</v>
      </c>
      <c r="J7389" t="n">
        <v>0</v>
      </c>
      <c r="K7389" t="n">
        <v>0</v>
      </c>
      <c r="L7389" t="n">
        <v>0</v>
      </c>
      <c r="M7389" t="n">
        <v>0</v>
      </c>
      <c r="N7389" t="n">
        <v>0</v>
      </c>
      <c r="O7389" t="n">
        <v>0</v>
      </c>
      <c r="P7389" t="n">
        <v>0</v>
      </c>
      <c r="Q7389" t="n">
        <v>0</v>
      </c>
      <c r="R7389" s="2" t="inlineStr"/>
    </row>
    <row r="7390" ht="15" customHeight="1">
      <c r="A7390" t="inlineStr">
        <is>
          <t>A 47010-2024</t>
        </is>
      </c>
      <c r="B7390" s="1" t="n">
        <v>45586</v>
      </c>
      <c r="C7390" s="1" t="n">
        <v>46145</v>
      </c>
      <c r="D7390" t="inlineStr">
        <is>
          <t>VÄSTERBOTTENS LÄN</t>
        </is>
      </c>
      <c r="E7390" t="inlineStr">
        <is>
          <t>VILHELMINA</t>
        </is>
      </c>
      <c r="F7390" t="inlineStr">
        <is>
          <t>SCA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8940-2025</t>
        </is>
      </c>
      <c r="B7391" s="1" t="n">
        <v>45713.44855324074</v>
      </c>
      <c r="C7391" s="1" t="n">
        <v>46145</v>
      </c>
      <c r="D7391" t="inlineStr">
        <is>
          <t>VÄSTERBOTTENS LÄN</t>
        </is>
      </c>
      <c r="E7391" t="inlineStr">
        <is>
          <t>VÄNNÄS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59460-2025</t>
        </is>
      </c>
      <c r="B7392" s="1" t="n">
        <v>45989.57853009259</v>
      </c>
      <c r="C7392" s="1" t="n">
        <v>46145</v>
      </c>
      <c r="D7392" t="inlineStr">
        <is>
          <t>VÄSTERBOTTENS LÄN</t>
        </is>
      </c>
      <c r="E7392" t="inlineStr">
        <is>
          <t>MALÅ</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59465-2025</t>
        </is>
      </c>
      <c r="B7393" s="1" t="n">
        <v>45989.57978009259</v>
      </c>
      <c r="C7393" s="1" t="n">
        <v>46145</v>
      </c>
      <c r="D7393" t="inlineStr">
        <is>
          <t>VÄSTERBOTTENS LÄN</t>
        </is>
      </c>
      <c r="E7393" t="inlineStr">
        <is>
          <t>MALÅ</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73833-2021</t>
        </is>
      </c>
      <c r="B7394" s="1" t="n">
        <v>44552.92071759259</v>
      </c>
      <c r="C7394" s="1" t="n">
        <v>46145</v>
      </c>
      <c r="D7394" t="inlineStr">
        <is>
          <t>VÄSTERBOTTENS LÄN</t>
        </is>
      </c>
      <c r="E7394" t="inlineStr">
        <is>
          <t>SKELLEFTEÅ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59662-2025</t>
        </is>
      </c>
      <c r="B7395" s="1" t="n">
        <v>45992.44856481482</v>
      </c>
      <c r="C7395" s="1" t="n">
        <v>46145</v>
      </c>
      <c r="D7395" t="inlineStr">
        <is>
          <t>VÄSTERBOTTENS LÄN</t>
        </is>
      </c>
      <c r="E7395" t="inlineStr">
        <is>
          <t>SKELLEFTEÅ</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59835-2025</t>
        </is>
      </c>
      <c r="B7396" s="1" t="n">
        <v>45992.6687037037</v>
      </c>
      <c r="C7396" s="1" t="n">
        <v>46145</v>
      </c>
      <c r="D7396" t="inlineStr">
        <is>
          <t>VÄSTERBOTTENS LÄN</t>
        </is>
      </c>
      <c r="E7396" t="inlineStr">
        <is>
          <t>SKELLEFTEÅ</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59855-2025</t>
        </is>
      </c>
      <c r="B7397" s="1" t="n">
        <v>45992.73780092593</v>
      </c>
      <c r="C7397" s="1" t="n">
        <v>46145</v>
      </c>
      <c r="D7397" t="inlineStr">
        <is>
          <t>VÄSTERBOTTENS LÄN</t>
        </is>
      </c>
      <c r="E7397" t="inlineStr">
        <is>
          <t>ROBERTSFORS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59440-2025</t>
        </is>
      </c>
      <c r="B7398" s="1" t="n">
        <v>45989.56008101852</v>
      </c>
      <c r="C7398" s="1" t="n">
        <v>46145</v>
      </c>
      <c r="D7398" t="inlineStr">
        <is>
          <t>VÄSTERBOTTENS LÄN</t>
        </is>
      </c>
      <c r="E7398" t="inlineStr">
        <is>
          <t>MALÅ</t>
        </is>
      </c>
      <c r="F7398" t="inlineStr">
        <is>
          <t>Sveaskog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45788-2024</t>
        </is>
      </c>
      <c r="B7399" s="1" t="n">
        <v>45579</v>
      </c>
      <c r="C7399" s="1" t="n">
        <v>46145</v>
      </c>
      <c r="D7399" t="inlineStr">
        <is>
          <t>VÄSTERBOTTENS LÄN</t>
        </is>
      </c>
      <c r="E7399" t="inlineStr">
        <is>
          <t>SKELLEFTEÅ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743-2025</t>
        </is>
      </c>
      <c r="B7400" s="1" t="n">
        <v>45665.4312037037</v>
      </c>
      <c r="C7400" s="1" t="n">
        <v>46145</v>
      </c>
      <c r="D7400" t="inlineStr">
        <is>
          <t>VÄSTERBOTTENS LÄN</t>
        </is>
      </c>
      <c r="E7400" t="inlineStr">
        <is>
          <t>ÅSELE</t>
        </is>
      </c>
      <c r="F7400" t="inlineStr">
        <is>
          <t>Naturvårdsverket</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752-2025</t>
        </is>
      </c>
      <c r="B7401" s="1" t="n">
        <v>45665</v>
      </c>
      <c r="C7401" s="1" t="n">
        <v>46145</v>
      </c>
      <c r="D7401" t="inlineStr">
        <is>
          <t>VÄSTERBOTTENS LÄN</t>
        </is>
      </c>
      <c r="E7401" t="inlineStr">
        <is>
          <t>VINDELN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59299-2025</t>
        </is>
      </c>
      <c r="B7402" s="1" t="n">
        <v>45988.84578703704</v>
      </c>
      <c r="C7402" s="1" t="n">
        <v>46145</v>
      </c>
      <c r="D7402" t="inlineStr">
        <is>
          <t>VÄSTERBOTTENS LÄN</t>
        </is>
      </c>
      <c r="E7402" t="inlineStr">
        <is>
          <t>ÅSELE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59425-2025</t>
        </is>
      </c>
      <c r="B7403" s="1" t="n">
        <v>45989.53918981482</v>
      </c>
      <c r="C7403" s="1" t="n">
        <v>46145</v>
      </c>
      <c r="D7403" t="inlineStr">
        <is>
          <t>VÄSTERBOTTENS LÄN</t>
        </is>
      </c>
      <c r="E7403" t="inlineStr">
        <is>
          <t>VINDELN</t>
        </is>
      </c>
      <c r="F7403" t="inlineStr">
        <is>
          <t>Sveaskog</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40442-2023</t>
        </is>
      </c>
      <c r="B7404" s="1" t="n">
        <v>45170.27015046297</v>
      </c>
      <c r="C7404" s="1" t="n">
        <v>46145</v>
      </c>
      <c r="D7404" t="inlineStr">
        <is>
          <t>VÄSTERBOTTENS LÄN</t>
        </is>
      </c>
      <c r="E7404" t="inlineStr">
        <is>
          <t>SKELLEFTEÅ</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53350-2024</t>
        </is>
      </c>
      <c r="B7405" s="1" t="n">
        <v>45614.44863425926</v>
      </c>
      <c r="C7405" s="1" t="n">
        <v>46145</v>
      </c>
      <c r="D7405" t="inlineStr">
        <is>
          <t>VÄSTERBOTTENS LÄN</t>
        </is>
      </c>
      <c r="E7405" t="inlineStr">
        <is>
          <t>VINDELN</t>
        </is>
      </c>
      <c r="F7405" t="inlineStr">
        <is>
          <t>SCA</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59505-2025</t>
        </is>
      </c>
      <c r="B7406" s="1" t="n">
        <v>45989</v>
      </c>
      <c r="C7406" s="1" t="n">
        <v>46145</v>
      </c>
      <c r="D7406" t="inlineStr">
        <is>
          <t>VÄSTERBOTTENS LÄN</t>
        </is>
      </c>
      <c r="E7406" t="inlineStr">
        <is>
          <t>VILHELMINA</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53357-2024</t>
        </is>
      </c>
      <c r="B7407" s="1" t="n">
        <v>45614</v>
      </c>
      <c r="C7407" s="1" t="n">
        <v>46145</v>
      </c>
      <c r="D7407" t="inlineStr">
        <is>
          <t>VÄSTERBOTTENS LÄN</t>
        </is>
      </c>
      <c r="E7407" t="inlineStr">
        <is>
          <t>DOROTEA</t>
        </is>
      </c>
      <c r="G7407" t="n">
        <v>26.5</v>
      </c>
      <c r="H7407" t="n">
        <v>0</v>
      </c>
      <c r="I7407" t="n">
        <v>0</v>
      </c>
      <c r="J7407" t="n">
        <v>0</v>
      </c>
      <c r="K7407" t="n">
        <v>0</v>
      </c>
      <c r="L7407" t="n">
        <v>0</v>
      </c>
      <c r="M7407" t="n">
        <v>0</v>
      </c>
      <c r="N7407" t="n">
        <v>0</v>
      </c>
      <c r="O7407" t="n">
        <v>0</v>
      </c>
      <c r="P7407" t="n">
        <v>0</v>
      </c>
      <c r="Q7407" t="n">
        <v>0</v>
      </c>
      <c r="R7407" s="2" t="inlineStr"/>
    </row>
    <row r="7408" ht="15" customHeight="1">
      <c r="A7408" t="inlineStr">
        <is>
          <t>A 59324-2025</t>
        </is>
      </c>
      <c r="B7408" s="1" t="n">
        <v>45989.3446412037</v>
      </c>
      <c r="C7408" s="1" t="n">
        <v>46145</v>
      </c>
      <c r="D7408" t="inlineStr">
        <is>
          <t>VÄSTERBOTTENS LÄN</t>
        </is>
      </c>
      <c r="E7408" t="inlineStr">
        <is>
          <t>BJURHOLM</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59343-2025</t>
        </is>
      </c>
      <c r="B7409" s="1" t="n">
        <v>45989.38943287037</v>
      </c>
      <c r="C7409" s="1" t="n">
        <v>46145</v>
      </c>
      <c r="D7409" t="inlineStr">
        <is>
          <t>VÄSTERBOTTENS LÄN</t>
        </is>
      </c>
      <c r="E7409" t="inlineStr">
        <is>
          <t>SKELLEFTEÅ</t>
        </is>
      </c>
      <c r="F7409" t="inlineStr">
        <is>
          <t>Holmen skog AB</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59354-2025</t>
        </is>
      </c>
      <c r="B7410" s="1" t="n">
        <v>45989.41605324074</v>
      </c>
      <c r="C7410" s="1" t="n">
        <v>46145</v>
      </c>
      <c r="D7410" t="inlineStr">
        <is>
          <t>VÄSTERBOTTENS LÄN</t>
        </is>
      </c>
      <c r="E7410" t="inlineStr">
        <is>
          <t>SKELLEFTEÅ</t>
        </is>
      </c>
      <c r="F7410" t="inlineStr">
        <is>
          <t>Holmen skog AB</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12118-2024</t>
        </is>
      </c>
      <c r="B7411" s="1" t="n">
        <v>45376</v>
      </c>
      <c r="C7411" s="1" t="n">
        <v>46145</v>
      </c>
      <c r="D7411" t="inlineStr">
        <is>
          <t>VÄSTERBOTTENS LÄN</t>
        </is>
      </c>
      <c r="E7411" t="inlineStr">
        <is>
          <t>VILHELMINA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59677-2025</t>
        </is>
      </c>
      <c r="B7412" s="1" t="n">
        <v>45992.46918981482</v>
      </c>
      <c r="C7412" s="1" t="n">
        <v>46145</v>
      </c>
      <c r="D7412" t="inlineStr">
        <is>
          <t>VÄSTERBOTTENS LÄN</t>
        </is>
      </c>
      <c r="E7412" t="inlineStr">
        <is>
          <t>SKELLEFTEÅ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37937-2023</t>
        </is>
      </c>
      <c r="B7413" s="1" t="n">
        <v>45159</v>
      </c>
      <c r="C7413" s="1" t="n">
        <v>46145</v>
      </c>
      <c r="D7413" t="inlineStr">
        <is>
          <t>VÄSTERBOTTENS LÄN</t>
        </is>
      </c>
      <c r="E7413" t="inlineStr">
        <is>
          <t>VILHELMINA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59356-2025</t>
        </is>
      </c>
      <c r="B7414" s="1" t="n">
        <v>45989.42163194445</v>
      </c>
      <c r="C7414" s="1" t="n">
        <v>46145</v>
      </c>
      <c r="D7414" t="inlineStr">
        <is>
          <t>VÄSTERBOTTENS LÄN</t>
        </is>
      </c>
      <c r="E7414" t="inlineStr">
        <is>
          <t>SKELLEFTEÅ</t>
        </is>
      </c>
      <c r="F7414" t="inlineStr">
        <is>
          <t>Holmen skog AB</t>
        </is>
      </c>
      <c r="G7414" t="n">
        <v>24.4</v>
      </c>
      <c r="H7414" t="n">
        <v>0</v>
      </c>
      <c r="I7414" t="n">
        <v>0</v>
      </c>
      <c r="J7414" t="n">
        <v>0</v>
      </c>
      <c r="K7414" t="n">
        <v>0</v>
      </c>
      <c r="L7414" t="n">
        <v>0</v>
      </c>
      <c r="M7414" t="n">
        <v>0</v>
      </c>
      <c r="N7414" t="n">
        <v>0</v>
      </c>
      <c r="O7414" t="n">
        <v>0</v>
      </c>
      <c r="P7414" t="n">
        <v>0</v>
      </c>
      <c r="Q7414" t="n">
        <v>0</v>
      </c>
      <c r="R7414" s="2" t="inlineStr"/>
    </row>
    <row r="7415" ht="15" customHeight="1">
      <c r="A7415" t="inlineStr">
        <is>
          <t>A 59375-2025</t>
        </is>
      </c>
      <c r="B7415" s="1" t="n">
        <v>45989.44947916667</v>
      </c>
      <c r="C7415" s="1" t="n">
        <v>46145</v>
      </c>
      <c r="D7415" t="inlineStr">
        <is>
          <t>VÄSTERBOTTENS LÄN</t>
        </is>
      </c>
      <c r="E7415" t="inlineStr">
        <is>
          <t>NORSJÖ</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21041-2024</t>
        </is>
      </c>
      <c r="B7416" s="1" t="n">
        <v>45439.666875</v>
      </c>
      <c r="C7416" s="1" t="n">
        <v>46145</v>
      </c>
      <c r="D7416" t="inlineStr">
        <is>
          <t>VÄSTERBOTTENS LÄN</t>
        </is>
      </c>
      <c r="E7416" t="inlineStr">
        <is>
          <t>VÄNNÄS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59448-2025</t>
        </is>
      </c>
      <c r="B7417" s="1" t="n">
        <v>45989.56814814815</v>
      </c>
      <c r="C7417" s="1" t="n">
        <v>46145</v>
      </c>
      <c r="D7417" t="inlineStr">
        <is>
          <t>VÄSTERBOTTENS LÄN</t>
        </is>
      </c>
      <c r="E7417" t="inlineStr">
        <is>
          <t>MALÅ</t>
        </is>
      </c>
      <c r="F7417" t="inlineStr">
        <is>
          <t>Sveaskog</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21077-2024</t>
        </is>
      </c>
      <c r="B7418" s="1" t="n">
        <v>45439.92695601852</v>
      </c>
      <c r="C7418" s="1" t="n">
        <v>46145</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21084-2024</t>
        </is>
      </c>
      <c r="B7419" s="1" t="n">
        <v>45439</v>
      </c>
      <c r="C7419" s="1" t="n">
        <v>46145</v>
      </c>
      <c r="D7419" t="inlineStr">
        <is>
          <t>VÄSTERBOTTENS LÄN</t>
        </is>
      </c>
      <c r="E7419" t="inlineStr">
        <is>
          <t>UMEÅ</t>
        </is>
      </c>
      <c r="F7419" t="inlineStr">
        <is>
          <t>Kommuner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40347-2024</t>
        </is>
      </c>
      <c r="B7420" s="1" t="n">
        <v>45555.35193287037</v>
      </c>
      <c r="C7420" s="1" t="n">
        <v>46145</v>
      </c>
      <c r="D7420" t="inlineStr">
        <is>
          <t>VÄSTERBOTTENS LÄN</t>
        </is>
      </c>
      <c r="E7420" t="inlineStr">
        <is>
          <t>SKELLEFTEÅ</t>
        </is>
      </c>
      <c r="F7420" t="inlineStr">
        <is>
          <t>Kommuner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38583-2022</t>
        </is>
      </c>
      <c r="B7421" s="1" t="n">
        <v>44813.48686342593</v>
      </c>
      <c r="C7421" s="1" t="n">
        <v>46145</v>
      </c>
      <c r="D7421" t="inlineStr">
        <is>
          <t>VÄSTERBOTTENS LÄN</t>
        </is>
      </c>
      <c r="E7421" t="inlineStr">
        <is>
          <t>VINDELN</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17460-2024</t>
        </is>
      </c>
      <c r="B7422" s="1" t="n">
        <v>45415</v>
      </c>
      <c r="C7422" s="1" t="n">
        <v>46145</v>
      </c>
      <c r="D7422" t="inlineStr">
        <is>
          <t>VÄSTERBOTTENS LÄN</t>
        </is>
      </c>
      <c r="E7422" t="inlineStr">
        <is>
          <t>LYCKSELE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59513-2025</t>
        </is>
      </c>
      <c r="B7423" s="1" t="n">
        <v>45989</v>
      </c>
      <c r="C7423" s="1" t="n">
        <v>46145</v>
      </c>
      <c r="D7423" t="inlineStr">
        <is>
          <t>VÄSTERBOTTENS LÄN</t>
        </is>
      </c>
      <c r="E7423" t="inlineStr">
        <is>
          <t>NORSJÖ</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59732-2025</t>
        </is>
      </c>
      <c r="B7424" s="1" t="n">
        <v>45992.57090277778</v>
      </c>
      <c r="C7424" s="1" t="n">
        <v>46145</v>
      </c>
      <c r="D7424" t="inlineStr">
        <is>
          <t>VÄSTERBOTTENS LÄN</t>
        </is>
      </c>
      <c r="E7424" t="inlineStr">
        <is>
          <t>SKELLEFTEÅ</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59736-2025</t>
        </is>
      </c>
      <c r="B7425" s="1" t="n">
        <v>45992.57357638889</v>
      </c>
      <c r="C7425" s="1" t="n">
        <v>46145</v>
      </c>
      <c r="D7425" t="inlineStr">
        <is>
          <t>VÄSTERBOTTENS LÄN</t>
        </is>
      </c>
      <c r="E7425" t="inlineStr">
        <is>
          <t>LYCKSELE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43496-2024</t>
        </is>
      </c>
      <c r="B7426" s="1" t="n">
        <v>45568.93936342592</v>
      </c>
      <c r="C7426" s="1" t="n">
        <v>46145</v>
      </c>
      <c r="D7426" t="inlineStr">
        <is>
          <t>VÄSTERBOTTENS LÄN</t>
        </is>
      </c>
      <c r="E7426" t="inlineStr">
        <is>
          <t>VINDELN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59344-2025</t>
        </is>
      </c>
      <c r="B7427" s="1" t="n">
        <v>45989.39167824074</v>
      </c>
      <c r="C7427" s="1" t="n">
        <v>46145</v>
      </c>
      <c r="D7427" t="inlineStr">
        <is>
          <t>VÄSTERBOTTENS LÄN</t>
        </is>
      </c>
      <c r="E7427" t="inlineStr">
        <is>
          <t>UMEÅ</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59347-2025</t>
        </is>
      </c>
      <c r="B7428" s="1" t="n">
        <v>45989.39966435185</v>
      </c>
      <c r="C7428" s="1" t="n">
        <v>46145</v>
      </c>
      <c r="D7428" t="inlineStr">
        <is>
          <t>VÄSTERBOTTENS LÄN</t>
        </is>
      </c>
      <c r="E7428" t="inlineStr">
        <is>
          <t>SKELLEFTEÅ</t>
        </is>
      </c>
      <c r="F7428" t="inlineStr">
        <is>
          <t>Holmen skog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59349-2025</t>
        </is>
      </c>
      <c r="B7429" s="1" t="n">
        <v>45989.40206018519</v>
      </c>
      <c r="C7429" s="1" t="n">
        <v>46145</v>
      </c>
      <c r="D7429" t="inlineStr">
        <is>
          <t>VÄSTERBOTTENS LÄN</t>
        </is>
      </c>
      <c r="E7429" t="inlineStr">
        <is>
          <t>SKELLEFTEÅ</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63525-2023</t>
        </is>
      </c>
      <c r="B7430" s="1" t="n">
        <v>45274</v>
      </c>
      <c r="C7430" s="1" t="n">
        <v>46145</v>
      </c>
      <c r="D7430" t="inlineStr">
        <is>
          <t>VÄSTERBOTTENS LÄN</t>
        </is>
      </c>
      <c r="E7430" t="inlineStr">
        <is>
          <t>SKELLEFTEÅ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59734-2025</t>
        </is>
      </c>
      <c r="B7431" s="1" t="n">
        <v>45992.57311342593</v>
      </c>
      <c r="C7431" s="1" t="n">
        <v>46145</v>
      </c>
      <c r="D7431" t="inlineStr">
        <is>
          <t>VÄSTERBOTTENS LÄN</t>
        </is>
      </c>
      <c r="E7431" t="inlineStr">
        <is>
          <t>UMEÅ</t>
        </is>
      </c>
      <c r="F7431" t="inlineStr">
        <is>
          <t>Holmen skog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59816-2025</t>
        </is>
      </c>
      <c r="B7432" s="1" t="n">
        <v>45992</v>
      </c>
      <c r="C7432" s="1" t="n">
        <v>46145</v>
      </c>
      <c r="D7432" t="inlineStr">
        <is>
          <t>VÄSTERBOTTENS LÄN</t>
        </is>
      </c>
      <c r="E7432" t="inlineStr">
        <is>
          <t>LYCKSELE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59818-2025</t>
        </is>
      </c>
      <c r="B7433" s="1" t="n">
        <v>45992.63871527778</v>
      </c>
      <c r="C7433" s="1" t="n">
        <v>46145</v>
      </c>
      <c r="D7433" t="inlineStr">
        <is>
          <t>VÄSTERBOTTENS LÄN</t>
        </is>
      </c>
      <c r="E7433" t="inlineStr">
        <is>
          <t>LYCKSELE</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41099-2024</t>
        </is>
      </c>
      <c r="B7434" s="1" t="n">
        <v>45559.43377314815</v>
      </c>
      <c r="C7434" s="1" t="n">
        <v>46145</v>
      </c>
      <c r="D7434" t="inlineStr">
        <is>
          <t>VÄSTERBOTTENS LÄN</t>
        </is>
      </c>
      <c r="E7434" t="inlineStr">
        <is>
          <t>VINDELN</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59689-2024</t>
        </is>
      </c>
      <c r="B7435" s="1" t="n">
        <v>45639.40660879629</v>
      </c>
      <c r="C7435" s="1" t="n">
        <v>46145</v>
      </c>
      <c r="D7435" t="inlineStr">
        <is>
          <t>VÄSTERBOTTENS LÄN</t>
        </is>
      </c>
      <c r="E7435" t="inlineStr">
        <is>
          <t>SKELLEFTEÅ</t>
        </is>
      </c>
      <c r="F7435" t="inlineStr">
        <is>
          <t>Holmen skog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41118-2024</t>
        </is>
      </c>
      <c r="B7436" s="1" t="n">
        <v>45559.45327546296</v>
      </c>
      <c r="C7436" s="1" t="n">
        <v>46145</v>
      </c>
      <c r="D7436" t="inlineStr">
        <is>
          <t>VÄSTERBOTTENS LÄN</t>
        </is>
      </c>
      <c r="E7436" t="inlineStr">
        <is>
          <t>SKELLEFTEÅ</t>
        </is>
      </c>
      <c r="F7436" t="inlineStr">
        <is>
          <t>Holmen skog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59279-2025</t>
        </is>
      </c>
      <c r="B7437" s="1" t="n">
        <v>45988</v>
      </c>
      <c r="C7437" s="1" t="n">
        <v>46145</v>
      </c>
      <c r="D7437" t="inlineStr">
        <is>
          <t>VÄSTERBOTTENS LÄN</t>
        </is>
      </c>
      <c r="E7437" t="inlineStr">
        <is>
          <t>BJURHOLM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59345-2025</t>
        </is>
      </c>
      <c r="B7438" s="1" t="n">
        <v>45989.39247685186</v>
      </c>
      <c r="C7438" s="1" t="n">
        <v>46145</v>
      </c>
      <c r="D7438" t="inlineStr">
        <is>
          <t>VÄSTERBOTTENS LÄN</t>
        </is>
      </c>
      <c r="E7438" t="inlineStr">
        <is>
          <t>SKELLEFTEÅ</t>
        </is>
      </c>
      <c r="F7438" t="inlineStr">
        <is>
          <t>Holmen skog AB</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59416-2025</t>
        </is>
      </c>
      <c r="B7439" s="1" t="n">
        <v>45989.50570601852</v>
      </c>
      <c r="C7439" s="1" t="n">
        <v>46145</v>
      </c>
      <c r="D7439" t="inlineStr">
        <is>
          <t>VÄSTERBOTTENS LÄN</t>
        </is>
      </c>
      <c r="E7439" t="inlineStr">
        <is>
          <t>SKELLEFTEÅ</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41537-2023</t>
        </is>
      </c>
      <c r="B7440" s="1" t="n">
        <v>45172</v>
      </c>
      <c r="C7440" s="1" t="n">
        <v>46145</v>
      </c>
      <c r="D7440" t="inlineStr">
        <is>
          <t>VÄSTERBOTTENS LÄN</t>
        </is>
      </c>
      <c r="E7440" t="inlineStr">
        <is>
          <t>NORSJÖ</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42171-2023</t>
        </is>
      </c>
      <c r="B7441" s="1" t="n">
        <v>45178.40459490741</v>
      </c>
      <c r="C7441" s="1" t="n">
        <v>46145</v>
      </c>
      <c r="D7441" t="inlineStr">
        <is>
          <t>VÄSTERBOTTENS LÄN</t>
        </is>
      </c>
      <c r="E7441" t="inlineStr">
        <is>
          <t>STORUMAN</t>
        </is>
      </c>
      <c r="G7441" t="n">
        <v>10</v>
      </c>
      <c r="H7441" t="n">
        <v>0</v>
      </c>
      <c r="I7441" t="n">
        <v>0</v>
      </c>
      <c r="J7441" t="n">
        <v>0</v>
      </c>
      <c r="K7441" t="n">
        <v>0</v>
      </c>
      <c r="L7441" t="n">
        <v>0</v>
      </c>
      <c r="M7441" t="n">
        <v>0</v>
      </c>
      <c r="N7441" t="n">
        <v>0</v>
      </c>
      <c r="O7441" t="n">
        <v>0</v>
      </c>
      <c r="P7441" t="n">
        <v>0</v>
      </c>
      <c r="Q7441" t="n">
        <v>0</v>
      </c>
      <c r="R7441" s="2" t="inlineStr"/>
    </row>
    <row r="7442" ht="15" customHeight="1">
      <c r="A7442" t="inlineStr">
        <is>
          <t>A 49557-2024</t>
        </is>
      </c>
      <c r="B7442" s="1" t="n">
        <v>45596.46950231482</v>
      </c>
      <c r="C7442" s="1" t="n">
        <v>46145</v>
      </c>
      <c r="D7442" t="inlineStr">
        <is>
          <t>VÄSTERBOTTENS LÄN</t>
        </is>
      </c>
      <c r="E7442" t="inlineStr">
        <is>
          <t>VINDELN</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56784-2024</t>
        </is>
      </c>
      <c r="B7443" s="1" t="n">
        <v>45628</v>
      </c>
      <c r="C7443" s="1" t="n">
        <v>46145</v>
      </c>
      <c r="D7443" t="inlineStr">
        <is>
          <t>VÄSTERBOTTENS LÄN</t>
        </is>
      </c>
      <c r="E7443" t="inlineStr">
        <is>
          <t>VINDELN</t>
        </is>
      </c>
      <c r="F7443" t="inlineStr">
        <is>
          <t>Holmen skog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32226-2024</t>
        </is>
      </c>
      <c r="B7444" s="1" t="n">
        <v>45511.92831018518</v>
      </c>
      <c r="C7444" s="1" t="n">
        <v>46145</v>
      </c>
      <c r="D7444" t="inlineStr">
        <is>
          <t>VÄSTERBOTTENS LÄN</t>
        </is>
      </c>
      <c r="E7444" t="inlineStr">
        <is>
          <t>NORSJÖ</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48970-2024</t>
        </is>
      </c>
      <c r="B7445" s="1" t="n">
        <v>45594.4621412037</v>
      </c>
      <c r="C7445" s="1" t="n">
        <v>46145</v>
      </c>
      <c r="D7445" t="inlineStr">
        <is>
          <t>VÄSTERBOTTENS LÄN</t>
        </is>
      </c>
      <c r="E7445" t="inlineStr">
        <is>
          <t>SORSELE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59443-2025</t>
        </is>
      </c>
      <c r="B7446" s="1" t="n">
        <v>45989.56253472222</v>
      </c>
      <c r="C7446" s="1" t="n">
        <v>46145</v>
      </c>
      <c r="D7446" t="inlineStr">
        <is>
          <t>VÄSTERBOTTENS LÄN</t>
        </is>
      </c>
      <c r="E7446" t="inlineStr">
        <is>
          <t>MALÅ</t>
        </is>
      </c>
      <c r="F7446" t="inlineStr">
        <is>
          <t>Sveaskog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59457-2025</t>
        </is>
      </c>
      <c r="B7447" s="1" t="n">
        <v>45989.57658564814</v>
      </c>
      <c r="C7447" s="1" t="n">
        <v>46145</v>
      </c>
      <c r="D7447" t="inlineStr">
        <is>
          <t>VÄSTERBOTTENS LÄN</t>
        </is>
      </c>
      <c r="E7447" t="inlineStr">
        <is>
          <t>MALÅ</t>
        </is>
      </c>
      <c r="F7447" t="inlineStr">
        <is>
          <t>Sveaskog</t>
        </is>
      </c>
      <c r="G7447" t="n">
        <v>12.4</v>
      </c>
      <c r="H7447" t="n">
        <v>0</v>
      </c>
      <c r="I7447" t="n">
        <v>0</v>
      </c>
      <c r="J7447" t="n">
        <v>0</v>
      </c>
      <c r="K7447" t="n">
        <v>0</v>
      </c>
      <c r="L7447" t="n">
        <v>0</v>
      </c>
      <c r="M7447" t="n">
        <v>0</v>
      </c>
      <c r="N7447" t="n">
        <v>0</v>
      </c>
      <c r="O7447" t="n">
        <v>0</v>
      </c>
      <c r="P7447" t="n">
        <v>0</v>
      </c>
      <c r="Q7447" t="n">
        <v>0</v>
      </c>
      <c r="R7447" s="2" t="inlineStr"/>
    </row>
    <row r="7448" ht="15" customHeight="1">
      <c r="A7448" t="inlineStr">
        <is>
          <t>A 59458-2025</t>
        </is>
      </c>
      <c r="B7448" s="1" t="n">
        <v>45989.5778125</v>
      </c>
      <c r="C7448" s="1" t="n">
        <v>46145</v>
      </c>
      <c r="D7448" t="inlineStr">
        <is>
          <t>VÄSTERBOTTENS LÄN</t>
        </is>
      </c>
      <c r="E7448" t="inlineStr">
        <is>
          <t>LYCKSELE</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40274-2023</t>
        </is>
      </c>
      <c r="B7449" s="1" t="n">
        <v>45169.55936342593</v>
      </c>
      <c r="C7449" s="1" t="n">
        <v>46145</v>
      </c>
      <c r="D7449" t="inlineStr">
        <is>
          <t>VÄSTERBOTTENS LÄN</t>
        </is>
      </c>
      <c r="E7449" t="inlineStr">
        <is>
          <t>SKELLEFTEÅ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29722-2024</t>
        </is>
      </c>
      <c r="B7450" s="1" t="n">
        <v>45485</v>
      </c>
      <c r="C7450" s="1" t="n">
        <v>46145</v>
      </c>
      <c r="D7450" t="inlineStr">
        <is>
          <t>VÄSTERBOTTENS LÄN</t>
        </is>
      </c>
      <c r="E7450" t="inlineStr">
        <is>
          <t>VILHELMINA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59821-2025</t>
        </is>
      </c>
      <c r="B7451" s="1" t="n">
        <v>45992.64299768519</v>
      </c>
      <c r="C7451" s="1" t="n">
        <v>46145</v>
      </c>
      <c r="D7451" t="inlineStr">
        <is>
          <t>VÄSTERBOTTENS LÄN</t>
        </is>
      </c>
      <c r="E7451" t="inlineStr">
        <is>
          <t>LYCKSELE</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59825-2025</t>
        </is>
      </c>
      <c r="B7452" s="1" t="n">
        <v>45992.65414351852</v>
      </c>
      <c r="C7452" s="1" t="n">
        <v>46145</v>
      </c>
      <c r="D7452" t="inlineStr">
        <is>
          <t>VÄSTERBOTTENS LÄN</t>
        </is>
      </c>
      <c r="E7452" t="inlineStr">
        <is>
          <t>LYCKSELE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59346-2025</t>
        </is>
      </c>
      <c r="B7453" s="1" t="n">
        <v>45989.39722222222</v>
      </c>
      <c r="C7453" s="1" t="n">
        <v>46145</v>
      </c>
      <c r="D7453" t="inlineStr">
        <is>
          <t>VÄSTERBOTTENS LÄN</t>
        </is>
      </c>
      <c r="E7453" t="inlineStr">
        <is>
          <t>SKELLEFTEÅ</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59716-2024</t>
        </is>
      </c>
      <c r="B7454" s="1" t="n">
        <v>45639.45857638889</v>
      </c>
      <c r="C7454" s="1" t="n">
        <v>46145</v>
      </c>
      <c r="D7454" t="inlineStr">
        <is>
          <t>VÄSTERBOTTENS LÄN</t>
        </is>
      </c>
      <c r="E7454" t="inlineStr">
        <is>
          <t>VÄNNÄS</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59678-2025</t>
        </is>
      </c>
      <c r="B7455" s="1" t="n">
        <v>45992.46927083333</v>
      </c>
      <c r="C7455" s="1" t="n">
        <v>46145</v>
      </c>
      <c r="D7455" t="inlineStr">
        <is>
          <t>VÄSTERBOTTENS LÄN</t>
        </is>
      </c>
      <c r="E7455" t="inlineStr">
        <is>
          <t>SKELLEFTEÅ</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36327-2023</t>
        </is>
      </c>
      <c r="B7456" s="1" t="n">
        <v>45152</v>
      </c>
      <c r="C7456" s="1" t="n">
        <v>46145</v>
      </c>
      <c r="D7456" t="inlineStr">
        <is>
          <t>VÄSTERBOTTENS LÄN</t>
        </is>
      </c>
      <c r="E7456" t="inlineStr">
        <is>
          <t>SKELLEFTEÅ</t>
        </is>
      </c>
      <c r="F7456" t="inlineStr">
        <is>
          <t>Holmen skog AB</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26708-2024</t>
        </is>
      </c>
      <c r="B7457" s="1" t="n">
        <v>45470</v>
      </c>
      <c r="C7457" s="1" t="n">
        <v>46145</v>
      </c>
      <c r="D7457" t="inlineStr">
        <is>
          <t>VÄSTERBOTTENS LÄN</t>
        </is>
      </c>
      <c r="E7457" t="inlineStr">
        <is>
          <t>SKELLEFTEÅ</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26717-2024</t>
        </is>
      </c>
      <c r="B7458" s="1" t="n">
        <v>45470.40854166666</v>
      </c>
      <c r="C7458" s="1" t="n">
        <v>46145</v>
      </c>
      <c r="D7458" t="inlineStr">
        <is>
          <t>VÄSTERBOTTENS LÄN</t>
        </is>
      </c>
      <c r="E7458" t="inlineStr">
        <is>
          <t>LYCKSELE</t>
        </is>
      </c>
      <c r="F7458" t="inlineStr">
        <is>
          <t>Sveaskog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27249-2024</t>
        </is>
      </c>
      <c r="B7459" s="1" t="n">
        <v>45471</v>
      </c>
      <c r="C7459" s="1" t="n">
        <v>46145</v>
      </c>
      <c r="D7459" t="inlineStr">
        <is>
          <t>VÄSTERBOTTENS LÄN</t>
        </is>
      </c>
      <c r="E7459" t="inlineStr">
        <is>
          <t>VINDELN</t>
        </is>
      </c>
      <c r="F7459" t="inlineStr">
        <is>
          <t>Holmen skog AB</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59506-2025</t>
        </is>
      </c>
      <c r="B7460" s="1" t="n">
        <v>45989</v>
      </c>
      <c r="C7460" s="1" t="n">
        <v>46145</v>
      </c>
      <c r="D7460" t="inlineStr">
        <is>
          <t>VÄSTERBOTTENS LÄN</t>
        </is>
      </c>
      <c r="E7460" t="inlineStr">
        <is>
          <t>VILHELMINA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44622-2023</t>
        </is>
      </c>
      <c r="B7461" s="1" t="n">
        <v>45184</v>
      </c>
      <c r="C7461" s="1" t="n">
        <v>46145</v>
      </c>
      <c r="D7461" t="inlineStr">
        <is>
          <t>VÄSTERBOTTENS LÄN</t>
        </is>
      </c>
      <c r="E7461" t="inlineStr">
        <is>
          <t>NORSJÖ</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44629-2023</t>
        </is>
      </c>
      <c r="B7462" s="1" t="n">
        <v>45189</v>
      </c>
      <c r="C7462" s="1" t="n">
        <v>46145</v>
      </c>
      <c r="D7462" t="inlineStr">
        <is>
          <t>VÄSTERBOTTENS LÄN</t>
        </is>
      </c>
      <c r="E7462" t="inlineStr">
        <is>
          <t>BJURHOLM</t>
        </is>
      </c>
      <c r="G7462" t="n">
        <v>15.6</v>
      </c>
      <c r="H7462" t="n">
        <v>0</v>
      </c>
      <c r="I7462" t="n">
        <v>0</v>
      </c>
      <c r="J7462" t="n">
        <v>0</v>
      </c>
      <c r="K7462" t="n">
        <v>0</v>
      </c>
      <c r="L7462" t="n">
        <v>0</v>
      </c>
      <c r="M7462" t="n">
        <v>0</v>
      </c>
      <c r="N7462" t="n">
        <v>0</v>
      </c>
      <c r="O7462" t="n">
        <v>0</v>
      </c>
      <c r="P7462" t="n">
        <v>0</v>
      </c>
      <c r="Q7462" t="n">
        <v>0</v>
      </c>
      <c r="R7462" s="2" t="inlineStr"/>
    </row>
    <row r="7463" ht="15" customHeight="1">
      <c r="A7463" t="inlineStr">
        <is>
          <t>A 59518-2024</t>
        </is>
      </c>
      <c r="B7463" s="1" t="n">
        <v>45638.5696875</v>
      </c>
      <c r="C7463" s="1" t="n">
        <v>46145</v>
      </c>
      <c r="D7463" t="inlineStr">
        <is>
          <t>VÄSTERBOTTENS LÄN</t>
        </is>
      </c>
      <c r="E7463" t="inlineStr">
        <is>
          <t>NORDMALING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52045-2024</t>
        </is>
      </c>
      <c r="B7464" s="1" t="n">
        <v>45604</v>
      </c>
      <c r="C7464" s="1" t="n">
        <v>46145</v>
      </c>
      <c r="D7464" t="inlineStr">
        <is>
          <t>VÄSTERBOTTENS LÄN</t>
        </is>
      </c>
      <c r="E7464" t="inlineStr">
        <is>
          <t>NORSJÖ</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59453-2025</t>
        </is>
      </c>
      <c r="B7465" s="1" t="n">
        <v>45989.57416666667</v>
      </c>
      <c r="C7465" s="1" t="n">
        <v>46145</v>
      </c>
      <c r="D7465" t="inlineStr">
        <is>
          <t>VÄSTERBOTTENS LÄN</t>
        </is>
      </c>
      <c r="E7465" t="inlineStr">
        <is>
          <t>NORSJÖ</t>
        </is>
      </c>
      <c r="F7465" t="inlineStr">
        <is>
          <t>Sveaskog</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59467-2025</t>
        </is>
      </c>
      <c r="B7466" s="1" t="n">
        <v>45989.58118055556</v>
      </c>
      <c r="C7466" s="1" t="n">
        <v>46145</v>
      </c>
      <c r="D7466" t="inlineStr">
        <is>
          <t>VÄSTERBOTTENS LÄN</t>
        </is>
      </c>
      <c r="E7466" t="inlineStr">
        <is>
          <t>LYCKSELE</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59351-2025</t>
        </is>
      </c>
      <c r="B7467" s="1" t="n">
        <v>45989.40489583334</v>
      </c>
      <c r="C7467" s="1" t="n">
        <v>46145</v>
      </c>
      <c r="D7467" t="inlineStr">
        <is>
          <t>VÄSTERBOTTENS LÄN</t>
        </is>
      </c>
      <c r="E7467" t="inlineStr">
        <is>
          <t>STORUMAN</t>
        </is>
      </c>
      <c r="F7467" t="inlineStr">
        <is>
          <t>Övriga statliga verk och myndigheter</t>
        </is>
      </c>
      <c r="G7467" t="n">
        <v>67.59999999999999</v>
      </c>
      <c r="H7467" t="n">
        <v>0</v>
      </c>
      <c r="I7467" t="n">
        <v>0</v>
      </c>
      <c r="J7467" t="n">
        <v>0</v>
      </c>
      <c r="K7467" t="n">
        <v>0</v>
      </c>
      <c r="L7467" t="n">
        <v>0</v>
      </c>
      <c r="M7467" t="n">
        <v>0</v>
      </c>
      <c r="N7467" t="n">
        <v>0</v>
      </c>
      <c r="O7467" t="n">
        <v>0</v>
      </c>
      <c r="P7467" t="n">
        <v>0</v>
      </c>
      <c r="Q7467" t="n">
        <v>0</v>
      </c>
      <c r="R7467" s="2" t="inlineStr"/>
    </row>
    <row r="7468" ht="15" customHeight="1">
      <c r="A7468" t="inlineStr">
        <is>
          <t>A 21996-2023</t>
        </is>
      </c>
      <c r="B7468" s="1" t="n">
        <v>45068.92681712963</v>
      </c>
      <c r="C7468" s="1" t="n">
        <v>46145</v>
      </c>
      <c r="D7468" t="inlineStr">
        <is>
          <t>VÄSTERBOTTENS LÄN</t>
        </is>
      </c>
      <c r="E7468" t="inlineStr">
        <is>
          <t>NORSJÖ</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22000-2023</t>
        </is>
      </c>
      <c r="B7469" s="1" t="n">
        <v>45068.92700231481</v>
      </c>
      <c r="C7469" s="1" t="n">
        <v>46145</v>
      </c>
      <c r="D7469" t="inlineStr">
        <is>
          <t>VÄSTERBOTTENS LÄN</t>
        </is>
      </c>
      <c r="E7469" t="inlineStr">
        <is>
          <t>UMEÅ</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16261-2025</t>
        </is>
      </c>
      <c r="B7470" s="1" t="n">
        <v>45750.74388888889</v>
      </c>
      <c r="C7470" s="1" t="n">
        <v>46145</v>
      </c>
      <c r="D7470" t="inlineStr">
        <is>
          <t>VÄSTERBOTTENS LÄN</t>
        </is>
      </c>
      <c r="E7470" t="inlineStr">
        <is>
          <t>SKELLEFTEÅ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2148-2024</t>
        </is>
      </c>
      <c r="B7471" s="1" t="n">
        <v>45309</v>
      </c>
      <c r="C7471" s="1" t="n">
        <v>46145</v>
      </c>
      <c r="D7471" t="inlineStr">
        <is>
          <t>VÄSTERBOTTENS LÄN</t>
        </is>
      </c>
      <c r="E7471" t="inlineStr">
        <is>
          <t>UMEÅ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47514-2024</t>
        </is>
      </c>
      <c r="B7472" s="1" t="n">
        <v>45587</v>
      </c>
      <c r="C7472" s="1" t="n">
        <v>46145</v>
      </c>
      <c r="D7472" t="inlineStr">
        <is>
          <t>VÄSTERBOTTENS LÄN</t>
        </is>
      </c>
      <c r="E7472" t="inlineStr">
        <is>
          <t>SKELLEFTEÅ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40967-2024</t>
        </is>
      </c>
      <c r="B7473" s="1" t="n">
        <v>45558.67306712963</v>
      </c>
      <c r="C7473" s="1" t="n">
        <v>46145</v>
      </c>
      <c r="D7473" t="inlineStr">
        <is>
          <t>VÄSTERBOTTENS LÄN</t>
        </is>
      </c>
      <c r="E7473" t="inlineStr">
        <is>
          <t>SKELLEFTEÅ</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39789-2024</t>
        </is>
      </c>
      <c r="B7474" s="1" t="n">
        <v>45553</v>
      </c>
      <c r="C7474" s="1" t="n">
        <v>46145</v>
      </c>
      <c r="D7474" t="inlineStr">
        <is>
          <t>VÄSTERBOTTENS LÄN</t>
        </is>
      </c>
      <c r="E7474" t="inlineStr">
        <is>
          <t>ROBERTSFORS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40982-2024</t>
        </is>
      </c>
      <c r="B7475" s="1" t="n">
        <v>45558.69835648148</v>
      </c>
      <c r="C7475" s="1" t="n">
        <v>46145</v>
      </c>
      <c r="D7475" t="inlineStr">
        <is>
          <t>VÄSTERBOTTENS LÄN</t>
        </is>
      </c>
      <c r="E7475" t="inlineStr">
        <is>
          <t>SORSELE</t>
        </is>
      </c>
      <c r="F7475" t="inlineStr">
        <is>
          <t>SCA</t>
        </is>
      </c>
      <c r="G7475" t="n">
        <v>15.7</v>
      </c>
      <c r="H7475" t="n">
        <v>0</v>
      </c>
      <c r="I7475" t="n">
        <v>0</v>
      </c>
      <c r="J7475" t="n">
        <v>0</v>
      </c>
      <c r="K7475" t="n">
        <v>0</v>
      </c>
      <c r="L7475" t="n">
        <v>0</v>
      </c>
      <c r="M7475" t="n">
        <v>0</v>
      </c>
      <c r="N7475" t="n">
        <v>0</v>
      </c>
      <c r="O7475" t="n">
        <v>0</v>
      </c>
      <c r="P7475" t="n">
        <v>0</v>
      </c>
      <c r="Q7475" t="n">
        <v>0</v>
      </c>
      <c r="R7475" s="2" t="inlineStr"/>
    </row>
    <row r="7476" ht="15" customHeight="1">
      <c r="A7476" t="inlineStr">
        <is>
          <t>A 6994-2025</t>
        </is>
      </c>
      <c r="B7476" s="1" t="n">
        <v>45701</v>
      </c>
      <c r="C7476" s="1" t="n">
        <v>46145</v>
      </c>
      <c r="D7476" t="inlineStr">
        <is>
          <t>VÄSTERBOTTENS LÄN</t>
        </is>
      </c>
      <c r="E7476" t="inlineStr">
        <is>
          <t>ROBERTSFORS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44018-2024</t>
        </is>
      </c>
      <c r="B7477" s="1" t="n">
        <v>45572</v>
      </c>
      <c r="C7477" s="1" t="n">
        <v>46145</v>
      </c>
      <c r="D7477" t="inlineStr">
        <is>
          <t>VÄSTERBOTTENS LÄN</t>
        </is>
      </c>
      <c r="E7477" t="inlineStr">
        <is>
          <t>MALÅ</t>
        </is>
      </c>
      <c r="F7477" t="inlineStr">
        <is>
          <t>Kommuner</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44801-2023</t>
        </is>
      </c>
      <c r="B7478" s="1" t="n">
        <v>45190.47796296296</v>
      </c>
      <c r="C7478" s="1" t="n">
        <v>46145</v>
      </c>
      <c r="D7478" t="inlineStr">
        <is>
          <t>VÄSTERBOTTENS LÄN</t>
        </is>
      </c>
      <c r="E7478" t="inlineStr">
        <is>
          <t>ÅSELE</t>
        </is>
      </c>
      <c r="F7478" t="inlineStr">
        <is>
          <t>Naturvårdsverket</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59753-2025</t>
        </is>
      </c>
      <c r="B7479" s="1" t="n">
        <v>45992.58590277778</v>
      </c>
      <c r="C7479" s="1" t="n">
        <v>46145</v>
      </c>
      <c r="D7479" t="inlineStr">
        <is>
          <t>VÄSTERBOTTENS LÄN</t>
        </is>
      </c>
      <c r="E7479" t="inlineStr">
        <is>
          <t>UMEÅ</t>
        </is>
      </c>
      <c r="F7479" t="inlineStr">
        <is>
          <t>Holmen skog AB</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59760-2025</t>
        </is>
      </c>
      <c r="B7480" s="1" t="n">
        <v>45992.59212962963</v>
      </c>
      <c r="C7480" s="1" t="n">
        <v>46145</v>
      </c>
      <c r="D7480" t="inlineStr">
        <is>
          <t>VÄSTERBOTTENS LÄN</t>
        </is>
      </c>
      <c r="E7480" t="inlineStr">
        <is>
          <t>UMEÅ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59629-2025</t>
        </is>
      </c>
      <c r="B7481" s="1" t="n">
        <v>45992.39248842592</v>
      </c>
      <c r="C7481" s="1" t="n">
        <v>46145</v>
      </c>
      <c r="D7481" t="inlineStr">
        <is>
          <t>VÄSTERBOTTENS LÄN</t>
        </is>
      </c>
      <c r="E7481" t="inlineStr">
        <is>
          <t>VILHELMINA</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59386-2025</t>
        </is>
      </c>
      <c r="B7482" s="1" t="n">
        <v>45989.45841435185</v>
      </c>
      <c r="C7482" s="1" t="n">
        <v>46145</v>
      </c>
      <c r="D7482" t="inlineStr">
        <is>
          <t>VÄSTERBOTTENS LÄN</t>
        </is>
      </c>
      <c r="E7482" t="inlineStr">
        <is>
          <t>BJURHOLM</t>
        </is>
      </c>
      <c r="F7482" t="inlineStr">
        <is>
          <t>Holmen skog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59382-2025</t>
        </is>
      </c>
      <c r="B7483" s="1" t="n">
        <v>45989.45534722223</v>
      </c>
      <c r="C7483" s="1" t="n">
        <v>46145</v>
      </c>
      <c r="D7483" t="inlineStr">
        <is>
          <t>VÄSTERBOTTENS LÄN</t>
        </is>
      </c>
      <c r="E7483" t="inlineStr">
        <is>
          <t>SKELLEFTEÅ</t>
        </is>
      </c>
      <c r="F7483" t="inlineStr">
        <is>
          <t>Holmen skog AB</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59419-2025</t>
        </is>
      </c>
      <c r="B7484" s="1" t="n">
        <v>45989.51962962963</v>
      </c>
      <c r="C7484" s="1" t="n">
        <v>46145</v>
      </c>
      <c r="D7484" t="inlineStr">
        <is>
          <t>VÄSTERBOTTENS LÄN</t>
        </is>
      </c>
      <c r="E7484" t="inlineStr">
        <is>
          <t>SKELLEFTEÅ</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73684-2021</t>
        </is>
      </c>
      <c r="B7485" s="1" t="n">
        <v>44551</v>
      </c>
      <c r="C7485" s="1" t="n">
        <v>46145</v>
      </c>
      <c r="D7485" t="inlineStr">
        <is>
          <t>VÄSTERBOTTENS LÄN</t>
        </is>
      </c>
      <c r="E7485" t="inlineStr">
        <is>
          <t>SKELLEFTEÅ</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59463-2025</t>
        </is>
      </c>
      <c r="B7486" s="1" t="n">
        <v>45989.57953703704</v>
      </c>
      <c r="C7486" s="1" t="n">
        <v>46145</v>
      </c>
      <c r="D7486" t="inlineStr">
        <is>
          <t>VÄSTERBOTTENS LÄN</t>
        </is>
      </c>
      <c r="E7486" t="inlineStr">
        <is>
          <t>MALÅ</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59473-2025</t>
        </is>
      </c>
      <c r="B7487" s="1" t="n">
        <v>45989.5844212963</v>
      </c>
      <c r="C7487" s="1" t="n">
        <v>46145</v>
      </c>
      <c r="D7487" t="inlineStr">
        <is>
          <t>VÄSTERBOTTENS LÄN</t>
        </is>
      </c>
      <c r="E7487" t="inlineStr">
        <is>
          <t>LYCKSELE</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49923-2025</t>
        </is>
      </c>
      <c r="B7488" s="1" t="n">
        <v>45939</v>
      </c>
      <c r="C7488" s="1" t="n">
        <v>46145</v>
      </c>
      <c r="D7488" t="inlineStr">
        <is>
          <t>VÄSTERBOTTENS LÄN</t>
        </is>
      </c>
      <c r="E7488" t="inlineStr">
        <is>
          <t>STORUMAN</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10753-2025</t>
        </is>
      </c>
      <c r="B7489" s="1" t="n">
        <v>45722.44828703703</v>
      </c>
      <c r="C7489" s="1" t="n">
        <v>46145</v>
      </c>
      <c r="D7489" t="inlineStr">
        <is>
          <t>VÄSTERBOTTENS LÄN</t>
        </is>
      </c>
      <c r="E7489" t="inlineStr">
        <is>
          <t>SORSELE</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59574-2025</t>
        </is>
      </c>
      <c r="B7490" s="1" t="n">
        <v>45992.29917824074</v>
      </c>
      <c r="C7490" s="1" t="n">
        <v>46145</v>
      </c>
      <c r="D7490" t="inlineStr">
        <is>
          <t>VÄSTERBOTTENS LÄN</t>
        </is>
      </c>
      <c r="E7490" t="inlineStr">
        <is>
          <t>ROBERTSFORS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59812-2025</t>
        </is>
      </c>
      <c r="B7491" s="1" t="n">
        <v>45992.63262731482</v>
      </c>
      <c r="C7491" s="1" t="n">
        <v>46145</v>
      </c>
      <c r="D7491" t="inlineStr">
        <is>
          <t>VÄSTERBOTTENS LÄN</t>
        </is>
      </c>
      <c r="E7491" t="inlineStr">
        <is>
          <t>LYCKSELE</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57571-2025</t>
        </is>
      </c>
      <c r="B7492" s="1" t="n">
        <v>45980.7933912037</v>
      </c>
      <c r="C7492" s="1" t="n">
        <v>46145</v>
      </c>
      <c r="D7492" t="inlineStr">
        <is>
          <t>VÄSTERBOTTENS LÄN</t>
        </is>
      </c>
      <c r="E7492" t="inlineStr">
        <is>
          <t>LYCKSELE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73537-2021</t>
        </is>
      </c>
      <c r="B7493" s="1" t="n">
        <v>44550</v>
      </c>
      <c r="C7493" s="1" t="n">
        <v>46145</v>
      </c>
      <c r="D7493" t="inlineStr">
        <is>
          <t>VÄSTERBOTTENS LÄN</t>
        </is>
      </c>
      <c r="E7493" t="inlineStr">
        <is>
          <t>UMEÅ</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58596-2024</t>
        </is>
      </c>
      <c r="B7494" s="1" t="n">
        <v>45635</v>
      </c>
      <c r="C7494" s="1" t="n">
        <v>46145</v>
      </c>
      <c r="D7494" t="inlineStr">
        <is>
          <t>VÄSTERBOTTENS LÄN</t>
        </is>
      </c>
      <c r="E7494" t="inlineStr">
        <is>
          <t>ÅSELE</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44367-2024</t>
        </is>
      </c>
      <c r="B7495" s="1" t="n">
        <v>45573.65248842593</v>
      </c>
      <c r="C7495" s="1" t="n">
        <v>46145</v>
      </c>
      <c r="D7495" t="inlineStr">
        <is>
          <t>VÄSTERBOTTENS LÄN</t>
        </is>
      </c>
      <c r="E7495" t="inlineStr">
        <is>
          <t>NORSJÖ</t>
        </is>
      </c>
      <c r="F7495" t="inlineStr">
        <is>
          <t>Kommuner</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60242-2025</t>
        </is>
      </c>
      <c r="B7496" s="1" t="n">
        <v>45994.58628472222</v>
      </c>
      <c r="C7496" s="1" t="n">
        <v>46145</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60616-2024</t>
        </is>
      </c>
      <c r="B7497" s="1" t="n">
        <v>45642</v>
      </c>
      <c r="C7497" s="1" t="n">
        <v>46145</v>
      </c>
      <c r="D7497" t="inlineStr">
        <is>
          <t>VÄSTERBOTTENS LÄN</t>
        </is>
      </c>
      <c r="E7497" t="inlineStr">
        <is>
          <t>MALÅ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61330-2024</t>
        </is>
      </c>
      <c r="B7498" s="1" t="n">
        <v>45645</v>
      </c>
      <c r="C7498" s="1" t="n">
        <v>46145</v>
      </c>
      <c r="D7498" t="inlineStr">
        <is>
          <t>VÄSTERBOTTENS LÄN</t>
        </is>
      </c>
      <c r="E7498" t="inlineStr">
        <is>
          <t>ÅSELE</t>
        </is>
      </c>
      <c r="F7498" t="inlineStr">
        <is>
          <t>Sveaskog</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23168-2024</t>
        </is>
      </c>
      <c r="B7499" s="1" t="n">
        <v>45450</v>
      </c>
      <c r="C7499" s="1" t="n">
        <v>46145</v>
      </c>
      <c r="D7499" t="inlineStr">
        <is>
          <t>VÄSTERBOTTENS LÄN</t>
        </is>
      </c>
      <c r="E7499" t="inlineStr">
        <is>
          <t>SKELLEFTEÅ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23181-2024</t>
        </is>
      </c>
      <c r="B7500" s="1" t="n">
        <v>45450</v>
      </c>
      <c r="C7500" s="1" t="n">
        <v>46145</v>
      </c>
      <c r="D7500" t="inlineStr">
        <is>
          <t>VÄSTERBOTTENS LÄN</t>
        </is>
      </c>
      <c r="E7500" t="inlineStr">
        <is>
          <t>BJURHOLM</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60518-2025</t>
        </is>
      </c>
      <c r="B7501" s="1" t="n">
        <v>45994</v>
      </c>
      <c r="C7501" s="1" t="n">
        <v>46145</v>
      </c>
      <c r="D7501" t="inlineStr">
        <is>
          <t>VÄSTERBOTTENS LÄN</t>
        </is>
      </c>
      <c r="E7501" t="inlineStr">
        <is>
          <t>VILHELMINA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57278-2024</t>
        </is>
      </c>
      <c r="B7502" s="1" t="n">
        <v>45629</v>
      </c>
      <c r="C7502" s="1" t="n">
        <v>46145</v>
      </c>
      <c r="D7502" t="inlineStr">
        <is>
          <t>VÄSTERBOTTENS LÄN</t>
        </is>
      </c>
      <c r="E7502" t="inlineStr">
        <is>
          <t>SKELLEFTEÅ</t>
        </is>
      </c>
      <c r="F7502" t="inlineStr">
        <is>
          <t>Holmen skog AB</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27288-2024</t>
        </is>
      </c>
      <c r="B7503" s="1" t="n">
        <v>45471.92630787037</v>
      </c>
      <c r="C7503" s="1" t="n">
        <v>46145</v>
      </c>
      <c r="D7503" t="inlineStr">
        <is>
          <t>VÄSTERBOTTENS LÄN</t>
        </is>
      </c>
      <c r="E7503" t="inlineStr">
        <is>
          <t>SKELLEFTEÅ</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23217-2024</t>
        </is>
      </c>
      <c r="B7504" s="1" t="n">
        <v>45452.64719907408</v>
      </c>
      <c r="C7504" s="1" t="n">
        <v>46145</v>
      </c>
      <c r="D7504" t="inlineStr">
        <is>
          <t>VÄSTERBOTTENS LÄN</t>
        </is>
      </c>
      <c r="E7504" t="inlineStr">
        <is>
          <t>VINDELN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59879-2025</t>
        </is>
      </c>
      <c r="B7505" s="1" t="n">
        <v>45993.2980787037</v>
      </c>
      <c r="C7505" s="1" t="n">
        <v>46145</v>
      </c>
      <c r="D7505" t="inlineStr">
        <is>
          <t>VÄSTERBOTTENS LÄN</t>
        </is>
      </c>
      <c r="E7505" t="inlineStr">
        <is>
          <t>SKELLEFTEÅ</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27297-2024</t>
        </is>
      </c>
      <c r="B7506" s="1" t="n">
        <v>45471.9431712963</v>
      </c>
      <c r="C7506" s="1" t="n">
        <v>46145</v>
      </c>
      <c r="D7506" t="inlineStr">
        <is>
          <t>VÄSTERBOTTENS LÄN</t>
        </is>
      </c>
      <c r="E7506" t="inlineStr">
        <is>
          <t>BJURHOLM</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59867-2025</t>
        </is>
      </c>
      <c r="B7507" s="1" t="n">
        <v>45992.87564814815</v>
      </c>
      <c r="C7507" s="1" t="n">
        <v>46145</v>
      </c>
      <c r="D7507" t="inlineStr">
        <is>
          <t>VÄSTERBOTTENS LÄN</t>
        </is>
      </c>
      <c r="E7507" t="inlineStr">
        <is>
          <t>VÄNNÄS</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59934-2025</t>
        </is>
      </c>
      <c r="B7508" s="1" t="n">
        <v>45993.40670138889</v>
      </c>
      <c r="C7508" s="1" t="n">
        <v>46145</v>
      </c>
      <c r="D7508" t="inlineStr">
        <is>
          <t>VÄSTERBOTTENS LÄN</t>
        </is>
      </c>
      <c r="E7508" t="inlineStr">
        <is>
          <t>DOROTEA</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59939-2025</t>
        </is>
      </c>
      <c r="B7509" s="1" t="n">
        <v>45993.42373842592</v>
      </c>
      <c r="C7509" s="1" t="n">
        <v>46145</v>
      </c>
      <c r="D7509" t="inlineStr">
        <is>
          <t>VÄSTERBOTTENS LÄN</t>
        </is>
      </c>
      <c r="E7509" t="inlineStr">
        <is>
          <t>STORUMAN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59962-2025</t>
        </is>
      </c>
      <c r="B7510" s="1" t="n">
        <v>45993.47164351852</v>
      </c>
      <c r="C7510" s="1" t="n">
        <v>46145</v>
      </c>
      <c r="D7510" t="inlineStr">
        <is>
          <t>VÄSTERBOTTENS LÄN</t>
        </is>
      </c>
      <c r="E7510" t="inlineStr">
        <is>
          <t>LYCKSELE</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60039-2025</t>
        </is>
      </c>
      <c r="B7511" s="1" t="n">
        <v>45993.62074074074</v>
      </c>
      <c r="C7511" s="1" t="n">
        <v>46145</v>
      </c>
      <c r="D7511" t="inlineStr">
        <is>
          <t>VÄSTERBOTTENS LÄN</t>
        </is>
      </c>
      <c r="E7511" t="inlineStr">
        <is>
          <t>UMEÅ</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60045-2025</t>
        </is>
      </c>
      <c r="B7512" s="1" t="n">
        <v>45993.6283912037</v>
      </c>
      <c r="C7512" s="1" t="n">
        <v>46145</v>
      </c>
      <c r="D7512" t="inlineStr">
        <is>
          <t>VÄSTERBOTTENS LÄN</t>
        </is>
      </c>
      <c r="E7512" t="inlineStr">
        <is>
          <t>SKELLEFTEÅ</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2486-2022</t>
        </is>
      </c>
      <c r="B7513" s="1" t="n">
        <v>44579</v>
      </c>
      <c r="C7513" s="1" t="n">
        <v>46145</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60064-2025</t>
        </is>
      </c>
      <c r="B7514" s="1" t="n">
        <v>45993.65728009259</v>
      </c>
      <c r="C7514" s="1" t="n">
        <v>46145</v>
      </c>
      <c r="D7514" t="inlineStr">
        <is>
          <t>VÄSTERBOTTENS LÄN</t>
        </is>
      </c>
      <c r="E7514" t="inlineStr">
        <is>
          <t>NORDMALING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60069-2025</t>
        </is>
      </c>
      <c r="B7515" s="1" t="n">
        <v>45993.66409722222</v>
      </c>
      <c r="C7515" s="1" t="n">
        <v>46145</v>
      </c>
      <c r="D7515" t="inlineStr">
        <is>
          <t>VÄSTERBOTTENS LÄN</t>
        </is>
      </c>
      <c r="E7515" t="inlineStr">
        <is>
          <t>VILHELMINA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60075-2025</t>
        </is>
      </c>
      <c r="B7516" s="1" t="n">
        <v>45993.67761574074</v>
      </c>
      <c r="C7516" s="1" t="n">
        <v>46145</v>
      </c>
      <c r="D7516" t="inlineStr">
        <is>
          <t>VÄSTERBOTTENS LÄN</t>
        </is>
      </c>
      <c r="E7516" t="inlineStr">
        <is>
          <t>VILHELMINA</t>
        </is>
      </c>
      <c r="G7516" t="n">
        <v>36.9</v>
      </c>
      <c r="H7516" t="n">
        <v>0</v>
      </c>
      <c r="I7516" t="n">
        <v>0</v>
      </c>
      <c r="J7516" t="n">
        <v>0</v>
      </c>
      <c r="K7516" t="n">
        <v>0</v>
      </c>
      <c r="L7516" t="n">
        <v>0</v>
      </c>
      <c r="M7516" t="n">
        <v>0</v>
      </c>
      <c r="N7516" t="n">
        <v>0</v>
      </c>
      <c r="O7516" t="n">
        <v>0</v>
      </c>
      <c r="P7516" t="n">
        <v>0</v>
      </c>
      <c r="Q7516" t="n">
        <v>0</v>
      </c>
      <c r="R7516" s="2" t="inlineStr"/>
    </row>
    <row r="7517" ht="15" customHeight="1">
      <c r="A7517" t="inlineStr">
        <is>
          <t>A 60081-2025</t>
        </is>
      </c>
      <c r="B7517" s="1" t="n">
        <v>45993.69276620371</v>
      </c>
      <c r="C7517" s="1" t="n">
        <v>46145</v>
      </c>
      <c r="D7517" t="inlineStr">
        <is>
          <t>VÄSTERBOTTENS LÄN</t>
        </is>
      </c>
      <c r="E7517" t="inlineStr">
        <is>
          <t>LYCKSELE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38404-2023</t>
        </is>
      </c>
      <c r="B7518" s="1" t="n">
        <v>45162</v>
      </c>
      <c r="C7518" s="1" t="n">
        <v>46145</v>
      </c>
      <c r="D7518" t="inlineStr">
        <is>
          <t>VÄSTERBOTTENS LÄN</t>
        </is>
      </c>
      <c r="E7518" t="inlineStr">
        <is>
          <t>MALÅ</t>
        </is>
      </c>
      <c r="G7518" t="n">
        <v>17.5</v>
      </c>
      <c r="H7518" t="n">
        <v>0</v>
      </c>
      <c r="I7518" t="n">
        <v>0</v>
      </c>
      <c r="J7518" t="n">
        <v>0</v>
      </c>
      <c r="K7518" t="n">
        <v>0</v>
      </c>
      <c r="L7518" t="n">
        <v>0</v>
      </c>
      <c r="M7518" t="n">
        <v>0</v>
      </c>
      <c r="N7518" t="n">
        <v>0</v>
      </c>
      <c r="O7518" t="n">
        <v>0</v>
      </c>
      <c r="P7518" t="n">
        <v>0</v>
      </c>
      <c r="Q7518" t="n">
        <v>0</v>
      </c>
      <c r="R7518" s="2" t="inlineStr"/>
    </row>
    <row r="7519" ht="15" customHeight="1">
      <c r="A7519" t="inlineStr">
        <is>
          <t>A 8759-2025</t>
        </is>
      </c>
      <c r="B7519" s="1" t="n">
        <v>45712.57372685185</v>
      </c>
      <c r="C7519" s="1" t="n">
        <v>46145</v>
      </c>
      <c r="D7519" t="inlineStr">
        <is>
          <t>VÄSTERBOTTENS LÄN</t>
        </is>
      </c>
      <c r="E7519" t="inlineStr">
        <is>
          <t>NORDMALING</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59157-2025</t>
        </is>
      </c>
      <c r="B7520" s="1" t="n">
        <v>45988</v>
      </c>
      <c r="C7520" s="1" t="n">
        <v>46145</v>
      </c>
      <c r="D7520" t="inlineStr">
        <is>
          <t>VÄSTERBOTTENS LÄN</t>
        </is>
      </c>
      <c r="E7520" t="inlineStr">
        <is>
          <t>NORDMALING</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59862-2025</t>
        </is>
      </c>
      <c r="B7521" s="1" t="n">
        <v>45992.81230324074</v>
      </c>
      <c r="C7521" s="1" t="n">
        <v>46145</v>
      </c>
      <c r="D7521" t="inlineStr">
        <is>
          <t>VÄSTERBOTTENS LÄN</t>
        </is>
      </c>
      <c r="E7521" t="inlineStr">
        <is>
          <t>ÅSELE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59982-2025</t>
        </is>
      </c>
      <c r="B7522" s="1" t="n">
        <v>45993.53934027778</v>
      </c>
      <c r="C7522" s="1" t="n">
        <v>46145</v>
      </c>
      <c r="D7522" t="inlineStr">
        <is>
          <t>VÄSTERBOTTENS LÄN</t>
        </is>
      </c>
      <c r="E7522" t="inlineStr">
        <is>
          <t>UMEÅ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19200-2023</t>
        </is>
      </c>
      <c r="B7523" s="1" t="n">
        <v>45048</v>
      </c>
      <c r="C7523" s="1" t="n">
        <v>46145</v>
      </c>
      <c r="D7523" t="inlineStr">
        <is>
          <t>VÄSTERBOTTENS LÄN</t>
        </is>
      </c>
      <c r="E7523" t="inlineStr">
        <is>
          <t>UMEÅ</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60074-2025</t>
        </is>
      </c>
      <c r="B7524" s="1" t="n">
        <v>45993.67747685185</v>
      </c>
      <c r="C7524" s="1" t="n">
        <v>46145</v>
      </c>
      <c r="D7524" t="inlineStr">
        <is>
          <t>VÄSTERBOTTENS LÄN</t>
        </is>
      </c>
      <c r="E7524" t="inlineStr">
        <is>
          <t>UMEÅ</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60111-2025</t>
        </is>
      </c>
      <c r="B7525" s="1" t="n">
        <v>45994.30788194444</v>
      </c>
      <c r="C7525" s="1" t="n">
        <v>46145</v>
      </c>
      <c r="D7525" t="inlineStr">
        <is>
          <t>VÄSTERBOTTENS LÄN</t>
        </is>
      </c>
      <c r="E7525" t="inlineStr">
        <is>
          <t>NORDMALING</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60127-2025</t>
        </is>
      </c>
      <c r="B7526" s="1" t="n">
        <v>45994.34417824074</v>
      </c>
      <c r="C7526" s="1" t="n">
        <v>46145</v>
      </c>
      <c r="D7526" t="inlineStr">
        <is>
          <t>VÄSTERBOTTENS LÄN</t>
        </is>
      </c>
      <c r="E7526" t="inlineStr">
        <is>
          <t>ROBERTSFORS</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35937-2025</t>
        </is>
      </c>
      <c r="B7527" s="1" t="n">
        <v>45862</v>
      </c>
      <c r="C7527" s="1" t="n">
        <v>46145</v>
      </c>
      <c r="D7527" t="inlineStr">
        <is>
          <t>VÄSTERBOTTENS LÄN</t>
        </is>
      </c>
      <c r="E7527" t="inlineStr">
        <is>
          <t>DOROTEA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19401-2023</t>
        </is>
      </c>
      <c r="B7528" s="1" t="n">
        <v>45048</v>
      </c>
      <c r="C7528" s="1" t="n">
        <v>46145</v>
      </c>
      <c r="D7528" t="inlineStr">
        <is>
          <t>VÄSTERBOTTENS LÄN</t>
        </is>
      </c>
      <c r="E7528" t="inlineStr">
        <is>
          <t>VILHELMINA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56603-2024</t>
        </is>
      </c>
      <c r="B7529" s="1" t="n">
        <v>45625.63980324074</v>
      </c>
      <c r="C7529" s="1" t="n">
        <v>46145</v>
      </c>
      <c r="D7529" t="inlineStr">
        <is>
          <t>VÄSTERBOTTENS LÄN</t>
        </is>
      </c>
      <c r="E7529" t="inlineStr">
        <is>
          <t>LYCKSELE</t>
        </is>
      </c>
      <c r="F7529" t="inlineStr">
        <is>
          <t>Holmen skog AB</t>
        </is>
      </c>
      <c r="G7529" t="n">
        <v>17.1</v>
      </c>
      <c r="H7529" t="n">
        <v>0</v>
      </c>
      <c r="I7529" t="n">
        <v>0</v>
      </c>
      <c r="J7529" t="n">
        <v>0</v>
      </c>
      <c r="K7529" t="n">
        <v>0</v>
      </c>
      <c r="L7529" t="n">
        <v>0</v>
      </c>
      <c r="M7529" t="n">
        <v>0</v>
      </c>
      <c r="N7529" t="n">
        <v>0</v>
      </c>
      <c r="O7529" t="n">
        <v>0</v>
      </c>
      <c r="P7529" t="n">
        <v>0</v>
      </c>
      <c r="Q7529" t="n">
        <v>0</v>
      </c>
      <c r="R7529" s="2" t="inlineStr"/>
    </row>
    <row r="7530" ht="15" customHeight="1">
      <c r="A7530" t="inlineStr">
        <is>
          <t>A 59084-2025</t>
        </is>
      </c>
      <c r="B7530" s="1" t="n">
        <v>45988</v>
      </c>
      <c r="C7530" s="1" t="n">
        <v>46145</v>
      </c>
      <c r="D7530" t="inlineStr">
        <is>
          <t>VÄSTERBOTTENS LÄN</t>
        </is>
      </c>
      <c r="E7530" t="inlineStr">
        <is>
          <t>NORDMALING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43952-2023</t>
        </is>
      </c>
      <c r="B7531" s="1" t="n">
        <v>45187</v>
      </c>
      <c r="C7531" s="1" t="n">
        <v>46145</v>
      </c>
      <c r="D7531" t="inlineStr">
        <is>
          <t>VÄSTERBOTTENS LÄN</t>
        </is>
      </c>
      <c r="E7531" t="inlineStr">
        <is>
          <t>MALÅ</t>
        </is>
      </c>
      <c r="F7531" t="inlineStr">
        <is>
          <t>SCA</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526-2022</t>
        </is>
      </c>
      <c r="B7532" s="1" t="n">
        <v>44566</v>
      </c>
      <c r="C7532" s="1" t="n">
        <v>46145</v>
      </c>
      <c r="D7532" t="inlineStr">
        <is>
          <t>VÄSTERBOTTENS LÄN</t>
        </is>
      </c>
      <c r="E7532" t="inlineStr">
        <is>
          <t>LYCKSELE</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60565-2025</t>
        </is>
      </c>
      <c r="B7533" s="1" t="n">
        <v>45994</v>
      </c>
      <c r="C7533" s="1" t="n">
        <v>46145</v>
      </c>
      <c r="D7533" t="inlineStr">
        <is>
          <t>VÄSTERBOTTENS LÄN</t>
        </is>
      </c>
      <c r="E7533" t="inlineStr">
        <is>
          <t>SKELLEFTEÅ</t>
        </is>
      </c>
      <c r="F7533" t="inlineStr">
        <is>
          <t>Kommuner</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44513-2023</t>
        </is>
      </c>
      <c r="B7534" s="1" t="n">
        <v>45189</v>
      </c>
      <c r="C7534" s="1" t="n">
        <v>46145</v>
      </c>
      <c r="D7534" t="inlineStr">
        <is>
          <t>VÄSTERBOTTENS LÄN</t>
        </is>
      </c>
      <c r="E7534" t="inlineStr">
        <is>
          <t>MALÅ</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31731-2024</t>
        </is>
      </c>
      <c r="B7535" s="1" t="n">
        <v>45509.36456018518</v>
      </c>
      <c r="C7535" s="1" t="n">
        <v>46145</v>
      </c>
      <c r="D7535" t="inlineStr">
        <is>
          <t>VÄSTERBOTTENS LÄN</t>
        </is>
      </c>
      <c r="E7535" t="inlineStr">
        <is>
          <t>ROBERTSFORS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60275-2025</t>
        </is>
      </c>
      <c r="B7536" s="1" t="n">
        <v>45993</v>
      </c>
      <c r="C7536" s="1" t="n">
        <v>46145</v>
      </c>
      <c r="D7536" t="inlineStr">
        <is>
          <t>VÄSTERBOTTENS LÄN</t>
        </is>
      </c>
      <c r="E7536" t="inlineStr">
        <is>
          <t>ÅSELE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60290-2025</t>
        </is>
      </c>
      <c r="B7537" s="1" t="n">
        <v>45994.65283564815</v>
      </c>
      <c r="C7537" s="1" t="n">
        <v>46145</v>
      </c>
      <c r="D7537" t="inlineStr">
        <is>
          <t>VÄSTERBOTTENS LÄN</t>
        </is>
      </c>
      <c r="E7537" t="inlineStr">
        <is>
          <t>VINDELN</t>
        </is>
      </c>
      <c r="F7537" t="inlineStr">
        <is>
          <t>Sveaskog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28846-2023</t>
        </is>
      </c>
      <c r="B7538" s="1" t="n">
        <v>45104.42267361111</v>
      </c>
      <c r="C7538" s="1" t="n">
        <v>46145</v>
      </c>
      <c r="D7538" t="inlineStr">
        <is>
          <t>VÄSTERBOTTENS LÄN</t>
        </is>
      </c>
      <c r="E7538" t="inlineStr">
        <is>
          <t>VINDELN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31119-2023</t>
        </is>
      </c>
      <c r="B7539" s="1" t="n">
        <v>45099</v>
      </c>
      <c r="C7539" s="1" t="n">
        <v>46145</v>
      </c>
      <c r="D7539" t="inlineStr">
        <is>
          <t>VÄSTERBOTTENS LÄN</t>
        </is>
      </c>
      <c r="E7539" t="inlineStr">
        <is>
          <t>ÅSELE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59940-2025</t>
        </is>
      </c>
      <c r="B7540" s="1" t="n">
        <v>45993.42767361111</v>
      </c>
      <c r="C7540" s="1" t="n">
        <v>46145</v>
      </c>
      <c r="D7540" t="inlineStr">
        <is>
          <t>VÄSTERBOTTENS LÄN</t>
        </is>
      </c>
      <c r="E7540" t="inlineStr">
        <is>
          <t>DOROTEA</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59945-2025</t>
        </is>
      </c>
      <c r="B7541" s="1" t="n">
        <v>45993.44833333333</v>
      </c>
      <c r="C7541" s="1" t="n">
        <v>46145</v>
      </c>
      <c r="D7541" t="inlineStr">
        <is>
          <t>VÄSTERBOTTENS LÄN</t>
        </is>
      </c>
      <c r="E7541" t="inlineStr">
        <is>
          <t>NORDMALING</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60065-2025</t>
        </is>
      </c>
      <c r="B7542" s="1" t="n">
        <v>45993.65892361111</v>
      </c>
      <c r="C7542" s="1" t="n">
        <v>46145</v>
      </c>
      <c r="D7542" t="inlineStr">
        <is>
          <t>VÄSTERBOTTENS LÄN</t>
        </is>
      </c>
      <c r="E7542" t="inlineStr">
        <is>
          <t>VILHELMINA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28169-2025</t>
        </is>
      </c>
      <c r="B7543" s="1" t="n">
        <v>45818</v>
      </c>
      <c r="C7543" s="1" t="n">
        <v>46145</v>
      </c>
      <c r="D7543" t="inlineStr">
        <is>
          <t>VÄSTERBOTTENS LÄN</t>
        </is>
      </c>
      <c r="E7543" t="inlineStr">
        <is>
          <t>SKELLEFTEÅ</t>
        </is>
      </c>
      <c r="F7543" t="inlineStr">
        <is>
          <t>Holmen skog AB</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59133-2025</t>
        </is>
      </c>
      <c r="B7544" s="1" t="n">
        <v>45988</v>
      </c>
      <c r="C7544" s="1" t="n">
        <v>46145</v>
      </c>
      <c r="D7544" t="inlineStr">
        <is>
          <t>VÄSTERBOTTENS LÄN</t>
        </is>
      </c>
      <c r="E7544" t="inlineStr">
        <is>
          <t>NORDMALING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59178-2025</t>
        </is>
      </c>
      <c r="B7545" s="1" t="n">
        <v>45988</v>
      </c>
      <c r="C7545" s="1" t="n">
        <v>46145</v>
      </c>
      <c r="D7545" t="inlineStr">
        <is>
          <t>VÄSTERBOTTENS LÄN</t>
        </is>
      </c>
      <c r="E7545" t="inlineStr">
        <is>
          <t>NORDMALING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59915-2025</t>
        </is>
      </c>
      <c r="B7546" s="1" t="n">
        <v>45993</v>
      </c>
      <c r="C7546" s="1" t="n">
        <v>46145</v>
      </c>
      <c r="D7546" t="inlineStr">
        <is>
          <t>VÄSTERBOTTENS LÄN</t>
        </is>
      </c>
      <c r="E7546" t="inlineStr">
        <is>
          <t>VILHELMINA</t>
        </is>
      </c>
      <c r="G7546" t="n">
        <v>27.8</v>
      </c>
      <c r="H7546" t="n">
        <v>0</v>
      </c>
      <c r="I7546" t="n">
        <v>0</v>
      </c>
      <c r="J7546" t="n">
        <v>0</v>
      </c>
      <c r="K7546" t="n">
        <v>0</v>
      </c>
      <c r="L7546" t="n">
        <v>0</v>
      </c>
      <c r="M7546" t="n">
        <v>0</v>
      </c>
      <c r="N7546" t="n">
        <v>0</v>
      </c>
      <c r="O7546" t="n">
        <v>0</v>
      </c>
      <c r="P7546" t="n">
        <v>0</v>
      </c>
      <c r="Q7546" t="n">
        <v>0</v>
      </c>
      <c r="R7546" s="2" t="inlineStr"/>
    </row>
    <row r="7547" ht="15" customHeight="1">
      <c r="A7547" t="inlineStr">
        <is>
          <t>A 59923-2025</t>
        </is>
      </c>
      <c r="B7547" s="1" t="n">
        <v>45993</v>
      </c>
      <c r="C7547" s="1" t="n">
        <v>46145</v>
      </c>
      <c r="D7547" t="inlineStr">
        <is>
          <t>VÄSTERBOTTENS LÄN</t>
        </is>
      </c>
      <c r="E7547" t="inlineStr">
        <is>
          <t>NORSJÖ</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60247-2025</t>
        </is>
      </c>
      <c r="B7548" s="1" t="n">
        <v>45994.5903125</v>
      </c>
      <c r="C7548" s="1" t="n">
        <v>46145</v>
      </c>
      <c r="D7548" t="inlineStr">
        <is>
          <t>VÄSTERBOTTENS LÄN</t>
        </is>
      </c>
      <c r="E7548" t="inlineStr">
        <is>
          <t>SKELLEFTEÅ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26617-2024</t>
        </is>
      </c>
      <c r="B7549" s="1" t="n">
        <v>45469.73981481481</v>
      </c>
      <c r="C7549" s="1" t="n">
        <v>46145</v>
      </c>
      <c r="D7549" t="inlineStr">
        <is>
          <t>VÄSTERBOTTENS LÄN</t>
        </is>
      </c>
      <c r="E7549" t="inlineStr">
        <is>
          <t>UMEÅ</t>
        </is>
      </c>
      <c r="F7549" t="inlineStr">
        <is>
          <t>Holmen skog AB</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59925-2025</t>
        </is>
      </c>
      <c r="B7550" s="1" t="n">
        <v>45993.39003472222</v>
      </c>
      <c r="C7550" s="1" t="n">
        <v>46145</v>
      </c>
      <c r="D7550" t="inlineStr">
        <is>
          <t>VÄSTERBOTTENS LÄN</t>
        </is>
      </c>
      <c r="E7550" t="inlineStr">
        <is>
          <t>VINDELN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59936-2025</t>
        </is>
      </c>
      <c r="B7551" s="1" t="n">
        <v>45993.41787037037</v>
      </c>
      <c r="C7551" s="1" t="n">
        <v>46145</v>
      </c>
      <c r="D7551" t="inlineStr">
        <is>
          <t>VÄSTERBOTTENS LÄN</t>
        </is>
      </c>
      <c r="E7551" t="inlineStr">
        <is>
          <t>STORUMAN</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59960-2025</t>
        </is>
      </c>
      <c r="B7552" s="1" t="n">
        <v>45993.4699537037</v>
      </c>
      <c r="C7552" s="1" t="n">
        <v>46145</v>
      </c>
      <c r="D7552" t="inlineStr">
        <is>
          <t>VÄSTERBOTTENS LÄN</t>
        </is>
      </c>
      <c r="E7552" t="inlineStr">
        <is>
          <t>VINDELN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45157-2023</t>
        </is>
      </c>
      <c r="B7553" s="1" t="n">
        <v>45191.48872685185</v>
      </c>
      <c r="C7553" s="1" t="n">
        <v>46145</v>
      </c>
      <c r="D7553" t="inlineStr">
        <is>
          <t>VÄSTERBOTTENS LÄN</t>
        </is>
      </c>
      <c r="E7553" t="inlineStr">
        <is>
          <t>ROBERTSFORS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59120-2025</t>
        </is>
      </c>
      <c r="B7554" s="1" t="n">
        <v>45988</v>
      </c>
      <c r="C7554" s="1" t="n">
        <v>46145</v>
      </c>
      <c r="D7554" t="inlineStr">
        <is>
          <t>VÄSTERBOTTENS LÄN</t>
        </is>
      </c>
      <c r="E7554" t="inlineStr">
        <is>
          <t>NORDMALING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59160-2025</t>
        </is>
      </c>
      <c r="B7555" s="1" t="n">
        <v>45988</v>
      </c>
      <c r="C7555" s="1" t="n">
        <v>46145</v>
      </c>
      <c r="D7555" t="inlineStr">
        <is>
          <t>VÄSTERBOTTENS LÄN</t>
        </is>
      </c>
      <c r="E7555" t="inlineStr">
        <is>
          <t>NORDMALING</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31659-2024</t>
        </is>
      </c>
      <c r="B7556" s="1" t="n">
        <v>45506</v>
      </c>
      <c r="C7556" s="1" t="n">
        <v>46145</v>
      </c>
      <c r="D7556" t="inlineStr">
        <is>
          <t>VÄSTERBOTTENS LÄN</t>
        </is>
      </c>
      <c r="E7556" t="inlineStr">
        <is>
          <t>ÅSELE</t>
        </is>
      </c>
      <c r="G7556" t="n">
        <v>41.1</v>
      </c>
      <c r="H7556" t="n">
        <v>0</v>
      </c>
      <c r="I7556" t="n">
        <v>0</v>
      </c>
      <c r="J7556" t="n">
        <v>0</v>
      </c>
      <c r="K7556" t="n">
        <v>0</v>
      </c>
      <c r="L7556" t="n">
        <v>0</v>
      </c>
      <c r="M7556" t="n">
        <v>0</v>
      </c>
      <c r="N7556" t="n">
        <v>0</v>
      </c>
      <c r="O7556" t="n">
        <v>0</v>
      </c>
      <c r="P7556" t="n">
        <v>0</v>
      </c>
      <c r="Q7556" t="n">
        <v>0</v>
      </c>
      <c r="R7556" s="2" t="inlineStr"/>
    </row>
    <row r="7557" ht="15" customHeight="1">
      <c r="A7557" t="inlineStr">
        <is>
          <t>A 59889-2025</t>
        </is>
      </c>
      <c r="B7557" s="1" t="n">
        <v>45993.32875</v>
      </c>
      <c r="C7557" s="1" t="n">
        <v>46145</v>
      </c>
      <c r="D7557" t="inlineStr">
        <is>
          <t>VÄSTERBOTTENS LÄN</t>
        </is>
      </c>
      <c r="E7557" t="inlineStr">
        <is>
          <t>SKELLEFTEÅ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25734-2023</t>
        </is>
      </c>
      <c r="B7558" s="1" t="n">
        <v>45090.41349537037</v>
      </c>
      <c r="C7558" s="1" t="n">
        <v>46145</v>
      </c>
      <c r="D7558" t="inlineStr">
        <is>
          <t>VÄSTERBOTTENS LÄN</t>
        </is>
      </c>
      <c r="E7558" t="inlineStr">
        <is>
          <t>NORSJÖ</t>
        </is>
      </c>
      <c r="F7558" t="inlineStr">
        <is>
          <t>Holmen skog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60294-2025</t>
        </is>
      </c>
      <c r="B7559" s="1" t="n">
        <v>45994.65636574074</v>
      </c>
      <c r="C7559" s="1" t="n">
        <v>46145</v>
      </c>
      <c r="D7559" t="inlineStr">
        <is>
          <t>VÄSTERBOTTENS LÄN</t>
        </is>
      </c>
      <c r="E7559" t="inlineStr">
        <is>
          <t>VINDELN</t>
        </is>
      </c>
      <c r="F7559" t="inlineStr">
        <is>
          <t>Sveaskog</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60309-2025</t>
        </is>
      </c>
      <c r="B7560" s="1" t="n">
        <v>45994.68822916667</v>
      </c>
      <c r="C7560" s="1" t="n">
        <v>46145</v>
      </c>
      <c r="D7560" t="inlineStr">
        <is>
          <t>VÄSTERBOTTENS LÄN</t>
        </is>
      </c>
      <c r="E7560" t="inlineStr">
        <is>
          <t>LYCKSELE</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52403-2024</t>
        </is>
      </c>
      <c r="B7561" s="1" t="n">
        <v>45609</v>
      </c>
      <c r="C7561" s="1" t="n">
        <v>46145</v>
      </c>
      <c r="D7561" t="inlineStr">
        <is>
          <t>VÄSTERBOTTENS LÄN</t>
        </is>
      </c>
      <c r="E7561" t="inlineStr">
        <is>
          <t>VINDELN</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57470-2024</t>
        </is>
      </c>
      <c r="B7562" s="1" t="n">
        <v>45630</v>
      </c>
      <c r="C7562" s="1" t="n">
        <v>46145</v>
      </c>
      <c r="D7562" t="inlineStr">
        <is>
          <t>VÄSTERBOTTENS LÄN</t>
        </is>
      </c>
      <c r="E7562" t="inlineStr">
        <is>
          <t>VILHELMINA</t>
        </is>
      </c>
      <c r="F7562" t="inlineStr">
        <is>
          <t>SCA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60249-2025</t>
        </is>
      </c>
      <c r="B7563" s="1" t="n">
        <v>45994.59440972222</v>
      </c>
      <c r="C7563" s="1" t="n">
        <v>46145</v>
      </c>
      <c r="D7563" t="inlineStr">
        <is>
          <t>VÄSTERBOTTENS LÄN</t>
        </is>
      </c>
      <c r="E7563" t="inlineStr">
        <is>
          <t>SKELLEFTEÅ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60088-2025</t>
        </is>
      </c>
      <c r="B7564" s="1" t="n">
        <v>45993.71936342592</v>
      </c>
      <c r="C7564" s="1" t="n">
        <v>46145</v>
      </c>
      <c r="D7564" t="inlineStr">
        <is>
          <t>VÄSTERBOTTENS LÄN</t>
        </is>
      </c>
      <c r="E7564" t="inlineStr">
        <is>
          <t>UMEÅ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57562-2024</t>
        </is>
      </c>
      <c r="B7565" s="1" t="n">
        <v>45630</v>
      </c>
      <c r="C7565" s="1" t="n">
        <v>46145</v>
      </c>
      <c r="D7565" t="inlineStr">
        <is>
          <t>VÄSTERBOTTENS LÄN</t>
        </is>
      </c>
      <c r="E7565" t="inlineStr">
        <is>
          <t>BJURHOLM</t>
        </is>
      </c>
      <c r="F7565" t="inlineStr">
        <is>
          <t>Sveaskog</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2707-2022</t>
        </is>
      </c>
      <c r="B7566" s="1" t="n">
        <v>44580</v>
      </c>
      <c r="C7566" s="1" t="n">
        <v>46145</v>
      </c>
      <c r="D7566" t="inlineStr">
        <is>
          <t>VÄSTERBOTTENS LÄN</t>
        </is>
      </c>
      <c r="E7566" t="inlineStr">
        <is>
          <t>ROBERTSFORS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45606-2024</t>
        </is>
      </c>
      <c r="B7567" s="1" t="n">
        <v>45579.4434375</v>
      </c>
      <c r="C7567" s="1" t="n">
        <v>46145</v>
      </c>
      <c r="D7567" t="inlineStr">
        <is>
          <t>VÄSTERBOTTENS LÄN</t>
        </is>
      </c>
      <c r="E7567" t="inlineStr">
        <is>
          <t>VINDELN</t>
        </is>
      </c>
      <c r="F7567" t="inlineStr">
        <is>
          <t>Sveaskog</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2794-2022</t>
        </is>
      </c>
      <c r="B7568" s="1" t="n">
        <v>44580</v>
      </c>
      <c r="C7568" s="1" t="n">
        <v>46145</v>
      </c>
      <c r="D7568" t="inlineStr">
        <is>
          <t>VÄSTERBOTTENS LÄN</t>
        </is>
      </c>
      <c r="E7568" t="inlineStr">
        <is>
          <t>STORUMAN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59979-2025</t>
        </is>
      </c>
      <c r="B7569" s="1" t="n">
        <v>45993.52770833333</v>
      </c>
      <c r="C7569" s="1" t="n">
        <v>46145</v>
      </c>
      <c r="D7569" t="inlineStr">
        <is>
          <t>VÄSTERBOTTENS LÄN</t>
        </is>
      </c>
      <c r="E7569" t="inlineStr">
        <is>
          <t>VINDELN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2929-2025</t>
        </is>
      </c>
      <c r="B7570" s="1" t="n">
        <v>45678</v>
      </c>
      <c r="C7570" s="1" t="n">
        <v>46145</v>
      </c>
      <c r="D7570" t="inlineStr">
        <is>
          <t>VÄSTERBOTTENS LÄN</t>
        </is>
      </c>
      <c r="E7570" t="inlineStr">
        <is>
          <t>SORSELE</t>
        </is>
      </c>
      <c r="G7570" t="n">
        <v>49.7</v>
      </c>
      <c r="H7570" t="n">
        <v>0</v>
      </c>
      <c r="I7570" t="n">
        <v>0</v>
      </c>
      <c r="J7570" t="n">
        <v>0</v>
      </c>
      <c r="K7570" t="n">
        <v>0</v>
      </c>
      <c r="L7570" t="n">
        <v>0</v>
      </c>
      <c r="M7570" t="n">
        <v>0</v>
      </c>
      <c r="N7570" t="n">
        <v>0</v>
      </c>
      <c r="O7570" t="n">
        <v>0</v>
      </c>
      <c r="P7570" t="n">
        <v>0</v>
      </c>
      <c r="Q7570" t="n">
        <v>0</v>
      </c>
      <c r="R7570" s="2" t="inlineStr"/>
    </row>
    <row r="7571" ht="15" customHeight="1">
      <c r="A7571" t="inlineStr">
        <is>
          <t>A 60270-2025</t>
        </is>
      </c>
      <c r="B7571" s="1" t="n">
        <v>45994.62560185185</v>
      </c>
      <c r="C7571" s="1" t="n">
        <v>46145</v>
      </c>
      <c r="D7571" t="inlineStr">
        <is>
          <t>VÄSTERBOTTENS LÄN</t>
        </is>
      </c>
      <c r="E7571" t="inlineStr">
        <is>
          <t>SKELLEFTEÅ</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60765-2024</t>
        </is>
      </c>
      <c r="B7572" s="1" t="n">
        <v>45644.57631944444</v>
      </c>
      <c r="C7572" s="1" t="n">
        <v>46145</v>
      </c>
      <c r="D7572" t="inlineStr">
        <is>
          <t>VÄSTERBOTTENS LÄN</t>
        </is>
      </c>
      <c r="E7572" t="inlineStr">
        <is>
          <t>NORDMALING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59901-2025</t>
        </is>
      </c>
      <c r="B7573" s="1" t="n">
        <v>45993.34475694445</v>
      </c>
      <c r="C7573" s="1" t="n">
        <v>46145</v>
      </c>
      <c r="D7573" t="inlineStr">
        <is>
          <t>VÄSTERBOTTENS LÄN</t>
        </is>
      </c>
      <c r="E7573" t="inlineStr">
        <is>
          <t>NORSJÖ</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59959-2025</t>
        </is>
      </c>
      <c r="B7574" s="1" t="n">
        <v>45993</v>
      </c>
      <c r="C7574" s="1" t="n">
        <v>46145</v>
      </c>
      <c r="D7574" t="inlineStr">
        <is>
          <t>VÄSTERBOTTENS LÄN</t>
        </is>
      </c>
      <c r="E7574" t="inlineStr">
        <is>
          <t>NORSJÖ</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50232-2024</t>
        </is>
      </c>
      <c r="B7575" s="1" t="n">
        <v>45600.55253472222</v>
      </c>
      <c r="C7575" s="1" t="n">
        <v>46145</v>
      </c>
      <c r="D7575" t="inlineStr">
        <is>
          <t>VÄSTERBOTTENS LÄN</t>
        </is>
      </c>
      <c r="E7575" t="inlineStr">
        <is>
          <t>SKELLEFTEÅ</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59900-2025</t>
        </is>
      </c>
      <c r="B7576" s="1" t="n">
        <v>45993.34473379629</v>
      </c>
      <c r="C7576" s="1" t="n">
        <v>46145</v>
      </c>
      <c r="D7576" t="inlineStr">
        <is>
          <t>VÄSTERBOTTENS LÄN</t>
        </is>
      </c>
      <c r="E7576" t="inlineStr">
        <is>
          <t>NORSJÖ</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59912-2025</t>
        </is>
      </c>
      <c r="B7577" s="1" t="n">
        <v>45993.36509259259</v>
      </c>
      <c r="C7577" s="1" t="n">
        <v>46145</v>
      </c>
      <c r="D7577" t="inlineStr">
        <is>
          <t>VÄSTERBOTTENS LÄN</t>
        </is>
      </c>
      <c r="E7577" t="inlineStr">
        <is>
          <t>ÅSELE</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59927-2025</t>
        </is>
      </c>
      <c r="B7578" s="1" t="n">
        <v>45993.39420138889</v>
      </c>
      <c r="C7578" s="1" t="n">
        <v>46145</v>
      </c>
      <c r="D7578" t="inlineStr">
        <is>
          <t>VÄSTERBOTTENS LÄN</t>
        </is>
      </c>
      <c r="E7578" t="inlineStr">
        <is>
          <t>LYCKSELE</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60057-2025</t>
        </is>
      </c>
      <c r="B7579" s="1" t="n">
        <v>45993.65197916667</v>
      </c>
      <c r="C7579" s="1" t="n">
        <v>46145</v>
      </c>
      <c r="D7579" t="inlineStr">
        <is>
          <t>VÄSTERBOTTENS LÄN</t>
        </is>
      </c>
      <c r="E7579" t="inlineStr">
        <is>
          <t>VILHELMINA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60060-2025</t>
        </is>
      </c>
      <c r="B7580" s="1" t="n">
        <v>45993.65642361111</v>
      </c>
      <c r="C7580" s="1" t="n">
        <v>46145</v>
      </c>
      <c r="D7580" t="inlineStr">
        <is>
          <t>VÄSTERBOTTENS LÄN</t>
        </is>
      </c>
      <c r="E7580" t="inlineStr">
        <is>
          <t>BJURHOLM</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59928-2025</t>
        </is>
      </c>
      <c r="B7581" s="1" t="n">
        <v>45993.39608796296</v>
      </c>
      <c r="C7581" s="1" t="n">
        <v>46145</v>
      </c>
      <c r="D7581" t="inlineStr">
        <is>
          <t>VÄSTERBOTTENS LÄN</t>
        </is>
      </c>
      <c r="E7581" t="inlineStr">
        <is>
          <t>LYCKSELE</t>
        </is>
      </c>
      <c r="G7581" t="n">
        <v>18.7</v>
      </c>
      <c r="H7581" t="n">
        <v>0</v>
      </c>
      <c r="I7581" t="n">
        <v>0</v>
      </c>
      <c r="J7581" t="n">
        <v>0</v>
      </c>
      <c r="K7581" t="n">
        <v>0</v>
      </c>
      <c r="L7581" t="n">
        <v>0</v>
      </c>
      <c r="M7581" t="n">
        <v>0</v>
      </c>
      <c r="N7581" t="n">
        <v>0</v>
      </c>
      <c r="O7581" t="n">
        <v>0</v>
      </c>
      <c r="P7581" t="n">
        <v>0</v>
      </c>
      <c r="Q7581" t="n">
        <v>0</v>
      </c>
      <c r="R7581" s="2" t="inlineStr"/>
    </row>
    <row r="7582" ht="15" customHeight="1">
      <c r="A7582" t="inlineStr">
        <is>
          <t>A 59932-2025</t>
        </is>
      </c>
      <c r="B7582" s="1" t="n">
        <v>45993.4018287037</v>
      </c>
      <c r="C7582" s="1" t="n">
        <v>46145</v>
      </c>
      <c r="D7582" t="inlineStr">
        <is>
          <t>VÄSTERBOTTENS LÄN</t>
        </is>
      </c>
      <c r="E7582" t="inlineStr">
        <is>
          <t>STORUMAN</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36687-2023</t>
        </is>
      </c>
      <c r="B7583" s="1" t="n">
        <v>45152</v>
      </c>
      <c r="C7583" s="1" t="n">
        <v>46145</v>
      </c>
      <c r="D7583" t="inlineStr">
        <is>
          <t>VÄSTERBOTTENS LÄN</t>
        </is>
      </c>
      <c r="E7583" t="inlineStr">
        <is>
          <t>MALÅ</t>
        </is>
      </c>
      <c r="G7583" t="n">
        <v>13.3</v>
      </c>
      <c r="H7583" t="n">
        <v>0</v>
      </c>
      <c r="I7583" t="n">
        <v>0</v>
      </c>
      <c r="J7583" t="n">
        <v>0</v>
      </c>
      <c r="K7583" t="n">
        <v>0</v>
      </c>
      <c r="L7583" t="n">
        <v>0</v>
      </c>
      <c r="M7583" t="n">
        <v>0</v>
      </c>
      <c r="N7583" t="n">
        <v>0</v>
      </c>
      <c r="O7583" t="n">
        <v>0</v>
      </c>
      <c r="P7583" t="n">
        <v>0</v>
      </c>
      <c r="Q7583" t="n">
        <v>0</v>
      </c>
      <c r="R7583" s="2" t="inlineStr"/>
    </row>
    <row r="7584" ht="15" customHeight="1">
      <c r="A7584" t="inlineStr">
        <is>
          <t>A 54151-2024</t>
        </is>
      </c>
      <c r="B7584" s="1" t="n">
        <v>45616</v>
      </c>
      <c r="C7584" s="1" t="n">
        <v>46145</v>
      </c>
      <c r="D7584" t="inlineStr">
        <is>
          <t>VÄSTERBOTTENS LÄN</t>
        </is>
      </c>
      <c r="E7584" t="inlineStr">
        <is>
          <t>BJURHOLM</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15805-2025</t>
        </is>
      </c>
      <c r="B7585" s="1" t="n">
        <v>45748</v>
      </c>
      <c r="C7585" s="1" t="n">
        <v>46145</v>
      </c>
      <c r="D7585" t="inlineStr">
        <is>
          <t>VÄSTERBOTTENS LÄN</t>
        </is>
      </c>
      <c r="E7585" t="inlineStr">
        <is>
          <t>VILHELMINA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60113-2025</t>
        </is>
      </c>
      <c r="B7586" s="1" t="n">
        <v>45994.31009259259</v>
      </c>
      <c r="C7586" s="1" t="n">
        <v>46145</v>
      </c>
      <c r="D7586" t="inlineStr">
        <is>
          <t>VÄSTERBOTTENS LÄN</t>
        </is>
      </c>
      <c r="E7586" t="inlineStr">
        <is>
          <t>NORDMALING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59169-2025</t>
        </is>
      </c>
      <c r="B7587" s="1" t="n">
        <v>45988</v>
      </c>
      <c r="C7587" s="1" t="n">
        <v>46145</v>
      </c>
      <c r="D7587" t="inlineStr">
        <is>
          <t>VÄSTERBOTTENS LÄN</t>
        </is>
      </c>
      <c r="E7587" t="inlineStr">
        <is>
          <t>NORDMALING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59958-2025</t>
        </is>
      </c>
      <c r="B7588" s="1" t="n">
        <v>45993.46925925926</v>
      </c>
      <c r="C7588" s="1" t="n">
        <v>46145</v>
      </c>
      <c r="D7588" t="inlineStr">
        <is>
          <t>VÄSTERBOTTENS LÄN</t>
        </is>
      </c>
      <c r="E7588" t="inlineStr">
        <is>
          <t>NORSJÖ</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60125-2025</t>
        </is>
      </c>
      <c r="B7589" s="1" t="n">
        <v>45994.34052083334</v>
      </c>
      <c r="C7589" s="1" t="n">
        <v>46145</v>
      </c>
      <c r="D7589" t="inlineStr">
        <is>
          <t>VÄSTERBOTTENS LÄN</t>
        </is>
      </c>
      <c r="E7589" t="inlineStr">
        <is>
          <t>VINDELN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60561-2025</t>
        </is>
      </c>
      <c r="B7590" s="1" t="n">
        <v>45994</v>
      </c>
      <c r="C7590" s="1" t="n">
        <v>46145</v>
      </c>
      <c r="D7590" t="inlineStr">
        <is>
          <t>VÄSTERBOTTENS LÄN</t>
        </is>
      </c>
      <c r="E7590" t="inlineStr">
        <is>
          <t>SORSELE</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10793-2023</t>
        </is>
      </c>
      <c r="B7591" s="1" t="n">
        <v>44989.40244212963</v>
      </c>
      <c r="C7591" s="1" t="n">
        <v>46145</v>
      </c>
      <c r="D7591" t="inlineStr">
        <is>
          <t>VÄSTERBOTTENS LÄN</t>
        </is>
      </c>
      <c r="E7591" t="inlineStr">
        <is>
          <t>SORSELE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60137-2025</t>
        </is>
      </c>
      <c r="B7592" s="1" t="n">
        <v>45994.35525462963</v>
      </c>
      <c r="C7592" s="1" t="n">
        <v>46145</v>
      </c>
      <c r="D7592" t="inlineStr">
        <is>
          <t>VÄSTERBOTTENS LÄN</t>
        </is>
      </c>
      <c r="E7592" t="inlineStr">
        <is>
          <t>VINDELN</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60469-2025</t>
        </is>
      </c>
      <c r="B7593" s="1" t="n">
        <v>45995.56527777778</v>
      </c>
      <c r="C7593" s="1" t="n">
        <v>46145</v>
      </c>
      <c r="D7593" t="inlineStr">
        <is>
          <t>VÄSTERBOTTENS LÄN</t>
        </is>
      </c>
      <c r="E7593" t="inlineStr">
        <is>
          <t>ÅSELE</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60697-2025</t>
        </is>
      </c>
      <c r="B7594" s="1" t="n">
        <v>45996.59995370371</v>
      </c>
      <c r="C7594" s="1" t="n">
        <v>46145</v>
      </c>
      <c r="D7594" t="inlineStr">
        <is>
          <t>VÄSTERBOTTENS LÄN</t>
        </is>
      </c>
      <c r="E7594" t="inlineStr">
        <is>
          <t>VILHELMINA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60701-2025</t>
        </is>
      </c>
      <c r="B7595" s="1" t="n">
        <v>45996.60284722222</v>
      </c>
      <c r="C7595" s="1" t="n">
        <v>46145</v>
      </c>
      <c r="D7595" t="inlineStr">
        <is>
          <t>VÄSTERBOTTENS LÄN</t>
        </is>
      </c>
      <c r="E7595" t="inlineStr">
        <is>
          <t>VILHELMINA</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13878-2025</t>
        </is>
      </c>
      <c r="B7596" s="1" t="n">
        <v>45737.59420138889</v>
      </c>
      <c r="C7596" s="1" t="n">
        <v>46145</v>
      </c>
      <c r="D7596" t="inlineStr">
        <is>
          <t>VÄSTERBOTTENS LÄN</t>
        </is>
      </c>
      <c r="E7596" t="inlineStr">
        <is>
          <t>VINDELN</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29736-2024</t>
        </is>
      </c>
      <c r="B7597" s="1" t="n">
        <v>45485.38484953704</v>
      </c>
      <c r="C7597" s="1" t="n">
        <v>46145</v>
      </c>
      <c r="D7597" t="inlineStr">
        <is>
          <t>VÄSTERBOTTENS LÄN</t>
        </is>
      </c>
      <c r="E7597" t="inlineStr">
        <is>
          <t>ÅSELE</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60654-2025</t>
        </is>
      </c>
      <c r="B7598" s="1" t="n">
        <v>45996.46918981482</v>
      </c>
      <c r="C7598" s="1" t="n">
        <v>46145</v>
      </c>
      <c r="D7598" t="inlineStr">
        <is>
          <t>VÄSTERBOTTENS LÄN</t>
        </is>
      </c>
      <c r="E7598" t="inlineStr">
        <is>
          <t>SKELLEFTEÅ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60420-2025</t>
        </is>
      </c>
      <c r="B7599" s="1" t="n">
        <v>45995.46668981481</v>
      </c>
      <c r="C7599" s="1" t="n">
        <v>46145</v>
      </c>
      <c r="D7599" t="inlineStr">
        <is>
          <t>VÄSTERBOTTENS LÄN</t>
        </is>
      </c>
      <c r="E7599" t="inlineStr">
        <is>
          <t>SKELLEFTEÅ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50512-2023</t>
        </is>
      </c>
      <c r="B7600" s="1" t="n">
        <v>45216.95886574074</v>
      </c>
      <c r="C7600" s="1" t="n">
        <v>46145</v>
      </c>
      <c r="D7600" t="inlineStr">
        <is>
          <t>VÄSTERBOTTENS LÄN</t>
        </is>
      </c>
      <c r="E7600" t="inlineStr">
        <is>
          <t>VINDELN</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60631-2025</t>
        </is>
      </c>
      <c r="B7601" s="1" t="n">
        <v>45996</v>
      </c>
      <c r="C7601" s="1" t="n">
        <v>46145</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24583-2022</t>
        </is>
      </c>
      <c r="B7602" s="1" t="n">
        <v>44727</v>
      </c>
      <c r="C7602" s="1" t="n">
        <v>46145</v>
      </c>
      <c r="D7602" t="inlineStr">
        <is>
          <t>VÄSTERBOTTENS LÄN</t>
        </is>
      </c>
      <c r="E7602" t="inlineStr">
        <is>
          <t>SKELLEFTEÅ</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35559-2023</t>
        </is>
      </c>
      <c r="B7603" s="1" t="n">
        <v>45147</v>
      </c>
      <c r="C7603" s="1" t="n">
        <v>46145</v>
      </c>
      <c r="D7603" t="inlineStr">
        <is>
          <t>VÄSTERBOTTENS LÄN</t>
        </is>
      </c>
      <c r="E7603" t="inlineStr">
        <is>
          <t>LYCKSELE</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60341-2025</t>
        </is>
      </c>
      <c r="B7604" s="1" t="n">
        <v>45994.83516203704</v>
      </c>
      <c r="C7604" s="1" t="n">
        <v>46145</v>
      </c>
      <c r="D7604" t="inlineStr">
        <is>
          <t>VÄSTERBOTTENS LÄN</t>
        </is>
      </c>
      <c r="E7604" t="inlineStr">
        <is>
          <t>STORUMAN</t>
        </is>
      </c>
      <c r="G7604" t="n">
        <v>24.6</v>
      </c>
      <c r="H7604" t="n">
        <v>0</v>
      </c>
      <c r="I7604" t="n">
        <v>0</v>
      </c>
      <c r="J7604" t="n">
        <v>0</v>
      </c>
      <c r="K7604" t="n">
        <v>0</v>
      </c>
      <c r="L7604" t="n">
        <v>0</v>
      </c>
      <c r="M7604" t="n">
        <v>0</v>
      </c>
      <c r="N7604" t="n">
        <v>0</v>
      </c>
      <c r="O7604" t="n">
        <v>0</v>
      </c>
      <c r="P7604" t="n">
        <v>0</v>
      </c>
      <c r="Q7604" t="n">
        <v>0</v>
      </c>
      <c r="R7604" s="2" t="inlineStr"/>
    </row>
    <row r="7605" ht="15" customHeight="1">
      <c r="A7605" t="inlineStr">
        <is>
          <t>A 60689-2025</t>
        </is>
      </c>
      <c r="B7605" s="1" t="n">
        <v>45996.58799768519</v>
      </c>
      <c r="C7605" s="1" t="n">
        <v>46145</v>
      </c>
      <c r="D7605" t="inlineStr">
        <is>
          <t>VÄSTERBOTTENS LÄN</t>
        </is>
      </c>
      <c r="E7605" t="inlineStr">
        <is>
          <t>SKELLEFTEÅ</t>
        </is>
      </c>
      <c r="F7605" t="inlineStr">
        <is>
          <t>Holmen skog AB</t>
        </is>
      </c>
      <c r="G7605" t="n">
        <v>15.3</v>
      </c>
      <c r="H7605" t="n">
        <v>0</v>
      </c>
      <c r="I7605" t="n">
        <v>0</v>
      </c>
      <c r="J7605" t="n">
        <v>0</v>
      </c>
      <c r="K7605" t="n">
        <v>0</v>
      </c>
      <c r="L7605" t="n">
        <v>0</v>
      </c>
      <c r="M7605" t="n">
        <v>0</v>
      </c>
      <c r="N7605" t="n">
        <v>0</v>
      </c>
      <c r="O7605" t="n">
        <v>0</v>
      </c>
      <c r="P7605" t="n">
        <v>0</v>
      </c>
      <c r="Q7605" t="n">
        <v>0</v>
      </c>
      <c r="R7605" s="2" t="inlineStr"/>
    </row>
    <row r="7606" ht="15" customHeight="1">
      <c r="A7606" t="inlineStr">
        <is>
          <t>A 60556-2025</t>
        </is>
      </c>
      <c r="B7606" s="1" t="n">
        <v>45995.74164351852</v>
      </c>
      <c r="C7606" s="1" t="n">
        <v>46145</v>
      </c>
      <c r="D7606" t="inlineStr">
        <is>
          <t>VÄSTERBOTTENS LÄN</t>
        </is>
      </c>
      <c r="E7606" t="inlineStr">
        <is>
          <t>SKELLEFTEÅ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20850-2023</t>
        </is>
      </c>
      <c r="B7607" s="1" t="n">
        <v>45056</v>
      </c>
      <c r="C7607" s="1" t="n">
        <v>46145</v>
      </c>
      <c r="D7607" t="inlineStr">
        <is>
          <t>VÄSTERBOTTENS LÄN</t>
        </is>
      </c>
      <c r="E7607" t="inlineStr">
        <is>
          <t>SORSELE</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59077-2025</t>
        </is>
      </c>
      <c r="B7608" s="1" t="n">
        <v>45988</v>
      </c>
      <c r="C7608" s="1" t="n">
        <v>46145</v>
      </c>
      <c r="D7608" t="inlineStr">
        <is>
          <t>VÄSTERBOTTENS LÄN</t>
        </is>
      </c>
      <c r="E7608" t="inlineStr">
        <is>
          <t>SKELLEFTEÅ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57815-2025</t>
        </is>
      </c>
      <c r="B7609" s="1" t="n">
        <v>45981</v>
      </c>
      <c r="C7609" s="1" t="n">
        <v>46145</v>
      </c>
      <c r="D7609" t="inlineStr">
        <is>
          <t>VÄSTERBOTTENS LÄN</t>
        </is>
      </c>
      <c r="E7609" t="inlineStr">
        <is>
          <t>DOROTEA</t>
        </is>
      </c>
      <c r="G7609" t="n">
        <v>29.9</v>
      </c>
      <c r="H7609" t="n">
        <v>0</v>
      </c>
      <c r="I7609" t="n">
        <v>0</v>
      </c>
      <c r="J7609" t="n">
        <v>0</v>
      </c>
      <c r="K7609" t="n">
        <v>0</v>
      </c>
      <c r="L7609" t="n">
        <v>0</v>
      </c>
      <c r="M7609" t="n">
        <v>0</v>
      </c>
      <c r="N7609" t="n">
        <v>0</v>
      </c>
      <c r="O7609" t="n">
        <v>0</v>
      </c>
      <c r="P7609" t="n">
        <v>0</v>
      </c>
      <c r="Q7609" t="n">
        <v>0</v>
      </c>
      <c r="R7609" s="2" t="inlineStr"/>
    </row>
    <row r="7610" ht="15" customHeight="1">
      <c r="A7610" t="inlineStr">
        <is>
          <t>A 31095-2024</t>
        </is>
      </c>
      <c r="B7610" s="1" t="n">
        <v>45502</v>
      </c>
      <c r="C7610" s="1" t="n">
        <v>46145</v>
      </c>
      <c r="D7610" t="inlineStr">
        <is>
          <t>VÄSTERBOTTENS LÄN</t>
        </is>
      </c>
      <c r="E7610" t="inlineStr">
        <is>
          <t>VILHELMINA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60418-2025</t>
        </is>
      </c>
      <c r="B7611" s="1" t="n">
        <v>45995.45458333333</v>
      </c>
      <c r="C7611" s="1" t="n">
        <v>46145</v>
      </c>
      <c r="D7611" t="inlineStr">
        <is>
          <t>VÄSTERBOTTENS LÄN</t>
        </is>
      </c>
      <c r="E7611" t="inlineStr">
        <is>
          <t>VINDELN</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33235-2024</t>
        </is>
      </c>
      <c r="B7612" s="1" t="n">
        <v>45518.58706018519</v>
      </c>
      <c r="C7612" s="1" t="n">
        <v>46145</v>
      </c>
      <c r="D7612" t="inlineStr">
        <is>
          <t>VÄSTERBOTTENS LÄN</t>
        </is>
      </c>
      <c r="E7612" t="inlineStr">
        <is>
          <t>SORSELE</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50680-2024</t>
        </is>
      </c>
      <c r="B7613" s="1" t="n">
        <v>45602</v>
      </c>
      <c r="C7613" s="1" t="n">
        <v>46145</v>
      </c>
      <c r="D7613" t="inlineStr">
        <is>
          <t>VÄSTERBOTTENS LÄN</t>
        </is>
      </c>
      <c r="E7613" t="inlineStr">
        <is>
          <t>BJURHOLM</t>
        </is>
      </c>
      <c r="F7613" t="inlineStr">
        <is>
          <t>Holmen skog AB</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60440-2025</t>
        </is>
      </c>
      <c r="B7614" s="1" t="n">
        <v>45995.49024305555</v>
      </c>
      <c r="C7614" s="1" t="n">
        <v>46145</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60980-2024</t>
        </is>
      </c>
      <c r="B7615" s="1" t="n">
        <v>45645.41027777778</v>
      </c>
      <c r="C7615" s="1" t="n">
        <v>46145</v>
      </c>
      <c r="D7615" t="inlineStr">
        <is>
          <t>VÄSTERBOTTENS LÄN</t>
        </is>
      </c>
      <c r="E7615" t="inlineStr">
        <is>
          <t>VINDELN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60409-2025</t>
        </is>
      </c>
      <c r="B7616" s="1" t="n">
        <v>45995.4475</v>
      </c>
      <c r="C7616" s="1" t="n">
        <v>46145</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60421-2025</t>
        </is>
      </c>
      <c r="B7617" s="1" t="n">
        <v>45995.46840277778</v>
      </c>
      <c r="C7617" s="1" t="n">
        <v>46145</v>
      </c>
      <c r="D7617" t="inlineStr">
        <is>
          <t>VÄSTERBOTTENS LÄN</t>
        </is>
      </c>
      <c r="E7617" t="inlineStr">
        <is>
          <t>VINDELN</t>
        </is>
      </c>
      <c r="F7617" t="inlineStr">
        <is>
          <t>Sveaskog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60464-2025</t>
        </is>
      </c>
      <c r="B7618" s="1" t="n">
        <v>45995</v>
      </c>
      <c r="C7618" s="1" t="n">
        <v>46145</v>
      </c>
      <c r="D7618" t="inlineStr">
        <is>
          <t>VÄSTERBOTTENS LÄN</t>
        </is>
      </c>
      <c r="E7618" t="inlineStr">
        <is>
          <t>DOROTEA</t>
        </is>
      </c>
      <c r="G7618" t="n">
        <v>9.5</v>
      </c>
      <c r="H7618" t="n">
        <v>0</v>
      </c>
      <c r="I7618" t="n">
        <v>0</v>
      </c>
      <c r="J7618" t="n">
        <v>0</v>
      </c>
      <c r="K7618" t="n">
        <v>0</v>
      </c>
      <c r="L7618" t="n">
        <v>0</v>
      </c>
      <c r="M7618" t="n">
        <v>0</v>
      </c>
      <c r="N7618" t="n">
        <v>0</v>
      </c>
      <c r="O7618" t="n">
        <v>0</v>
      </c>
      <c r="P7618" t="n">
        <v>0</v>
      </c>
      <c r="Q7618" t="n">
        <v>0</v>
      </c>
      <c r="R7618" s="2" t="inlineStr"/>
    </row>
    <row r="7619" ht="15" customHeight="1">
      <c r="A7619" t="inlineStr">
        <is>
          <t>A 60504-2025</t>
        </is>
      </c>
      <c r="B7619" s="1" t="n">
        <v>45995.62278935185</v>
      </c>
      <c r="C7619" s="1" t="n">
        <v>46145</v>
      </c>
      <c r="D7619" t="inlineStr">
        <is>
          <t>VÄSTERBOTTENS LÄN</t>
        </is>
      </c>
      <c r="E7619" t="inlineStr">
        <is>
          <t>SKELLEFTEÅ</t>
        </is>
      </c>
      <c r="F7619" t="inlineStr">
        <is>
          <t>Kommuner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23458-2023</t>
        </is>
      </c>
      <c r="B7620" s="1" t="n">
        <v>45076.61943287037</v>
      </c>
      <c r="C7620" s="1" t="n">
        <v>46145</v>
      </c>
      <c r="D7620" t="inlineStr">
        <is>
          <t>VÄSTERBOTTENS LÄN</t>
        </is>
      </c>
      <c r="E7620" t="inlineStr">
        <is>
          <t>SKELLEFTEÅ</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60554-2025</t>
        </is>
      </c>
      <c r="B7621" s="1" t="n">
        <v>45995.73587962963</v>
      </c>
      <c r="C7621" s="1" t="n">
        <v>46145</v>
      </c>
      <c r="D7621" t="inlineStr">
        <is>
          <t>VÄSTERBOTTENS LÄN</t>
        </is>
      </c>
      <c r="E7621" t="inlineStr">
        <is>
          <t>SKELLEFTEÅ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60722-2025</t>
        </is>
      </c>
      <c r="B7622" s="1" t="n">
        <v>45996.65273148148</v>
      </c>
      <c r="C7622" s="1" t="n">
        <v>46145</v>
      </c>
      <c r="D7622" t="inlineStr">
        <is>
          <t>VÄSTERBOTTENS LÄN</t>
        </is>
      </c>
      <c r="E7622" t="inlineStr">
        <is>
          <t>SKELLEFTEÅ</t>
        </is>
      </c>
      <c r="F7622" t="inlineStr">
        <is>
          <t>Sveaskog</t>
        </is>
      </c>
      <c r="G7622" t="n">
        <v>24.9</v>
      </c>
      <c r="H7622" t="n">
        <v>0</v>
      </c>
      <c r="I7622" t="n">
        <v>0</v>
      </c>
      <c r="J7622" t="n">
        <v>0</v>
      </c>
      <c r="K7622" t="n">
        <v>0</v>
      </c>
      <c r="L7622" t="n">
        <v>0</v>
      </c>
      <c r="M7622" t="n">
        <v>0</v>
      </c>
      <c r="N7622" t="n">
        <v>0</v>
      </c>
      <c r="O7622" t="n">
        <v>0</v>
      </c>
      <c r="P7622" t="n">
        <v>0</v>
      </c>
      <c r="Q7622" t="n">
        <v>0</v>
      </c>
      <c r="R7622" s="2" t="inlineStr"/>
    </row>
    <row r="7623" ht="15" customHeight="1">
      <c r="A7623" t="inlineStr">
        <is>
          <t>A 55615-2024</t>
        </is>
      </c>
      <c r="B7623" s="1" t="n">
        <v>45622.58969907407</v>
      </c>
      <c r="C7623" s="1" t="n">
        <v>46145</v>
      </c>
      <c r="D7623" t="inlineStr">
        <is>
          <t>VÄSTERBOTTENS LÄN</t>
        </is>
      </c>
      <c r="E7623" t="inlineStr">
        <is>
          <t>ÅSELE</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60723-2025</t>
        </is>
      </c>
      <c r="B7624" s="1" t="n">
        <v>45996.65587962963</v>
      </c>
      <c r="C7624" s="1" t="n">
        <v>46145</v>
      </c>
      <c r="D7624" t="inlineStr">
        <is>
          <t>VÄSTERBOTTENS LÄN</t>
        </is>
      </c>
      <c r="E7624" t="inlineStr">
        <is>
          <t>ÅSELE</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60533-2025</t>
        </is>
      </c>
      <c r="B7625" s="1" t="n">
        <v>45995.65939814815</v>
      </c>
      <c r="C7625" s="1" t="n">
        <v>46145</v>
      </c>
      <c r="D7625" t="inlineStr">
        <is>
          <t>VÄSTERBOTTENS LÄN</t>
        </is>
      </c>
      <c r="E7625" t="inlineStr">
        <is>
          <t>VÄNNÄS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12851-2025</t>
        </is>
      </c>
      <c r="B7626" s="1" t="n">
        <v>45733</v>
      </c>
      <c r="C7626" s="1" t="n">
        <v>46145</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50997-2024</t>
        </is>
      </c>
      <c r="B7627" s="1" t="n">
        <v>45603.3777662037</v>
      </c>
      <c r="C7627" s="1" t="n">
        <v>46145</v>
      </c>
      <c r="D7627" t="inlineStr">
        <is>
          <t>VÄSTERBOTTENS LÄN</t>
        </is>
      </c>
      <c r="E7627" t="inlineStr">
        <is>
          <t>VINDELN</t>
        </is>
      </c>
      <c r="F7627" t="inlineStr">
        <is>
          <t>Holmen skog AB</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60594-2025</t>
        </is>
      </c>
      <c r="B7628" s="1" t="n">
        <v>45996.34412037037</v>
      </c>
      <c r="C7628" s="1" t="n">
        <v>46145</v>
      </c>
      <c r="D7628" t="inlineStr">
        <is>
          <t>VÄSTERBOTTENS LÄN</t>
        </is>
      </c>
      <c r="E7628" t="inlineStr">
        <is>
          <t>LYCKSELE</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48761-2024</t>
        </is>
      </c>
      <c r="B7629" s="1" t="n">
        <v>45593</v>
      </c>
      <c r="C7629" s="1" t="n">
        <v>46145</v>
      </c>
      <c r="D7629" t="inlineStr">
        <is>
          <t>VÄSTERBOTTENS LÄN</t>
        </is>
      </c>
      <c r="E7629" t="inlineStr">
        <is>
          <t>STORUMAN</t>
        </is>
      </c>
      <c r="G7629" t="n">
        <v>35.7</v>
      </c>
      <c r="H7629" t="n">
        <v>0</v>
      </c>
      <c r="I7629" t="n">
        <v>0</v>
      </c>
      <c r="J7629" t="n">
        <v>0</v>
      </c>
      <c r="K7629" t="n">
        <v>0</v>
      </c>
      <c r="L7629" t="n">
        <v>0</v>
      </c>
      <c r="M7629" t="n">
        <v>0</v>
      </c>
      <c r="N7629" t="n">
        <v>0</v>
      </c>
      <c r="O7629" t="n">
        <v>0</v>
      </c>
      <c r="P7629" t="n">
        <v>0</v>
      </c>
      <c r="Q7629" t="n">
        <v>0</v>
      </c>
      <c r="R7629" s="2" t="inlineStr"/>
    </row>
    <row r="7630" ht="15" customHeight="1">
      <c r="A7630" t="inlineStr">
        <is>
          <t>A 23769-2023</t>
        </is>
      </c>
      <c r="B7630" s="1" t="n">
        <v>45077.94409722222</v>
      </c>
      <c r="C7630" s="1" t="n">
        <v>46145</v>
      </c>
      <c r="D7630" t="inlineStr">
        <is>
          <t>VÄSTERBOTTENS LÄN</t>
        </is>
      </c>
      <c r="E7630" t="inlineStr">
        <is>
          <t>LYCKSELE</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60545-2025</t>
        </is>
      </c>
      <c r="B7631" s="1" t="n">
        <v>45995.6921412037</v>
      </c>
      <c r="C7631" s="1" t="n">
        <v>46145</v>
      </c>
      <c r="D7631" t="inlineStr">
        <is>
          <t>VÄSTERBOTTENS LÄN</t>
        </is>
      </c>
      <c r="E7631" t="inlineStr">
        <is>
          <t>VINDELN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60563-2025</t>
        </is>
      </c>
      <c r="B7632" s="1" t="n">
        <v>45994</v>
      </c>
      <c r="C7632" s="1" t="n">
        <v>46145</v>
      </c>
      <c r="D7632" t="inlineStr">
        <is>
          <t>VÄSTERBOTTENS LÄN</t>
        </is>
      </c>
      <c r="E7632" t="inlineStr">
        <is>
          <t>LYCKSELE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48116-2024</t>
        </is>
      </c>
      <c r="B7633" s="1" t="n">
        <v>45589.634375</v>
      </c>
      <c r="C7633" s="1" t="n">
        <v>46145</v>
      </c>
      <c r="D7633" t="inlineStr">
        <is>
          <t>VÄSTERBOTTENS LÄN</t>
        </is>
      </c>
      <c r="E7633" t="inlineStr">
        <is>
          <t>SKELLEFTEÅ</t>
        </is>
      </c>
      <c r="F7633" t="inlineStr">
        <is>
          <t>Kommuner</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48135-2024</t>
        </is>
      </c>
      <c r="B7634" s="1" t="n">
        <v>45589.65295138889</v>
      </c>
      <c r="C7634" s="1" t="n">
        <v>46145</v>
      </c>
      <c r="D7634" t="inlineStr">
        <is>
          <t>VÄSTERBOTTENS LÄN</t>
        </is>
      </c>
      <c r="E7634" t="inlineStr">
        <is>
          <t>VINDELN</t>
        </is>
      </c>
      <c r="F7634" t="inlineStr">
        <is>
          <t>Holmen skog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60644-2025</t>
        </is>
      </c>
      <c r="B7635" s="1" t="n">
        <v>45996</v>
      </c>
      <c r="C7635" s="1" t="n">
        <v>46145</v>
      </c>
      <c r="D7635" t="inlineStr">
        <is>
          <t>VÄSTERBOTTENS LÄN</t>
        </is>
      </c>
      <c r="E7635" t="inlineStr">
        <is>
          <t>SKELLEFTEÅ</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60336-2025</t>
        </is>
      </c>
      <c r="B7636" s="1" t="n">
        <v>45994.78555555556</v>
      </c>
      <c r="C7636" s="1" t="n">
        <v>46145</v>
      </c>
      <c r="D7636" t="inlineStr">
        <is>
          <t>VÄSTERBOTTENS LÄN</t>
        </is>
      </c>
      <c r="E7636" t="inlineStr">
        <is>
          <t>STORUMAN</t>
        </is>
      </c>
      <c r="G7636" t="n">
        <v>28.6</v>
      </c>
      <c r="H7636" t="n">
        <v>0</v>
      </c>
      <c r="I7636" t="n">
        <v>0</v>
      </c>
      <c r="J7636" t="n">
        <v>0</v>
      </c>
      <c r="K7636" t="n">
        <v>0</v>
      </c>
      <c r="L7636" t="n">
        <v>0</v>
      </c>
      <c r="M7636" t="n">
        <v>0</v>
      </c>
      <c r="N7636" t="n">
        <v>0</v>
      </c>
      <c r="O7636" t="n">
        <v>0</v>
      </c>
      <c r="P7636" t="n">
        <v>0</v>
      </c>
      <c r="Q7636" t="n">
        <v>0</v>
      </c>
      <c r="R7636" s="2" t="inlineStr"/>
    </row>
    <row r="7637" ht="15" customHeight="1">
      <c r="A7637" t="inlineStr">
        <is>
          <t>A 60669-2025</t>
        </is>
      </c>
      <c r="B7637" s="1" t="n">
        <v>45996.52368055555</v>
      </c>
      <c r="C7637" s="1" t="n">
        <v>46145</v>
      </c>
      <c r="D7637" t="inlineStr">
        <is>
          <t>VÄSTERBOTTENS LÄN</t>
        </is>
      </c>
      <c r="E7637" t="inlineStr">
        <is>
          <t>NORDMALING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60726-2025</t>
        </is>
      </c>
      <c r="B7638" s="1" t="n">
        <v>45996.66350694445</v>
      </c>
      <c r="C7638" s="1" t="n">
        <v>46145</v>
      </c>
      <c r="D7638" t="inlineStr">
        <is>
          <t>VÄSTERBOTTENS LÄN</t>
        </is>
      </c>
      <c r="E7638" t="inlineStr">
        <is>
          <t>LYCKSELE</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37785-2023</t>
        </is>
      </c>
      <c r="B7639" s="1" t="n">
        <v>45159</v>
      </c>
      <c r="C7639" s="1" t="n">
        <v>46145</v>
      </c>
      <c r="D7639" t="inlineStr">
        <is>
          <t>VÄSTERBOTTENS LÄN</t>
        </is>
      </c>
      <c r="E7639" t="inlineStr">
        <is>
          <t>MALÅ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37816-2023</t>
        </is>
      </c>
      <c r="B7640" s="1" t="n">
        <v>45159.94234953704</v>
      </c>
      <c r="C7640" s="1" t="n">
        <v>46145</v>
      </c>
      <c r="D7640" t="inlineStr">
        <is>
          <t>VÄSTERBOTTENS LÄN</t>
        </is>
      </c>
      <c r="E7640" t="inlineStr">
        <is>
          <t>SORSELE</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60567-2025</t>
        </is>
      </c>
      <c r="B7641" s="1" t="n">
        <v>45995.84512731482</v>
      </c>
      <c r="C7641" s="1" t="n">
        <v>46145</v>
      </c>
      <c r="D7641" t="inlineStr">
        <is>
          <t>VÄSTERBOTTENS LÄN</t>
        </is>
      </c>
      <c r="E7641" t="inlineStr">
        <is>
          <t>SKELLEFTEÅ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60647-2025</t>
        </is>
      </c>
      <c r="B7642" s="1" t="n">
        <v>45995</v>
      </c>
      <c r="C7642" s="1" t="n">
        <v>46145</v>
      </c>
      <c r="D7642" t="inlineStr">
        <is>
          <t>VÄSTERBOTTENS LÄN</t>
        </is>
      </c>
      <c r="E7642" t="inlineStr">
        <is>
          <t>ROBERTSFORS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50413-2024</t>
        </is>
      </c>
      <c r="B7643" s="1" t="n">
        <v>45601.37128472222</v>
      </c>
      <c r="C7643" s="1" t="n">
        <v>46145</v>
      </c>
      <c r="D7643" t="inlineStr">
        <is>
          <t>VÄSTERBOTTENS LÄN</t>
        </is>
      </c>
      <c r="E7643" t="inlineStr">
        <is>
          <t>VÄNNÄS</t>
        </is>
      </c>
      <c r="F7643" t="inlineStr">
        <is>
          <t>Holmen skog AB</t>
        </is>
      </c>
      <c r="G7643" t="n">
        <v>23.4</v>
      </c>
      <c r="H7643" t="n">
        <v>0</v>
      </c>
      <c r="I7643" t="n">
        <v>0</v>
      </c>
      <c r="J7643" t="n">
        <v>0</v>
      </c>
      <c r="K7643" t="n">
        <v>0</v>
      </c>
      <c r="L7643" t="n">
        <v>0</v>
      </c>
      <c r="M7643" t="n">
        <v>0</v>
      </c>
      <c r="N7643" t="n">
        <v>0</v>
      </c>
      <c r="O7643" t="n">
        <v>0</v>
      </c>
      <c r="P7643" t="n">
        <v>0</v>
      </c>
      <c r="Q7643" t="n">
        <v>0</v>
      </c>
      <c r="R7643" s="2" t="inlineStr"/>
    </row>
    <row r="7644" ht="15" customHeight="1">
      <c r="A7644" t="inlineStr">
        <is>
          <t>A 60713-2025</t>
        </is>
      </c>
      <c r="B7644" s="1" t="n">
        <v>45996.63483796296</v>
      </c>
      <c r="C7644" s="1" t="n">
        <v>46145</v>
      </c>
      <c r="D7644" t="inlineStr">
        <is>
          <t>VÄSTERBOTTENS LÄN</t>
        </is>
      </c>
      <c r="E7644" t="inlineStr">
        <is>
          <t>VILHELMINA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60724-2025</t>
        </is>
      </c>
      <c r="B7645" s="1" t="n">
        <v>45996</v>
      </c>
      <c r="C7645" s="1" t="n">
        <v>46145</v>
      </c>
      <c r="D7645" t="inlineStr">
        <is>
          <t>VÄSTERBOTTENS LÄN</t>
        </is>
      </c>
      <c r="E7645" t="inlineStr">
        <is>
          <t>DOROTEA</t>
        </is>
      </c>
      <c r="G7645" t="n">
        <v>23.9</v>
      </c>
      <c r="H7645" t="n">
        <v>0</v>
      </c>
      <c r="I7645" t="n">
        <v>0</v>
      </c>
      <c r="J7645" t="n">
        <v>0</v>
      </c>
      <c r="K7645" t="n">
        <v>0</v>
      </c>
      <c r="L7645" t="n">
        <v>0</v>
      </c>
      <c r="M7645" t="n">
        <v>0</v>
      </c>
      <c r="N7645" t="n">
        <v>0</v>
      </c>
      <c r="O7645" t="n">
        <v>0</v>
      </c>
      <c r="P7645" t="n">
        <v>0</v>
      </c>
      <c r="Q7645" t="n">
        <v>0</v>
      </c>
      <c r="R7645" s="2" t="inlineStr"/>
    </row>
    <row r="7646" ht="15" customHeight="1">
      <c r="A7646" t="inlineStr">
        <is>
          <t>A 60507-2025</t>
        </is>
      </c>
      <c r="B7646" s="1" t="n">
        <v>45995.6294212963</v>
      </c>
      <c r="C7646" s="1" t="n">
        <v>46145</v>
      </c>
      <c r="D7646" t="inlineStr">
        <is>
          <t>VÄSTERBOTTENS LÄN</t>
        </is>
      </c>
      <c r="E7646" t="inlineStr">
        <is>
          <t>SKELLEFTEÅ</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51875-2024</t>
        </is>
      </c>
      <c r="B7647" s="1" t="n">
        <v>45607.55600694445</v>
      </c>
      <c r="C7647" s="1" t="n">
        <v>46145</v>
      </c>
      <c r="D7647" t="inlineStr">
        <is>
          <t>VÄSTERBOTTENS LÄN</t>
        </is>
      </c>
      <c r="E7647" t="inlineStr">
        <is>
          <t>ROBERTSFORS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44240-2024</t>
        </is>
      </c>
      <c r="B7648" s="1" t="n">
        <v>45573.42513888889</v>
      </c>
      <c r="C7648" s="1" t="n">
        <v>46145</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60636-2025</t>
        </is>
      </c>
      <c r="B7649" s="1" t="n">
        <v>45996</v>
      </c>
      <c r="C7649" s="1" t="n">
        <v>46145</v>
      </c>
      <c r="D7649" t="inlineStr">
        <is>
          <t>VÄSTERBOTTENS LÄN</t>
        </is>
      </c>
      <c r="E7649" t="inlineStr">
        <is>
          <t>SKELLEFTEÅ</t>
        </is>
      </c>
      <c r="G7649" t="n">
        <v>8.199999999999999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60405-2025</t>
        </is>
      </c>
      <c r="B7650" s="1" t="n">
        <v>45995.42971064815</v>
      </c>
      <c r="C7650" s="1" t="n">
        <v>46145</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42749-2023</t>
        </is>
      </c>
      <c r="B7651" s="1" t="n">
        <v>45177</v>
      </c>
      <c r="C7651" s="1" t="n">
        <v>46145</v>
      </c>
      <c r="D7651" t="inlineStr">
        <is>
          <t>VÄSTERBOTTENS LÄN</t>
        </is>
      </c>
      <c r="E7651" t="inlineStr">
        <is>
          <t>SORSELE</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7777-2024</t>
        </is>
      </c>
      <c r="B7652" s="1" t="n">
        <v>45349</v>
      </c>
      <c r="C7652" s="1" t="n">
        <v>46145</v>
      </c>
      <c r="D7652" t="inlineStr">
        <is>
          <t>VÄSTERBOTTENS LÄN</t>
        </is>
      </c>
      <c r="E7652" t="inlineStr">
        <is>
          <t>VILHELMINA</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42789-2023</t>
        </is>
      </c>
      <c r="B7653" s="1" t="n">
        <v>45181</v>
      </c>
      <c r="C7653" s="1" t="n">
        <v>46145</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60719-2025</t>
        </is>
      </c>
      <c r="B7654" s="1" t="n">
        <v>45996.64038194445</v>
      </c>
      <c r="C7654" s="1" t="n">
        <v>46145</v>
      </c>
      <c r="D7654" t="inlineStr">
        <is>
          <t>VÄSTERBOTTENS LÄN</t>
        </is>
      </c>
      <c r="E7654" t="inlineStr">
        <is>
          <t>SKELLEFTEÅ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60693-2025</t>
        </is>
      </c>
      <c r="B7655" s="1" t="n">
        <v>45996.59361111111</v>
      </c>
      <c r="C7655" s="1" t="n">
        <v>46145</v>
      </c>
      <c r="D7655" t="inlineStr">
        <is>
          <t>VÄSTERBOTTENS LÄN</t>
        </is>
      </c>
      <c r="E7655" t="inlineStr">
        <is>
          <t>ROBERTSFORS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60694-2025</t>
        </is>
      </c>
      <c r="B7656" s="1" t="n">
        <v>45996.59578703704</v>
      </c>
      <c r="C7656" s="1" t="n">
        <v>46145</v>
      </c>
      <c r="D7656" t="inlineStr">
        <is>
          <t>VÄSTERBOTTENS LÄN</t>
        </is>
      </c>
      <c r="E7656" t="inlineStr">
        <is>
          <t>SKELLEFTEÅ</t>
        </is>
      </c>
      <c r="F7656" t="inlineStr">
        <is>
          <t>Holmen skog AB</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60715-2025</t>
        </is>
      </c>
      <c r="B7657" s="1" t="n">
        <v>45996.63627314815</v>
      </c>
      <c r="C7657" s="1" t="n">
        <v>46145</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60735-2025</t>
        </is>
      </c>
      <c r="B7658" s="1" t="n">
        <v>45995</v>
      </c>
      <c r="C7658" s="1" t="n">
        <v>46145</v>
      </c>
      <c r="D7658" t="inlineStr">
        <is>
          <t>VÄSTERBOTTENS LÄN</t>
        </is>
      </c>
      <c r="E7658" t="inlineStr">
        <is>
          <t>MALÅ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60619-2025</t>
        </is>
      </c>
      <c r="B7659" s="1" t="n">
        <v>45996.38447916666</v>
      </c>
      <c r="C7659" s="1" t="n">
        <v>46145</v>
      </c>
      <c r="D7659" t="inlineStr">
        <is>
          <t>VÄSTERBOTTENS LÄN</t>
        </is>
      </c>
      <c r="E7659" t="inlineStr">
        <is>
          <t>VÄNNÄS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50504-2024</t>
        </is>
      </c>
      <c r="B7660" s="1" t="n">
        <v>45601</v>
      </c>
      <c r="C7660" s="1" t="n">
        <v>46145</v>
      </c>
      <c r="D7660" t="inlineStr">
        <is>
          <t>VÄSTERBOTTENS LÄN</t>
        </is>
      </c>
      <c r="E7660" t="inlineStr">
        <is>
          <t>MALÅ</t>
        </is>
      </c>
      <c r="F7660" t="inlineStr">
        <is>
          <t>SCA</t>
        </is>
      </c>
      <c r="G7660" t="n">
        <v>25.9</v>
      </c>
      <c r="H7660" t="n">
        <v>0</v>
      </c>
      <c r="I7660" t="n">
        <v>0</v>
      </c>
      <c r="J7660" t="n">
        <v>0</v>
      </c>
      <c r="K7660" t="n">
        <v>0</v>
      </c>
      <c r="L7660" t="n">
        <v>0</v>
      </c>
      <c r="M7660" t="n">
        <v>0</v>
      </c>
      <c r="N7660" t="n">
        <v>0</v>
      </c>
      <c r="O7660" t="n">
        <v>0</v>
      </c>
      <c r="P7660" t="n">
        <v>0</v>
      </c>
      <c r="Q7660" t="n">
        <v>0</v>
      </c>
      <c r="R7660" s="2" t="inlineStr"/>
    </row>
    <row r="7661" ht="15" customHeight="1">
      <c r="A7661" t="inlineStr">
        <is>
          <t>A 16977-2024</t>
        </is>
      </c>
      <c r="B7661" s="1" t="n">
        <v>45412.02377314815</v>
      </c>
      <c r="C7661" s="1" t="n">
        <v>46145</v>
      </c>
      <c r="D7661" t="inlineStr">
        <is>
          <t>VÄSTERBOTTENS LÄN</t>
        </is>
      </c>
      <c r="E7661" t="inlineStr">
        <is>
          <t>SKELLEFTEÅ</t>
        </is>
      </c>
      <c r="F7661" t="inlineStr">
        <is>
          <t>SCA</t>
        </is>
      </c>
      <c r="G7661" t="n">
        <v>16.8</v>
      </c>
      <c r="H7661" t="n">
        <v>0</v>
      </c>
      <c r="I7661" t="n">
        <v>0</v>
      </c>
      <c r="J7661" t="n">
        <v>0</v>
      </c>
      <c r="K7661" t="n">
        <v>0</v>
      </c>
      <c r="L7661" t="n">
        <v>0</v>
      </c>
      <c r="M7661" t="n">
        <v>0</v>
      </c>
      <c r="N7661" t="n">
        <v>0</v>
      </c>
      <c r="O7661" t="n">
        <v>0</v>
      </c>
      <c r="P7661" t="n">
        <v>0</v>
      </c>
      <c r="Q7661" t="n">
        <v>0</v>
      </c>
      <c r="R7661" s="2" t="inlineStr"/>
    </row>
    <row r="7662" ht="15" customHeight="1">
      <c r="A7662" t="inlineStr">
        <is>
          <t>A 8978-2025</t>
        </is>
      </c>
      <c r="B7662" s="1" t="n">
        <v>45713</v>
      </c>
      <c r="C7662" s="1" t="n">
        <v>46145</v>
      </c>
      <c r="D7662" t="inlineStr">
        <is>
          <t>VÄSTERBOTTENS LÄN</t>
        </is>
      </c>
      <c r="E7662" t="inlineStr">
        <is>
          <t>SORSELE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16410-2025</t>
        </is>
      </c>
      <c r="B7663" s="1" t="n">
        <v>45751</v>
      </c>
      <c r="C7663" s="1" t="n">
        <v>46145</v>
      </c>
      <c r="D7663" t="inlineStr">
        <is>
          <t>VÄSTERBOTTENS LÄN</t>
        </is>
      </c>
      <c r="E7663" t="inlineStr">
        <is>
          <t>SKELLEFTEÅ</t>
        </is>
      </c>
      <c r="G7663" t="n">
        <v>1.1</v>
      </c>
      <c r="H7663" t="n">
        <v>0</v>
      </c>
      <c r="I7663" t="n">
        <v>0</v>
      </c>
      <c r="J7663" t="n">
        <v>0</v>
      </c>
      <c r="K7663" t="n">
        <v>0</v>
      </c>
      <c r="L7663" t="n">
        <v>0</v>
      </c>
      <c r="M7663" t="n">
        <v>0</v>
      </c>
      <c r="N7663" t="n">
        <v>0</v>
      </c>
      <c r="O7663" t="n">
        <v>0</v>
      </c>
      <c r="P7663" t="n">
        <v>0</v>
      </c>
      <c r="Q7663" t="n">
        <v>0</v>
      </c>
      <c r="R7663" s="2" t="inlineStr"/>
      <c r="U7663">
        <f>HYPERLINK("https://klasma.github.io/Logging_2482/knärot/A 16410-2025 karta knärot.png", "A 16410-2025")</f>
        <v/>
      </c>
      <c r="V7663">
        <f>HYPERLINK("https://klasma.github.io/Logging_2482/klagomål/A 16410-2025 FSC-klagomål.docx", "A 16410-2025")</f>
        <v/>
      </c>
      <c r="W7663">
        <f>HYPERLINK("https://klasma.github.io/Logging_2482/klagomålsmail/A 16410-2025 FSC-klagomål mail.docx", "A 16410-2025")</f>
        <v/>
      </c>
      <c r="X7663">
        <f>HYPERLINK("https://klasma.github.io/Logging_2482/tillsyn/A 16410-2025 tillsynsbegäran.docx", "A 16410-2025")</f>
        <v/>
      </c>
      <c r="Y7663">
        <f>HYPERLINK("https://klasma.github.io/Logging_2482/tillsynsmail/A 16410-2025 tillsynsbegäran mail.docx", "A 16410-2025")</f>
        <v/>
      </c>
    </row>
    <row r="7664" ht="15" customHeight="1">
      <c r="A7664" t="inlineStr">
        <is>
          <t>A 61005-2025</t>
        </is>
      </c>
      <c r="B7664" s="1" t="n">
        <v>45996</v>
      </c>
      <c r="C7664" s="1" t="n">
        <v>46145</v>
      </c>
      <c r="D7664" t="inlineStr">
        <is>
          <t>VÄSTERBOTTENS LÄN</t>
        </is>
      </c>
      <c r="E7664" t="inlineStr">
        <is>
          <t>VINDELN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60640-2025</t>
        </is>
      </c>
      <c r="B7665" s="1" t="n">
        <v>45996</v>
      </c>
      <c r="C7665" s="1" t="n">
        <v>46145</v>
      </c>
      <c r="D7665" t="inlineStr">
        <is>
          <t>VÄSTERBOTTENS LÄN</t>
        </is>
      </c>
      <c r="E7665" t="inlineStr">
        <is>
          <t>SKELLEFTEÅ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60712-2025</t>
        </is>
      </c>
      <c r="B7666" s="1" t="n">
        <v>45996.63384259259</v>
      </c>
      <c r="C7666" s="1" t="n">
        <v>46145</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60780-2025</t>
        </is>
      </c>
      <c r="B7667" s="1" t="n">
        <v>45999.39217592592</v>
      </c>
      <c r="C7667" s="1" t="n">
        <v>46145</v>
      </c>
      <c r="D7667" t="inlineStr">
        <is>
          <t>VÄSTERBOTTENS LÄN</t>
        </is>
      </c>
      <c r="E7667" t="inlineStr">
        <is>
          <t>NORDMALING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60788-2025</t>
        </is>
      </c>
      <c r="B7668" s="1" t="n">
        <v>45999.41087962963</v>
      </c>
      <c r="C7668" s="1" t="n">
        <v>46145</v>
      </c>
      <c r="D7668" t="inlineStr">
        <is>
          <t>VÄSTERBOTTENS LÄN</t>
        </is>
      </c>
      <c r="E7668" t="inlineStr">
        <is>
          <t>SKELLEFTEÅ</t>
        </is>
      </c>
      <c r="F7668" t="inlineStr">
        <is>
          <t>Sveaskog</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61176-2025</t>
        </is>
      </c>
      <c r="B7669" s="1" t="n">
        <v>46000.57684027778</v>
      </c>
      <c r="C7669" s="1" t="n">
        <v>46145</v>
      </c>
      <c r="D7669" t="inlineStr">
        <is>
          <t>VÄSTERBOTTENS LÄN</t>
        </is>
      </c>
      <c r="E7669" t="inlineStr">
        <is>
          <t>VÄNNÄS</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61182-2025</t>
        </is>
      </c>
      <c r="B7670" s="1" t="n">
        <v>46000.58409722222</v>
      </c>
      <c r="C7670" s="1" t="n">
        <v>46145</v>
      </c>
      <c r="D7670" t="inlineStr">
        <is>
          <t>VÄSTERBOTTENS LÄN</t>
        </is>
      </c>
      <c r="E7670" t="inlineStr">
        <is>
          <t>VÄNNÄS</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61204-2025</t>
        </is>
      </c>
      <c r="B7671" s="1" t="n">
        <v>46000.61395833334</v>
      </c>
      <c r="C7671" s="1" t="n">
        <v>46145</v>
      </c>
      <c r="D7671" t="inlineStr">
        <is>
          <t>VÄSTERBOTTENS LÄN</t>
        </is>
      </c>
      <c r="E7671" t="inlineStr">
        <is>
          <t>VÄNNÄS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40607-2023</t>
        </is>
      </c>
      <c r="B7672" s="1" t="n">
        <v>45170</v>
      </c>
      <c r="C7672" s="1" t="n">
        <v>46145</v>
      </c>
      <c r="D7672" t="inlineStr">
        <is>
          <t>VÄSTERBOTTENS LÄN</t>
        </is>
      </c>
      <c r="E7672" t="inlineStr">
        <is>
          <t>MALÅ</t>
        </is>
      </c>
      <c r="F7672" t="inlineStr">
        <is>
          <t>Sveaskog</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61217-2025</t>
        </is>
      </c>
      <c r="B7673" s="1" t="n">
        <v>46000.62106481481</v>
      </c>
      <c r="C7673" s="1" t="n">
        <v>46145</v>
      </c>
      <c r="D7673" t="inlineStr">
        <is>
          <t>VÄSTERBOTTENS LÄN</t>
        </is>
      </c>
      <c r="E7673" t="inlineStr">
        <is>
          <t>STORUMAN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61249-2025</t>
        </is>
      </c>
      <c r="B7674" s="1" t="n">
        <v>45999</v>
      </c>
      <c r="C7674" s="1" t="n">
        <v>46145</v>
      </c>
      <c r="D7674" t="inlineStr">
        <is>
          <t>VÄSTERBOTTENS LÄN</t>
        </is>
      </c>
      <c r="E7674" t="inlineStr">
        <is>
          <t>ROBERTSFORS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47-2025</t>
        </is>
      </c>
      <c r="B7675" s="1" t="n">
        <v>45659</v>
      </c>
      <c r="C7675" s="1" t="n">
        <v>46145</v>
      </c>
      <c r="D7675" t="inlineStr">
        <is>
          <t>VÄSTERBOTTENS LÄN</t>
        </is>
      </c>
      <c r="E7675" t="inlineStr">
        <is>
          <t>VÄNNÄS</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47887-2023</t>
        </is>
      </c>
      <c r="B7676" s="1" t="n">
        <v>45198</v>
      </c>
      <c r="C7676" s="1" t="n">
        <v>46145</v>
      </c>
      <c r="D7676" t="inlineStr">
        <is>
          <t>VÄSTERBOTTENS LÄN</t>
        </is>
      </c>
      <c r="E7676" t="inlineStr">
        <is>
          <t>SORSELE</t>
        </is>
      </c>
      <c r="F7676" t="inlineStr">
        <is>
          <t>Övriga statliga verk och myndigheter</t>
        </is>
      </c>
      <c r="G7676" t="n">
        <v>20.4</v>
      </c>
      <c r="H7676" t="n">
        <v>0</v>
      </c>
      <c r="I7676" t="n">
        <v>0</v>
      </c>
      <c r="J7676" t="n">
        <v>0</v>
      </c>
      <c r="K7676" t="n">
        <v>0</v>
      </c>
      <c r="L7676" t="n">
        <v>0</v>
      </c>
      <c r="M7676" t="n">
        <v>0</v>
      </c>
      <c r="N7676" t="n">
        <v>0</v>
      </c>
      <c r="O7676" t="n">
        <v>0</v>
      </c>
      <c r="P7676" t="n">
        <v>0</v>
      </c>
      <c r="Q7676" t="n">
        <v>0</v>
      </c>
      <c r="R7676" s="2" t="inlineStr"/>
    </row>
    <row r="7677" ht="15" customHeight="1">
      <c r="A7677" t="inlineStr">
        <is>
          <t>A 61208-2025</t>
        </is>
      </c>
      <c r="B7677" s="1" t="n">
        <v>46000.61475694444</v>
      </c>
      <c r="C7677" s="1" t="n">
        <v>46145</v>
      </c>
      <c r="D7677" t="inlineStr">
        <is>
          <t>VÄSTERBOTTENS LÄN</t>
        </is>
      </c>
      <c r="E7677" t="inlineStr">
        <is>
          <t>STORUMAN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60993-2025</t>
        </is>
      </c>
      <c r="B7678" s="1" t="n">
        <v>45999.7365162037</v>
      </c>
      <c r="C7678" s="1" t="n">
        <v>46145</v>
      </c>
      <c r="D7678" t="inlineStr">
        <is>
          <t>VÄSTERBOTTENS LÄN</t>
        </is>
      </c>
      <c r="E7678" t="inlineStr">
        <is>
          <t>VILHELMINA</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60994-2025</t>
        </is>
      </c>
      <c r="B7679" s="1" t="n">
        <v>45999.74017361111</v>
      </c>
      <c r="C7679" s="1" t="n">
        <v>46145</v>
      </c>
      <c r="D7679" t="inlineStr">
        <is>
          <t>VÄSTERBOTTENS LÄN</t>
        </is>
      </c>
      <c r="E7679" t="inlineStr">
        <is>
          <t>VILHELMINA</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3045-2024</t>
        </is>
      </c>
      <c r="B7680" s="1" t="n">
        <v>45316</v>
      </c>
      <c r="C7680" s="1" t="n">
        <v>46145</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67-2025</t>
        </is>
      </c>
      <c r="B7681" s="1" t="n">
        <v>45659</v>
      </c>
      <c r="C7681" s="1" t="n">
        <v>46145</v>
      </c>
      <c r="D7681" t="inlineStr">
        <is>
          <t>VÄSTERBOTTENS LÄN</t>
        </is>
      </c>
      <c r="E7681" t="inlineStr">
        <is>
          <t>DOROTEA</t>
        </is>
      </c>
      <c r="F7681" t="inlineStr">
        <is>
          <t>SCA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61088-2025</t>
        </is>
      </c>
      <c r="B7682" s="1" t="n">
        <v>46000.42715277777</v>
      </c>
      <c r="C7682" s="1" t="n">
        <v>46145</v>
      </c>
      <c r="D7682" t="inlineStr">
        <is>
          <t>VÄSTERBOTTENS LÄN</t>
        </is>
      </c>
      <c r="E7682" t="inlineStr">
        <is>
          <t>LYCKSELE</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61096-2025</t>
        </is>
      </c>
      <c r="B7683" s="1" t="n">
        <v>46000.43636574074</v>
      </c>
      <c r="C7683" s="1" t="n">
        <v>46145</v>
      </c>
      <c r="D7683" t="inlineStr">
        <is>
          <t>VÄSTERBOTTENS LÄN</t>
        </is>
      </c>
      <c r="E7683" t="inlineStr">
        <is>
          <t>LYCKSELE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61003-2025</t>
        </is>
      </c>
      <c r="B7684" s="1" t="n">
        <v>45999.77453703704</v>
      </c>
      <c r="C7684" s="1" t="n">
        <v>46145</v>
      </c>
      <c r="D7684" t="inlineStr">
        <is>
          <t>VÄSTERBOTTENS LÄN</t>
        </is>
      </c>
      <c r="E7684" t="inlineStr">
        <is>
          <t>VILHELMINA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38290-2024</t>
        </is>
      </c>
      <c r="B7685" s="1" t="n">
        <v>45545.616875</v>
      </c>
      <c r="C7685" s="1" t="n">
        <v>46145</v>
      </c>
      <c r="D7685" t="inlineStr">
        <is>
          <t>VÄSTERBOTTENS LÄN</t>
        </is>
      </c>
      <c r="E7685" t="inlineStr">
        <is>
          <t>SORSELE</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3059-2024</t>
        </is>
      </c>
      <c r="B7686" s="1" t="n">
        <v>45316</v>
      </c>
      <c r="C7686" s="1" t="n">
        <v>46145</v>
      </c>
      <c r="D7686" t="inlineStr">
        <is>
          <t>VÄSTERBOTTENS LÄN</t>
        </is>
      </c>
      <c r="E7686" t="inlineStr">
        <is>
          <t>ÅSELE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42304-2024</t>
        </is>
      </c>
      <c r="B7687" s="1" t="n">
        <v>45562</v>
      </c>
      <c r="C7687" s="1" t="n">
        <v>46145</v>
      </c>
      <c r="D7687" t="inlineStr">
        <is>
          <t>VÄSTERBOTTENS LÄN</t>
        </is>
      </c>
      <c r="E7687" t="inlineStr">
        <is>
          <t>ÅSELE</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11199-2024</t>
        </is>
      </c>
      <c r="B7688" s="1" t="n">
        <v>45371.55444444445</v>
      </c>
      <c r="C7688" s="1" t="n">
        <v>46145</v>
      </c>
      <c r="D7688" t="inlineStr">
        <is>
          <t>VÄSTERBOTTENS LÄN</t>
        </is>
      </c>
      <c r="E7688" t="inlineStr">
        <is>
          <t>LYCKSELE</t>
        </is>
      </c>
      <c r="F7688" t="inlineStr">
        <is>
          <t>Holmen skog AB</t>
        </is>
      </c>
      <c r="G7688" t="n">
        <v>55.8</v>
      </c>
      <c r="H7688" t="n">
        <v>0</v>
      </c>
      <c r="I7688" t="n">
        <v>0</v>
      </c>
      <c r="J7688" t="n">
        <v>0</v>
      </c>
      <c r="K7688" t="n">
        <v>0</v>
      </c>
      <c r="L7688" t="n">
        <v>0</v>
      </c>
      <c r="M7688" t="n">
        <v>0</v>
      </c>
      <c r="N7688" t="n">
        <v>0</v>
      </c>
      <c r="O7688" t="n">
        <v>0</v>
      </c>
      <c r="P7688" t="n">
        <v>0</v>
      </c>
      <c r="Q7688" t="n">
        <v>0</v>
      </c>
      <c r="R7688" s="2" t="inlineStr"/>
    </row>
    <row r="7689" ht="15" customHeight="1">
      <c r="A7689" t="inlineStr">
        <is>
          <t>A 61118-2025</t>
        </is>
      </c>
      <c r="B7689" s="1" t="n">
        <v>46000.46293981482</v>
      </c>
      <c r="C7689" s="1" t="n">
        <v>46145</v>
      </c>
      <c r="D7689" t="inlineStr">
        <is>
          <t>VÄSTERBOTTENS LÄN</t>
        </is>
      </c>
      <c r="E7689" t="inlineStr">
        <is>
          <t>VÄNNÄS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61137-2025</t>
        </is>
      </c>
      <c r="B7690" s="1" t="n">
        <v>46000.50599537037</v>
      </c>
      <c r="C7690" s="1" t="n">
        <v>46145</v>
      </c>
      <c r="D7690" t="inlineStr">
        <is>
          <t>VÄSTERBOTTENS LÄN</t>
        </is>
      </c>
      <c r="E7690" t="inlineStr">
        <is>
          <t>VINDELN</t>
        </is>
      </c>
      <c r="F7690" t="inlineStr">
        <is>
          <t>Holmen skog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51152-2024</t>
        </is>
      </c>
      <c r="B7691" s="1" t="n">
        <v>45603</v>
      </c>
      <c r="C7691" s="1" t="n">
        <v>46145</v>
      </c>
      <c r="D7691" t="inlineStr">
        <is>
          <t>VÄSTERBOTTENS LÄN</t>
        </is>
      </c>
      <c r="E7691" t="inlineStr">
        <is>
          <t>LYCKSELE</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60876-2025</t>
        </is>
      </c>
      <c r="B7692" s="1" t="n">
        <v>45999.55606481482</v>
      </c>
      <c r="C7692" s="1" t="n">
        <v>46145</v>
      </c>
      <c r="D7692" t="inlineStr">
        <is>
          <t>VÄSTERBOTTENS LÄN</t>
        </is>
      </c>
      <c r="E7692" t="inlineStr">
        <is>
          <t>SKELLEFTEÅ</t>
        </is>
      </c>
      <c r="F7692" t="inlineStr">
        <is>
          <t>Holmen skog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2409-2024</t>
        </is>
      </c>
      <c r="B7693" s="1" t="n">
        <v>45308</v>
      </c>
      <c r="C7693" s="1" t="n">
        <v>46145</v>
      </c>
      <c r="D7693" t="inlineStr">
        <is>
          <t>VÄSTERBOTTENS LÄN</t>
        </is>
      </c>
      <c r="E7693" t="inlineStr">
        <is>
          <t>STORUMAN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48470-2023</t>
        </is>
      </c>
      <c r="B7694" s="1" t="n">
        <v>45206.95747685185</v>
      </c>
      <c r="C7694" s="1" t="n">
        <v>46145</v>
      </c>
      <c r="D7694" t="inlineStr">
        <is>
          <t>VÄSTERBOTTENS LÄN</t>
        </is>
      </c>
      <c r="E7694" t="inlineStr">
        <is>
          <t>VILHELMINA</t>
        </is>
      </c>
      <c r="F7694" t="inlineStr">
        <is>
          <t>SCA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61115-2025</t>
        </is>
      </c>
      <c r="B7695" s="1" t="n">
        <v>46000.45931712963</v>
      </c>
      <c r="C7695" s="1" t="n">
        <v>46145</v>
      </c>
      <c r="D7695" t="inlineStr">
        <is>
          <t>VÄSTERBOTTENS LÄN</t>
        </is>
      </c>
      <c r="E7695" t="inlineStr">
        <is>
          <t>LYCKSELE</t>
        </is>
      </c>
      <c r="F7695" t="inlineStr">
        <is>
          <t>Sveaskog</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61132-2025</t>
        </is>
      </c>
      <c r="B7696" s="1" t="n">
        <v>46000.49335648148</v>
      </c>
      <c r="C7696" s="1" t="n">
        <v>46145</v>
      </c>
      <c r="D7696" t="inlineStr">
        <is>
          <t>VÄSTERBOTTENS LÄN</t>
        </is>
      </c>
      <c r="E7696" t="inlineStr">
        <is>
          <t>VINDELN</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52680-2023</t>
        </is>
      </c>
      <c r="B7697" s="1" t="n">
        <v>45219</v>
      </c>
      <c r="C7697" s="1" t="n">
        <v>46145</v>
      </c>
      <c r="D7697" t="inlineStr">
        <is>
          <t>VÄSTERBOTTENS LÄN</t>
        </is>
      </c>
      <c r="E7697" t="inlineStr">
        <is>
          <t>STORUMAN</t>
        </is>
      </c>
      <c r="G7697" t="n">
        <v>31.8</v>
      </c>
      <c r="H7697" t="n">
        <v>0</v>
      </c>
      <c r="I7697" t="n">
        <v>0</v>
      </c>
      <c r="J7697" t="n">
        <v>0</v>
      </c>
      <c r="K7697" t="n">
        <v>0</v>
      </c>
      <c r="L7697" t="n">
        <v>0</v>
      </c>
      <c r="M7697" t="n">
        <v>0</v>
      </c>
      <c r="N7697" t="n">
        <v>0</v>
      </c>
      <c r="O7697" t="n">
        <v>0</v>
      </c>
      <c r="P7697" t="n">
        <v>0</v>
      </c>
      <c r="Q7697" t="n">
        <v>0</v>
      </c>
      <c r="R7697" s="2" t="inlineStr"/>
    </row>
    <row r="7698" ht="15" customHeight="1">
      <c r="A7698" t="inlineStr">
        <is>
          <t>A 61218-2025</t>
        </is>
      </c>
      <c r="B7698" s="1" t="n">
        <v>46000.6234837963</v>
      </c>
      <c r="C7698" s="1" t="n">
        <v>46145</v>
      </c>
      <c r="D7698" t="inlineStr">
        <is>
          <t>VÄSTERBOTTENS LÄN</t>
        </is>
      </c>
      <c r="E7698" t="inlineStr">
        <is>
          <t>UMEÅ</t>
        </is>
      </c>
      <c r="F7698" t="inlineStr">
        <is>
          <t>Sveaskog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61220-2025</t>
        </is>
      </c>
      <c r="B7699" s="1" t="n">
        <v>46000.62729166666</v>
      </c>
      <c r="C7699" s="1" t="n">
        <v>46145</v>
      </c>
      <c r="D7699" t="inlineStr">
        <is>
          <t>VÄSTERBOTTENS LÄN</t>
        </is>
      </c>
      <c r="E7699" t="inlineStr">
        <is>
          <t>STORUMAN</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61323-2025</t>
        </is>
      </c>
      <c r="B7700" s="1" t="n">
        <v>46000</v>
      </c>
      <c r="C7700" s="1" t="n">
        <v>46145</v>
      </c>
      <c r="D7700" t="inlineStr">
        <is>
          <t>VÄSTERBOTTENS LÄN</t>
        </is>
      </c>
      <c r="E7700" t="inlineStr">
        <is>
          <t>BJURHOLM</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61199-2025</t>
        </is>
      </c>
      <c r="B7701" s="1" t="n">
        <v>46000.60853009259</v>
      </c>
      <c r="C7701" s="1" t="n">
        <v>46145</v>
      </c>
      <c r="D7701" t="inlineStr">
        <is>
          <t>VÄSTERBOTTENS LÄN</t>
        </is>
      </c>
      <c r="E7701" t="inlineStr">
        <is>
          <t>STORUMAN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2804-2025</t>
        </is>
      </c>
      <c r="B7702" s="1" t="n">
        <v>45677.58578703704</v>
      </c>
      <c r="C7702" s="1" t="n">
        <v>46145</v>
      </c>
      <c r="D7702" t="inlineStr">
        <is>
          <t>VÄSTERBOTTENS LÄN</t>
        </is>
      </c>
      <c r="E7702" t="inlineStr">
        <is>
          <t>VINDELN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18232-2024</t>
        </is>
      </c>
      <c r="B7703" s="1" t="n">
        <v>45420</v>
      </c>
      <c r="C7703" s="1" t="n">
        <v>46145</v>
      </c>
      <c r="D7703" t="inlineStr">
        <is>
          <t>VÄSTERBOTTENS LÄN</t>
        </is>
      </c>
      <c r="E7703" t="inlineStr">
        <is>
          <t>NORDMALING</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60755-2025</t>
        </is>
      </c>
      <c r="B7704" s="1" t="n">
        <v>45999.38409722222</v>
      </c>
      <c r="C7704" s="1" t="n">
        <v>46145</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2014-2025</t>
        </is>
      </c>
      <c r="B7705" s="1" t="n">
        <v>45672</v>
      </c>
      <c r="C7705" s="1" t="n">
        <v>46145</v>
      </c>
      <c r="D7705" t="inlineStr">
        <is>
          <t>VÄSTERBOTTENS LÄN</t>
        </is>
      </c>
      <c r="E7705" t="inlineStr">
        <is>
          <t>DOROTEA</t>
        </is>
      </c>
      <c r="F7705" t="inlineStr">
        <is>
          <t>Kommuner</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60891-2025</t>
        </is>
      </c>
      <c r="B7706" s="1" t="n">
        <v>45999.57126157408</v>
      </c>
      <c r="C7706" s="1" t="n">
        <v>46145</v>
      </c>
      <c r="D7706" t="inlineStr">
        <is>
          <t>VÄSTERBOTTENS LÄN</t>
        </is>
      </c>
      <c r="E7706" t="inlineStr">
        <is>
          <t>SKELLEFTEÅ</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52835-2024</t>
        </is>
      </c>
      <c r="B7707" s="1" t="n">
        <v>45610.59471064815</v>
      </c>
      <c r="C7707" s="1" t="n">
        <v>46145</v>
      </c>
      <c r="D7707" t="inlineStr">
        <is>
          <t>VÄSTERBOTTENS LÄN</t>
        </is>
      </c>
      <c r="E7707" t="inlineStr">
        <is>
          <t>ROBERTSFORS</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44812-2023</t>
        </is>
      </c>
      <c r="B7708" s="1" t="n">
        <v>45190.50340277778</v>
      </c>
      <c r="C7708" s="1" t="n">
        <v>46145</v>
      </c>
      <c r="D7708" t="inlineStr">
        <is>
          <t>VÄSTERBOTTENS LÄN</t>
        </is>
      </c>
      <c r="E7708" t="inlineStr">
        <is>
          <t>BJURHOLM</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60786-2025</t>
        </is>
      </c>
      <c r="B7709" s="1" t="n">
        <v>45999</v>
      </c>
      <c r="C7709" s="1" t="n">
        <v>46145</v>
      </c>
      <c r="D7709" t="inlineStr">
        <is>
          <t>VÄSTERBOTTENS LÄN</t>
        </is>
      </c>
      <c r="E7709" t="inlineStr">
        <is>
          <t>MALÅ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60808-2025</t>
        </is>
      </c>
      <c r="B7710" s="1" t="n">
        <v>45999.43951388889</v>
      </c>
      <c r="C7710" s="1" t="n">
        <v>46145</v>
      </c>
      <c r="D7710" t="inlineStr">
        <is>
          <t>VÄSTERBOTTENS LÄN</t>
        </is>
      </c>
      <c r="E7710" t="inlineStr">
        <is>
          <t>UMEÅ</t>
        </is>
      </c>
      <c r="F7710" t="inlineStr">
        <is>
          <t>Holmen skog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60778-2025</t>
        </is>
      </c>
      <c r="B7711" s="1" t="n">
        <v>45999.39202546296</v>
      </c>
      <c r="C7711" s="1" t="n">
        <v>46145</v>
      </c>
      <c r="D7711" t="inlineStr">
        <is>
          <t>VÄSTERBOTTENS LÄN</t>
        </is>
      </c>
      <c r="E7711" t="inlineStr">
        <is>
          <t>SKELLEFTEÅ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17848-2022</t>
        </is>
      </c>
      <c r="B7712" s="1" t="n">
        <v>44683.46040509259</v>
      </c>
      <c r="C7712" s="1" t="n">
        <v>46145</v>
      </c>
      <c r="D7712" t="inlineStr">
        <is>
          <t>VÄSTERBOTTENS LÄN</t>
        </is>
      </c>
      <c r="E7712" t="inlineStr">
        <is>
          <t>ROBERTSFORS</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60798-2025</t>
        </is>
      </c>
      <c r="B7713" s="1" t="n">
        <v>45999.42503472222</v>
      </c>
      <c r="C7713" s="1" t="n">
        <v>46145</v>
      </c>
      <c r="D7713" t="inlineStr">
        <is>
          <t>VÄSTERBOTTENS LÄN</t>
        </is>
      </c>
      <c r="E7713" t="inlineStr">
        <is>
          <t>UMEÅ</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60824-2025</t>
        </is>
      </c>
      <c r="B7714" s="1" t="n">
        <v>45999.45894675926</v>
      </c>
      <c r="C7714" s="1" t="n">
        <v>46145</v>
      </c>
      <c r="D7714" t="inlineStr">
        <is>
          <t>VÄSTERBOTTENS LÄN</t>
        </is>
      </c>
      <c r="E7714" t="inlineStr">
        <is>
          <t>SKELLEFTEÅ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49811-2024</t>
        </is>
      </c>
      <c r="B7715" s="1" t="n">
        <v>45597.39033564815</v>
      </c>
      <c r="C7715" s="1" t="n">
        <v>46145</v>
      </c>
      <c r="D7715" t="inlineStr">
        <is>
          <t>VÄSTERBOTTENS LÄN</t>
        </is>
      </c>
      <c r="E7715" t="inlineStr">
        <is>
          <t>SKELLEFTEÅ</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50468-2024</t>
        </is>
      </c>
      <c r="B7716" s="1" t="n">
        <v>45601</v>
      </c>
      <c r="C7716" s="1" t="n">
        <v>46145</v>
      </c>
      <c r="D7716" t="inlineStr">
        <is>
          <t>VÄSTERBOTTENS LÄN</t>
        </is>
      </c>
      <c r="E7716" t="inlineStr">
        <is>
          <t>LYCKSELE</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50515-2024</t>
        </is>
      </c>
      <c r="B7717" s="1" t="n">
        <v>45601.55185185185</v>
      </c>
      <c r="C7717" s="1" t="n">
        <v>46145</v>
      </c>
      <c r="D7717" t="inlineStr">
        <is>
          <t>VÄSTERBOTTENS LÄN</t>
        </is>
      </c>
      <c r="E7717" t="inlineStr">
        <is>
          <t>SKELLEFTEÅ</t>
        </is>
      </c>
      <c r="F7717" t="inlineStr">
        <is>
          <t>Holmen skog AB</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50517-2024</t>
        </is>
      </c>
      <c r="B7718" s="1" t="n">
        <v>45601</v>
      </c>
      <c r="C7718" s="1" t="n">
        <v>46145</v>
      </c>
      <c r="D7718" t="inlineStr">
        <is>
          <t>VÄSTERBOTTENS LÄN</t>
        </is>
      </c>
      <c r="E7718" t="inlineStr">
        <is>
          <t>MALÅ</t>
        </is>
      </c>
      <c r="F7718" t="inlineStr">
        <is>
          <t>SCA</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42557-2021</t>
        </is>
      </c>
      <c r="B7719" s="1" t="n">
        <v>44428</v>
      </c>
      <c r="C7719" s="1" t="n">
        <v>46145</v>
      </c>
      <c r="D7719" t="inlineStr">
        <is>
          <t>VÄSTERBOTTENS LÄN</t>
        </is>
      </c>
      <c r="E7719" t="inlineStr">
        <is>
          <t>SKELLEFTEÅ</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2454-2025</t>
        </is>
      </c>
      <c r="B7720" s="1" t="n">
        <v>45673</v>
      </c>
      <c r="C7720" s="1" t="n">
        <v>46145</v>
      </c>
      <c r="D7720" t="inlineStr">
        <is>
          <t>VÄSTERBOTTENS LÄN</t>
        </is>
      </c>
      <c r="E7720" t="inlineStr">
        <is>
          <t>SKELLEFTEÅ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60991-2025</t>
        </is>
      </c>
      <c r="B7721" s="1" t="n">
        <v>45999.72875</v>
      </c>
      <c r="C7721" s="1" t="n">
        <v>46145</v>
      </c>
      <c r="D7721" t="inlineStr">
        <is>
          <t>VÄSTERBOTTENS LÄN</t>
        </is>
      </c>
      <c r="E7721" t="inlineStr">
        <is>
          <t>VILHELMINA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60996-2025</t>
        </is>
      </c>
      <c r="B7722" s="1" t="n">
        <v>45999.74579861111</v>
      </c>
      <c r="C7722" s="1" t="n">
        <v>46145</v>
      </c>
      <c r="D7722" t="inlineStr">
        <is>
          <t>VÄSTERBOTTENS LÄN</t>
        </is>
      </c>
      <c r="E7722" t="inlineStr">
        <is>
          <t>VILHELMINA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60999-2025</t>
        </is>
      </c>
      <c r="B7723" s="1" t="n">
        <v>45999.76028935185</v>
      </c>
      <c r="C7723" s="1" t="n">
        <v>46145</v>
      </c>
      <c r="D7723" t="inlineStr">
        <is>
          <t>VÄSTERBOTTENS LÄN</t>
        </is>
      </c>
      <c r="E7723" t="inlineStr">
        <is>
          <t>VILHELMINA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2509-2025</t>
        </is>
      </c>
      <c r="B7724" s="1" t="n">
        <v>45674.57372685185</v>
      </c>
      <c r="C7724" s="1" t="n">
        <v>46145</v>
      </c>
      <c r="D7724" t="inlineStr">
        <is>
          <t>VÄSTERBOTTENS LÄN</t>
        </is>
      </c>
      <c r="E7724" t="inlineStr">
        <is>
          <t>DOROTEA</t>
        </is>
      </c>
      <c r="F7724" t="inlineStr">
        <is>
          <t>SCA</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58554-2024</t>
        </is>
      </c>
      <c r="B7725" s="1" t="n">
        <v>45635</v>
      </c>
      <c r="C7725" s="1" t="n">
        <v>46145</v>
      </c>
      <c r="D7725" t="inlineStr">
        <is>
          <t>VÄSTERBOTTENS LÄN</t>
        </is>
      </c>
      <c r="E7725" t="inlineStr">
        <is>
          <t>VINDELN</t>
        </is>
      </c>
      <c r="F7725" t="inlineStr">
        <is>
          <t>Holmen skog AB</t>
        </is>
      </c>
      <c r="G7725" t="n">
        <v>9.5</v>
      </c>
      <c r="H7725" t="n">
        <v>0</v>
      </c>
      <c r="I7725" t="n">
        <v>0</v>
      </c>
      <c r="J7725" t="n">
        <v>0</v>
      </c>
      <c r="K7725" t="n">
        <v>0</v>
      </c>
      <c r="L7725" t="n">
        <v>0</v>
      </c>
      <c r="M7725" t="n">
        <v>0</v>
      </c>
      <c r="N7725" t="n">
        <v>0</v>
      </c>
      <c r="O7725" t="n">
        <v>0</v>
      </c>
      <c r="P7725" t="n">
        <v>0</v>
      </c>
      <c r="Q7725" t="n">
        <v>0</v>
      </c>
      <c r="R7725" s="2" t="inlineStr"/>
    </row>
    <row r="7726" ht="15" customHeight="1">
      <c r="A7726" t="inlineStr">
        <is>
          <t>A 16407-2024</t>
        </is>
      </c>
      <c r="B7726" s="1" t="n">
        <v>45407.63806712963</v>
      </c>
      <c r="C7726" s="1" t="n">
        <v>46145</v>
      </c>
      <c r="D7726" t="inlineStr">
        <is>
          <t>VÄSTERBOTTENS LÄN</t>
        </is>
      </c>
      <c r="E7726" t="inlineStr">
        <is>
          <t>NORSJÖ</t>
        </is>
      </c>
      <c r="F7726" t="inlineStr">
        <is>
          <t>Sveaskog</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61091-2025</t>
        </is>
      </c>
      <c r="B7727" s="1" t="n">
        <v>46000.43297453703</v>
      </c>
      <c r="C7727" s="1" t="n">
        <v>46145</v>
      </c>
      <c r="D7727" t="inlineStr">
        <is>
          <t>VÄSTERBOTTENS LÄN</t>
        </is>
      </c>
      <c r="E7727" t="inlineStr">
        <is>
          <t>LYCKSELE</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61103-2025</t>
        </is>
      </c>
      <c r="B7728" s="1" t="n">
        <v>46000.44599537037</v>
      </c>
      <c r="C7728" s="1" t="n">
        <v>46145</v>
      </c>
      <c r="D7728" t="inlineStr">
        <is>
          <t>VÄSTERBOTTENS LÄN</t>
        </is>
      </c>
      <c r="E7728" t="inlineStr">
        <is>
          <t>SKELLEFTEÅ</t>
        </is>
      </c>
      <c r="F7728" t="inlineStr">
        <is>
          <t>Holmen skog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60998-2025</t>
        </is>
      </c>
      <c r="B7729" s="1" t="n">
        <v>45999.74972222222</v>
      </c>
      <c r="C7729" s="1" t="n">
        <v>46145</v>
      </c>
      <c r="D7729" t="inlineStr">
        <is>
          <t>VÄSTERBOTTENS LÄN</t>
        </is>
      </c>
      <c r="E7729" t="inlineStr">
        <is>
          <t>VILHELMINA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61214-2025</t>
        </is>
      </c>
      <c r="B7730" s="1" t="n">
        <v>46000.61884259259</v>
      </c>
      <c r="C7730" s="1" t="n">
        <v>46145</v>
      </c>
      <c r="D7730" t="inlineStr">
        <is>
          <t>VÄSTERBOTTENS LÄN</t>
        </is>
      </c>
      <c r="E7730" t="inlineStr">
        <is>
          <t>UMEÅ</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60916-2025</t>
        </is>
      </c>
      <c r="B7731" s="1" t="n">
        <v>45999.61329861111</v>
      </c>
      <c r="C7731" s="1" t="n">
        <v>46145</v>
      </c>
      <c r="D7731" t="inlineStr">
        <is>
          <t>VÄSTERBOTTENS LÄN</t>
        </is>
      </c>
      <c r="E7731" t="inlineStr">
        <is>
          <t>STORUMAN</t>
        </is>
      </c>
      <c r="F7731" t="inlineStr">
        <is>
          <t>Naturvårdsverket</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2709-2025</t>
        </is>
      </c>
      <c r="B7732" s="1" t="n">
        <v>45674</v>
      </c>
      <c r="C7732" s="1" t="n">
        <v>46145</v>
      </c>
      <c r="D7732" t="inlineStr">
        <is>
          <t>VÄSTERBOTTENS LÄN</t>
        </is>
      </c>
      <c r="E7732" t="inlineStr">
        <is>
          <t>ROBERTSFORS</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44882-2024</t>
        </is>
      </c>
      <c r="B7733" s="1" t="n">
        <v>45575</v>
      </c>
      <c r="C7733" s="1" t="n">
        <v>46145</v>
      </c>
      <c r="D7733" t="inlineStr">
        <is>
          <t>VÄSTERBOTTENS LÄN</t>
        </is>
      </c>
      <c r="E7733" t="inlineStr">
        <is>
          <t>MALÅ</t>
        </is>
      </c>
      <c r="F7733" t="inlineStr">
        <is>
          <t>Kommuner</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61051-2025</t>
        </is>
      </c>
      <c r="B7734" s="1" t="n">
        <v>46000.32271990741</v>
      </c>
      <c r="C7734" s="1" t="n">
        <v>46145</v>
      </c>
      <c r="D7734" t="inlineStr">
        <is>
          <t>VÄSTERBOTTENS LÄN</t>
        </is>
      </c>
      <c r="E7734" t="inlineStr">
        <is>
          <t>VINDELN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61056-2025</t>
        </is>
      </c>
      <c r="B7735" s="1" t="n">
        <v>46000.34428240741</v>
      </c>
      <c r="C7735" s="1" t="n">
        <v>46145</v>
      </c>
      <c r="D7735" t="inlineStr">
        <is>
          <t>VÄSTERBOTTENS LÄN</t>
        </is>
      </c>
      <c r="E7735" t="inlineStr">
        <is>
          <t>SKELLEFTEÅ</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61114-2025</t>
        </is>
      </c>
      <c r="B7736" s="1" t="n">
        <v>46000.45891203704</v>
      </c>
      <c r="C7736" s="1" t="n">
        <v>46145</v>
      </c>
      <c r="D7736" t="inlineStr">
        <is>
          <t>VÄSTERBOTTENS LÄN</t>
        </is>
      </c>
      <c r="E7736" t="inlineStr">
        <is>
          <t>ROBERTSFORS</t>
        </is>
      </c>
      <c r="F7736" t="inlineStr">
        <is>
          <t>Sveaskog</t>
        </is>
      </c>
      <c r="G7736" t="n">
        <v>9.199999999999999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44894-2024</t>
        </is>
      </c>
      <c r="B7737" s="1" t="n">
        <v>45575.36512731481</v>
      </c>
      <c r="C7737" s="1" t="n">
        <v>46145</v>
      </c>
      <c r="D7737" t="inlineStr">
        <is>
          <t>VÄSTERBOTTENS LÄN</t>
        </is>
      </c>
      <c r="E7737" t="inlineStr">
        <is>
          <t>ÅSELE</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61127-2025</t>
        </is>
      </c>
      <c r="B7738" s="1" t="n">
        <v>46000.48337962963</v>
      </c>
      <c r="C7738" s="1" t="n">
        <v>46145</v>
      </c>
      <c r="D7738" t="inlineStr">
        <is>
          <t>VÄSTERBOTTENS LÄN</t>
        </is>
      </c>
      <c r="E7738" t="inlineStr">
        <is>
          <t>VÄNNÄS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61128-2025</t>
        </is>
      </c>
      <c r="B7739" s="1" t="n">
        <v>46000.48476851852</v>
      </c>
      <c r="C7739" s="1" t="n">
        <v>46145</v>
      </c>
      <c r="D7739" t="inlineStr">
        <is>
          <t>VÄSTERBOTTENS LÄN</t>
        </is>
      </c>
      <c r="E7739" t="inlineStr">
        <is>
          <t>LYCKSELE</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61135-2025</t>
        </is>
      </c>
      <c r="B7740" s="1" t="n">
        <v>46000.50047453704</v>
      </c>
      <c r="C7740" s="1" t="n">
        <v>46145</v>
      </c>
      <c r="D7740" t="inlineStr">
        <is>
          <t>VÄSTERBOTTENS LÄN</t>
        </is>
      </c>
      <c r="E7740" t="inlineStr">
        <is>
          <t>SKELLEFTEÅ</t>
        </is>
      </c>
      <c r="F7740" t="inlineStr">
        <is>
          <t>Holmen skog AB</t>
        </is>
      </c>
      <c r="G7740" t="n">
        <v>9.199999999999999</v>
      </c>
      <c r="H7740" t="n">
        <v>0</v>
      </c>
      <c r="I7740" t="n">
        <v>0</v>
      </c>
      <c r="J7740" t="n">
        <v>0</v>
      </c>
      <c r="K7740" t="n">
        <v>0</v>
      </c>
      <c r="L7740" t="n">
        <v>0</v>
      </c>
      <c r="M7740" t="n">
        <v>0</v>
      </c>
      <c r="N7740" t="n">
        <v>0</v>
      </c>
      <c r="O7740" t="n">
        <v>0</v>
      </c>
      <c r="P7740" t="n">
        <v>0</v>
      </c>
      <c r="Q7740" t="n">
        <v>0</v>
      </c>
      <c r="R7740" s="2" t="inlineStr"/>
      <c r="U7740">
        <f>HYPERLINK("https://klasma.github.io/Logging_2482/knärot/A 61135-2025 karta knärot.png", "A 61135-2025")</f>
        <v/>
      </c>
      <c r="V7740">
        <f>HYPERLINK("https://klasma.github.io/Logging_2482/klagomål/A 61135-2025 FSC-klagomål.docx", "A 61135-2025")</f>
        <v/>
      </c>
      <c r="W7740">
        <f>HYPERLINK("https://klasma.github.io/Logging_2482/klagomålsmail/A 61135-2025 FSC-klagomål mail.docx", "A 61135-2025")</f>
        <v/>
      </c>
      <c r="X7740">
        <f>HYPERLINK("https://klasma.github.io/Logging_2482/tillsyn/A 61135-2025 tillsynsbegäran.docx", "A 61135-2025")</f>
        <v/>
      </c>
      <c r="Y7740">
        <f>HYPERLINK("https://klasma.github.io/Logging_2482/tillsynsmail/A 61135-2025 tillsynsbegäran mail.docx", "A 61135-2025")</f>
        <v/>
      </c>
    </row>
    <row r="7741" ht="15" customHeight="1">
      <c r="A7741" t="inlineStr">
        <is>
          <t>A 19004-2024</t>
        </is>
      </c>
      <c r="B7741" s="1" t="n">
        <v>45427</v>
      </c>
      <c r="C7741" s="1" t="n">
        <v>46145</v>
      </c>
      <c r="D7741" t="inlineStr">
        <is>
          <t>VÄSTERBOTTENS LÄN</t>
        </is>
      </c>
      <c r="E7741" t="inlineStr">
        <is>
          <t>VINDELN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61063-2025</t>
        </is>
      </c>
      <c r="B7742" s="1" t="n">
        <v>46000.36539351852</v>
      </c>
      <c r="C7742" s="1" t="n">
        <v>46145</v>
      </c>
      <c r="D7742" t="inlineStr">
        <is>
          <t>VÄSTERBOTTENS LÄN</t>
        </is>
      </c>
      <c r="E7742" t="inlineStr">
        <is>
          <t>SKELLEFTEÅ</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1244-2025</t>
        </is>
      </c>
      <c r="B7743" s="1" t="n">
        <v>45667.45741898148</v>
      </c>
      <c r="C7743" s="1" t="n">
        <v>46145</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51366-2023</t>
        </is>
      </c>
      <c r="B7744" s="1" t="n">
        <v>45219</v>
      </c>
      <c r="C7744" s="1" t="n">
        <v>46145</v>
      </c>
      <c r="D7744" t="inlineStr">
        <is>
          <t>VÄSTERBOTTENS LÄN</t>
        </is>
      </c>
      <c r="E7744" t="inlineStr">
        <is>
          <t>STORUMAN</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61604-2024</t>
        </is>
      </c>
      <c r="B7745" s="1" t="n">
        <v>45646.64148148148</v>
      </c>
      <c r="C7745" s="1" t="n">
        <v>46145</v>
      </c>
      <c r="D7745" t="inlineStr">
        <is>
          <t>VÄSTERBOTTENS LÄN</t>
        </is>
      </c>
      <c r="E7745" t="inlineStr">
        <is>
          <t>UMEÅ</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61605-2024</t>
        </is>
      </c>
      <c r="B7746" s="1" t="n">
        <v>45645</v>
      </c>
      <c r="C7746" s="1" t="n">
        <v>46145</v>
      </c>
      <c r="D7746" t="inlineStr">
        <is>
          <t>VÄSTERBOTTENS LÄN</t>
        </is>
      </c>
      <c r="E7746" t="inlineStr">
        <is>
          <t>MALÅ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60851-2025</t>
        </is>
      </c>
      <c r="B7747" s="1" t="n">
        <v>45999.5027662037</v>
      </c>
      <c r="C7747" s="1" t="n">
        <v>46145</v>
      </c>
      <c r="D7747" t="inlineStr">
        <is>
          <t>VÄSTERBOTTENS LÄN</t>
        </is>
      </c>
      <c r="E7747" t="inlineStr">
        <is>
          <t>NORDMALING</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363-2025</t>
        </is>
      </c>
      <c r="B7748" s="1" t="n">
        <v>45660.9071412037</v>
      </c>
      <c r="C7748" s="1" t="n">
        <v>46145</v>
      </c>
      <c r="D7748" t="inlineStr">
        <is>
          <t>VÄSTERBOTTENS LÄN</t>
        </is>
      </c>
      <c r="E7748" t="inlineStr">
        <is>
          <t>NORDMALING</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60896-2025</t>
        </is>
      </c>
      <c r="B7749" s="1" t="n">
        <v>45999.57694444444</v>
      </c>
      <c r="C7749" s="1" t="n">
        <v>46145</v>
      </c>
      <c r="D7749" t="inlineStr">
        <is>
          <t>VÄSTERBOTTENS LÄN</t>
        </is>
      </c>
      <c r="E7749" t="inlineStr">
        <is>
          <t>SORSELE</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60927-2025</t>
        </is>
      </c>
      <c r="B7750" s="1" t="n">
        <v>45999.63164351852</v>
      </c>
      <c r="C7750" s="1" t="n">
        <v>46145</v>
      </c>
      <c r="D7750" t="inlineStr">
        <is>
          <t>VÄSTERBOTTENS LÄN</t>
        </is>
      </c>
      <c r="E7750" t="inlineStr">
        <is>
          <t>VINDELN</t>
        </is>
      </c>
      <c r="G7750" t="n">
        <v>11.9</v>
      </c>
      <c r="H7750" t="n">
        <v>0</v>
      </c>
      <c r="I7750" t="n">
        <v>0</v>
      </c>
      <c r="J7750" t="n">
        <v>0</v>
      </c>
      <c r="K7750" t="n">
        <v>0</v>
      </c>
      <c r="L7750" t="n">
        <v>0</v>
      </c>
      <c r="M7750" t="n">
        <v>0</v>
      </c>
      <c r="N7750" t="n">
        <v>0</v>
      </c>
      <c r="O7750" t="n">
        <v>0</v>
      </c>
      <c r="P7750" t="n">
        <v>0</v>
      </c>
      <c r="Q7750" t="n">
        <v>0</v>
      </c>
      <c r="R7750" s="2" t="inlineStr"/>
    </row>
    <row r="7751" ht="15" customHeight="1">
      <c r="A7751" t="inlineStr">
        <is>
          <t>A 39918-2022</t>
        </is>
      </c>
      <c r="B7751" s="1" t="n">
        <v>44819.8053125</v>
      </c>
      <c r="C7751" s="1" t="n">
        <v>46145</v>
      </c>
      <c r="D7751" t="inlineStr">
        <is>
          <t>VÄSTERBOTTENS LÄN</t>
        </is>
      </c>
      <c r="E7751" t="inlineStr">
        <is>
          <t>SKELLEFTEÅ</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61216-2025</t>
        </is>
      </c>
      <c r="B7752" s="1" t="n">
        <v>46000.62005787037</v>
      </c>
      <c r="C7752" s="1" t="n">
        <v>46145</v>
      </c>
      <c r="D7752" t="inlineStr">
        <is>
          <t>VÄSTERBOTTENS LÄN</t>
        </is>
      </c>
      <c r="E7752" t="inlineStr">
        <is>
          <t>VÄNNÄS</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61221-2025</t>
        </is>
      </c>
      <c r="B7753" s="1" t="n">
        <v>46000</v>
      </c>
      <c r="C7753" s="1" t="n">
        <v>46145</v>
      </c>
      <c r="D7753" t="inlineStr">
        <is>
          <t>VÄSTERBOTTENS LÄN</t>
        </is>
      </c>
      <c r="E7753" t="inlineStr">
        <is>
          <t>VÄNNÄS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60860-2025</t>
        </is>
      </c>
      <c r="B7754" s="1" t="n">
        <v>45999.52586805556</v>
      </c>
      <c r="C7754" s="1" t="n">
        <v>46145</v>
      </c>
      <c r="D7754" t="inlineStr">
        <is>
          <t>VÄSTERBOTTENS LÄN</t>
        </is>
      </c>
      <c r="E7754" t="inlineStr">
        <is>
          <t>NORSJÖ</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60862-2025</t>
        </is>
      </c>
      <c r="B7755" s="1" t="n">
        <v>45999.52920138889</v>
      </c>
      <c r="C7755" s="1" t="n">
        <v>46145</v>
      </c>
      <c r="D7755" t="inlineStr">
        <is>
          <t>VÄSTERBOTTENS LÄN</t>
        </is>
      </c>
      <c r="E7755" t="inlineStr">
        <is>
          <t>SKELLEFTEÅ</t>
        </is>
      </c>
      <c r="F7755" t="inlineStr">
        <is>
          <t>Holmen skog AB</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54287-2024</t>
        </is>
      </c>
      <c r="B7756" s="1" t="n">
        <v>45617.26189814815</v>
      </c>
      <c r="C7756" s="1" t="n">
        <v>46145</v>
      </c>
      <c r="D7756" t="inlineStr">
        <is>
          <t>VÄSTERBOTTENS LÄN</t>
        </is>
      </c>
      <c r="E7756" t="inlineStr">
        <is>
          <t>LYCKSELE</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61086-2025</t>
        </is>
      </c>
      <c r="B7757" s="1" t="n">
        <v>46000.42480324074</v>
      </c>
      <c r="C7757" s="1" t="n">
        <v>46145</v>
      </c>
      <c r="D7757" t="inlineStr">
        <is>
          <t>VÄSTERBOTTENS LÄN</t>
        </is>
      </c>
      <c r="E7757" t="inlineStr">
        <is>
          <t>LYCKSELE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33687-2021</t>
        </is>
      </c>
      <c r="B7758" s="1" t="n">
        <v>44378</v>
      </c>
      <c r="C7758" s="1" t="n">
        <v>46145</v>
      </c>
      <c r="D7758" t="inlineStr">
        <is>
          <t>VÄSTERBOTTENS LÄN</t>
        </is>
      </c>
      <c r="E7758" t="inlineStr">
        <is>
          <t>SKELLEFTEÅ</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21622-2023</t>
        </is>
      </c>
      <c r="B7759" s="1" t="n">
        <v>45062</v>
      </c>
      <c r="C7759" s="1" t="n">
        <v>46145</v>
      </c>
      <c r="D7759" t="inlineStr">
        <is>
          <t>VÄSTERBOTTENS LÄN</t>
        </is>
      </c>
      <c r="E7759" t="inlineStr">
        <is>
          <t>NORDMALING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21638-2023</t>
        </is>
      </c>
      <c r="B7760" s="1" t="n">
        <v>45063</v>
      </c>
      <c r="C7760" s="1" t="n">
        <v>46145</v>
      </c>
      <c r="D7760" t="inlineStr">
        <is>
          <t>VÄSTERBOTTENS LÄN</t>
        </is>
      </c>
      <c r="E7760" t="inlineStr">
        <is>
          <t>VINDELN</t>
        </is>
      </c>
      <c r="G7760" t="n">
        <v>10</v>
      </c>
      <c r="H7760" t="n">
        <v>0</v>
      </c>
      <c r="I7760" t="n">
        <v>0</v>
      </c>
      <c r="J7760" t="n">
        <v>0</v>
      </c>
      <c r="K7760" t="n">
        <v>0</v>
      </c>
      <c r="L7760" t="n">
        <v>0</v>
      </c>
      <c r="M7760" t="n">
        <v>0</v>
      </c>
      <c r="N7760" t="n">
        <v>0</v>
      </c>
      <c r="O7760" t="n">
        <v>0</v>
      </c>
      <c r="P7760" t="n">
        <v>0</v>
      </c>
      <c r="Q7760" t="n">
        <v>0</v>
      </c>
      <c r="R7760" s="2" t="inlineStr"/>
    </row>
    <row r="7761" ht="15" customHeight="1">
      <c r="A7761" t="inlineStr">
        <is>
          <t>A 60918-2025</t>
        </is>
      </c>
      <c r="B7761" s="1" t="n">
        <v>45999.61577546296</v>
      </c>
      <c r="C7761" s="1" t="n">
        <v>46145</v>
      </c>
      <c r="D7761" t="inlineStr">
        <is>
          <t>VÄSTERBOTTENS LÄN</t>
        </is>
      </c>
      <c r="E7761" t="inlineStr">
        <is>
          <t>STORUMAN</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61142-2025</t>
        </is>
      </c>
      <c r="B7762" s="1" t="n">
        <v>46000.51967592593</v>
      </c>
      <c r="C7762" s="1" t="n">
        <v>46145</v>
      </c>
      <c r="D7762" t="inlineStr">
        <is>
          <t>VÄSTERBOTTENS LÄN</t>
        </is>
      </c>
      <c r="E7762" t="inlineStr">
        <is>
          <t>VÄNNÄS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61155-2025</t>
        </is>
      </c>
      <c r="B7763" s="1" t="n">
        <v>46000.54702546296</v>
      </c>
      <c r="C7763" s="1" t="n">
        <v>46145</v>
      </c>
      <c r="D7763" t="inlineStr">
        <is>
          <t>VÄSTERBOTTENS LÄN</t>
        </is>
      </c>
      <c r="E7763" t="inlineStr">
        <is>
          <t>VÄNNÄS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61167-2025</t>
        </is>
      </c>
      <c r="B7764" s="1" t="n">
        <v>46000.56664351852</v>
      </c>
      <c r="C7764" s="1" t="n">
        <v>46145</v>
      </c>
      <c r="D7764" t="inlineStr">
        <is>
          <t>VÄSTERBOTTENS LÄN</t>
        </is>
      </c>
      <c r="E7764" t="inlineStr">
        <is>
          <t>NORDMALING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58852-2024</t>
        </is>
      </c>
      <c r="B7765" s="1" t="n">
        <v>45635</v>
      </c>
      <c r="C7765" s="1" t="n">
        <v>46145</v>
      </c>
      <c r="D7765" t="inlineStr">
        <is>
          <t>VÄSTERBOTTENS LÄN</t>
        </is>
      </c>
      <c r="E7765" t="inlineStr">
        <is>
          <t>STORUMAN</t>
        </is>
      </c>
      <c r="F7765" t="inlineStr">
        <is>
          <t>Allmännings- och besparingsskogar</t>
        </is>
      </c>
      <c r="G7765" t="n">
        <v>455.1</v>
      </c>
      <c r="H7765" t="n">
        <v>0</v>
      </c>
      <c r="I7765" t="n">
        <v>0</v>
      </c>
      <c r="J7765" t="n">
        <v>0</v>
      </c>
      <c r="K7765" t="n">
        <v>0</v>
      </c>
      <c r="L7765" t="n">
        <v>0</v>
      </c>
      <c r="M7765" t="n">
        <v>0</v>
      </c>
      <c r="N7765" t="n">
        <v>0</v>
      </c>
      <c r="O7765" t="n">
        <v>0</v>
      </c>
      <c r="P7765" t="n">
        <v>0</v>
      </c>
      <c r="Q7765" t="n">
        <v>0</v>
      </c>
      <c r="R7765" s="2" t="inlineStr"/>
    </row>
    <row r="7766" ht="15" customHeight="1">
      <c r="A7766" t="inlineStr">
        <is>
          <t>A 8716-2024</t>
        </is>
      </c>
      <c r="B7766" s="1" t="n">
        <v>45356</v>
      </c>
      <c r="C7766" s="1" t="n">
        <v>46145</v>
      </c>
      <c r="D7766" t="inlineStr">
        <is>
          <t>VÄSTERBOTTENS LÄN</t>
        </is>
      </c>
      <c r="E7766" t="inlineStr">
        <is>
          <t>UMEÅ</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61153-2025</t>
        </is>
      </c>
      <c r="B7767" s="1" t="n">
        <v>46000.54172453703</v>
      </c>
      <c r="C7767" s="1" t="n">
        <v>46145</v>
      </c>
      <c r="D7767" t="inlineStr">
        <is>
          <t>VÄSTERBOTTENS LÄN</t>
        </is>
      </c>
      <c r="E7767" t="inlineStr">
        <is>
          <t>BJURHOLM</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60794-2025</t>
        </is>
      </c>
      <c r="B7768" s="1" t="n">
        <v>45999.42116898148</v>
      </c>
      <c r="C7768" s="1" t="n">
        <v>46145</v>
      </c>
      <c r="D7768" t="inlineStr">
        <is>
          <t>VÄSTERBOTTENS LÄN</t>
        </is>
      </c>
      <c r="E7768" t="inlineStr">
        <is>
          <t>SKELLEFTEÅ</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8717-2024</t>
        </is>
      </c>
      <c r="B7769" s="1" t="n">
        <v>45356.4062962963</v>
      </c>
      <c r="C7769" s="1" t="n">
        <v>46145</v>
      </c>
      <c r="D7769" t="inlineStr">
        <is>
          <t>VÄSTERBOTTENS LÄN</t>
        </is>
      </c>
      <c r="E7769" t="inlineStr">
        <is>
          <t>UMEÅ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61241-2025</t>
        </is>
      </c>
      <c r="B7770" s="1" t="n">
        <v>46000.65633101852</v>
      </c>
      <c r="C7770" s="1" t="n">
        <v>46145</v>
      </c>
      <c r="D7770" t="inlineStr">
        <is>
          <t>VÄSTERBOTTENS LÄN</t>
        </is>
      </c>
      <c r="E7770" t="inlineStr">
        <is>
          <t>UMEÅ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61243-2025</t>
        </is>
      </c>
      <c r="B7771" s="1" t="n">
        <v>46000.65924768519</v>
      </c>
      <c r="C7771" s="1" t="n">
        <v>46145</v>
      </c>
      <c r="D7771" t="inlineStr">
        <is>
          <t>VÄSTERBOTTENS LÄN</t>
        </is>
      </c>
      <c r="E7771" t="inlineStr">
        <is>
          <t>UMEÅ</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61261-2025</t>
        </is>
      </c>
      <c r="B7772" s="1" t="n">
        <v>45999</v>
      </c>
      <c r="C7772" s="1" t="n">
        <v>46145</v>
      </c>
      <c r="D7772" t="inlineStr">
        <is>
          <t>VÄSTERBOTTENS LÄN</t>
        </is>
      </c>
      <c r="E7772" t="inlineStr">
        <is>
          <t>ROBERTSFORS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59442-2024</t>
        </is>
      </c>
      <c r="B7773" s="1" t="n">
        <v>45638.44524305555</v>
      </c>
      <c r="C7773" s="1" t="n">
        <v>46145</v>
      </c>
      <c r="D7773" t="inlineStr">
        <is>
          <t>VÄSTERBOTTENS LÄN</t>
        </is>
      </c>
      <c r="E7773" t="inlineStr">
        <is>
          <t>SKELLEFTEÅ</t>
        </is>
      </c>
      <c r="F7773" t="inlineStr">
        <is>
          <t>Holmen skog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43286-2025</t>
        </is>
      </c>
      <c r="B7774" s="1" t="n">
        <v>45910</v>
      </c>
      <c r="C7774" s="1" t="n">
        <v>46145</v>
      </c>
      <c r="D7774" t="inlineStr">
        <is>
          <t>VÄSTERBOTTENS LÄN</t>
        </is>
      </c>
      <c r="E7774" t="inlineStr">
        <is>
          <t>ÅSELE</t>
        </is>
      </c>
      <c r="F7774" t="inlineStr">
        <is>
          <t>Kyrkan</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10604-2024</t>
        </is>
      </c>
      <c r="B7775" s="1" t="n">
        <v>45366.93827546296</v>
      </c>
      <c r="C7775" s="1" t="n">
        <v>46145</v>
      </c>
      <c r="D7775" t="inlineStr">
        <is>
          <t>VÄSTERBOTTENS LÄN</t>
        </is>
      </c>
      <c r="E7775" t="inlineStr">
        <is>
          <t>SKELLEFTEÅ</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1980-2025</t>
        </is>
      </c>
      <c r="B7776" s="1" t="n">
        <v>45671</v>
      </c>
      <c r="C7776" s="1" t="n">
        <v>46145</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1992-2025</t>
        </is>
      </c>
      <c r="B7777" s="1" t="n">
        <v>45672.43625</v>
      </c>
      <c r="C7777" s="1" t="n">
        <v>46145</v>
      </c>
      <c r="D7777" t="inlineStr">
        <is>
          <t>VÄSTERBOTTENS LÄN</t>
        </is>
      </c>
      <c r="E7777" t="inlineStr">
        <is>
          <t>DOROTEA</t>
        </is>
      </c>
      <c r="F7777" t="inlineStr">
        <is>
          <t>Kommuner</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61426-2025</t>
        </is>
      </c>
      <c r="B7778" s="1" t="n">
        <v>46001.54938657407</v>
      </c>
      <c r="C7778" s="1" t="n">
        <v>46145</v>
      </c>
      <c r="D7778" t="inlineStr">
        <is>
          <t>VÄSTERBOTTENS LÄN</t>
        </is>
      </c>
      <c r="E7778" t="inlineStr">
        <is>
          <t>VILHELMINA</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48954-2024</t>
        </is>
      </c>
      <c r="B7779" s="1" t="n">
        <v>45594.43673611111</v>
      </c>
      <c r="C7779" s="1" t="n">
        <v>46145</v>
      </c>
      <c r="D7779" t="inlineStr">
        <is>
          <t>VÄSTERBOTTENS LÄN</t>
        </is>
      </c>
      <c r="E7779" t="inlineStr">
        <is>
          <t>NORSJÖ</t>
        </is>
      </c>
      <c r="F7779" t="inlineStr">
        <is>
          <t>Holmen skog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61440-2025</t>
        </is>
      </c>
      <c r="B7780" s="1" t="n">
        <v>46001.57054398148</v>
      </c>
      <c r="C7780" s="1" t="n">
        <v>46145</v>
      </c>
      <c r="D7780" t="inlineStr">
        <is>
          <t>VÄSTERBOTTENS LÄN</t>
        </is>
      </c>
      <c r="E7780" t="inlineStr">
        <is>
          <t>SKELLEFTEÅ</t>
        </is>
      </c>
      <c r="G7780" t="n">
        <v>19.7</v>
      </c>
      <c r="H7780" t="n">
        <v>0</v>
      </c>
      <c r="I7780" t="n">
        <v>0</v>
      </c>
      <c r="J7780" t="n">
        <v>0</v>
      </c>
      <c r="K7780" t="n">
        <v>0</v>
      </c>
      <c r="L7780" t="n">
        <v>0</v>
      </c>
      <c r="M7780" t="n">
        <v>0</v>
      </c>
      <c r="N7780" t="n">
        <v>0</v>
      </c>
      <c r="O7780" t="n">
        <v>0</v>
      </c>
      <c r="P7780" t="n">
        <v>0</v>
      </c>
      <c r="Q7780" t="n">
        <v>0</v>
      </c>
      <c r="R7780" s="2" t="inlineStr"/>
    </row>
    <row r="7781" ht="15" customHeight="1">
      <c r="A7781" t="inlineStr">
        <is>
          <t>A 61457-2025</t>
        </is>
      </c>
      <c r="B7781" s="1" t="n">
        <v>46001.59224537037</v>
      </c>
      <c r="C7781" s="1" t="n">
        <v>46145</v>
      </c>
      <c r="D7781" t="inlineStr">
        <is>
          <t>VÄSTERBOTTENS LÄN</t>
        </is>
      </c>
      <c r="E7781" t="inlineStr">
        <is>
          <t>ÅSELE</t>
        </is>
      </c>
      <c r="F7781" t="inlineStr">
        <is>
          <t>Sveaskog</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39156-2023</t>
        </is>
      </c>
      <c r="B7782" s="1" t="n">
        <v>45166</v>
      </c>
      <c r="C7782" s="1" t="n">
        <v>46145</v>
      </c>
      <c r="D7782" t="inlineStr">
        <is>
          <t>VÄSTERBOTTENS LÄN</t>
        </is>
      </c>
      <c r="E7782" t="inlineStr">
        <is>
          <t>SKELLEFTEÅ</t>
        </is>
      </c>
      <c r="F7782" t="inlineStr">
        <is>
          <t>Sveaskog</t>
        </is>
      </c>
      <c r="G7782" t="n">
        <v>43.7</v>
      </c>
      <c r="H7782" t="n">
        <v>0</v>
      </c>
      <c r="I7782" t="n">
        <v>0</v>
      </c>
      <c r="J7782" t="n">
        <v>0</v>
      </c>
      <c r="K7782" t="n">
        <v>0</v>
      </c>
      <c r="L7782" t="n">
        <v>0</v>
      </c>
      <c r="M7782" t="n">
        <v>0</v>
      </c>
      <c r="N7782" t="n">
        <v>0</v>
      </c>
      <c r="O7782" t="n">
        <v>0</v>
      </c>
      <c r="P7782" t="n">
        <v>0</v>
      </c>
      <c r="Q7782" t="n">
        <v>0</v>
      </c>
      <c r="R7782" s="2" t="inlineStr"/>
    </row>
    <row r="7783" ht="15" customHeight="1">
      <c r="A7783" t="inlineStr">
        <is>
          <t>A 55695-2024</t>
        </is>
      </c>
      <c r="B7783" s="1" t="n">
        <v>45622</v>
      </c>
      <c r="C7783" s="1" t="n">
        <v>46145</v>
      </c>
      <c r="D7783" t="inlineStr">
        <is>
          <t>VÄSTERBOTTENS LÄN</t>
        </is>
      </c>
      <c r="E7783" t="inlineStr">
        <is>
          <t>VILHELMINA</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61480-2025</t>
        </is>
      </c>
      <c r="B7784" s="1" t="n">
        <v>46001.62689814815</v>
      </c>
      <c r="C7784" s="1" t="n">
        <v>46145</v>
      </c>
      <c r="D7784" t="inlineStr">
        <is>
          <t>VÄSTERBOTTENS LÄN</t>
        </is>
      </c>
      <c r="E7784" t="inlineStr">
        <is>
          <t>MALÅ</t>
        </is>
      </c>
      <c r="F7784" t="inlineStr">
        <is>
          <t>Sveaskog</t>
        </is>
      </c>
      <c r="G7784" t="n">
        <v>12.7</v>
      </c>
      <c r="H7784" t="n">
        <v>0</v>
      </c>
      <c r="I7784" t="n">
        <v>0</v>
      </c>
      <c r="J7784" t="n">
        <v>0</v>
      </c>
      <c r="K7784" t="n">
        <v>0</v>
      </c>
      <c r="L7784" t="n">
        <v>0</v>
      </c>
      <c r="M7784" t="n">
        <v>0</v>
      </c>
      <c r="N7784" t="n">
        <v>0</v>
      </c>
      <c r="O7784" t="n">
        <v>0</v>
      </c>
      <c r="P7784" t="n">
        <v>0</v>
      </c>
      <c r="Q7784" t="n">
        <v>0</v>
      </c>
      <c r="R7784" s="2" t="inlineStr"/>
    </row>
    <row r="7785" ht="15" customHeight="1">
      <c r="A7785" t="inlineStr">
        <is>
          <t>A 61806-2024</t>
        </is>
      </c>
      <c r="B7785" s="1" t="n">
        <v>45649.57627314814</v>
      </c>
      <c r="C7785" s="1" t="n">
        <v>46145</v>
      </c>
      <c r="D7785" t="inlineStr">
        <is>
          <t>VÄSTERBOTTENS LÄN</t>
        </is>
      </c>
      <c r="E7785" t="inlineStr">
        <is>
          <t>BJURHOLM</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21289-2025</t>
        </is>
      </c>
      <c r="B7786" s="1" t="n">
        <v>45779</v>
      </c>
      <c r="C7786" s="1" t="n">
        <v>46145</v>
      </c>
      <c r="D7786" t="inlineStr">
        <is>
          <t>VÄSTERBOTTENS LÄN</t>
        </is>
      </c>
      <c r="E7786" t="inlineStr">
        <is>
          <t>LYCKSELE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61610-2025</t>
        </is>
      </c>
      <c r="B7787" s="1" t="n">
        <v>46002.38136574074</v>
      </c>
      <c r="C7787" s="1" t="n">
        <v>46145</v>
      </c>
      <c r="D7787" t="inlineStr">
        <is>
          <t>VÄSTERBOTTENS LÄN</t>
        </is>
      </c>
      <c r="E7787" t="inlineStr">
        <is>
          <t>LYCKSELE</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61506-2025</t>
        </is>
      </c>
      <c r="B7788" s="1" t="n">
        <v>46001.68094907407</v>
      </c>
      <c r="C7788" s="1" t="n">
        <v>46145</v>
      </c>
      <c r="D7788" t="inlineStr">
        <is>
          <t>VÄSTERBOTTENS LÄN</t>
        </is>
      </c>
      <c r="E7788" t="inlineStr">
        <is>
          <t>ÅSELE</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61353-2025</t>
        </is>
      </c>
      <c r="B7789" s="1" t="n">
        <v>46001.38703703704</v>
      </c>
      <c r="C7789" s="1" t="n">
        <v>46145</v>
      </c>
      <c r="D7789" t="inlineStr">
        <is>
          <t>VÄSTERBOTTENS LÄN</t>
        </is>
      </c>
      <c r="E7789" t="inlineStr">
        <is>
          <t>LYCKSELE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58052-2025</t>
        </is>
      </c>
      <c r="B7790" s="1" t="n">
        <v>45982.51892361111</v>
      </c>
      <c r="C7790" s="1" t="n">
        <v>46145</v>
      </c>
      <c r="D7790" t="inlineStr">
        <is>
          <t>VÄSTERBOTTENS LÄN</t>
        </is>
      </c>
      <c r="E7790" t="inlineStr">
        <is>
          <t>SKELLEFTEÅ</t>
        </is>
      </c>
      <c r="F7790" t="inlineStr">
        <is>
          <t>Sveaskog</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61448-2025</t>
        </is>
      </c>
      <c r="B7791" s="1" t="n">
        <v>46001.57563657407</v>
      </c>
      <c r="C7791" s="1" t="n">
        <v>46145</v>
      </c>
      <c r="D7791" t="inlineStr">
        <is>
          <t>VÄSTERBOTTENS LÄN</t>
        </is>
      </c>
      <c r="E7791" t="inlineStr">
        <is>
          <t>UMEÅ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61450-2025</t>
        </is>
      </c>
      <c r="B7792" s="1" t="n">
        <v>46001.57803240741</v>
      </c>
      <c r="C7792" s="1" t="n">
        <v>46145</v>
      </c>
      <c r="D7792" t="inlineStr">
        <is>
          <t>VÄSTERBOTTENS LÄN</t>
        </is>
      </c>
      <c r="E7792" t="inlineStr">
        <is>
          <t>ÅSELE</t>
        </is>
      </c>
      <c r="F7792" t="inlineStr">
        <is>
          <t>Sveaskog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2767-2025</t>
        </is>
      </c>
      <c r="B7793" s="1" t="n">
        <v>45677</v>
      </c>
      <c r="C7793" s="1" t="n">
        <v>46145</v>
      </c>
      <c r="D7793" t="inlineStr">
        <is>
          <t>VÄSTERBOTTENS LÄN</t>
        </is>
      </c>
      <c r="E7793" t="inlineStr">
        <is>
          <t>UMEÅ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61639-2025</t>
        </is>
      </c>
      <c r="B7794" s="1" t="n">
        <v>46002.43023148148</v>
      </c>
      <c r="C7794" s="1" t="n">
        <v>46145</v>
      </c>
      <c r="D7794" t="inlineStr">
        <is>
          <t>VÄSTERBOTTENS LÄN</t>
        </is>
      </c>
      <c r="E7794" t="inlineStr">
        <is>
          <t>NORDMALING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61403-2025</t>
        </is>
      </c>
      <c r="B7795" s="1" t="n">
        <v>46001.48989583334</v>
      </c>
      <c r="C7795" s="1" t="n">
        <v>46145</v>
      </c>
      <c r="D7795" t="inlineStr">
        <is>
          <t>VÄSTERBOTTENS LÄN</t>
        </is>
      </c>
      <c r="E7795" t="inlineStr">
        <is>
          <t>VÄNNÄS</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57543-2025</t>
        </is>
      </c>
      <c r="B7796" s="1" t="n">
        <v>45980</v>
      </c>
      <c r="C7796" s="1" t="n">
        <v>46145</v>
      </c>
      <c r="D7796" t="inlineStr">
        <is>
          <t>VÄSTERBOTTENS LÄN</t>
        </is>
      </c>
      <c r="E7796" t="inlineStr">
        <is>
          <t>SKELLEFTEÅ</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49879-2024</t>
        </is>
      </c>
      <c r="B7797" s="1" t="n">
        <v>45597.49931712963</v>
      </c>
      <c r="C7797" s="1" t="n">
        <v>46145</v>
      </c>
      <c r="D7797" t="inlineStr">
        <is>
          <t>VÄSTERBOTTENS LÄN</t>
        </is>
      </c>
      <c r="E7797" t="inlineStr">
        <is>
          <t>ÅSELE</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61594-2025</t>
        </is>
      </c>
      <c r="B7798" s="1" t="n">
        <v>46002.35224537037</v>
      </c>
      <c r="C7798" s="1" t="n">
        <v>46145</v>
      </c>
      <c r="D7798" t="inlineStr">
        <is>
          <t>VÄSTERBOTTENS LÄN</t>
        </is>
      </c>
      <c r="E7798" t="inlineStr">
        <is>
          <t>VINDELN</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61185-2025</t>
        </is>
      </c>
      <c r="B7799" s="1" t="n">
        <v>46000.5859837963</v>
      </c>
      <c r="C7799" s="1" t="n">
        <v>46145</v>
      </c>
      <c r="D7799" t="inlineStr">
        <is>
          <t>VÄSTERBOTTENS LÄN</t>
        </is>
      </c>
      <c r="E7799" t="inlineStr">
        <is>
          <t>ROBERTSFORS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57962-2024</t>
        </is>
      </c>
      <c r="B7800" s="1" t="n">
        <v>45631</v>
      </c>
      <c r="C7800" s="1" t="n">
        <v>46145</v>
      </c>
      <c r="D7800" t="inlineStr">
        <is>
          <t>VÄSTERBOTTENS LÄN</t>
        </is>
      </c>
      <c r="E7800" t="inlineStr">
        <is>
          <t>STORUMAN</t>
        </is>
      </c>
      <c r="F7800" t="inlineStr">
        <is>
          <t>Allmännings- och besparingsskogar</t>
        </is>
      </c>
      <c r="G7800" t="n">
        <v>855.7</v>
      </c>
      <c r="H7800" t="n">
        <v>0</v>
      </c>
      <c r="I7800" t="n">
        <v>0</v>
      </c>
      <c r="J7800" t="n">
        <v>0</v>
      </c>
      <c r="K7800" t="n">
        <v>0</v>
      </c>
      <c r="L7800" t="n">
        <v>0</v>
      </c>
      <c r="M7800" t="n">
        <v>0</v>
      </c>
      <c r="N7800" t="n">
        <v>0</v>
      </c>
      <c r="O7800" t="n">
        <v>0</v>
      </c>
      <c r="P7800" t="n">
        <v>0</v>
      </c>
      <c r="Q7800" t="n">
        <v>0</v>
      </c>
      <c r="R7800" s="2" t="inlineStr"/>
    </row>
    <row r="7801" ht="15" customHeight="1">
      <c r="A7801" t="inlineStr">
        <is>
          <t>A 51949-2024</t>
        </is>
      </c>
      <c r="B7801" s="1" t="n">
        <v>45607.63787037037</v>
      </c>
      <c r="C7801" s="1" t="n">
        <v>46145</v>
      </c>
      <c r="D7801" t="inlineStr">
        <is>
          <t>VÄSTERBOTTENS LÄN</t>
        </is>
      </c>
      <c r="E7801" t="inlineStr">
        <is>
          <t>ROBERTSFORS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47299-2023</t>
        </is>
      </c>
      <c r="B7802" s="1" t="n">
        <v>45196</v>
      </c>
      <c r="C7802" s="1" t="n">
        <v>46145</v>
      </c>
      <c r="D7802" t="inlineStr">
        <is>
          <t>VÄSTERBOTTENS LÄN</t>
        </is>
      </c>
      <c r="E7802" t="inlineStr">
        <is>
          <t>STORUMAN</t>
        </is>
      </c>
      <c r="G7802" t="n">
        <v>12.3</v>
      </c>
      <c r="H7802" t="n">
        <v>0</v>
      </c>
      <c r="I7802" t="n">
        <v>0</v>
      </c>
      <c r="J7802" t="n">
        <v>0</v>
      </c>
      <c r="K7802" t="n">
        <v>0</v>
      </c>
      <c r="L7802" t="n">
        <v>0</v>
      </c>
      <c r="M7802" t="n">
        <v>0</v>
      </c>
      <c r="N7802" t="n">
        <v>0</v>
      </c>
      <c r="O7802" t="n">
        <v>0</v>
      </c>
      <c r="P7802" t="n">
        <v>0</v>
      </c>
      <c r="Q7802" t="n">
        <v>0</v>
      </c>
      <c r="R7802" s="2" t="inlineStr"/>
    </row>
    <row r="7803" ht="15" customHeight="1">
      <c r="A7803" t="inlineStr">
        <is>
          <t>A 43649-2024</t>
        </is>
      </c>
      <c r="B7803" s="1" t="n">
        <v>45569.53054398148</v>
      </c>
      <c r="C7803" s="1" t="n">
        <v>46145</v>
      </c>
      <c r="D7803" t="inlineStr">
        <is>
          <t>VÄSTERBOTTENS LÄN</t>
        </is>
      </c>
      <c r="E7803" t="inlineStr">
        <is>
          <t>UMEÅ</t>
        </is>
      </c>
      <c r="F7803" t="inlineStr">
        <is>
          <t>Kommuner</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61335-2025</t>
        </is>
      </c>
      <c r="B7804" s="1" t="n">
        <v>46001.3443287037</v>
      </c>
      <c r="C7804" s="1" t="n">
        <v>46145</v>
      </c>
      <c r="D7804" t="inlineStr">
        <is>
          <t>VÄSTERBOTTENS LÄN</t>
        </is>
      </c>
      <c r="E7804" t="inlineStr">
        <is>
          <t>LYCKSELE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61338-2025</t>
        </is>
      </c>
      <c r="B7805" s="1" t="n">
        <v>46001.34715277778</v>
      </c>
      <c r="C7805" s="1" t="n">
        <v>46145</v>
      </c>
      <c r="D7805" t="inlineStr">
        <is>
          <t>VÄSTERBOTTENS LÄN</t>
        </is>
      </c>
      <c r="E7805" t="inlineStr">
        <is>
          <t>NORSJÖ</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58918-2024</t>
        </is>
      </c>
      <c r="B7806" s="1" t="n">
        <v>45635</v>
      </c>
      <c r="C7806" s="1" t="n">
        <v>46145</v>
      </c>
      <c r="D7806" t="inlineStr">
        <is>
          <t>VÄSTERBOTTENS LÄN</t>
        </is>
      </c>
      <c r="E7806" t="inlineStr">
        <is>
          <t>STORUMAN</t>
        </is>
      </c>
      <c r="F7806" t="inlineStr">
        <is>
          <t>Allmännings- och besparingsskogar</t>
        </is>
      </c>
      <c r="G7806" t="n">
        <v>75.59999999999999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56498-2024</t>
        </is>
      </c>
      <c r="B7807" s="1" t="n">
        <v>45625.49637731481</v>
      </c>
      <c r="C7807" s="1" t="n">
        <v>46145</v>
      </c>
      <c r="D7807" t="inlineStr">
        <is>
          <t>VÄSTERBOTTENS LÄN</t>
        </is>
      </c>
      <c r="E7807" t="inlineStr">
        <is>
          <t>NORSJÖ</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56502-2024</t>
        </is>
      </c>
      <c r="B7808" s="1" t="n">
        <v>45625.50078703704</v>
      </c>
      <c r="C7808" s="1" t="n">
        <v>46145</v>
      </c>
      <c r="D7808" t="inlineStr">
        <is>
          <t>VÄSTERBOTTENS LÄN</t>
        </is>
      </c>
      <c r="E7808" t="inlineStr">
        <is>
          <t>ROBERTSFORS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31132-2023</t>
        </is>
      </c>
      <c r="B7809" s="1" t="n">
        <v>45103</v>
      </c>
      <c r="C7809" s="1" t="n">
        <v>46145</v>
      </c>
      <c r="D7809" t="inlineStr">
        <is>
          <t>VÄSTERBOTTENS LÄN</t>
        </is>
      </c>
      <c r="E7809" t="inlineStr">
        <is>
          <t>VÄNNÄS</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61351-2025</t>
        </is>
      </c>
      <c r="B7810" s="1" t="n">
        <v>46001.38690972222</v>
      </c>
      <c r="C7810" s="1" t="n">
        <v>46145</v>
      </c>
      <c r="D7810" t="inlineStr">
        <is>
          <t>VÄSTERBOTTENS LÄN</t>
        </is>
      </c>
      <c r="E7810" t="inlineStr">
        <is>
          <t>LYCKSELE</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61464-2025</t>
        </is>
      </c>
      <c r="B7811" s="1" t="n">
        <v>46001.60319444445</v>
      </c>
      <c r="C7811" s="1" t="n">
        <v>46145</v>
      </c>
      <c r="D7811" t="inlineStr">
        <is>
          <t>VÄSTERBOTTENS LÄN</t>
        </is>
      </c>
      <c r="E7811" t="inlineStr">
        <is>
          <t>VILHELMINA</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24921-2025</t>
        </is>
      </c>
      <c r="B7812" s="1" t="n">
        <v>45799</v>
      </c>
      <c r="C7812" s="1" t="n">
        <v>46145</v>
      </c>
      <c r="D7812" t="inlineStr">
        <is>
          <t>VÄSTERBOTTENS LÄN</t>
        </is>
      </c>
      <c r="E7812" t="inlineStr">
        <is>
          <t>DOROTEA</t>
        </is>
      </c>
      <c r="F7812" t="inlineStr">
        <is>
          <t>SCA</t>
        </is>
      </c>
      <c r="G7812" t="n">
        <v>31.5</v>
      </c>
      <c r="H7812" t="n">
        <v>0</v>
      </c>
      <c r="I7812" t="n">
        <v>0</v>
      </c>
      <c r="J7812" t="n">
        <v>0</v>
      </c>
      <c r="K7812" t="n">
        <v>0</v>
      </c>
      <c r="L7812" t="n">
        <v>0</v>
      </c>
      <c r="M7812" t="n">
        <v>0</v>
      </c>
      <c r="N7812" t="n">
        <v>0</v>
      </c>
      <c r="O7812" t="n">
        <v>0</v>
      </c>
      <c r="P7812" t="n">
        <v>0</v>
      </c>
      <c r="Q7812" t="n">
        <v>0</v>
      </c>
      <c r="R7812" s="2" t="inlineStr"/>
    </row>
    <row r="7813" ht="15" customHeight="1">
      <c r="A7813" t="inlineStr">
        <is>
          <t>A 7312-2024</t>
        </is>
      </c>
      <c r="B7813" s="1" t="n">
        <v>45345.34260416667</v>
      </c>
      <c r="C7813" s="1" t="n">
        <v>46145</v>
      </c>
      <c r="D7813" t="inlineStr">
        <is>
          <t>VÄSTERBOTTENS LÄN</t>
        </is>
      </c>
      <c r="E7813" t="inlineStr">
        <is>
          <t>BJURHOLM</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61517-2025</t>
        </is>
      </c>
      <c r="B7814" s="1" t="n">
        <v>46001.68586805555</v>
      </c>
      <c r="C7814" s="1" t="n">
        <v>46145</v>
      </c>
      <c r="D7814" t="inlineStr">
        <is>
          <t>VÄSTERBOTTENS LÄN</t>
        </is>
      </c>
      <c r="E7814" t="inlineStr">
        <is>
          <t>VILHELMINA</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61518-2025</t>
        </is>
      </c>
      <c r="B7815" s="1" t="n">
        <v>46001.68611111111</v>
      </c>
      <c r="C7815" s="1" t="n">
        <v>46145</v>
      </c>
      <c r="D7815" t="inlineStr">
        <is>
          <t>VÄSTERBOTTENS LÄN</t>
        </is>
      </c>
      <c r="E7815" t="inlineStr">
        <is>
          <t>BJURHOLM</t>
        </is>
      </c>
      <c r="F7815" t="inlineStr">
        <is>
          <t>SCA</t>
        </is>
      </c>
      <c r="G7815" t="n">
        <v>23.4</v>
      </c>
      <c r="H7815" t="n">
        <v>0</v>
      </c>
      <c r="I7815" t="n">
        <v>0</v>
      </c>
      <c r="J7815" t="n">
        <v>0</v>
      </c>
      <c r="K7815" t="n">
        <v>0</v>
      </c>
      <c r="L7815" t="n">
        <v>0</v>
      </c>
      <c r="M7815" t="n">
        <v>0</v>
      </c>
      <c r="N7815" t="n">
        <v>0</v>
      </c>
      <c r="O7815" t="n">
        <v>0</v>
      </c>
      <c r="P7815" t="n">
        <v>0</v>
      </c>
      <c r="Q7815" t="n">
        <v>0</v>
      </c>
      <c r="R7815" s="2" t="inlineStr"/>
    </row>
    <row r="7816" ht="15" customHeight="1">
      <c r="A7816" t="inlineStr">
        <is>
          <t>A 61550-2025</t>
        </is>
      </c>
      <c r="B7816" s="1" t="n">
        <v>46001.76815972223</v>
      </c>
      <c r="C7816" s="1" t="n">
        <v>46145</v>
      </c>
      <c r="D7816" t="inlineStr">
        <is>
          <t>VÄSTERBOTTENS LÄN</t>
        </is>
      </c>
      <c r="E7816" t="inlineStr">
        <is>
          <t>VINDELN</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3674-2025</t>
        </is>
      </c>
      <c r="B7817" s="1" t="n">
        <v>45681.43738425926</v>
      </c>
      <c r="C7817" s="1" t="n">
        <v>46145</v>
      </c>
      <c r="D7817" t="inlineStr">
        <is>
          <t>VÄSTERBOTTENS LÄN</t>
        </is>
      </c>
      <c r="E7817" t="inlineStr">
        <is>
          <t>SKELLEFTEÅ</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57170-2025</t>
        </is>
      </c>
      <c r="B7818" s="1" t="n">
        <v>45978</v>
      </c>
      <c r="C7818" s="1" t="n">
        <v>46145</v>
      </c>
      <c r="D7818" t="inlineStr">
        <is>
          <t>VÄSTERBOTTENS LÄN</t>
        </is>
      </c>
      <c r="E7818" t="inlineStr">
        <is>
          <t>DOROTEA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45101-2023</t>
        </is>
      </c>
      <c r="B7819" s="1" t="n">
        <v>45190</v>
      </c>
      <c r="C7819" s="1" t="n">
        <v>46145</v>
      </c>
      <c r="D7819" t="inlineStr">
        <is>
          <t>VÄSTERBOTTENS LÄN</t>
        </is>
      </c>
      <c r="E7819" t="inlineStr">
        <is>
          <t>MALÅ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61090-2025</t>
        </is>
      </c>
      <c r="B7820" s="1" t="n">
        <v>46000.42769675926</v>
      </c>
      <c r="C7820" s="1" t="n">
        <v>46145</v>
      </c>
      <c r="D7820" t="inlineStr">
        <is>
          <t>VÄSTERBOTTENS LÄN</t>
        </is>
      </c>
      <c r="E7820" t="inlineStr">
        <is>
          <t>NORDMALING</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61158-2025</t>
        </is>
      </c>
      <c r="B7821" s="1" t="n">
        <v>46000.55134259259</v>
      </c>
      <c r="C7821" s="1" t="n">
        <v>46145</v>
      </c>
      <c r="D7821" t="inlineStr">
        <is>
          <t>VÄSTERBOTTENS LÄN</t>
        </is>
      </c>
      <c r="E7821" t="inlineStr">
        <is>
          <t>VÄNNÄS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44166-2024</t>
        </is>
      </c>
      <c r="B7822" s="1" t="n">
        <v>45572.73465277778</v>
      </c>
      <c r="C7822" s="1" t="n">
        <v>46145</v>
      </c>
      <c r="D7822" t="inlineStr">
        <is>
          <t>VÄSTERBOTTENS LÄN</t>
        </is>
      </c>
      <c r="E7822" t="inlineStr">
        <is>
          <t>UMEÅ</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61767-2025</t>
        </is>
      </c>
      <c r="B7823" s="1" t="n">
        <v>46002.63262731482</v>
      </c>
      <c r="C7823" s="1" t="n">
        <v>46145</v>
      </c>
      <c r="D7823" t="inlineStr">
        <is>
          <t>VÄSTERBOTTENS LÄN</t>
        </is>
      </c>
      <c r="E7823" t="inlineStr">
        <is>
          <t>SKELLEFTEÅ</t>
        </is>
      </c>
      <c r="F7823" t="inlineStr">
        <is>
          <t>Kommuner</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61092-2025</t>
        </is>
      </c>
      <c r="B7824" s="1" t="n">
        <v>46000.43319444444</v>
      </c>
      <c r="C7824" s="1" t="n">
        <v>46145</v>
      </c>
      <c r="D7824" t="inlineStr">
        <is>
          <t>VÄSTERBOTTENS LÄN</t>
        </is>
      </c>
      <c r="E7824" t="inlineStr">
        <is>
          <t>ROBERTSFORS</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44483-2024</t>
        </is>
      </c>
      <c r="B7825" s="1" t="n">
        <v>45574</v>
      </c>
      <c r="C7825" s="1" t="n">
        <v>46145</v>
      </c>
      <c r="D7825" t="inlineStr">
        <is>
          <t>VÄSTERBOTTENS LÄN</t>
        </is>
      </c>
      <c r="E7825" t="inlineStr">
        <is>
          <t>SKELLEFTEÅ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61590-2025</t>
        </is>
      </c>
      <c r="B7826" s="1" t="n">
        <v>46002.34627314815</v>
      </c>
      <c r="C7826" s="1" t="n">
        <v>46145</v>
      </c>
      <c r="D7826" t="inlineStr">
        <is>
          <t>VÄSTERBOTTENS LÄN</t>
        </is>
      </c>
      <c r="E7826" t="inlineStr">
        <is>
          <t>LYCKSELE</t>
        </is>
      </c>
      <c r="G7826" t="n">
        <v>12.4</v>
      </c>
      <c r="H7826" t="n">
        <v>0</v>
      </c>
      <c r="I7826" t="n">
        <v>0</v>
      </c>
      <c r="J7826" t="n">
        <v>0</v>
      </c>
      <c r="K7826" t="n">
        <v>0</v>
      </c>
      <c r="L7826" t="n">
        <v>0</v>
      </c>
      <c r="M7826" t="n">
        <v>0</v>
      </c>
      <c r="N7826" t="n">
        <v>0</v>
      </c>
      <c r="O7826" t="n">
        <v>0</v>
      </c>
      <c r="P7826" t="n">
        <v>0</v>
      </c>
      <c r="Q7826" t="n">
        <v>0</v>
      </c>
      <c r="R7826" s="2" t="inlineStr"/>
    </row>
    <row r="7827" ht="15" customHeight="1">
      <c r="A7827" t="inlineStr">
        <is>
          <t>A 61592-2025</t>
        </is>
      </c>
      <c r="B7827" s="1" t="n">
        <v>46002.34806712963</v>
      </c>
      <c r="C7827" s="1" t="n">
        <v>46145</v>
      </c>
      <c r="D7827" t="inlineStr">
        <is>
          <t>VÄSTERBOTTENS LÄN</t>
        </is>
      </c>
      <c r="E7827" t="inlineStr">
        <is>
          <t>VINDELN</t>
        </is>
      </c>
      <c r="G7827" t="n">
        <v>13.5</v>
      </c>
      <c r="H7827" t="n">
        <v>0</v>
      </c>
      <c r="I7827" t="n">
        <v>0</v>
      </c>
      <c r="J7827" t="n">
        <v>0</v>
      </c>
      <c r="K7827" t="n">
        <v>0</v>
      </c>
      <c r="L7827" t="n">
        <v>0</v>
      </c>
      <c r="M7827" t="n">
        <v>0</v>
      </c>
      <c r="N7827" t="n">
        <v>0</v>
      </c>
      <c r="O7827" t="n">
        <v>0</v>
      </c>
      <c r="P7827" t="n">
        <v>0</v>
      </c>
      <c r="Q7827" t="n">
        <v>0</v>
      </c>
      <c r="R7827" s="2" t="inlineStr"/>
    </row>
    <row r="7828" ht="15" customHeight="1">
      <c r="A7828" t="inlineStr">
        <is>
          <t>A 32234-2024</t>
        </is>
      </c>
      <c r="B7828" s="1" t="n">
        <v>45511.92890046296</v>
      </c>
      <c r="C7828" s="1" t="n">
        <v>46145</v>
      </c>
      <c r="D7828" t="inlineStr">
        <is>
          <t>VÄSTERBOTTENS LÄN</t>
        </is>
      </c>
      <c r="E7828" t="inlineStr">
        <is>
          <t>NORSJÖ</t>
        </is>
      </c>
      <c r="G7828" t="n">
        <v>10.9</v>
      </c>
      <c r="H7828" t="n">
        <v>0</v>
      </c>
      <c r="I7828" t="n">
        <v>0</v>
      </c>
      <c r="J7828" t="n">
        <v>0</v>
      </c>
      <c r="K7828" t="n">
        <v>0</v>
      </c>
      <c r="L7828" t="n">
        <v>0</v>
      </c>
      <c r="M7828" t="n">
        <v>0</v>
      </c>
      <c r="N7828" t="n">
        <v>0</v>
      </c>
      <c r="O7828" t="n">
        <v>0</v>
      </c>
      <c r="P7828" t="n">
        <v>0</v>
      </c>
      <c r="Q7828" t="n">
        <v>0</v>
      </c>
      <c r="R7828" s="2" t="inlineStr"/>
    </row>
    <row r="7829" ht="15" customHeight="1">
      <c r="A7829" t="inlineStr">
        <is>
          <t>A 32241-2024</t>
        </is>
      </c>
      <c r="B7829" s="1" t="n">
        <v>45511.92940972222</v>
      </c>
      <c r="C7829" s="1" t="n">
        <v>46145</v>
      </c>
      <c r="D7829" t="inlineStr">
        <is>
          <t>VÄSTERBOTTENS LÄN</t>
        </is>
      </c>
      <c r="E7829" t="inlineStr">
        <is>
          <t>NORSJÖ</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32282-2024</t>
        </is>
      </c>
      <c r="B7830" s="1" t="n">
        <v>45512</v>
      </c>
      <c r="C7830" s="1" t="n">
        <v>46145</v>
      </c>
      <c r="D7830" t="inlineStr">
        <is>
          <t>VÄSTERBOTTENS LÄN</t>
        </is>
      </c>
      <c r="E7830" t="inlineStr">
        <is>
          <t>UMEÅ</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32942-2024</t>
        </is>
      </c>
      <c r="B7831" s="1" t="n">
        <v>45517</v>
      </c>
      <c r="C7831" s="1" t="n">
        <v>46145</v>
      </c>
      <c r="D7831" t="inlineStr">
        <is>
          <t>VÄSTERBOTTENS LÄN</t>
        </is>
      </c>
      <c r="E7831" t="inlineStr">
        <is>
          <t>ÅSELE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61783-2025</t>
        </is>
      </c>
      <c r="B7832" s="1" t="n">
        <v>46002.6754050926</v>
      </c>
      <c r="C7832" s="1" t="n">
        <v>46145</v>
      </c>
      <c r="D7832" t="inlineStr">
        <is>
          <t>VÄSTERBOTTENS LÄN</t>
        </is>
      </c>
      <c r="E7832" t="inlineStr">
        <is>
          <t>NORDMALING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61785-2025</t>
        </is>
      </c>
      <c r="B7833" s="1" t="n">
        <v>46002</v>
      </c>
      <c r="C7833" s="1" t="n">
        <v>46145</v>
      </c>
      <c r="D7833" t="inlineStr">
        <is>
          <t>VÄSTERBOTTENS LÄN</t>
        </is>
      </c>
      <c r="E7833" t="inlineStr">
        <is>
          <t>MALÅ</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35349-2023</t>
        </is>
      </c>
      <c r="B7834" s="1" t="n">
        <v>45146</v>
      </c>
      <c r="C7834" s="1" t="n">
        <v>46145</v>
      </c>
      <c r="D7834" t="inlineStr">
        <is>
          <t>VÄSTERBOTTENS LÄN</t>
        </is>
      </c>
      <c r="E7834" t="inlineStr">
        <is>
          <t>VÄNNÄS</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61472-2025</t>
        </is>
      </c>
      <c r="B7835" s="1" t="n">
        <v>46001.61549768518</v>
      </c>
      <c r="C7835" s="1" t="n">
        <v>46145</v>
      </c>
      <c r="D7835" t="inlineStr">
        <is>
          <t>VÄSTERBOTTENS LÄN</t>
        </is>
      </c>
      <c r="E7835" t="inlineStr">
        <is>
          <t>LYCKSELE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61636-2025</t>
        </is>
      </c>
      <c r="B7836" s="1" t="n">
        <v>46002.42744212963</v>
      </c>
      <c r="C7836" s="1" t="n">
        <v>46145</v>
      </c>
      <c r="D7836" t="inlineStr">
        <is>
          <t>VÄSTERBOTTENS LÄN</t>
        </is>
      </c>
      <c r="E7836" t="inlineStr">
        <is>
          <t>SKELLEFTEÅ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61640-2025</t>
        </is>
      </c>
      <c r="B7837" s="1" t="n">
        <v>46002.43112268519</v>
      </c>
      <c r="C7837" s="1" t="n">
        <v>46145</v>
      </c>
      <c r="D7837" t="inlineStr">
        <is>
          <t>VÄSTERBOTTENS LÄN</t>
        </is>
      </c>
      <c r="E7837" t="inlineStr">
        <is>
          <t>STORUMAN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61370-2025</t>
        </is>
      </c>
      <c r="B7838" s="1" t="n">
        <v>46001.43599537037</v>
      </c>
      <c r="C7838" s="1" t="n">
        <v>46145</v>
      </c>
      <c r="D7838" t="inlineStr">
        <is>
          <t>VÄSTERBOTTENS LÄN</t>
        </is>
      </c>
      <c r="E7838" t="inlineStr">
        <is>
          <t>BJURHOLM</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13762-2025</t>
        </is>
      </c>
      <c r="B7839" s="1" t="n">
        <v>45737.43103009259</v>
      </c>
      <c r="C7839" s="1" t="n">
        <v>46145</v>
      </c>
      <c r="D7839" t="inlineStr">
        <is>
          <t>VÄSTERBOTTENS LÄN</t>
        </is>
      </c>
      <c r="E7839" t="inlineStr">
        <is>
          <t>VÄNNÄS</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13822-2025</t>
        </is>
      </c>
      <c r="B7840" s="1" t="n">
        <v>45737.53160879629</v>
      </c>
      <c r="C7840" s="1" t="n">
        <v>46145</v>
      </c>
      <c r="D7840" t="inlineStr">
        <is>
          <t>VÄSTERBOTTENS LÄN</t>
        </is>
      </c>
      <c r="E7840" t="inlineStr">
        <is>
          <t>UMEÅ</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61462-2025</t>
        </is>
      </c>
      <c r="B7841" s="1" t="n">
        <v>46001.59894675926</v>
      </c>
      <c r="C7841" s="1" t="n">
        <v>46145</v>
      </c>
      <c r="D7841" t="inlineStr">
        <is>
          <t>VÄSTERBOTTENS LÄN</t>
        </is>
      </c>
      <c r="E7841" t="inlineStr">
        <is>
          <t>ÅSELE</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13829-2025</t>
        </is>
      </c>
      <c r="B7842" s="1" t="n">
        <v>45737</v>
      </c>
      <c r="C7842" s="1" t="n">
        <v>46145</v>
      </c>
      <c r="D7842" t="inlineStr">
        <is>
          <t>VÄSTERBOTTENS LÄN</t>
        </is>
      </c>
      <c r="E7842" t="inlineStr">
        <is>
          <t>VILHELMINA</t>
        </is>
      </c>
      <c r="F7842" t="inlineStr">
        <is>
          <t>Övriga statliga verk och myndigheter</t>
        </is>
      </c>
      <c r="G7842" t="n">
        <v>39.7</v>
      </c>
      <c r="H7842" t="n">
        <v>0</v>
      </c>
      <c r="I7842" t="n">
        <v>0</v>
      </c>
      <c r="J7842" t="n">
        <v>0</v>
      </c>
      <c r="K7842" t="n">
        <v>0</v>
      </c>
      <c r="L7842" t="n">
        <v>0</v>
      </c>
      <c r="M7842" t="n">
        <v>0</v>
      </c>
      <c r="N7842" t="n">
        <v>0</v>
      </c>
      <c r="O7842" t="n">
        <v>0</v>
      </c>
      <c r="P7842" t="n">
        <v>0</v>
      </c>
      <c r="Q7842" t="n">
        <v>0</v>
      </c>
      <c r="R7842" s="2" t="inlineStr"/>
    </row>
    <row r="7843" ht="15" customHeight="1">
      <c r="A7843" t="inlineStr">
        <is>
          <t>A 61637-2025</t>
        </is>
      </c>
      <c r="B7843" s="1" t="n">
        <v>46002.42745370371</v>
      </c>
      <c r="C7843" s="1" t="n">
        <v>46145</v>
      </c>
      <c r="D7843" t="inlineStr">
        <is>
          <t>VÄSTERBOTTENS LÄN</t>
        </is>
      </c>
      <c r="E7843" t="inlineStr">
        <is>
          <t>SKELLEFTEÅ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61644-2025</t>
        </is>
      </c>
      <c r="B7844" s="1" t="n">
        <v>46002.43589120371</v>
      </c>
      <c r="C7844" s="1" t="n">
        <v>46145</v>
      </c>
      <c r="D7844" t="inlineStr">
        <is>
          <t>VÄSTERBOTTENS LÄN</t>
        </is>
      </c>
      <c r="E7844" t="inlineStr">
        <is>
          <t>NORDMALING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61655-2025</t>
        </is>
      </c>
      <c r="B7845" s="1" t="n">
        <v>46002.44863425926</v>
      </c>
      <c r="C7845" s="1" t="n">
        <v>46145</v>
      </c>
      <c r="D7845" t="inlineStr">
        <is>
          <t>VÄSTERBOTTENS LÄN</t>
        </is>
      </c>
      <c r="E7845" t="inlineStr">
        <is>
          <t>SORSELE</t>
        </is>
      </c>
      <c r="F7845" t="inlineStr">
        <is>
          <t>SCA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61703-2025</t>
        </is>
      </c>
      <c r="B7846" s="1" t="n">
        <v>46002.5459375</v>
      </c>
      <c r="C7846" s="1" t="n">
        <v>46145</v>
      </c>
      <c r="D7846" t="inlineStr">
        <is>
          <t>VÄSTERBOTTENS LÄN</t>
        </is>
      </c>
      <c r="E7846" t="inlineStr">
        <is>
          <t>NORDMALING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53419-2024</t>
        </is>
      </c>
      <c r="B7847" s="1" t="n">
        <v>45614.51157407407</v>
      </c>
      <c r="C7847" s="1" t="n">
        <v>46145</v>
      </c>
      <c r="D7847" t="inlineStr">
        <is>
          <t>VÄSTERBOTTENS LÄN</t>
        </is>
      </c>
      <c r="E7847" t="inlineStr">
        <is>
          <t>SKELLEFTEÅ</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61743-2025</t>
        </is>
      </c>
      <c r="B7848" s="1" t="n">
        <v>46002.60291666666</v>
      </c>
      <c r="C7848" s="1" t="n">
        <v>46145</v>
      </c>
      <c r="D7848" t="inlineStr">
        <is>
          <t>VÄSTERBOTTENS LÄN</t>
        </is>
      </c>
      <c r="E7848" t="inlineStr">
        <is>
          <t>BJURHOLM</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21862-2024</t>
        </is>
      </c>
      <c r="B7849" s="1" t="n">
        <v>45443</v>
      </c>
      <c r="C7849" s="1" t="n">
        <v>46145</v>
      </c>
      <c r="D7849" t="inlineStr">
        <is>
          <t>VÄSTERBOTTENS LÄN</t>
        </is>
      </c>
      <c r="E7849" t="inlineStr">
        <is>
          <t>NORDMALING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52521-2024</t>
        </is>
      </c>
      <c r="B7850" s="1" t="n">
        <v>45609.60005787037</v>
      </c>
      <c r="C7850" s="1" t="n">
        <v>46145</v>
      </c>
      <c r="D7850" t="inlineStr">
        <is>
          <t>VÄSTERBOTTENS LÄN</t>
        </is>
      </c>
      <c r="E7850" t="inlineStr">
        <is>
          <t>STORUMAN</t>
        </is>
      </c>
      <c r="F7850" t="inlineStr">
        <is>
          <t>Sveaskog</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61555-2025</t>
        </is>
      </c>
      <c r="B7851" s="1" t="n">
        <v>46001.79376157407</v>
      </c>
      <c r="C7851" s="1" t="n">
        <v>46145</v>
      </c>
      <c r="D7851" t="inlineStr">
        <is>
          <t>VÄSTERBOTTENS LÄN</t>
        </is>
      </c>
      <c r="E7851" t="inlineStr">
        <is>
          <t>VINDELN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61138-2025</t>
        </is>
      </c>
      <c r="B7852" s="1" t="n">
        <v>46000.51100694444</v>
      </c>
      <c r="C7852" s="1" t="n">
        <v>46145</v>
      </c>
      <c r="D7852" t="inlineStr">
        <is>
          <t>VÄSTERBOTTENS LÄN</t>
        </is>
      </c>
      <c r="E7852" t="inlineStr">
        <is>
          <t>NORDMALING</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61223-2025</t>
        </is>
      </c>
      <c r="B7853" s="1" t="n">
        <v>46000.62924768519</v>
      </c>
      <c r="C7853" s="1" t="n">
        <v>46145</v>
      </c>
      <c r="D7853" t="inlineStr">
        <is>
          <t>VÄSTERBOTTENS LÄN</t>
        </is>
      </c>
      <c r="E7853" t="inlineStr">
        <is>
          <t>UMEÅ</t>
        </is>
      </c>
      <c r="F7853" t="inlineStr">
        <is>
          <t>Sveaskog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52535-2024</t>
        </is>
      </c>
      <c r="B7854" s="1" t="n">
        <v>45609.61846064815</v>
      </c>
      <c r="C7854" s="1" t="n">
        <v>46145</v>
      </c>
      <c r="D7854" t="inlineStr">
        <is>
          <t>VÄSTERBOTTENS LÄN</t>
        </is>
      </c>
      <c r="E7854" t="inlineStr">
        <is>
          <t>BJURHOLM</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61728-2025</t>
        </is>
      </c>
      <c r="B7855" s="1" t="n">
        <v>46002.58956018519</v>
      </c>
      <c r="C7855" s="1" t="n">
        <v>46145</v>
      </c>
      <c r="D7855" t="inlineStr">
        <is>
          <t>VÄSTERBOTTENS LÄN</t>
        </is>
      </c>
      <c r="E7855" t="inlineStr">
        <is>
          <t>VINDELN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29573-2023</t>
        </is>
      </c>
      <c r="B7856" s="1" t="n">
        <v>45098</v>
      </c>
      <c r="C7856" s="1" t="n">
        <v>46145</v>
      </c>
      <c r="D7856" t="inlineStr">
        <is>
          <t>VÄSTERBOTTENS LÄN</t>
        </is>
      </c>
      <c r="E7856" t="inlineStr">
        <is>
          <t>VÄNNÄS</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40908-2024</t>
        </is>
      </c>
      <c r="B7857" s="1" t="n">
        <v>45558.62386574074</v>
      </c>
      <c r="C7857" s="1" t="n">
        <v>46145</v>
      </c>
      <c r="D7857" t="inlineStr">
        <is>
          <t>VÄSTERBOTTENS LÄN</t>
        </is>
      </c>
      <c r="E7857" t="inlineStr">
        <is>
          <t>LYCKSELE</t>
        </is>
      </c>
      <c r="F7857" t="inlineStr">
        <is>
          <t>Sveaskog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40912-2024</t>
        </is>
      </c>
      <c r="B7858" s="1" t="n">
        <v>45558.62707175926</v>
      </c>
      <c r="C7858" s="1" t="n">
        <v>46145</v>
      </c>
      <c r="D7858" t="inlineStr">
        <is>
          <t>VÄSTERBOTTENS LÄN</t>
        </is>
      </c>
      <c r="E7858" t="inlineStr">
        <is>
          <t>LYCKSELE</t>
        </is>
      </c>
      <c r="F7858" t="inlineStr">
        <is>
          <t>Sveaskog</t>
        </is>
      </c>
      <c r="G7858" t="n">
        <v>11.1</v>
      </c>
      <c r="H7858" t="n">
        <v>0</v>
      </c>
      <c r="I7858" t="n">
        <v>0</v>
      </c>
      <c r="J7858" t="n">
        <v>0</v>
      </c>
      <c r="K7858" t="n">
        <v>0</v>
      </c>
      <c r="L7858" t="n">
        <v>0</v>
      </c>
      <c r="M7858" t="n">
        <v>0</v>
      </c>
      <c r="N7858" t="n">
        <v>0</v>
      </c>
      <c r="O7858" t="n">
        <v>0</v>
      </c>
      <c r="P7858" t="n">
        <v>0</v>
      </c>
      <c r="Q7858" t="n">
        <v>0</v>
      </c>
      <c r="R7858" s="2" t="inlineStr"/>
    </row>
    <row r="7859" ht="15" customHeight="1">
      <c r="A7859" t="inlineStr">
        <is>
          <t>A 61107-2025</t>
        </is>
      </c>
      <c r="B7859" s="1" t="n">
        <v>46000.44934027778</v>
      </c>
      <c r="C7859" s="1" t="n">
        <v>46145</v>
      </c>
      <c r="D7859" t="inlineStr">
        <is>
          <t>VÄSTERBOTTENS LÄN</t>
        </is>
      </c>
      <c r="E7859" t="inlineStr">
        <is>
          <t>ROBERTSFORS</t>
        </is>
      </c>
      <c r="F7859" t="inlineStr">
        <is>
          <t>Sveaskog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61339-2025</t>
        </is>
      </c>
      <c r="B7860" s="1" t="n">
        <v>46001.34778935185</v>
      </c>
      <c r="C7860" s="1" t="n">
        <v>46145</v>
      </c>
      <c r="D7860" t="inlineStr">
        <is>
          <t>VÄSTERBOTTENS LÄN</t>
        </is>
      </c>
      <c r="E7860" t="inlineStr">
        <is>
          <t>NORSJÖ</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26967-2023</t>
        </is>
      </c>
      <c r="B7861" s="1" t="n">
        <v>45091</v>
      </c>
      <c r="C7861" s="1" t="n">
        <v>46145</v>
      </c>
      <c r="D7861" t="inlineStr">
        <is>
          <t>VÄSTERBOTTENS LÄN</t>
        </is>
      </c>
      <c r="E7861" t="inlineStr">
        <is>
          <t>UMEÅ</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12118-2025</t>
        </is>
      </c>
      <c r="B7862" s="1" t="n">
        <v>45729.36533564814</v>
      </c>
      <c r="C7862" s="1" t="n">
        <v>46145</v>
      </c>
      <c r="D7862" t="inlineStr">
        <is>
          <t>VÄSTERBOTTENS LÄN</t>
        </is>
      </c>
      <c r="E7862" t="inlineStr">
        <is>
          <t>DOROTEA</t>
        </is>
      </c>
      <c r="F7862" t="inlineStr">
        <is>
          <t>SCA</t>
        </is>
      </c>
      <c r="G7862" t="n">
        <v>13.5</v>
      </c>
      <c r="H7862" t="n">
        <v>0</v>
      </c>
      <c r="I7862" t="n">
        <v>0</v>
      </c>
      <c r="J7862" t="n">
        <v>0</v>
      </c>
      <c r="K7862" t="n">
        <v>0</v>
      </c>
      <c r="L7862" t="n">
        <v>0</v>
      </c>
      <c r="M7862" t="n">
        <v>0</v>
      </c>
      <c r="N7862" t="n">
        <v>0</v>
      </c>
      <c r="O7862" t="n">
        <v>0</v>
      </c>
      <c r="P7862" t="n">
        <v>0</v>
      </c>
      <c r="Q7862" t="n">
        <v>0</v>
      </c>
      <c r="R7862" s="2" t="inlineStr"/>
    </row>
    <row r="7863" ht="15" customHeight="1">
      <c r="A7863" t="inlineStr">
        <is>
          <t>A 26999-2023</t>
        </is>
      </c>
      <c r="B7863" s="1" t="n">
        <v>45093</v>
      </c>
      <c r="C7863" s="1" t="n">
        <v>46145</v>
      </c>
      <c r="D7863" t="inlineStr">
        <is>
          <t>VÄSTERBOTTENS LÄN</t>
        </is>
      </c>
      <c r="E7863" t="inlineStr">
        <is>
          <t>LYCKSELE</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36742-2023</t>
        </is>
      </c>
      <c r="B7864" s="1" t="n">
        <v>45153</v>
      </c>
      <c r="C7864" s="1" t="n">
        <v>46145</v>
      </c>
      <c r="D7864" t="inlineStr">
        <is>
          <t>VÄSTERBOTTENS LÄN</t>
        </is>
      </c>
      <c r="E7864" t="inlineStr">
        <is>
          <t>MALÅ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36747-2023</t>
        </is>
      </c>
      <c r="B7865" s="1" t="n">
        <v>45153</v>
      </c>
      <c r="C7865" s="1" t="n">
        <v>46145</v>
      </c>
      <c r="D7865" t="inlineStr">
        <is>
          <t>VÄSTERBOTTENS LÄN</t>
        </is>
      </c>
      <c r="E7865" t="inlineStr">
        <is>
          <t>MALÅ</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61334-2025</t>
        </is>
      </c>
      <c r="B7866" s="1" t="n">
        <v>46001.34428240741</v>
      </c>
      <c r="C7866" s="1" t="n">
        <v>46145</v>
      </c>
      <c r="D7866" t="inlineStr">
        <is>
          <t>VÄSTERBOTTENS LÄN</t>
        </is>
      </c>
      <c r="E7866" t="inlineStr">
        <is>
          <t>LYCKSELE</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61336-2025</t>
        </is>
      </c>
      <c r="B7867" s="1" t="n">
        <v>46001.34512731482</v>
      </c>
      <c r="C7867" s="1" t="n">
        <v>46145</v>
      </c>
      <c r="D7867" t="inlineStr">
        <is>
          <t>VÄSTERBOTTENS LÄN</t>
        </is>
      </c>
      <c r="E7867" t="inlineStr">
        <is>
          <t>NORSJÖ</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61345-2025</t>
        </is>
      </c>
      <c r="B7868" s="1" t="n">
        <v>46001.36390046297</v>
      </c>
      <c r="C7868" s="1" t="n">
        <v>46145</v>
      </c>
      <c r="D7868" t="inlineStr">
        <is>
          <t>VÄSTERBOTTENS LÄN</t>
        </is>
      </c>
      <c r="E7868" t="inlineStr">
        <is>
          <t>NORSJÖ</t>
        </is>
      </c>
      <c r="F7868" t="inlineStr">
        <is>
          <t>Sveaskog</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61346-2025</t>
        </is>
      </c>
      <c r="B7869" s="1" t="n">
        <v>46001.36603009259</v>
      </c>
      <c r="C7869" s="1" t="n">
        <v>46145</v>
      </c>
      <c r="D7869" t="inlineStr">
        <is>
          <t>VÄSTERBOTTENS LÄN</t>
        </is>
      </c>
      <c r="E7869" t="inlineStr">
        <is>
          <t>SKELLEFTEÅ</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61354-2025</t>
        </is>
      </c>
      <c r="B7870" s="1" t="n">
        <v>46001.38726851852</v>
      </c>
      <c r="C7870" s="1" t="n">
        <v>46145</v>
      </c>
      <c r="D7870" t="inlineStr">
        <is>
          <t>VÄSTERBOTTENS LÄN</t>
        </is>
      </c>
      <c r="E7870" t="inlineStr">
        <is>
          <t>SKELLEFTEÅ</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58856-2024</t>
        </is>
      </c>
      <c r="B7871" s="1" t="n">
        <v>45636.39815972222</v>
      </c>
      <c r="C7871" s="1" t="n">
        <v>46145</v>
      </c>
      <c r="D7871" t="inlineStr">
        <is>
          <t>VÄSTERBOTTENS LÄN</t>
        </is>
      </c>
      <c r="E7871" t="inlineStr">
        <is>
          <t>MALÅ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61360-2025</t>
        </is>
      </c>
      <c r="B7872" s="1" t="n">
        <v>46001.4212962963</v>
      </c>
      <c r="C7872" s="1" t="n">
        <v>46145</v>
      </c>
      <c r="D7872" t="inlineStr">
        <is>
          <t>VÄSTERBOTTENS LÄN</t>
        </is>
      </c>
      <c r="E7872" t="inlineStr">
        <is>
          <t>BJURHOLM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58858-2024</t>
        </is>
      </c>
      <c r="B7873" s="1" t="n">
        <v>45636.39973379629</v>
      </c>
      <c r="C7873" s="1" t="n">
        <v>46145</v>
      </c>
      <c r="D7873" t="inlineStr">
        <is>
          <t>VÄSTERBOTTENS LÄN</t>
        </is>
      </c>
      <c r="E7873" t="inlineStr">
        <is>
          <t>MALÅ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61657-2025</t>
        </is>
      </c>
      <c r="B7874" s="1" t="n">
        <v>46002.44877314815</v>
      </c>
      <c r="C7874" s="1" t="n">
        <v>46145</v>
      </c>
      <c r="D7874" t="inlineStr">
        <is>
          <t>VÄSTERBOTTENS LÄN</t>
        </is>
      </c>
      <c r="E7874" t="inlineStr">
        <is>
          <t>SKELLEFTEÅ</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15028-2025</t>
        </is>
      </c>
      <c r="B7875" s="1" t="n">
        <v>45743.65723379629</v>
      </c>
      <c r="C7875" s="1" t="n">
        <v>46145</v>
      </c>
      <c r="D7875" t="inlineStr">
        <is>
          <t>VÄSTERBOTTENS LÄN</t>
        </is>
      </c>
      <c r="E7875" t="inlineStr">
        <is>
          <t>NORDMALING</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61707-2025</t>
        </is>
      </c>
      <c r="B7876" s="1" t="n">
        <v>46002.55287037037</v>
      </c>
      <c r="C7876" s="1" t="n">
        <v>46145</v>
      </c>
      <c r="D7876" t="inlineStr">
        <is>
          <t>VÄSTERBOTTENS LÄN</t>
        </is>
      </c>
      <c r="E7876" t="inlineStr">
        <is>
          <t>STORUMAN</t>
        </is>
      </c>
      <c r="F7876" t="inlineStr">
        <is>
          <t>Sveaskog</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52671-2024</t>
        </is>
      </c>
      <c r="B7877" s="1" t="n">
        <v>45610.38056712963</v>
      </c>
      <c r="C7877" s="1" t="n">
        <v>46145</v>
      </c>
      <c r="D7877" t="inlineStr">
        <is>
          <t>VÄSTERBOTTENS LÄN</t>
        </is>
      </c>
      <c r="E7877" t="inlineStr">
        <is>
          <t>BJURHOLM</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61724-2025</t>
        </is>
      </c>
      <c r="B7878" s="1" t="n">
        <v>46002.58393518518</v>
      </c>
      <c r="C7878" s="1" t="n">
        <v>46145</v>
      </c>
      <c r="D7878" t="inlineStr">
        <is>
          <t>VÄSTERBOTTENS LÄN</t>
        </is>
      </c>
      <c r="E7878" t="inlineStr">
        <is>
          <t>VINDELN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61385-2025</t>
        </is>
      </c>
      <c r="B7879" s="1" t="n">
        <v>46001.45038194444</v>
      </c>
      <c r="C7879" s="1" t="n">
        <v>46145</v>
      </c>
      <c r="D7879" t="inlineStr">
        <is>
          <t>VÄSTERBOTTENS LÄN</t>
        </is>
      </c>
      <c r="E7879" t="inlineStr">
        <is>
          <t>BJURHOLM</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61438-2025</t>
        </is>
      </c>
      <c r="B7880" s="1" t="n">
        <v>46001.56597222222</v>
      </c>
      <c r="C7880" s="1" t="n">
        <v>46145</v>
      </c>
      <c r="D7880" t="inlineStr">
        <is>
          <t>VÄSTERBOTTENS LÄN</t>
        </is>
      </c>
      <c r="E7880" t="inlineStr">
        <is>
          <t>SKELLEFTEÅ</t>
        </is>
      </c>
      <c r="F7880" t="inlineStr">
        <is>
          <t>Kommuner</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54198-2025</t>
        </is>
      </c>
      <c r="B7881" s="1" t="n">
        <v>45964</v>
      </c>
      <c r="C7881" s="1" t="n">
        <v>46145</v>
      </c>
      <c r="D7881" t="inlineStr">
        <is>
          <t>VÄSTERBOTTENS LÄN</t>
        </is>
      </c>
      <c r="E7881" t="inlineStr">
        <is>
          <t>MALÅ</t>
        </is>
      </c>
      <c r="G7881" t="n">
        <v>19.5</v>
      </c>
      <c r="H7881" t="n">
        <v>0</v>
      </c>
      <c r="I7881" t="n">
        <v>0</v>
      </c>
      <c r="J7881" t="n">
        <v>0</v>
      </c>
      <c r="K7881" t="n">
        <v>0</v>
      </c>
      <c r="L7881" t="n">
        <v>0</v>
      </c>
      <c r="M7881" t="n">
        <v>0</v>
      </c>
      <c r="N7881" t="n">
        <v>0</v>
      </c>
      <c r="O7881" t="n">
        <v>0</v>
      </c>
      <c r="P7881" t="n">
        <v>0</v>
      </c>
      <c r="Q7881" t="n">
        <v>0</v>
      </c>
      <c r="R7881" s="2" t="inlineStr"/>
    </row>
    <row r="7882" ht="15" customHeight="1">
      <c r="A7882" t="inlineStr">
        <is>
          <t>A 61458-2025</t>
        </is>
      </c>
      <c r="B7882" s="1" t="n">
        <v>46001.59408564815</v>
      </c>
      <c r="C7882" s="1" t="n">
        <v>46145</v>
      </c>
      <c r="D7882" t="inlineStr">
        <is>
          <t>VÄSTERBOTTENS LÄN</t>
        </is>
      </c>
      <c r="E7882" t="inlineStr">
        <is>
          <t>UMEÅ</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61519-2025</t>
        </is>
      </c>
      <c r="B7883" s="1" t="n">
        <v>46001.68630787037</v>
      </c>
      <c r="C7883" s="1" t="n">
        <v>46145</v>
      </c>
      <c r="D7883" t="inlineStr">
        <is>
          <t>VÄSTERBOTTENS LÄN</t>
        </is>
      </c>
      <c r="E7883" t="inlineStr">
        <is>
          <t>ÅSELE</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46377-2023</t>
        </is>
      </c>
      <c r="B7884" s="1" t="n">
        <v>45193</v>
      </c>
      <c r="C7884" s="1" t="n">
        <v>46145</v>
      </c>
      <c r="D7884" t="inlineStr">
        <is>
          <t>VÄSTERBOTTENS LÄN</t>
        </is>
      </c>
      <c r="E7884" t="inlineStr">
        <is>
          <t>MALÅ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61593-2025</t>
        </is>
      </c>
      <c r="B7885" s="1" t="n">
        <v>46002</v>
      </c>
      <c r="C7885" s="1" t="n">
        <v>46145</v>
      </c>
      <c r="D7885" t="inlineStr">
        <is>
          <t>VÄSTERBOTTENS LÄN</t>
        </is>
      </c>
      <c r="E7885" t="inlineStr">
        <is>
          <t>LYCKSELE</t>
        </is>
      </c>
      <c r="F7885" t="inlineStr">
        <is>
          <t>Sveaskog</t>
        </is>
      </c>
      <c r="G7885" t="n">
        <v>25.2</v>
      </c>
      <c r="H7885" t="n">
        <v>0</v>
      </c>
      <c r="I7885" t="n">
        <v>0</v>
      </c>
      <c r="J7885" t="n">
        <v>0</v>
      </c>
      <c r="K7885" t="n">
        <v>0</v>
      </c>
      <c r="L7885" t="n">
        <v>0</v>
      </c>
      <c r="M7885" t="n">
        <v>0</v>
      </c>
      <c r="N7885" t="n">
        <v>0</v>
      </c>
      <c r="O7885" t="n">
        <v>0</v>
      </c>
      <c r="P7885" t="n">
        <v>0</v>
      </c>
      <c r="Q7885" t="n">
        <v>0</v>
      </c>
      <c r="R7885" s="2" t="inlineStr"/>
    </row>
    <row r="7886" ht="15" customHeight="1">
      <c r="A7886" t="inlineStr">
        <is>
          <t>A 46393-2023</t>
        </is>
      </c>
      <c r="B7886" s="1" t="n">
        <v>45193</v>
      </c>
      <c r="C7886" s="1" t="n">
        <v>46145</v>
      </c>
      <c r="D7886" t="inlineStr">
        <is>
          <t>VÄSTERBOTTENS LÄN</t>
        </is>
      </c>
      <c r="E7886" t="inlineStr">
        <is>
          <t>MALÅ</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61530-2024</t>
        </is>
      </c>
      <c r="B7887" s="1" t="n">
        <v>45645</v>
      </c>
      <c r="C7887" s="1" t="n">
        <v>46145</v>
      </c>
      <c r="D7887" t="inlineStr">
        <is>
          <t>VÄSTERBOTTENS LÄN</t>
        </is>
      </c>
      <c r="E7887" t="inlineStr">
        <is>
          <t>ÅSELE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61329-2025</t>
        </is>
      </c>
      <c r="B7888" s="1" t="n">
        <v>46001.33212962963</v>
      </c>
      <c r="C7888" s="1" t="n">
        <v>46145</v>
      </c>
      <c r="D7888" t="inlineStr">
        <is>
          <t>VÄSTERBOTTENS LÄN</t>
        </is>
      </c>
      <c r="E7888" t="inlineStr">
        <is>
          <t>SKELLEFTEÅ</t>
        </is>
      </c>
      <c r="F7888" t="inlineStr">
        <is>
          <t>Kommuner</t>
        </is>
      </c>
      <c r="G7888" t="n">
        <v>11.3</v>
      </c>
      <c r="H7888" t="n">
        <v>0</v>
      </c>
      <c r="I7888" t="n">
        <v>0</v>
      </c>
      <c r="J7888" t="n">
        <v>0</v>
      </c>
      <c r="K7888" t="n">
        <v>0</v>
      </c>
      <c r="L7888" t="n">
        <v>0</v>
      </c>
      <c r="M7888" t="n">
        <v>0</v>
      </c>
      <c r="N7888" t="n">
        <v>0</v>
      </c>
      <c r="O7888" t="n">
        <v>0</v>
      </c>
      <c r="P7888" t="n">
        <v>0</v>
      </c>
      <c r="Q7888" t="n">
        <v>0</v>
      </c>
      <c r="R7888" s="2" t="inlineStr"/>
    </row>
    <row r="7889" ht="15" customHeight="1">
      <c r="A7889" t="inlineStr">
        <is>
          <t>A 30437-2023</t>
        </is>
      </c>
      <c r="B7889" s="1" t="n">
        <v>45099</v>
      </c>
      <c r="C7889" s="1" t="n">
        <v>46145</v>
      </c>
      <c r="D7889" t="inlineStr">
        <is>
          <t>VÄSTERBOTTENS LÄN</t>
        </is>
      </c>
      <c r="E7889" t="inlineStr">
        <is>
          <t>SKELLEFTEÅ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61608-2025</t>
        </is>
      </c>
      <c r="B7890" s="1" t="n">
        <v>46002.37701388889</v>
      </c>
      <c r="C7890" s="1" t="n">
        <v>46145</v>
      </c>
      <c r="D7890" t="inlineStr">
        <is>
          <t>VÄSTERBOTTENS LÄN</t>
        </is>
      </c>
      <c r="E7890" t="inlineStr">
        <is>
          <t>ROBERTSFORS</t>
        </is>
      </c>
      <c r="G7890" t="n">
        <v>30.4</v>
      </c>
      <c r="H7890" t="n">
        <v>0</v>
      </c>
      <c r="I7890" t="n">
        <v>0</v>
      </c>
      <c r="J7890" t="n">
        <v>0</v>
      </c>
      <c r="K7890" t="n">
        <v>0</v>
      </c>
      <c r="L7890" t="n">
        <v>0</v>
      </c>
      <c r="M7890" t="n">
        <v>0</v>
      </c>
      <c r="N7890" t="n">
        <v>0</v>
      </c>
      <c r="O7890" t="n">
        <v>0</v>
      </c>
      <c r="P7890" t="n">
        <v>0</v>
      </c>
      <c r="Q7890" t="n">
        <v>0</v>
      </c>
      <c r="R7890" s="2" t="inlineStr"/>
    </row>
    <row r="7891" ht="15" customHeight="1">
      <c r="A7891" t="inlineStr">
        <is>
          <t>A 61614-2025</t>
        </is>
      </c>
      <c r="B7891" s="1" t="n">
        <v>46002.38613425926</v>
      </c>
      <c r="C7891" s="1" t="n">
        <v>46145</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61615-2025</t>
        </is>
      </c>
      <c r="B7892" s="1" t="n">
        <v>46002.3862037037</v>
      </c>
      <c r="C7892" s="1" t="n">
        <v>46145</v>
      </c>
      <c r="D7892" t="inlineStr">
        <is>
          <t>VÄSTERBOTTENS LÄN</t>
        </is>
      </c>
      <c r="E7892" t="inlineStr">
        <is>
          <t>SKELLEFTEÅ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72888-2021</t>
        </is>
      </c>
      <c r="B7893" s="1" t="n">
        <v>44546</v>
      </c>
      <c r="C7893" s="1" t="n">
        <v>46145</v>
      </c>
      <c r="D7893" t="inlineStr">
        <is>
          <t>VÄSTERBOTTENS LÄN</t>
        </is>
      </c>
      <c r="E7893" t="inlineStr">
        <is>
          <t>SORSELE</t>
        </is>
      </c>
      <c r="G7893" t="n">
        <v>10.7</v>
      </c>
      <c r="H7893" t="n">
        <v>0</v>
      </c>
      <c r="I7893" t="n">
        <v>0</v>
      </c>
      <c r="J7893" t="n">
        <v>0</v>
      </c>
      <c r="K7893" t="n">
        <v>0</v>
      </c>
      <c r="L7893" t="n">
        <v>0</v>
      </c>
      <c r="M7893" t="n">
        <v>0</v>
      </c>
      <c r="N7893" t="n">
        <v>0</v>
      </c>
      <c r="O7893" t="n">
        <v>0</v>
      </c>
      <c r="P7893" t="n">
        <v>0</v>
      </c>
      <c r="Q7893" t="n">
        <v>0</v>
      </c>
      <c r="R7893" s="2" t="inlineStr"/>
    </row>
    <row r="7894" ht="15" customHeight="1">
      <c r="A7894" t="inlineStr">
        <is>
          <t>A 72892-2021</t>
        </is>
      </c>
      <c r="B7894" s="1" t="n">
        <v>44546</v>
      </c>
      <c r="C7894" s="1" t="n">
        <v>46145</v>
      </c>
      <c r="D7894" t="inlineStr">
        <is>
          <t>VÄSTERBOTTENS LÄN</t>
        </is>
      </c>
      <c r="E7894" t="inlineStr">
        <is>
          <t>SORSELE</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61881-2025</t>
        </is>
      </c>
      <c r="B7895" s="1" t="n">
        <v>46003.42759259259</v>
      </c>
      <c r="C7895" s="1" t="n">
        <v>46145</v>
      </c>
      <c r="D7895" t="inlineStr">
        <is>
          <t>VÄSTERBOTTENS LÄN</t>
        </is>
      </c>
      <c r="E7895" t="inlineStr">
        <is>
          <t>NORDMALING</t>
        </is>
      </c>
      <c r="F7895" t="inlineStr">
        <is>
          <t>SCA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60493-2024</t>
        </is>
      </c>
      <c r="B7896" s="1" t="n">
        <v>45643.65672453704</v>
      </c>
      <c r="C7896" s="1" t="n">
        <v>46145</v>
      </c>
      <c r="D7896" t="inlineStr">
        <is>
          <t>VÄSTERBOTTENS LÄN</t>
        </is>
      </c>
      <c r="E7896" t="inlineStr">
        <is>
          <t>ÅSELE</t>
        </is>
      </c>
      <c r="F7896" t="inlineStr">
        <is>
          <t>SCA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5403-2025</t>
        </is>
      </c>
      <c r="B7897" s="1" t="n">
        <v>45692.64475694444</v>
      </c>
      <c r="C7897" s="1" t="n">
        <v>46145</v>
      </c>
      <c r="D7897" t="inlineStr">
        <is>
          <t>VÄSTERBOTTENS LÄN</t>
        </is>
      </c>
      <c r="E7897" t="inlineStr">
        <is>
          <t>VILHELMINA</t>
        </is>
      </c>
      <c r="F7897" t="inlineStr">
        <is>
          <t>Kommuner</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61900-2025</t>
        </is>
      </c>
      <c r="B7898" s="1" t="n">
        <v>46003.46922453704</v>
      </c>
      <c r="C7898" s="1" t="n">
        <v>46145</v>
      </c>
      <c r="D7898" t="inlineStr">
        <is>
          <t>VÄSTERBOTTENS LÄN</t>
        </is>
      </c>
      <c r="E7898" t="inlineStr">
        <is>
          <t>NORDMALING</t>
        </is>
      </c>
      <c r="F7898" t="inlineStr">
        <is>
          <t>SCA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61919-2025</t>
        </is>
      </c>
      <c r="B7899" s="1" t="n">
        <v>46003.51107638889</v>
      </c>
      <c r="C7899" s="1" t="n">
        <v>46145</v>
      </c>
      <c r="D7899" t="inlineStr">
        <is>
          <t>VÄSTERBOTTENS LÄN</t>
        </is>
      </c>
      <c r="E7899" t="inlineStr">
        <is>
          <t>NORSJÖ</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28710-2022</t>
        </is>
      </c>
      <c r="B7900" s="1" t="n">
        <v>44748.92878472222</v>
      </c>
      <c r="C7900" s="1" t="n">
        <v>46145</v>
      </c>
      <c r="D7900" t="inlineStr">
        <is>
          <t>VÄSTERBOTTENS LÄN</t>
        </is>
      </c>
      <c r="E7900" t="inlineStr">
        <is>
          <t>STORUMAN</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61534-2024</t>
        </is>
      </c>
      <c r="B7901" s="1" t="n">
        <v>45645</v>
      </c>
      <c r="C7901" s="1" t="n">
        <v>46145</v>
      </c>
      <c r="D7901" t="inlineStr">
        <is>
          <t>VÄSTERBOTTENS LÄN</t>
        </is>
      </c>
      <c r="E7901" t="inlineStr">
        <is>
          <t>ÅSELE</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50448-2024</t>
        </is>
      </c>
      <c r="B7902" s="1" t="n">
        <v>45601.43474537037</v>
      </c>
      <c r="C7902" s="1" t="n">
        <v>46145</v>
      </c>
      <c r="D7902" t="inlineStr">
        <is>
          <t>VÄSTERBOTTENS LÄN</t>
        </is>
      </c>
      <c r="E7902" t="inlineStr">
        <is>
          <t>ROBERTSFORS</t>
        </is>
      </c>
      <c r="F7902" t="inlineStr">
        <is>
          <t>Holmen skog AB</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62232-2025</t>
        </is>
      </c>
      <c r="B7903" s="1" t="n">
        <v>46006.59313657408</v>
      </c>
      <c r="C7903" s="1" t="n">
        <v>46145</v>
      </c>
      <c r="D7903" t="inlineStr">
        <is>
          <t>VÄSTERBOTTENS LÄN</t>
        </is>
      </c>
      <c r="E7903" t="inlineStr">
        <is>
          <t>UMEÅ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12545-2025</t>
        </is>
      </c>
      <c r="B7904" s="1" t="n">
        <v>45730.86586805555</v>
      </c>
      <c r="C7904" s="1" t="n">
        <v>46145</v>
      </c>
      <c r="D7904" t="inlineStr">
        <is>
          <t>VÄSTERBOTTENS LÄN</t>
        </is>
      </c>
      <c r="E7904" t="inlineStr">
        <is>
          <t>SKELLEFTEÅ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62315-2025</t>
        </is>
      </c>
      <c r="B7905" s="1" t="n">
        <v>46003</v>
      </c>
      <c r="C7905" s="1" t="n">
        <v>46145</v>
      </c>
      <c r="D7905" t="inlineStr">
        <is>
          <t>VÄSTERBOTTENS LÄN</t>
        </is>
      </c>
      <c r="E7905" t="inlineStr">
        <is>
          <t>SORSELE</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61821-2025</t>
        </is>
      </c>
      <c r="B7906" s="1" t="n">
        <v>46003.33113425926</v>
      </c>
      <c r="C7906" s="1" t="n">
        <v>46145</v>
      </c>
      <c r="D7906" t="inlineStr">
        <is>
          <t>VÄSTERBOTTENS LÄN</t>
        </is>
      </c>
      <c r="E7906" t="inlineStr">
        <is>
          <t>VILHELMINA</t>
        </is>
      </c>
      <c r="G7906" t="n">
        <v>13.3</v>
      </c>
      <c r="H7906" t="n">
        <v>0</v>
      </c>
      <c r="I7906" t="n">
        <v>0</v>
      </c>
      <c r="J7906" t="n">
        <v>0</v>
      </c>
      <c r="K7906" t="n">
        <v>0</v>
      </c>
      <c r="L7906" t="n">
        <v>0</v>
      </c>
      <c r="M7906" t="n">
        <v>0</v>
      </c>
      <c r="N7906" t="n">
        <v>0</v>
      </c>
      <c r="O7906" t="n">
        <v>0</v>
      </c>
      <c r="P7906" t="n">
        <v>0</v>
      </c>
      <c r="Q7906" t="n">
        <v>0</v>
      </c>
      <c r="R7906" s="2" t="inlineStr"/>
    </row>
    <row r="7907" ht="15" customHeight="1">
      <c r="A7907" t="inlineStr">
        <is>
          <t>A 61844-2025</t>
        </is>
      </c>
      <c r="B7907" s="1" t="n">
        <v>46003.36516203704</v>
      </c>
      <c r="C7907" s="1" t="n">
        <v>46145</v>
      </c>
      <c r="D7907" t="inlineStr">
        <is>
          <t>VÄSTERBOTTENS LÄN</t>
        </is>
      </c>
      <c r="E7907" t="inlineStr">
        <is>
          <t>MALÅ</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61872-2025</t>
        </is>
      </c>
      <c r="B7908" s="1" t="n">
        <v>46003.40660879629</v>
      </c>
      <c r="C7908" s="1" t="n">
        <v>46145</v>
      </c>
      <c r="D7908" t="inlineStr">
        <is>
          <t>VÄSTERBOTTENS LÄN</t>
        </is>
      </c>
      <c r="E7908" t="inlineStr">
        <is>
          <t>UMEÅ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53011-2024</t>
        </is>
      </c>
      <c r="B7909" s="1" t="n">
        <v>45611.40226851852</v>
      </c>
      <c r="C7909" s="1" t="n">
        <v>46145</v>
      </c>
      <c r="D7909" t="inlineStr">
        <is>
          <t>VÄSTERBOTTENS LÄN</t>
        </is>
      </c>
      <c r="E7909" t="inlineStr">
        <is>
          <t>LYCKSELE</t>
        </is>
      </c>
      <c r="F7909" t="inlineStr">
        <is>
          <t>Sveaskog</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55039-2024</t>
        </is>
      </c>
      <c r="B7910" s="1" t="n">
        <v>45621.38637731481</v>
      </c>
      <c r="C7910" s="1" t="n">
        <v>46145</v>
      </c>
      <c r="D7910" t="inlineStr">
        <is>
          <t>VÄSTERBOTTENS LÄN</t>
        </is>
      </c>
      <c r="E7910" t="inlineStr">
        <is>
          <t>NORSJÖ</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62020-2025</t>
        </is>
      </c>
      <c r="B7911" s="1" t="n">
        <v>46003.69472222222</v>
      </c>
      <c r="C7911" s="1" t="n">
        <v>46145</v>
      </c>
      <c r="D7911" t="inlineStr">
        <is>
          <t>VÄSTERBOTTENS LÄN</t>
        </is>
      </c>
      <c r="E7911" t="inlineStr">
        <is>
          <t>ROBERTSFORS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55067-2024</t>
        </is>
      </c>
      <c r="B7912" s="1" t="n">
        <v>45621.41216435185</v>
      </c>
      <c r="C7912" s="1" t="n">
        <v>46145</v>
      </c>
      <c r="D7912" t="inlineStr">
        <is>
          <t>VÄSTERBOTTENS LÄN</t>
        </is>
      </c>
      <c r="E7912" t="inlineStr">
        <is>
          <t>MALÅ</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13190-2025</t>
        </is>
      </c>
      <c r="B7913" s="1" t="n">
        <v>45735.39761574074</v>
      </c>
      <c r="C7913" s="1" t="n">
        <v>46145</v>
      </c>
      <c r="D7913" t="inlineStr">
        <is>
          <t>VÄSTERBOTTENS LÄN</t>
        </is>
      </c>
      <c r="E7913" t="inlineStr">
        <is>
          <t>UMEÅ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13197-2025</t>
        </is>
      </c>
      <c r="B7914" s="1" t="n">
        <v>45735</v>
      </c>
      <c r="C7914" s="1" t="n">
        <v>46145</v>
      </c>
      <c r="D7914" t="inlineStr">
        <is>
          <t>VÄSTERBOTTENS LÄN</t>
        </is>
      </c>
      <c r="E7914" t="inlineStr">
        <is>
          <t>UMEÅ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62327-2025</t>
        </is>
      </c>
      <c r="B7915" s="1" t="n">
        <v>46003</v>
      </c>
      <c r="C7915" s="1" t="n">
        <v>46145</v>
      </c>
      <c r="D7915" t="inlineStr">
        <is>
          <t>VÄSTERBOTTENS LÄN</t>
        </is>
      </c>
      <c r="E7915" t="inlineStr">
        <is>
          <t>SKELLEFTEÅ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36771-2022</t>
        </is>
      </c>
      <c r="B7916" s="1" t="n">
        <v>44805</v>
      </c>
      <c r="C7916" s="1" t="n">
        <v>46145</v>
      </c>
      <c r="D7916" t="inlineStr">
        <is>
          <t>VÄSTERBOTTENS LÄN</t>
        </is>
      </c>
      <c r="E7916" t="inlineStr">
        <is>
          <t>ROBERTSFORS</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52441-2023</t>
        </is>
      </c>
      <c r="B7917" s="1" t="n">
        <v>45225.36881944445</v>
      </c>
      <c r="C7917" s="1" t="n">
        <v>46145</v>
      </c>
      <c r="D7917" t="inlineStr">
        <is>
          <t>VÄSTERBOTTENS LÄN</t>
        </is>
      </c>
      <c r="E7917" t="inlineStr">
        <is>
          <t>SKELLEFTEÅ</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62062-2025</t>
        </is>
      </c>
      <c r="B7918" s="1" t="n">
        <v>46006.34454861111</v>
      </c>
      <c r="C7918" s="1" t="n">
        <v>46145</v>
      </c>
      <c r="D7918" t="inlineStr">
        <is>
          <t>VÄSTERBOTTENS LÄN</t>
        </is>
      </c>
      <c r="E7918" t="inlineStr">
        <is>
          <t>LYCKSELE</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62074-2025</t>
        </is>
      </c>
      <c r="B7919" s="1" t="n">
        <v>46006.36336805556</v>
      </c>
      <c r="C7919" s="1" t="n">
        <v>46145</v>
      </c>
      <c r="D7919" t="inlineStr">
        <is>
          <t>VÄSTERBOTTENS LÄN</t>
        </is>
      </c>
      <c r="E7919" t="inlineStr">
        <is>
          <t>SKELLEFTEÅ</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2552-2024</t>
        </is>
      </c>
      <c r="B7920" s="1" t="n">
        <v>45313</v>
      </c>
      <c r="C7920" s="1" t="n">
        <v>46145</v>
      </c>
      <c r="D7920" t="inlineStr">
        <is>
          <t>VÄSTERBOTTENS LÄN</t>
        </is>
      </c>
      <c r="E7920" t="inlineStr">
        <is>
          <t>LYCKSELE</t>
        </is>
      </c>
      <c r="F7920" t="inlineStr">
        <is>
          <t>Naturvårdsverket</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62089-2025</t>
        </is>
      </c>
      <c r="B7921" s="1" t="n">
        <v>46006.37834490741</v>
      </c>
      <c r="C7921" s="1" t="n">
        <v>46145</v>
      </c>
      <c r="D7921" t="inlineStr">
        <is>
          <t>VÄSTERBOTTENS LÄN</t>
        </is>
      </c>
      <c r="E7921" t="inlineStr">
        <is>
          <t>UMEÅ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61834-2025</t>
        </is>
      </c>
      <c r="B7922" s="1" t="n">
        <v>46003.34474537037</v>
      </c>
      <c r="C7922" s="1" t="n">
        <v>46145</v>
      </c>
      <c r="D7922" t="inlineStr">
        <is>
          <t>VÄSTERBOTTENS LÄN</t>
        </is>
      </c>
      <c r="E7922" t="inlineStr">
        <is>
          <t>SKELLEFTEÅ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61837-2025</t>
        </is>
      </c>
      <c r="B7923" s="1" t="n">
        <v>46003.35475694444</v>
      </c>
      <c r="C7923" s="1" t="n">
        <v>46145</v>
      </c>
      <c r="D7923" t="inlineStr">
        <is>
          <t>VÄSTERBOTTENS LÄN</t>
        </is>
      </c>
      <c r="E7923" t="inlineStr">
        <is>
          <t>SKELLEFTEÅ</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61876-2025</t>
        </is>
      </c>
      <c r="B7924" s="1" t="n">
        <v>46003.41054398148</v>
      </c>
      <c r="C7924" s="1" t="n">
        <v>46145</v>
      </c>
      <c r="D7924" t="inlineStr">
        <is>
          <t>VÄSTERBOTTENS LÄN</t>
        </is>
      </c>
      <c r="E7924" t="inlineStr">
        <is>
          <t>LYCKSELE</t>
        </is>
      </c>
      <c r="F7924" t="inlineStr">
        <is>
          <t>Sveaskog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57325-2024</t>
        </is>
      </c>
      <c r="B7925" s="1" t="n">
        <v>45629.62143518519</v>
      </c>
      <c r="C7925" s="1" t="n">
        <v>46145</v>
      </c>
      <c r="D7925" t="inlineStr">
        <is>
          <t>VÄSTERBOTTENS LÄN</t>
        </is>
      </c>
      <c r="E7925" t="inlineStr">
        <is>
          <t>VINDELN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61975-2025</t>
        </is>
      </c>
      <c r="B7926" s="1" t="n">
        <v>46003</v>
      </c>
      <c r="C7926" s="1" t="n">
        <v>46145</v>
      </c>
      <c r="D7926" t="inlineStr">
        <is>
          <t>VÄSTERBOTTENS LÄN</t>
        </is>
      </c>
      <c r="E7926" t="inlineStr">
        <is>
          <t>LYCKSELE</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47591-2024</t>
        </is>
      </c>
      <c r="B7927" s="1" t="n">
        <v>45587.83815972223</v>
      </c>
      <c r="C7927" s="1" t="n">
        <v>46145</v>
      </c>
      <c r="D7927" t="inlineStr">
        <is>
          <t>VÄSTERBOTTENS LÄN</t>
        </is>
      </c>
      <c r="E7927" t="inlineStr">
        <is>
          <t>BJURHOLM</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62058-2025</t>
        </is>
      </c>
      <c r="B7928" s="1" t="n">
        <v>46006.34244212963</v>
      </c>
      <c r="C7928" s="1" t="n">
        <v>46145</v>
      </c>
      <c r="D7928" t="inlineStr">
        <is>
          <t>VÄSTERBOTTENS LÄN</t>
        </is>
      </c>
      <c r="E7928" t="inlineStr">
        <is>
          <t>NORDMALING</t>
        </is>
      </c>
      <c r="F7928" t="inlineStr">
        <is>
          <t>Holmen skog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51396-2023</t>
        </is>
      </c>
      <c r="B7929" s="1" t="n">
        <v>45219.67503472222</v>
      </c>
      <c r="C7929" s="1" t="n">
        <v>46145</v>
      </c>
      <c r="D7929" t="inlineStr">
        <is>
          <t>VÄSTERBOTTENS LÄN</t>
        </is>
      </c>
      <c r="E7929" t="inlineStr">
        <is>
          <t>SKELLEFTEÅ</t>
        </is>
      </c>
      <c r="F7929" t="inlineStr">
        <is>
          <t>Holmen skog AB</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62046-2025</t>
        </is>
      </c>
      <c r="B7930" s="1" t="n">
        <v>46006.27789351852</v>
      </c>
      <c r="C7930" s="1" t="n">
        <v>46145</v>
      </c>
      <c r="D7930" t="inlineStr">
        <is>
          <t>VÄSTERBOTTENS LÄN</t>
        </is>
      </c>
      <c r="E7930" t="inlineStr">
        <is>
          <t>SKELLEFTEÅ</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62053-2025</t>
        </is>
      </c>
      <c r="B7931" s="1" t="n">
        <v>46006.33436342593</v>
      </c>
      <c r="C7931" s="1" t="n">
        <v>46145</v>
      </c>
      <c r="D7931" t="inlineStr">
        <is>
          <t>VÄSTERBOTTENS LÄN</t>
        </is>
      </c>
      <c r="E7931" t="inlineStr">
        <is>
          <t>NORDMALING</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62247-2025</t>
        </is>
      </c>
      <c r="B7932" s="1" t="n">
        <v>46006.60643518518</v>
      </c>
      <c r="C7932" s="1" t="n">
        <v>46145</v>
      </c>
      <c r="D7932" t="inlineStr">
        <is>
          <t>VÄSTERBOTTENS LÄN</t>
        </is>
      </c>
      <c r="E7932" t="inlineStr">
        <is>
          <t>NORDMALING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62122-2025</t>
        </is>
      </c>
      <c r="B7933" s="1" t="n">
        <v>46006.44251157407</v>
      </c>
      <c r="C7933" s="1" t="n">
        <v>46145</v>
      </c>
      <c r="D7933" t="inlineStr">
        <is>
          <t>VÄSTERBOTTENS LÄN</t>
        </is>
      </c>
      <c r="E7933" t="inlineStr">
        <is>
          <t>VINDELN</t>
        </is>
      </c>
      <c r="F7933" t="inlineStr">
        <is>
          <t>Sveaskog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45552-2023</t>
        </is>
      </c>
      <c r="B7934" s="1" t="n">
        <v>45194.57376157407</v>
      </c>
      <c r="C7934" s="1" t="n">
        <v>46145</v>
      </c>
      <c r="D7934" t="inlineStr">
        <is>
          <t>VÄSTERBOTTENS LÄN</t>
        </is>
      </c>
      <c r="E7934" t="inlineStr">
        <is>
          <t>SKELLEFTEÅ</t>
        </is>
      </c>
      <c r="G7934" t="n">
        <v>18.3</v>
      </c>
      <c r="H7934" t="n">
        <v>0</v>
      </c>
      <c r="I7934" t="n">
        <v>0</v>
      </c>
      <c r="J7934" t="n">
        <v>0</v>
      </c>
      <c r="K7934" t="n">
        <v>0</v>
      </c>
      <c r="L7934" t="n">
        <v>0</v>
      </c>
      <c r="M7934" t="n">
        <v>0</v>
      </c>
      <c r="N7934" t="n">
        <v>0</v>
      </c>
      <c r="O7934" t="n">
        <v>0</v>
      </c>
      <c r="P7934" t="n">
        <v>0</v>
      </c>
      <c r="Q7934" t="n">
        <v>0</v>
      </c>
      <c r="R7934" s="2" t="inlineStr"/>
    </row>
    <row r="7935" ht="15" customHeight="1">
      <c r="A7935" t="inlineStr">
        <is>
          <t>A 5371-2022</t>
        </is>
      </c>
      <c r="B7935" s="1" t="n">
        <v>44594</v>
      </c>
      <c r="C7935" s="1" t="n">
        <v>46145</v>
      </c>
      <c r="D7935" t="inlineStr">
        <is>
          <t>VÄSTERBOTTENS LÄN</t>
        </is>
      </c>
      <c r="E7935" t="inlineStr">
        <is>
          <t>NORSJÖ</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45603-2023</t>
        </is>
      </c>
      <c r="B7936" s="1" t="n">
        <v>45194.64578703704</v>
      </c>
      <c r="C7936" s="1" t="n">
        <v>46145</v>
      </c>
      <c r="D7936" t="inlineStr">
        <is>
          <t>VÄSTERBOTTENS LÄN</t>
        </is>
      </c>
      <c r="E7936" t="inlineStr">
        <is>
          <t>UMEÅ</t>
        </is>
      </c>
      <c r="F7936" t="inlineStr">
        <is>
          <t>Holmen skog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62128-2025</t>
        </is>
      </c>
      <c r="B7937" s="1" t="n">
        <v>46006</v>
      </c>
      <c r="C7937" s="1" t="n">
        <v>46145</v>
      </c>
      <c r="D7937" t="inlineStr">
        <is>
          <t>VÄSTERBOTTENS LÄN</t>
        </is>
      </c>
      <c r="E7937" t="inlineStr">
        <is>
          <t>SKELLEFTEÅ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62130-2025</t>
        </is>
      </c>
      <c r="B7938" s="1" t="n">
        <v>46006.45099537037</v>
      </c>
      <c r="C7938" s="1" t="n">
        <v>46145</v>
      </c>
      <c r="D7938" t="inlineStr">
        <is>
          <t>VÄSTERBOTTENS LÄN</t>
        </is>
      </c>
      <c r="E7938" t="inlineStr">
        <is>
          <t>UMEÅ</t>
        </is>
      </c>
      <c r="F7938" t="inlineStr">
        <is>
          <t>Holmen skog AB</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62224-2025</t>
        </is>
      </c>
      <c r="B7939" s="1" t="n">
        <v>46006.58546296296</v>
      </c>
      <c r="C7939" s="1" t="n">
        <v>46145</v>
      </c>
      <c r="D7939" t="inlineStr">
        <is>
          <t>VÄSTERBOTTENS LÄN</t>
        </is>
      </c>
      <c r="E7939" t="inlineStr">
        <is>
          <t>UMEÅ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42383-2023</t>
        </is>
      </c>
      <c r="B7940" s="1" t="n">
        <v>45180</v>
      </c>
      <c r="C7940" s="1" t="n">
        <v>46145</v>
      </c>
      <c r="D7940" t="inlineStr">
        <is>
          <t>VÄSTERBOTTENS LÄN</t>
        </is>
      </c>
      <c r="E7940" t="inlineStr">
        <is>
          <t>MALÅ</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20287-2022</t>
        </is>
      </c>
      <c r="B7941" s="1" t="n">
        <v>44698</v>
      </c>
      <c r="C7941" s="1" t="n">
        <v>46145</v>
      </c>
      <c r="D7941" t="inlineStr">
        <is>
          <t>VÄSTERBOTTENS LÄN</t>
        </is>
      </c>
      <c r="E7941" t="inlineStr">
        <is>
          <t>LYCKSELE</t>
        </is>
      </c>
      <c r="F7941" t="inlineStr">
        <is>
          <t>Holmen skog AB</t>
        </is>
      </c>
      <c r="G7941" t="n">
        <v>11.5</v>
      </c>
      <c r="H7941" t="n">
        <v>0</v>
      </c>
      <c r="I7941" t="n">
        <v>0</v>
      </c>
      <c r="J7941" t="n">
        <v>0</v>
      </c>
      <c r="K7941" t="n">
        <v>0</v>
      </c>
      <c r="L7941" t="n">
        <v>0</v>
      </c>
      <c r="M7941" t="n">
        <v>0</v>
      </c>
      <c r="N7941" t="n">
        <v>0</v>
      </c>
      <c r="O7941" t="n">
        <v>0</v>
      </c>
      <c r="P7941" t="n">
        <v>0</v>
      </c>
      <c r="Q7941" t="n">
        <v>0</v>
      </c>
      <c r="R7941" s="2" t="inlineStr"/>
    </row>
    <row r="7942" ht="15" customHeight="1">
      <c r="A7942" t="inlineStr">
        <is>
          <t>A 53349-2024</t>
        </is>
      </c>
      <c r="B7942" s="1" t="n">
        <v>45614.44842592593</v>
      </c>
      <c r="C7942" s="1" t="n">
        <v>46145</v>
      </c>
      <c r="D7942" t="inlineStr">
        <is>
          <t>VÄSTERBOTTENS LÄN</t>
        </is>
      </c>
      <c r="E7942" t="inlineStr">
        <is>
          <t>VINDELN</t>
        </is>
      </c>
      <c r="F7942" t="inlineStr">
        <is>
          <t>SCA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62319-2025</t>
        </is>
      </c>
      <c r="B7943" s="1" t="n">
        <v>46006.69791666666</v>
      </c>
      <c r="C7943" s="1" t="n">
        <v>46145</v>
      </c>
      <c r="D7943" t="inlineStr">
        <is>
          <t>VÄSTERBOTTENS LÄN</t>
        </is>
      </c>
      <c r="E7943" t="inlineStr">
        <is>
          <t>VILHELMINA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62078-2025</t>
        </is>
      </c>
      <c r="B7944" s="1" t="n">
        <v>46006.36768518519</v>
      </c>
      <c r="C7944" s="1" t="n">
        <v>46145</v>
      </c>
      <c r="D7944" t="inlineStr">
        <is>
          <t>VÄSTERBOTTENS LÄN</t>
        </is>
      </c>
      <c r="E7944" t="inlineStr">
        <is>
          <t>NORDMALING</t>
        </is>
      </c>
      <c r="G7944" t="n">
        <v>11.6</v>
      </c>
      <c r="H7944" t="n">
        <v>0</v>
      </c>
      <c r="I7944" t="n">
        <v>0</v>
      </c>
      <c r="J7944" t="n">
        <v>0</v>
      </c>
      <c r="K7944" t="n">
        <v>0</v>
      </c>
      <c r="L7944" t="n">
        <v>0</v>
      </c>
      <c r="M7944" t="n">
        <v>0</v>
      </c>
      <c r="N7944" t="n">
        <v>0</v>
      </c>
      <c r="O7944" t="n">
        <v>0</v>
      </c>
      <c r="P7944" t="n">
        <v>0</v>
      </c>
      <c r="Q7944" t="n">
        <v>0</v>
      </c>
      <c r="R7944" s="2" t="inlineStr"/>
    </row>
    <row r="7945" ht="15" customHeight="1">
      <c r="A7945" t="inlineStr">
        <is>
          <t>A 62179-2025</t>
        </is>
      </c>
      <c r="B7945" s="1" t="n">
        <v>46006.52695601852</v>
      </c>
      <c r="C7945" s="1" t="n">
        <v>46145</v>
      </c>
      <c r="D7945" t="inlineStr">
        <is>
          <t>VÄSTERBOTTENS LÄN</t>
        </is>
      </c>
      <c r="E7945" t="inlineStr">
        <is>
          <t>ÅSELE</t>
        </is>
      </c>
      <c r="F7945" t="inlineStr">
        <is>
          <t>Holmen skog AB</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62180-2025</t>
        </is>
      </c>
      <c r="B7946" s="1" t="n">
        <v>46003</v>
      </c>
      <c r="C7946" s="1" t="n">
        <v>46145</v>
      </c>
      <c r="D7946" t="inlineStr">
        <is>
          <t>VÄSTERBOTTENS LÄN</t>
        </is>
      </c>
      <c r="E7946" t="inlineStr">
        <is>
          <t>DOROTEA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62193-2025</t>
        </is>
      </c>
      <c r="B7947" s="1" t="n">
        <v>46003</v>
      </c>
      <c r="C7947" s="1" t="n">
        <v>46145</v>
      </c>
      <c r="D7947" t="inlineStr">
        <is>
          <t>VÄSTERBOTTENS LÄN</t>
        </is>
      </c>
      <c r="E7947" t="inlineStr">
        <is>
          <t>DOROTEA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62194-2025</t>
        </is>
      </c>
      <c r="B7948" s="1" t="n">
        <v>46006.55251157407</v>
      </c>
      <c r="C7948" s="1" t="n">
        <v>46145</v>
      </c>
      <c r="D7948" t="inlineStr">
        <is>
          <t>VÄSTERBOTTENS LÄN</t>
        </is>
      </c>
      <c r="E7948" t="inlineStr">
        <is>
          <t>VINDELN</t>
        </is>
      </c>
      <c r="F7948" t="inlineStr">
        <is>
          <t>Sveaskog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9620-2025</t>
        </is>
      </c>
      <c r="B7949" s="1" t="n">
        <v>45715.67895833333</v>
      </c>
      <c r="C7949" s="1" t="n">
        <v>46145</v>
      </c>
      <c r="D7949" t="inlineStr">
        <is>
          <t>VÄSTERBOTTENS LÄN</t>
        </is>
      </c>
      <c r="E7949" t="inlineStr">
        <is>
          <t>VINDELN</t>
        </is>
      </c>
      <c r="G7949" t="n">
        <v>9.300000000000001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62263-2025</t>
        </is>
      </c>
      <c r="B7950" s="1" t="n">
        <v>46006.61631944445</v>
      </c>
      <c r="C7950" s="1" t="n">
        <v>46145</v>
      </c>
      <c r="D7950" t="inlineStr">
        <is>
          <t>VÄSTERBOTTENS LÄN</t>
        </is>
      </c>
      <c r="E7950" t="inlineStr">
        <is>
          <t>VINDELN</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9670-2025</t>
        </is>
      </c>
      <c r="B7951" s="1" t="n">
        <v>45716</v>
      </c>
      <c r="C7951" s="1" t="n">
        <v>46145</v>
      </c>
      <c r="D7951" t="inlineStr">
        <is>
          <t>VÄSTERBOTTENS LÄN</t>
        </is>
      </c>
      <c r="E7951" t="inlineStr">
        <is>
          <t>LYCKSELE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62081-2025</t>
        </is>
      </c>
      <c r="B7952" s="1" t="n">
        <v>46006.37280092593</v>
      </c>
      <c r="C7952" s="1" t="n">
        <v>46145</v>
      </c>
      <c r="D7952" t="inlineStr">
        <is>
          <t>VÄSTERBOTTENS LÄN</t>
        </is>
      </c>
      <c r="E7952" t="inlineStr">
        <is>
          <t>SKELLEFTEÅ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62124-2025</t>
        </is>
      </c>
      <c r="B7953" s="1" t="n">
        <v>46006.44425925926</v>
      </c>
      <c r="C7953" s="1" t="n">
        <v>46145</v>
      </c>
      <c r="D7953" t="inlineStr">
        <is>
          <t>VÄSTERBOTTENS LÄN</t>
        </is>
      </c>
      <c r="E7953" t="inlineStr">
        <is>
          <t>SKELLEFTEÅ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62146-2025</t>
        </is>
      </c>
      <c r="B7954" s="1" t="n">
        <v>46006.47486111111</v>
      </c>
      <c r="C7954" s="1" t="n">
        <v>46145</v>
      </c>
      <c r="D7954" t="inlineStr">
        <is>
          <t>VÄSTERBOTTENS LÄN</t>
        </is>
      </c>
      <c r="E7954" t="inlineStr">
        <is>
          <t>VINDELN</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62148-2025</t>
        </is>
      </c>
      <c r="B7955" s="1" t="n">
        <v>46006.47850694445</v>
      </c>
      <c r="C7955" s="1" t="n">
        <v>46145</v>
      </c>
      <c r="D7955" t="inlineStr">
        <is>
          <t>VÄSTERBOTTENS LÄN</t>
        </is>
      </c>
      <c r="E7955" t="inlineStr">
        <is>
          <t>SKELLEFTEÅ</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62169-2025</t>
        </is>
      </c>
      <c r="B7956" s="1" t="n">
        <v>46006.51091435185</v>
      </c>
      <c r="C7956" s="1" t="n">
        <v>46145</v>
      </c>
      <c r="D7956" t="inlineStr">
        <is>
          <t>VÄSTERBOTTENS LÄN</t>
        </is>
      </c>
      <c r="E7956" t="inlineStr">
        <is>
          <t>BJURHOLM</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62061-2025</t>
        </is>
      </c>
      <c r="B7957" s="1" t="n">
        <v>46006.34446759259</v>
      </c>
      <c r="C7957" s="1" t="n">
        <v>46145</v>
      </c>
      <c r="D7957" t="inlineStr">
        <is>
          <t>VÄSTERBOTTENS LÄN</t>
        </is>
      </c>
      <c r="E7957" t="inlineStr">
        <is>
          <t>NORDMALING</t>
        </is>
      </c>
      <c r="G7957" t="n">
        <v>11.3</v>
      </c>
      <c r="H7957" t="n">
        <v>0</v>
      </c>
      <c r="I7957" t="n">
        <v>0</v>
      </c>
      <c r="J7957" t="n">
        <v>0</v>
      </c>
      <c r="K7957" t="n">
        <v>0</v>
      </c>
      <c r="L7957" t="n">
        <v>0</v>
      </c>
      <c r="M7957" t="n">
        <v>0</v>
      </c>
      <c r="N7957" t="n">
        <v>0</v>
      </c>
      <c r="O7957" t="n">
        <v>0</v>
      </c>
      <c r="P7957" t="n">
        <v>0</v>
      </c>
      <c r="Q7957" t="n">
        <v>0</v>
      </c>
      <c r="R7957" s="2" t="inlineStr"/>
    </row>
    <row r="7958" ht="15" customHeight="1">
      <c r="A7958" t="inlineStr">
        <is>
          <t>A 62085-2025</t>
        </is>
      </c>
      <c r="B7958" s="1" t="n">
        <v>46006.37502314815</v>
      </c>
      <c r="C7958" s="1" t="n">
        <v>46145</v>
      </c>
      <c r="D7958" t="inlineStr">
        <is>
          <t>VÄSTERBOTTENS LÄN</t>
        </is>
      </c>
      <c r="E7958" t="inlineStr">
        <is>
          <t>SKELLEFTEÅ</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62104-2025</t>
        </is>
      </c>
      <c r="B7959" s="1" t="n">
        <v>46006.41694444444</v>
      </c>
      <c r="C7959" s="1" t="n">
        <v>46145</v>
      </c>
      <c r="D7959" t="inlineStr">
        <is>
          <t>VÄSTERBOTTENS LÄN</t>
        </is>
      </c>
      <c r="E7959" t="inlineStr">
        <is>
          <t>UMEÅ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11685-2022</t>
        </is>
      </c>
      <c r="B7960" s="1" t="n">
        <v>44634.31503472223</v>
      </c>
      <c r="C7960" s="1" t="n">
        <v>46145</v>
      </c>
      <c r="D7960" t="inlineStr">
        <is>
          <t>VÄSTERBOTTENS LÄN</t>
        </is>
      </c>
      <c r="E7960" t="inlineStr">
        <is>
          <t>SKELLEFTEÅ</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62127-2025</t>
        </is>
      </c>
      <c r="B7961" s="1" t="n">
        <v>46006.44607638889</v>
      </c>
      <c r="C7961" s="1" t="n">
        <v>46145</v>
      </c>
      <c r="D7961" t="inlineStr">
        <is>
          <t>VÄSTERBOTTENS LÄN</t>
        </is>
      </c>
      <c r="E7961" t="inlineStr">
        <is>
          <t>SKELLEFTEÅ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62134-2025</t>
        </is>
      </c>
      <c r="B7962" s="1" t="n">
        <v>46006.45762731481</v>
      </c>
      <c r="C7962" s="1" t="n">
        <v>46145</v>
      </c>
      <c r="D7962" t="inlineStr">
        <is>
          <t>VÄSTERBOTTENS LÄN</t>
        </is>
      </c>
      <c r="E7962" t="inlineStr">
        <is>
          <t>SKELLEFTEÅ</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62157-2025</t>
        </is>
      </c>
      <c r="B7963" s="1" t="n">
        <v>46006.49039351852</v>
      </c>
      <c r="C7963" s="1" t="n">
        <v>46145</v>
      </c>
      <c r="D7963" t="inlineStr">
        <is>
          <t>VÄSTERBOTTENS LÄN</t>
        </is>
      </c>
      <c r="E7963" t="inlineStr">
        <is>
          <t>NORDMALING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11790-2022</t>
        </is>
      </c>
      <c r="B7964" s="1" t="n">
        <v>44634</v>
      </c>
      <c r="C7964" s="1" t="n">
        <v>46145</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62151-2025</t>
        </is>
      </c>
      <c r="B7965" s="1" t="n">
        <v>46006.48128472222</v>
      </c>
      <c r="C7965" s="1" t="n">
        <v>46145</v>
      </c>
      <c r="D7965" t="inlineStr">
        <is>
          <t>VÄSTERBOTTENS LÄN</t>
        </is>
      </c>
      <c r="E7965" t="inlineStr">
        <is>
          <t>NORDMALING</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62219-2025</t>
        </is>
      </c>
      <c r="B7966" s="1" t="n">
        <v>46006.58076388889</v>
      </c>
      <c r="C7966" s="1" t="n">
        <v>46145</v>
      </c>
      <c r="D7966" t="inlineStr">
        <is>
          <t>VÄSTERBOTTENS LÄN</t>
        </is>
      </c>
      <c r="E7966" t="inlineStr">
        <is>
          <t>NORDMALING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62267-2025</t>
        </is>
      </c>
      <c r="B7967" s="1" t="n">
        <v>46006.61762731482</v>
      </c>
      <c r="C7967" s="1" t="n">
        <v>46145</v>
      </c>
      <c r="D7967" t="inlineStr">
        <is>
          <t>VÄSTERBOTTENS LÄN</t>
        </is>
      </c>
      <c r="E7967" t="inlineStr">
        <is>
          <t>VINDELN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62275-2025</t>
        </is>
      </c>
      <c r="B7968" s="1" t="n">
        <v>46006.6294212963</v>
      </c>
      <c r="C7968" s="1" t="n">
        <v>46145</v>
      </c>
      <c r="D7968" t="inlineStr">
        <is>
          <t>VÄSTERBOTTENS LÄN</t>
        </is>
      </c>
      <c r="E7968" t="inlineStr">
        <is>
          <t>SKELLEFTEÅ</t>
        </is>
      </c>
      <c r="F7968" t="inlineStr">
        <is>
          <t>Kommuner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62318-2025</t>
        </is>
      </c>
      <c r="B7969" s="1" t="n">
        <v>46006</v>
      </c>
      <c r="C7969" s="1" t="n">
        <v>46145</v>
      </c>
      <c r="D7969" t="inlineStr">
        <is>
          <t>VÄSTERBOTTENS LÄN</t>
        </is>
      </c>
      <c r="E7969" t="inlineStr">
        <is>
          <t>VILHELMINA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62317-2025</t>
        </is>
      </c>
      <c r="B7970" s="1" t="n">
        <v>46006.69200231481</v>
      </c>
      <c r="C7970" s="1" t="n">
        <v>46145</v>
      </c>
      <c r="D7970" t="inlineStr">
        <is>
          <t>VÄSTERBOTTENS LÄN</t>
        </is>
      </c>
      <c r="E7970" t="inlineStr">
        <is>
          <t>LYCKSELE</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62325-2025</t>
        </is>
      </c>
      <c r="B7971" s="1" t="n">
        <v>46006.7149074074</v>
      </c>
      <c r="C7971" s="1" t="n">
        <v>46145</v>
      </c>
      <c r="D7971" t="inlineStr">
        <is>
          <t>VÄSTERBOTTENS LÄN</t>
        </is>
      </c>
      <c r="E7971" t="inlineStr">
        <is>
          <t>VILHELMINA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61960-2025</t>
        </is>
      </c>
      <c r="B7972" s="1" t="n">
        <v>46003.58871527778</v>
      </c>
      <c r="C7972" s="1" t="n">
        <v>46145</v>
      </c>
      <c r="D7972" t="inlineStr">
        <is>
          <t>VÄSTERBOTTENS LÄN</t>
        </is>
      </c>
      <c r="E7972" t="inlineStr">
        <is>
          <t>SKELLEFTEÅ</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62165-2025</t>
        </is>
      </c>
      <c r="B7973" s="1" t="n">
        <v>46006.49802083334</v>
      </c>
      <c r="C7973" s="1" t="n">
        <v>46145</v>
      </c>
      <c r="D7973" t="inlineStr">
        <is>
          <t>VÄSTERBOTTENS LÄN</t>
        </is>
      </c>
      <c r="E7973" t="inlineStr">
        <is>
          <t>NORDMALING</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62208-2025</t>
        </is>
      </c>
      <c r="B7974" s="1" t="n">
        <v>46006.56528935185</v>
      </c>
      <c r="C7974" s="1" t="n">
        <v>46145</v>
      </c>
      <c r="D7974" t="inlineStr">
        <is>
          <t>VÄSTERBOTTENS LÄN</t>
        </is>
      </c>
      <c r="E7974" t="inlineStr">
        <is>
          <t>UMEÅ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53788-2024</t>
        </is>
      </c>
      <c r="B7975" s="1" t="n">
        <v>45615.57329861111</v>
      </c>
      <c r="C7975" s="1" t="n">
        <v>46145</v>
      </c>
      <c r="D7975" t="inlineStr">
        <is>
          <t>VÄSTERBOTTENS LÄN</t>
        </is>
      </c>
      <c r="E7975" t="inlineStr">
        <is>
          <t>LYCKSELE</t>
        </is>
      </c>
      <c r="F7975" t="inlineStr">
        <is>
          <t>SCA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53790-2024</t>
        </is>
      </c>
      <c r="B7976" s="1" t="n">
        <v>45615.5746412037</v>
      </c>
      <c r="C7976" s="1" t="n">
        <v>46145</v>
      </c>
      <c r="D7976" t="inlineStr">
        <is>
          <t>VÄSTERBOTTENS LÄN</t>
        </is>
      </c>
      <c r="E7976" t="inlineStr">
        <is>
          <t>LYCKSELE</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53791-2024</t>
        </is>
      </c>
      <c r="B7977" s="1" t="n">
        <v>45615.57478009259</v>
      </c>
      <c r="C7977" s="1" t="n">
        <v>46145</v>
      </c>
      <c r="D7977" t="inlineStr">
        <is>
          <t>VÄSTERBOTTENS LÄN</t>
        </is>
      </c>
      <c r="E7977" t="inlineStr">
        <is>
          <t>LYCKSELE</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62231-2025</t>
        </is>
      </c>
      <c r="B7978" s="1" t="n">
        <v>46006.59229166667</v>
      </c>
      <c r="C7978" s="1" t="n">
        <v>46145</v>
      </c>
      <c r="D7978" t="inlineStr">
        <is>
          <t>VÄSTERBOTTENS LÄN</t>
        </is>
      </c>
      <c r="E7978" t="inlineStr">
        <is>
          <t>UMEÅ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62269-2025</t>
        </is>
      </c>
      <c r="B7979" s="1" t="n">
        <v>46006.6196412037</v>
      </c>
      <c r="C7979" s="1" t="n">
        <v>46145</v>
      </c>
      <c r="D7979" t="inlineStr">
        <is>
          <t>VÄSTERBOTTENS LÄN</t>
        </is>
      </c>
      <c r="E7979" t="inlineStr">
        <is>
          <t>UMEÅ</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62309-2025</t>
        </is>
      </c>
      <c r="B7980" s="1" t="n">
        <v>46006.67302083333</v>
      </c>
      <c r="C7980" s="1" t="n">
        <v>46145</v>
      </c>
      <c r="D7980" t="inlineStr">
        <is>
          <t>VÄSTERBOTTENS LÄN</t>
        </is>
      </c>
      <c r="E7980" t="inlineStr">
        <is>
          <t>ÅSELE</t>
        </is>
      </c>
      <c r="F7980" t="inlineStr">
        <is>
          <t>Naturvårdsverket</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54459-2024</t>
        </is>
      </c>
      <c r="B7981" s="1" t="n">
        <v>45617</v>
      </c>
      <c r="C7981" s="1" t="n">
        <v>46145</v>
      </c>
      <c r="D7981" t="inlineStr">
        <is>
          <t>VÄSTERBOTTENS LÄN</t>
        </is>
      </c>
      <c r="E7981" t="inlineStr">
        <is>
          <t>VILHELMINA</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47777-2022</t>
        </is>
      </c>
      <c r="B7982" s="1" t="n">
        <v>44854</v>
      </c>
      <c r="C7982" s="1" t="n">
        <v>46145</v>
      </c>
      <c r="D7982" t="inlineStr">
        <is>
          <t>VÄSTERBOTTENS LÄN</t>
        </is>
      </c>
      <c r="E7982" t="inlineStr">
        <is>
          <t>NORDMALING</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5078-2025</t>
        </is>
      </c>
      <c r="B7983" s="1" t="n">
        <v>45691.50020833333</v>
      </c>
      <c r="C7983" s="1" t="n">
        <v>46145</v>
      </c>
      <c r="D7983" t="inlineStr">
        <is>
          <t>VÄSTERBOTTENS LÄN</t>
        </is>
      </c>
      <c r="E7983" t="inlineStr">
        <is>
          <t>UMEÅ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61831-2025</t>
        </is>
      </c>
      <c r="B7984" s="1" t="n">
        <v>46003.34439814815</v>
      </c>
      <c r="C7984" s="1" t="n">
        <v>46145</v>
      </c>
      <c r="D7984" t="inlineStr">
        <is>
          <t>VÄSTERBOTTENS LÄN</t>
        </is>
      </c>
      <c r="E7984" t="inlineStr">
        <is>
          <t>DOROTEA</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28942-2023</t>
        </is>
      </c>
      <c r="B7985" s="1" t="n">
        <v>45104</v>
      </c>
      <c r="C7985" s="1" t="n">
        <v>46145</v>
      </c>
      <c r="D7985" t="inlineStr">
        <is>
          <t>VÄSTERBOTTENS LÄN</t>
        </is>
      </c>
      <c r="E7985" t="inlineStr">
        <is>
          <t>NORSJÖ</t>
        </is>
      </c>
      <c r="F7985" t="inlineStr">
        <is>
          <t>Sveaskog</t>
        </is>
      </c>
      <c r="G7985" t="n">
        <v>15.9</v>
      </c>
      <c r="H7985" t="n">
        <v>0</v>
      </c>
      <c r="I7985" t="n">
        <v>0</v>
      </c>
      <c r="J7985" t="n">
        <v>0</v>
      </c>
      <c r="K7985" t="n">
        <v>0</v>
      </c>
      <c r="L7985" t="n">
        <v>0</v>
      </c>
      <c r="M7985" t="n">
        <v>0</v>
      </c>
      <c r="N7985" t="n">
        <v>0</v>
      </c>
      <c r="O7985" t="n">
        <v>0</v>
      </c>
      <c r="P7985" t="n">
        <v>0</v>
      </c>
      <c r="Q7985" t="n">
        <v>0</v>
      </c>
      <c r="R7985" s="2" t="inlineStr"/>
    </row>
    <row r="7986" ht="15" customHeight="1">
      <c r="A7986" t="inlineStr">
        <is>
          <t>A 61894-2025</t>
        </is>
      </c>
      <c r="B7986" s="1" t="n">
        <v>46003.45953703704</v>
      </c>
      <c r="C7986" s="1" t="n">
        <v>46145</v>
      </c>
      <c r="D7986" t="inlineStr">
        <is>
          <t>VÄSTERBOTTENS LÄN</t>
        </is>
      </c>
      <c r="E7986" t="inlineStr">
        <is>
          <t>SKELLEFTEÅ</t>
        </is>
      </c>
      <c r="F7986" t="inlineStr">
        <is>
          <t>Övriga Aktiebolag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42037-2023</t>
        </is>
      </c>
      <c r="B7987" s="1" t="n">
        <v>45177.50853009259</v>
      </c>
      <c r="C7987" s="1" t="n">
        <v>46145</v>
      </c>
      <c r="D7987" t="inlineStr">
        <is>
          <t>VÄSTERBOTTENS LÄN</t>
        </is>
      </c>
      <c r="E7987" t="inlineStr">
        <is>
          <t>ÅSELE</t>
        </is>
      </c>
      <c r="F7987" t="inlineStr">
        <is>
          <t>Holmen skog AB</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29617-2023</t>
        </is>
      </c>
      <c r="B7988" s="1" t="n">
        <v>45106.94461805555</v>
      </c>
      <c r="C7988" s="1" t="n">
        <v>46145</v>
      </c>
      <c r="D7988" t="inlineStr">
        <is>
          <t>VÄSTERBOTTENS LÄN</t>
        </is>
      </c>
      <c r="E7988" t="inlineStr">
        <is>
          <t>ÅSELE</t>
        </is>
      </c>
      <c r="F7988" t="inlineStr">
        <is>
          <t>SCA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2311-2025</t>
        </is>
      </c>
      <c r="B7989" s="1" t="n">
        <v>45673.60427083333</v>
      </c>
      <c r="C7989" s="1" t="n">
        <v>46145</v>
      </c>
      <c r="D7989" t="inlineStr">
        <is>
          <t>VÄSTERBOTTENS LÄN</t>
        </is>
      </c>
      <c r="E7989" t="inlineStr">
        <is>
          <t>NORDMALING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2814-2025</t>
        </is>
      </c>
      <c r="B7990" s="1" t="n">
        <v>45677</v>
      </c>
      <c r="C7990" s="1" t="n">
        <v>46145</v>
      </c>
      <c r="D7990" t="inlineStr">
        <is>
          <t>VÄSTERBOTTENS LÄN</t>
        </is>
      </c>
      <c r="E7990" t="inlineStr">
        <is>
          <t>DOROTEA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45576-2023</t>
        </is>
      </c>
      <c r="B7991" s="1" t="n">
        <v>45188</v>
      </c>
      <c r="C7991" s="1" t="n">
        <v>46145</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48940-2022</t>
        </is>
      </c>
      <c r="B7992" s="1" t="n">
        <v>44859.9572337963</v>
      </c>
      <c r="C7992" s="1" t="n">
        <v>46145</v>
      </c>
      <c r="D7992" t="inlineStr">
        <is>
          <t>VÄSTERBOTTENS LÄN</t>
        </is>
      </c>
      <c r="E7992" t="inlineStr">
        <is>
          <t>NORDMALING</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62699-2025</t>
        </is>
      </c>
      <c r="B7993" s="1" t="n">
        <v>46008.49003472222</v>
      </c>
      <c r="C7993" s="1" t="n">
        <v>46145</v>
      </c>
      <c r="D7993" t="inlineStr">
        <is>
          <t>VÄSTERBOTTENS LÄN</t>
        </is>
      </c>
      <c r="E7993" t="inlineStr">
        <is>
          <t>VINDELN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62700-2025</t>
        </is>
      </c>
      <c r="B7994" s="1" t="n">
        <v>46008.49011574074</v>
      </c>
      <c r="C7994" s="1" t="n">
        <v>46145</v>
      </c>
      <c r="D7994" t="inlineStr">
        <is>
          <t>VÄSTERBOTTENS LÄN</t>
        </is>
      </c>
      <c r="E7994" t="inlineStr">
        <is>
          <t>BJURHOLM</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62701-2025</t>
        </is>
      </c>
      <c r="B7995" s="1" t="n">
        <v>46008.49018518518</v>
      </c>
      <c r="C7995" s="1" t="n">
        <v>46145</v>
      </c>
      <c r="D7995" t="inlineStr">
        <is>
          <t>VÄSTERBOTTENS LÄN</t>
        </is>
      </c>
      <c r="E7995" t="inlineStr">
        <is>
          <t>BJURHOLM</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56838-2024</t>
        </is>
      </c>
      <c r="B7996" s="1" t="n">
        <v>45628.50866898148</v>
      </c>
      <c r="C7996" s="1" t="n">
        <v>46145</v>
      </c>
      <c r="D7996" t="inlineStr">
        <is>
          <t>VÄSTERBOTTENS LÄN</t>
        </is>
      </c>
      <c r="E7996" t="inlineStr">
        <is>
          <t>SKELLEFTEÅ</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37072-2024</t>
        </is>
      </c>
      <c r="B7997" s="1" t="n">
        <v>45539</v>
      </c>
      <c r="C7997" s="1" t="n">
        <v>46145</v>
      </c>
      <c r="D7997" t="inlineStr">
        <is>
          <t>VÄSTERBOTTENS LÄN</t>
        </is>
      </c>
      <c r="E7997" t="inlineStr">
        <is>
          <t>DOROTEA</t>
        </is>
      </c>
      <c r="F7997" t="inlineStr">
        <is>
          <t>SCA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62797-2025</t>
        </is>
      </c>
      <c r="B7998" s="1" t="n">
        <v>46008.63690972222</v>
      </c>
      <c r="C7998" s="1" t="n">
        <v>46145</v>
      </c>
      <c r="D7998" t="inlineStr">
        <is>
          <t>VÄSTERBOTTENS LÄN</t>
        </is>
      </c>
      <c r="E7998" t="inlineStr">
        <is>
          <t>SKELLEFTEÅ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62516-2025</t>
        </is>
      </c>
      <c r="B7999" s="1" t="n">
        <v>46007.60645833334</v>
      </c>
      <c r="C7999" s="1" t="n">
        <v>46145</v>
      </c>
      <c r="D7999" t="inlineStr">
        <is>
          <t>VÄSTERBOTTENS LÄN</t>
        </is>
      </c>
      <c r="E7999" t="inlineStr">
        <is>
          <t>UMEÅ</t>
        </is>
      </c>
      <c r="F7999" t="inlineStr">
        <is>
          <t>Kommuner</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56001-2024</t>
        </is>
      </c>
      <c r="B8000" s="1" t="n">
        <v>45623.70415509259</v>
      </c>
      <c r="C8000" s="1" t="n">
        <v>46145</v>
      </c>
      <c r="D8000" t="inlineStr">
        <is>
          <t>VÄSTERBOTTENS LÄN</t>
        </is>
      </c>
      <c r="E8000" t="inlineStr">
        <is>
          <t>VINDELN</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62663-2025</t>
        </is>
      </c>
      <c r="B8001" s="1" t="n">
        <v>46008.43460648148</v>
      </c>
      <c r="C8001" s="1" t="n">
        <v>46145</v>
      </c>
      <c r="D8001" t="inlineStr">
        <is>
          <t>VÄSTERBOTTENS LÄN</t>
        </is>
      </c>
      <c r="E8001" t="inlineStr">
        <is>
          <t>UMEÅ</t>
        </is>
      </c>
      <c r="F8001" t="inlineStr">
        <is>
          <t>Holmen skog AB</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62712-2025</t>
        </is>
      </c>
      <c r="B8002" s="1" t="n">
        <v>46008.51109953703</v>
      </c>
      <c r="C8002" s="1" t="n">
        <v>46145</v>
      </c>
      <c r="D8002" t="inlineStr">
        <is>
          <t>VÄSTERBOTTENS LÄN</t>
        </is>
      </c>
      <c r="E8002" t="inlineStr">
        <is>
          <t>BJURHOLM</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46063-2023</t>
        </is>
      </c>
      <c r="B8003" s="1" t="n">
        <v>45196</v>
      </c>
      <c r="C8003" s="1" t="n">
        <v>46145</v>
      </c>
      <c r="D8003" t="inlineStr">
        <is>
          <t>VÄSTERBOTTENS LÄN</t>
        </is>
      </c>
      <c r="E8003" t="inlineStr">
        <is>
          <t>MALÅ</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3164-2025</t>
        </is>
      </c>
      <c r="B8004" s="1" t="n">
        <v>45679.34158564815</v>
      </c>
      <c r="C8004" s="1" t="n">
        <v>46145</v>
      </c>
      <c r="D8004" t="inlineStr">
        <is>
          <t>VÄSTERBOTTENS LÄN</t>
        </is>
      </c>
      <c r="E8004" t="inlineStr">
        <is>
          <t>SKELLEFTEÅ</t>
        </is>
      </c>
      <c r="F8004" t="inlineStr">
        <is>
          <t>Holmen skog AB</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25944-2023</t>
        </is>
      </c>
      <c r="B8005" s="1" t="n">
        <v>45090.70563657407</v>
      </c>
      <c r="C8005" s="1" t="n">
        <v>46145</v>
      </c>
      <c r="D8005" t="inlineStr">
        <is>
          <t>VÄSTERBOTTENS LÄN</t>
        </is>
      </c>
      <c r="E8005" t="inlineStr">
        <is>
          <t>BJURHOLM</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46177-2023</t>
        </is>
      </c>
      <c r="B8006" s="1" t="n">
        <v>45190</v>
      </c>
      <c r="C8006" s="1" t="n">
        <v>46145</v>
      </c>
      <c r="D8006" t="inlineStr">
        <is>
          <t>VÄSTERBOTTENS LÄN</t>
        </is>
      </c>
      <c r="E8006" t="inlineStr">
        <is>
          <t>VILHELMINA</t>
        </is>
      </c>
      <c r="F8006" t="inlineStr">
        <is>
          <t>Övriga Aktiebolag</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44203-2023</t>
        </is>
      </c>
      <c r="B8007" s="1" t="n">
        <v>45183</v>
      </c>
      <c r="C8007" s="1" t="n">
        <v>46145</v>
      </c>
      <c r="D8007" t="inlineStr">
        <is>
          <t>VÄSTERBOTTENS LÄN</t>
        </is>
      </c>
      <c r="E8007" t="inlineStr">
        <is>
          <t>STORUMAN</t>
        </is>
      </c>
      <c r="G8007" t="n">
        <v>33.7</v>
      </c>
      <c r="H8007" t="n">
        <v>0</v>
      </c>
      <c r="I8007" t="n">
        <v>0</v>
      </c>
      <c r="J8007" t="n">
        <v>0</v>
      </c>
      <c r="K8007" t="n">
        <v>0</v>
      </c>
      <c r="L8007" t="n">
        <v>0</v>
      </c>
      <c r="M8007" t="n">
        <v>0</v>
      </c>
      <c r="N8007" t="n">
        <v>0</v>
      </c>
      <c r="O8007" t="n">
        <v>0</v>
      </c>
      <c r="P8007" t="n">
        <v>0</v>
      </c>
      <c r="Q8007" t="n">
        <v>0</v>
      </c>
      <c r="R8007" s="2" t="inlineStr"/>
    </row>
    <row r="8008" ht="15" customHeight="1">
      <c r="A8008" t="inlineStr">
        <is>
          <t>A 62787-2025</t>
        </is>
      </c>
      <c r="B8008" s="1" t="n">
        <v>46008.61939814815</v>
      </c>
      <c r="C8008" s="1" t="n">
        <v>46145</v>
      </c>
      <c r="D8008" t="inlineStr">
        <is>
          <t>VÄSTERBOTTENS LÄN</t>
        </is>
      </c>
      <c r="E8008" t="inlineStr">
        <is>
          <t>VÄNNÄS</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62809-2025</t>
        </is>
      </c>
      <c r="B8009" s="1" t="n">
        <v>46008.64582175926</v>
      </c>
      <c r="C8009" s="1" t="n">
        <v>46145</v>
      </c>
      <c r="D8009" t="inlineStr">
        <is>
          <t>VÄSTERBOTTENS LÄN</t>
        </is>
      </c>
      <c r="E8009" t="inlineStr">
        <is>
          <t>SKELLEFTEÅ</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62854-2025</t>
        </is>
      </c>
      <c r="B8010" s="1" t="n">
        <v>46008.73527777778</v>
      </c>
      <c r="C8010" s="1" t="n">
        <v>46145</v>
      </c>
      <c r="D8010" t="inlineStr">
        <is>
          <t>VÄSTERBOTTENS LÄN</t>
        </is>
      </c>
      <c r="E8010" t="inlineStr">
        <is>
          <t>SKELLEFTEÅ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62399-2025</t>
        </is>
      </c>
      <c r="B8011" s="1" t="n">
        <v>46007.40666666667</v>
      </c>
      <c r="C8011" s="1" t="n">
        <v>46145</v>
      </c>
      <c r="D8011" t="inlineStr">
        <is>
          <t>VÄSTERBOTTENS LÄN</t>
        </is>
      </c>
      <c r="E8011" t="inlineStr">
        <is>
          <t>DOROTEA</t>
        </is>
      </c>
      <c r="G8011" t="n">
        <v>16.7</v>
      </c>
      <c r="H8011" t="n">
        <v>0</v>
      </c>
      <c r="I8011" t="n">
        <v>0</v>
      </c>
      <c r="J8011" t="n">
        <v>0</v>
      </c>
      <c r="K8011" t="n">
        <v>0</v>
      </c>
      <c r="L8011" t="n">
        <v>0</v>
      </c>
      <c r="M8011" t="n">
        <v>0</v>
      </c>
      <c r="N8011" t="n">
        <v>0</v>
      </c>
      <c r="O8011" t="n">
        <v>0</v>
      </c>
      <c r="P8011" t="n">
        <v>0</v>
      </c>
      <c r="Q8011" t="n">
        <v>0</v>
      </c>
      <c r="R8011" s="2" t="inlineStr"/>
    </row>
    <row r="8012" ht="15" customHeight="1">
      <c r="A8012" t="inlineStr">
        <is>
          <t>A 62422-2025</t>
        </is>
      </c>
      <c r="B8012" s="1" t="n">
        <v>46007.44863425926</v>
      </c>
      <c r="C8012" s="1" t="n">
        <v>46145</v>
      </c>
      <c r="D8012" t="inlineStr">
        <is>
          <t>VÄSTERBOTTENS LÄN</t>
        </is>
      </c>
      <c r="E8012" t="inlineStr">
        <is>
          <t>DOROTEA</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62485-2025</t>
        </is>
      </c>
      <c r="B8013" s="1" t="n">
        <v>46007.56543981482</v>
      </c>
      <c r="C8013" s="1" t="n">
        <v>46145</v>
      </c>
      <c r="D8013" t="inlineStr">
        <is>
          <t>VÄSTERBOTTENS LÄN</t>
        </is>
      </c>
      <c r="E8013" t="inlineStr">
        <is>
          <t>SKELLEFTEÅ</t>
        </is>
      </c>
      <c r="F8013" t="inlineStr">
        <is>
          <t>Sveaskog</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4614-2025</t>
        </is>
      </c>
      <c r="B8014" s="1" t="n">
        <v>45687</v>
      </c>
      <c r="C8014" s="1" t="n">
        <v>46145</v>
      </c>
      <c r="D8014" t="inlineStr">
        <is>
          <t>VÄSTERBOTTENS LÄN</t>
        </is>
      </c>
      <c r="E8014" t="inlineStr">
        <is>
          <t>ROBERTSFORS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4620-2025</t>
        </is>
      </c>
      <c r="B8015" s="1" t="n">
        <v>45687.61184027778</v>
      </c>
      <c r="C8015" s="1" t="n">
        <v>46145</v>
      </c>
      <c r="D8015" t="inlineStr">
        <is>
          <t>VÄSTERBOTTENS LÄN</t>
        </is>
      </c>
      <c r="E8015" t="inlineStr">
        <is>
          <t>SKELLEFTEÅ</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15728-2024</t>
        </is>
      </c>
      <c r="B8016" s="1" t="n">
        <v>45404</v>
      </c>
      <c r="C8016" s="1" t="n">
        <v>46145</v>
      </c>
      <c r="D8016" t="inlineStr">
        <is>
          <t>VÄSTERBOTTENS LÄN</t>
        </is>
      </c>
      <c r="E8016" t="inlineStr">
        <is>
          <t>SKELLEFTEÅ</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41662-2024</t>
        </is>
      </c>
      <c r="B8017" s="1" t="n">
        <v>45560.64682870371</v>
      </c>
      <c r="C8017" s="1" t="n">
        <v>46145</v>
      </c>
      <c r="D8017" t="inlineStr">
        <is>
          <t>VÄSTERBOTTENS LÄN</t>
        </is>
      </c>
      <c r="E8017" t="inlineStr">
        <is>
          <t>VINDELN</t>
        </is>
      </c>
      <c r="F8017" t="inlineStr">
        <is>
          <t>Sveaskog</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62739-2025</t>
        </is>
      </c>
      <c r="B8018" s="1" t="n">
        <v>46008.57351851852</v>
      </c>
      <c r="C8018" s="1" t="n">
        <v>46145</v>
      </c>
      <c r="D8018" t="inlineStr">
        <is>
          <t>VÄSTERBOTTENS LÄN</t>
        </is>
      </c>
      <c r="E8018" t="inlineStr">
        <is>
          <t>SKELLEFTEÅ</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16323-2025</t>
        </is>
      </c>
      <c r="B8019" s="1" t="n">
        <v>45751.34894675926</v>
      </c>
      <c r="C8019" s="1" t="n">
        <v>46145</v>
      </c>
      <c r="D8019" t="inlineStr">
        <is>
          <t>VÄSTERBOTTENS LÄN</t>
        </is>
      </c>
      <c r="E8019" t="inlineStr">
        <is>
          <t>NORDMALING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62767-2025</t>
        </is>
      </c>
      <c r="B8020" s="1" t="n">
        <v>46008.5975925926</v>
      </c>
      <c r="C8020" s="1" t="n">
        <v>46145</v>
      </c>
      <c r="D8020" t="inlineStr">
        <is>
          <t>VÄSTERBOTTENS LÄN</t>
        </is>
      </c>
      <c r="E8020" t="inlineStr">
        <is>
          <t>UMEÅ</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62476-2025</t>
        </is>
      </c>
      <c r="B8021" s="1" t="n">
        <v>46007.55145833334</v>
      </c>
      <c r="C8021" s="1" t="n">
        <v>46145</v>
      </c>
      <c r="D8021" t="inlineStr">
        <is>
          <t>VÄSTERBOTTENS LÄN</t>
        </is>
      </c>
      <c r="E8021" t="inlineStr">
        <is>
          <t>LYCKSELE</t>
        </is>
      </c>
      <c r="G8021" t="n">
        <v>36.8</v>
      </c>
      <c r="H8021" t="n">
        <v>0</v>
      </c>
      <c r="I8021" t="n">
        <v>0</v>
      </c>
      <c r="J8021" t="n">
        <v>0</v>
      </c>
      <c r="K8021" t="n">
        <v>0</v>
      </c>
      <c r="L8021" t="n">
        <v>0</v>
      </c>
      <c r="M8021" t="n">
        <v>0</v>
      </c>
      <c r="N8021" t="n">
        <v>0</v>
      </c>
      <c r="O8021" t="n">
        <v>0</v>
      </c>
      <c r="P8021" t="n">
        <v>0</v>
      </c>
      <c r="Q8021" t="n">
        <v>0</v>
      </c>
      <c r="R8021" s="2" t="inlineStr"/>
    </row>
    <row r="8022" ht="15" customHeight="1">
      <c r="A8022" t="inlineStr">
        <is>
          <t>A 62480-2025</t>
        </is>
      </c>
      <c r="B8022" s="1" t="n">
        <v>46007.55927083334</v>
      </c>
      <c r="C8022" s="1" t="n">
        <v>46145</v>
      </c>
      <c r="D8022" t="inlineStr">
        <is>
          <t>VÄSTERBOTTENS LÄN</t>
        </is>
      </c>
      <c r="E8022" t="inlineStr">
        <is>
          <t>SKELLEFTEÅ</t>
        </is>
      </c>
      <c r="F8022" t="inlineStr">
        <is>
          <t>Kommuner</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56453-2024</t>
        </is>
      </c>
      <c r="B8023" s="1" t="n">
        <v>45625.44270833334</v>
      </c>
      <c r="C8023" s="1" t="n">
        <v>46145</v>
      </c>
      <c r="D8023" t="inlineStr">
        <is>
          <t>VÄSTERBOTTENS LÄN</t>
        </is>
      </c>
      <c r="E8023" t="inlineStr">
        <is>
          <t>SKELLEFTEÅ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39809-2023</t>
        </is>
      </c>
      <c r="B8024" s="1" t="n">
        <v>45167</v>
      </c>
      <c r="C8024" s="1" t="n">
        <v>46145</v>
      </c>
      <c r="D8024" t="inlineStr">
        <is>
          <t>VÄSTERBOTTENS LÄN</t>
        </is>
      </c>
      <c r="E8024" t="inlineStr">
        <is>
          <t>VINDELN</t>
        </is>
      </c>
      <c r="F8024" t="inlineStr">
        <is>
          <t>SCA</t>
        </is>
      </c>
      <c r="G8024" t="n">
        <v>9</v>
      </c>
      <c r="H8024" t="n">
        <v>0</v>
      </c>
      <c r="I8024" t="n">
        <v>0</v>
      </c>
      <c r="J8024" t="n">
        <v>0</v>
      </c>
      <c r="K8024" t="n">
        <v>0</v>
      </c>
      <c r="L8024" t="n">
        <v>0</v>
      </c>
      <c r="M8024" t="n">
        <v>0</v>
      </c>
      <c r="N8024" t="n">
        <v>0</v>
      </c>
      <c r="O8024" t="n">
        <v>0</v>
      </c>
      <c r="P8024" t="n">
        <v>0</v>
      </c>
      <c r="Q8024" t="n">
        <v>0</v>
      </c>
      <c r="R8024" s="2" t="inlineStr"/>
    </row>
    <row r="8025" ht="15" customHeight="1">
      <c r="A8025" t="inlineStr">
        <is>
          <t>A 5997-2025</t>
        </is>
      </c>
      <c r="B8025" s="1" t="n">
        <v>45695.57164351852</v>
      </c>
      <c r="C8025" s="1" t="n">
        <v>46145</v>
      </c>
      <c r="D8025" t="inlineStr">
        <is>
          <t>VÄSTERBOTTENS LÄN</t>
        </is>
      </c>
      <c r="E8025" t="inlineStr">
        <is>
          <t>ROBERTSFORS</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39851-2023</t>
        </is>
      </c>
      <c r="B8026" s="1" t="n">
        <v>45166</v>
      </c>
      <c r="C8026" s="1" t="n">
        <v>46145</v>
      </c>
      <c r="D8026" t="inlineStr">
        <is>
          <t>VÄSTERBOTTENS LÄN</t>
        </is>
      </c>
      <c r="E8026" t="inlineStr">
        <is>
          <t>NORDMALING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51832-2024</t>
        </is>
      </c>
      <c r="B8027" s="1" t="n">
        <v>45607.50537037037</v>
      </c>
      <c r="C8027" s="1" t="n">
        <v>46145</v>
      </c>
      <c r="D8027" t="inlineStr">
        <is>
          <t>VÄSTERBOTTENS LÄN</t>
        </is>
      </c>
      <c r="E8027" t="inlineStr">
        <is>
          <t>NORDMALING</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62618-2025</t>
        </is>
      </c>
      <c r="B8028" s="1" t="n">
        <v>46008.33600694445</v>
      </c>
      <c r="C8028" s="1" t="n">
        <v>46145</v>
      </c>
      <c r="D8028" t="inlineStr">
        <is>
          <t>VÄSTERBOTTENS LÄN</t>
        </is>
      </c>
      <c r="E8028" t="inlineStr">
        <is>
          <t>SKELLEFTEÅ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62800-2025</t>
        </is>
      </c>
      <c r="B8029" s="1" t="n">
        <v>46008.63922453704</v>
      </c>
      <c r="C8029" s="1" t="n">
        <v>46145</v>
      </c>
      <c r="D8029" t="inlineStr">
        <is>
          <t>VÄSTERBOTTENS LÄN</t>
        </is>
      </c>
      <c r="E8029" t="inlineStr">
        <is>
          <t>STORUMAN</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62617-2025</t>
        </is>
      </c>
      <c r="B8030" s="1" t="n">
        <v>46008.32707175926</v>
      </c>
      <c r="C8030" s="1" t="n">
        <v>46145</v>
      </c>
      <c r="D8030" t="inlineStr">
        <is>
          <t>VÄSTERBOTTENS LÄN</t>
        </is>
      </c>
      <c r="E8030" t="inlineStr">
        <is>
          <t>SKELLEFTEÅ</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14479-2022</t>
        </is>
      </c>
      <c r="B8031" s="1" t="n">
        <v>44650</v>
      </c>
      <c r="C8031" s="1" t="n">
        <v>46145</v>
      </c>
      <c r="D8031" t="inlineStr">
        <is>
          <t>VÄSTERBOTTENS LÄN</t>
        </is>
      </c>
      <c r="E8031" t="inlineStr">
        <is>
          <t>STORUMAN</t>
        </is>
      </c>
      <c r="F8031" t="inlineStr">
        <is>
          <t>Övriga statliga verk och myndigheter</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62605-2025</t>
        </is>
      </c>
      <c r="B8032" s="1" t="n">
        <v>46008.27005787037</v>
      </c>
      <c r="C8032" s="1" t="n">
        <v>46145</v>
      </c>
      <c r="D8032" t="inlineStr">
        <is>
          <t>VÄSTERBOTTENS LÄN</t>
        </is>
      </c>
      <c r="E8032" t="inlineStr">
        <is>
          <t>SKELLEFTEÅ</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62606-2025</t>
        </is>
      </c>
      <c r="B8033" s="1" t="n">
        <v>46008.28149305555</v>
      </c>
      <c r="C8033" s="1" t="n">
        <v>46145</v>
      </c>
      <c r="D8033" t="inlineStr">
        <is>
          <t>VÄSTERBOTTENS LÄN</t>
        </is>
      </c>
      <c r="E8033" t="inlineStr">
        <is>
          <t>SKELLEFTEÅ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62438-2025</t>
        </is>
      </c>
      <c r="B8034" s="1" t="n">
        <v>46007.46914351852</v>
      </c>
      <c r="C8034" s="1" t="n">
        <v>46145</v>
      </c>
      <c r="D8034" t="inlineStr">
        <is>
          <t>VÄSTERBOTTENS LÄN</t>
        </is>
      </c>
      <c r="E8034" t="inlineStr">
        <is>
          <t>DOROTEA</t>
        </is>
      </c>
      <c r="G8034" t="n">
        <v>11.9</v>
      </c>
      <c r="H8034" t="n">
        <v>0</v>
      </c>
      <c r="I8034" t="n">
        <v>0</v>
      </c>
      <c r="J8034" t="n">
        <v>0</v>
      </c>
      <c r="K8034" t="n">
        <v>0</v>
      </c>
      <c r="L8034" t="n">
        <v>0</v>
      </c>
      <c r="M8034" t="n">
        <v>0</v>
      </c>
      <c r="N8034" t="n">
        <v>0</v>
      </c>
      <c r="O8034" t="n">
        <v>0</v>
      </c>
      <c r="P8034" t="n">
        <v>0</v>
      </c>
      <c r="Q8034" t="n">
        <v>0</v>
      </c>
      <c r="R8034" s="2" t="inlineStr"/>
    </row>
    <row r="8035" ht="15" customHeight="1">
      <c r="A8035" t="inlineStr">
        <is>
          <t>A 15352-2025</t>
        </is>
      </c>
      <c r="B8035" s="1" t="n">
        <v>45747</v>
      </c>
      <c r="C8035" s="1" t="n">
        <v>46145</v>
      </c>
      <c r="D8035" t="inlineStr">
        <is>
          <t>VÄSTERBOTTENS LÄN</t>
        </is>
      </c>
      <c r="E8035" t="inlineStr">
        <is>
          <t>DOROTEA</t>
        </is>
      </c>
      <c r="G8035" t="n">
        <v>10.3</v>
      </c>
      <c r="H8035" t="n">
        <v>0</v>
      </c>
      <c r="I8035" t="n">
        <v>0</v>
      </c>
      <c r="J8035" t="n">
        <v>0</v>
      </c>
      <c r="K8035" t="n">
        <v>0</v>
      </c>
      <c r="L8035" t="n">
        <v>0</v>
      </c>
      <c r="M8035" t="n">
        <v>0</v>
      </c>
      <c r="N8035" t="n">
        <v>0</v>
      </c>
      <c r="O8035" t="n">
        <v>0</v>
      </c>
      <c r="P8035" t="n">
        <v>0</v>
      </c>
      <c r="Q8035" t="n">
        <v>0</v>
      </c>
      <c r="R8035" s="2" t="inlineStr"/>
    </row>
    <row r="8036" ht="15" customHeight="1">
      <c r="A8036" t="inlineStr">
        <is>
          <t>A 8238-2025</t>
        </is>
      </c>
      <c r="B8036" s="1" t="n">
        <v>45708.47898148148</v>
      </c>
      <c r="C8036" s="1" t="n">
        <v>46145</v>
      </c>
      <c r="D8036" t="inlineStr">
        <is>
          <t>VÄSTERBOTTENS LÄN</t>
        </is>
      </c>
      <c r="E8036" t="inlineStr">
        <is>
          <t>ROBERTSFORS</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38832-2024</t>
        </is>
      </c>
      <c r="B8037" s="1" t="n">
        <v>45547</v>
      </c>
      <c r="C8037" s="1" t="n">
        <v>46145</v>
      </c>
      <c r="D8037" t="inlineStr">
        <is>
          <t>VÄSTERBOTTENS LÄN</t>
        </is>
      </c>
      <c r="E8037" t="inlineStr">
        <is>
          <t>NORSJÖ</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62423-2025</t>
        </is>
      </c>
      <c r="B8038" s="1" t="n">
        <v>46007.4487037037</v>
      </c>
      <c r="C8038" s="1" t="n">
        <v>46145</v>
      </c>
      <c r="D8038" t="inlineStr">
        <is>
          <t>VÄSTERBOTTENS LÄN</t>
        </is>
      </c>
      <c r="E8038" t="inlineStr">
        <is>
          <t>DOROTEA</t>
        </is>
      </c>
      <c r="G8038" t="n">
        <v>13.2</v>
      </c>
      <c r="H8038" t="n">
        <v>0</v>
      </c>
      <c r="I8038" t="n">
        <v>0</v>
      </c>
      <c r="J8038" t="n">
        <v>0</v>
      </c>
      <c r="K8038" t="n">
        <v>0</v>
      </c>
      <c r="L8038" t="n">
        <v>0</v>
      </c>
      <c r="M8038" t="n">
        <v>0</v>
      </c>
      <c r="N8038" t="n">
        <v>0</v>
      </c>
      <c r="O8038" t="n">
        <v>0</v>
      </c>
      <c r="P8038" t="n">
        <v>0</v>
      </c>
      <c r="Q8038" t="n">
        <v>0</v>
      </c>
      <c r="R8038" s="2" t="inlineStr"/>
    </row>
    <row r="8039" ht="15" customHeight="1">
      <c r="A8039" t="inlineStr">
        <is>
          <t>A 8317-2025</t>
        </is>
      </c>
      <c r="B8039" s="1" t="n">
        <v>45708</v>
      </c>
      <c r="C8039" s="1" t="n">
        <v>46145</v>
      </c>
      <c r="D8039" t="inlineStr">
        <is>
          <t>VÄSTERBOTTENS LÄN</t>
        </is>
      </c>
      <c r="E8039" t="inlineStr">
        <is>
          <t>UMEÅ</t>
        </is>
      </c>
      <c r="F8039" t="inlineStr">
        <is>
          <t>Holmen skog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33571-2021</t>
        </is>
      </c>
      <c r="B8040" s="1" t="n">
        <v>44377</v>
      </c>
      <c r="C8040" s="1" t="n">
        <v>46145</v>
      </c>
      <c r="D8040" t="inlineStr">
        <is>
          <t>VÄSTERBOTTENS LÄN</t>
        </is>
      </c>
      <c r="E8040" t="inlineStr">
        <is>
          <t>ÅSELE</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43954-2024</t>
        </is>
      </c>
      <c r="B8041" s="1" t="n">
        <v>45572.47539351852</v>
      </c>
      <c r="C8041" s="1" t="n">
        <v>46145</v>
      </c>
      <c r="D8041" t="inlineStr">
        <is>
          <t>VÄSTERBOTTENS LÄN</t>
        </is>
      </c>
      <c r="E8041" t="inlineStr">
        <is>
          <t>SKELLEFTEÅ</t>
        </is>
      </c>
      <c r="F8041" t="inlineStr">
        <is>
          <t>Sveaskog</t>
        </is>
      </c>
      <c r="G8041" t="n">
        <v>24.1</v>
      </c>
      <c r="H8041" t="n">
        <v>0</v>
      </c>
      <c r="I8041" t="n">
        <v>0</v>
      </c>
      <c r="J8041" t="n">
        <v>0</v>
      </c>
      <c r="K8041" t="n">
        <v>0</v>
      </c>
      <c r="L8041" t="n">
        <v>0</v>
      </c>
      <c r="M8041" t="n">
        <v>0</v>
      </c>
      <c r="N8041" t="n">
        <v>0</v>
      </c>
      <c r="O8041" t="n">
        <v>0</v>
      </c>
      <c r="P8041" t="n">
        <v>0</v>
      </c>
      <c r="Q8041" t="n">
        <v>0</v>
      </c>
      <c r="R8041" s="2" t="inlineStr"/>
    </row>
    <row r="8042" ht="15" customHeight="1">
      <c r="A8042" t="inlineStr">
        <is>
          <t>A 62364-2025</t>
        </is>
      </c>
      <c r="B8042" s="1" t="n">
        <v>46007.32546296297</v>
      </c>
      <c r="C8042" s="1" t="n">
        <v>46145</v>
      </c>
      <c r="D8042" t="inlineStr">
        <is>
          <t>VÄSTERBOTTENS LÄN</t>
        </is>
      </c>
      <c r="E8042" t="inlineStr">
        <is>
          <t>ÅSELE</t>
        </is>
      </c>
      <c r="F8042" t="inlineStr">
        <is>
          <t>Sveaskog</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43396-2023</t>
        </is>
      </c>
      <c r="B8043" s="1" t="n">
        <v>45183.92153935185</v>
      </c>
      <c r="C8043" s="1" t="n">
        <v>46145</v>
      </c>
      <c r="D8043" t="inlineStr">
        <is>
          <t>VÄSTERBOTTENS LÄN</t>
        </is>
      </c>
      <c r="E8043" t="inlineStr">
        <is>
          <t>NORSJÖ</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62607-2025</t>
        </is>
      </c>
      <c r="B8044" s="1" t="n">
        <v>46008.28662037037</v>
      </c>
      <c r="C8044" s="1" t="n">
        <v>46145</v>
      </c>
      <c r="D8044" t="inlineStr">
        <is>
          <t>VÄSTERBOTTENS LÄN</t>
        </is>
      </c>
      <c r="E8044" t="inlineStr">
        <is>
          <t>SKELLEFTEÅ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62631-2025</t>
        </is>
      </c>
      <c r="B8045" s="1" t="n">
        <v>46008.35678240741</v>
      </c>
      <c r="C8045" s="1" t="n">
        <v>46145</v>
      </c>
      <c r="D8045" t="inlineStr">
        <is>
          <t>VÄSTERBOTTENS LÄN</t>
        </is>
      </c>
      <c r="E8045" t="inlineStr">
        <is>
          <t>SKELLEFTEÅ</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62644-2025</t>
        </is>
      </c>
      <c r="B8046" s="1" t="n">
        <v>46008.38592592593</v>
      </c>
      <c r="C8046" s="1" t="n">
        <v>46145</v>
      </c>
      <c r="D8046" t="inlineStr">
        <is>
          <t>VÄSTERBOTTENS LÄN</t>
        </is>
      </c>
      <c r="E8046" t="inlineStr">
        <is>
          <t>SKELLEFTEÅ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17132-2025</t>
        </is>
      </c>
      <c r="B8047" s="1" t="n">
        <v>45755</v>
      </c>
      <c r="C8047" s="1" t="n">
        <v>46145</v>
      </c>
      <c r="D8047" t="inlineStr">
        <is>
          <t>VÄSTERBOTTENS LÄN</t>
        </is>
      </c>
      <c r="E8047" t="inlineStr">
        <is>
          <t>DOROTEA</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62487-2025</t>
        </is>
      </c>
      <c r="B8048" s="1" t="n">
        <v>46007.56681712963</v>
      </c>
      <c r="C8048" s="1" t="n">
        <v>46145</v>
      </c>
      <c r="D8048" t="inlineStr">
        <is>
          <t>VÄSTERBOTTENS LÄN</t>
        </is>
      </c>
      <c r="E8048" t="inlineStr">
        <is>
          <t>SKELLEFTEÅ</t>
        </is>
      </c>
      <c r="F8048" t="inlineStr">
        <is>
          <t>Holmen skog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62488-2025</t>
        </is>
      </c>
      <c r="B8049" s="1" t="n">
        <v>46007</v>
      </c>
      <c r="C8049" s="1" t="n">
        <v>46145</v>
      </c>
      <c r="D8049" t="inlineStr">
        <is>
          <t>VÄSTERBOTTENS LÄN</t>
        </is>
      </c>
      <c r="E8049" t="inlineStr">
        <is>
          <t>SKELLEFTEÅ</t>
        </is>
      </c>
      <c r="F8049" t="inlineStr">
        <is>
          <t>Kommuner</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62489-2025</t>
        </is>
      </c>
      <c r="B8050" s="1" t="n">
        <v>46007.56927083333</v>
      </c>
      <c r="C8050" s="1" t="n">
        <v>46145</v>
      </c>
      <c r="D8050" t="inlineStr">
        <is>
          <t>VÄSTERBOTTENS LÄN</t>
        </is>
      </c>
      <c r="E8050" t="inlineStr">
        <is>
          <t>SKELLEFTEÅ</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61082-2024</t>
        </is>
      </c>
      <c r="B8051" s="1" t="n">
        <v>45644</v>
      </c>
      <c r="C8051" s="1" t="n">
        <v>46145</v>
      </c>
      <c r="D8051" t="inlineStr">
        <is>
          <t>VÄSTERBOTTENS LÄN</t>
        </is>
      </c>
      <c r="E8051" t="inlineStr">
        <is>
          <t>DOROTEA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62396-2025</t>
        </is>
      </c>
      <c r="B8052" s="1" t="n">
        <v>46007.40012731482</v>
      </c>
      <c r="C8052" s="1" t="n">
        <v>46145</v>
      </c>
      <c r="D8052" t="inlineStr">
        <is>
          <t>VÄSTERBOTTENS LÄN</t>
        </is>
      </c>
      <c r="E8052" t="inlineStr">
        <is>
          <t>SKELLEFTEÅ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62398-2025</t>
        </is>
      </c>
      <c r="B8053" s="1" t="n">
        <v>46007.40207175926</v>
      </c>
      <c r="C8053" s="1" t="n">
        <v>46145</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16453-2024</t>
        </is>
      </c>
      <c r="B8054" s="1" t="n">
        <v>45407</v>
      </c>
      <c r="C8054" s="1" t="n">
        <v>46145</v>
      </c>
      <c r="D8054" t="inlineStr">
        <is>
          <t>VÄSTERBOTTENS LÄN</t>
        </is>
      </c>
      <c r="E8054" t="inlineStr">
        <is>
          <t>UMEÅ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62468-2025</t>
        </is>
      </c>
      <c r="B8055" s="1" t="n">
        <v>46007.51100694444</v>
      </c>
      <c r="C8055" s="1" t="n">
        <v>46145</v>
      </c>
      <c r="D8055" t="inlineStr">
        <is>
          <t>VÄSTERBOTTENS LÄN</t>
        </is>
      </c>
      <c r="E8055" t="inlineStr">
        <is>
          <t>SORSELE</t>
        </is>
      </c>
      <c r="G8055" t="n">
        <v>14.6</v>
      </c>
      <c r="H8055" t="n">
        <v>0</v>
      </c>
      <c r="I8055" t="n">
        <v>0</v>
      </c>
      <c r="J8055" t="n">
        <v>0</v>
      </c>
      <c r="K8055" t="n">
        <v>0</v>
      </c>
      <c r="L8055" t="n">
        <v>0</v>
      </c>
      <c r="M8055" t="n">
        <v>0</v>
      </c>
      <c r="N8055" t="n">
        <v>0</v>
      </c>
      <c r="O8055" t="n">
        <v>0</v>
      </c>
      <c r="P8055" t="n">
        <v>0</v>
      </c>
      <c r="Q8055" t="n">
        <v>0</v>
      </c>
      <c r="R8055" s="2" t="inlineStr"/>
    </row>
    <row r="8056" ht="15" customHeight="1">
      <c r="A8056" t="inlineStr">
        <is>
          <t>A 62497-2025</t>
        </is>
      </c>
      <c r="B8056" s="1" t="n">
        <v>46007.57502314815</v>
      </c>
      <c r="C8056" s="1" t="n">
        <v>46145</v>
      </c>
      <c r="D8056" t="inlineStr">
        <is>
          <t>VÄSTERBOTTENS LÄN</t>
        </is>
      </c>
      <c r="E8056" t="inlineStr">
        <is>
          <t>SKELLEFTEÅ</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932-2022</t>
        </is>
      </c>
      <c r="B8057" s="1" t="n">
        <v>44571</v>
      </c>
      <c r="C8057" s="1" t="n">
        <v>46145</v>
      </c>
      <c r="D8057" t="inlineStr">
        <is>
          <t>VÄSTERBOTTENS LÄN</t>
        </is>
      </c>
      <c r="E8057" t="inlineStr">
        <is>
          <t>LYCKSELE</t>
        </is>
      </c>
      <c r="F8057" t="inlineStr">
        <is>
          <t>Sveaskog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72841-2021</t>
        </is>
      </c>
      <c r="B8058" s="1" t="n">
        <v>44547.45057870371</v>
      </c>
      <c r="C8058" s="1" t="n">
        <v>46145</v>
      </c>
      <c r="D8058" t="inlineStr">
        <is>
          <t>VÄSTERBOTTENS LÄN</t>
        </is>
      </c>
      <c r="E8058" t="inlineStr">
        <is>
          <t>NORDMALING</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51826-2023</t>
        </is>
      </c>
      <c r="B8059" s="1" t="n">
        <v>45222.9678125</v>
      </c>
      <c r="C8059" s="1" t="n">
        <v>46145</v>
      </c>
      <c r="D8059" t="inlineStr">
        <is>
          <t>VÄSTERBOTTENS LÄN</t>
        </is>
      </c>
      <c r="E8059" t="inlineStr">
        <is>
          <t>VILHELMINA</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5772-2025</t>
        </is>
      </c>
      <c r="B8060" s="1" t="n">
        <v>45694.59717592593</v>
      </c>
      <c r="C8060" s="1" t="n">
        <v>46145</v>
      </c>
      <c r="D8060" t="inlineStr">
        <is>
          <t>VÄSTERBOTTENS LÄN</t>
        </is>
      </c>
      <c r="E8060" t="inlineStr">
        <is>
          <t>NORSJÖ</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5830-2025</t>
        </is>
      </c>
      <c r="B8061" s="1" t="n">
        <v>45694</v>
      </c>
      <c r="C8061" s="1" t="n">
        <v>46145</v>
      </c>
      <c r="D8061" t="inlineStr">
        <is>
          <t>VÄSTERBOTTENS LÄN</t>
        </is>
      </c>
      <c r="E8061" t="inlineStr">
        <is>
          <t>SKELLEFTEÅ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5831-2025</t>
        </is>
      </c>
      <c r="B8062" s="1" t="n">
        <v>45694</v>
      </c>
      <c r="C8062" s="1" t="n">
        <v>46145</v>
      </c>
      <c r="D8062" t="inlineStr">
        <is>
          <t>VÄSTERBOTTENS LÄN</t>
        </is>
      </c>
      <c r="E8062" t="inlineStr">
        <is>
          <t>SKELLEFTEÅ</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48542-2023</t>
        </is>
      </c>
      <c r="B8063" s="1" t="n">
        <v>45208.3863425926</v>
      </c>
      <c r="C8063" s="1" t="n">
        <v>46145</v>
      </c>
      <c r="D8063" t="inlineStr">
        <is>
          <t>VÄSTERBOTTENS LÄN</t>
        </is>
      </c>
      <c r="E8063" t="inlineStr">
        <is>
          <t>LYCKSELE</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62813-2025</t>
        </is>
      </c>
      <c r="B8064" s="1" t="n">
        <v>46008.64984953704</v>
      </c>
      <c r="C8064" s="1" t="n">
        <v>46145</v>
      </c>
      <c r="D8064" t="inlineStr">
        <is>
          <t>VÄSTERBOTTENS LÄN</t>
        </is>
      </c>
      <c r="E8064" t="inlineStr">
        <is>
          <t>UMEÅ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62403-2025</t>
        </is>
      </c>
      <c r="B8065" s="1" t="n">
        <v>46007.42085648148</v>
      </c>
      <c r="C8065" s="1" t="n">
        <v>46145</v>
      </c>
      <c r="D8065" t="inlineStr">
        <is>
          <t>VÄSTERBOTTENS LÄN</t>
        </is>
      </c>
      <c r="E8065" t="inlineStr">
        <is>
          <t>SKELLEFTEÅ</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18394-2025</t>
        </is>
      </c>
      <c r="B8066" s="1" t="n">
        <v>45762</v>
      </c>
      <c r="C8066" s="1" t="n">
        <v>46145</v>
      </c>
      <c r="D8066" t="inlineStr">
        <is>
          <t>VÄSTERBOTTENS LÄN</t>
        </is>
      </c>
      <c r="E8066" t="inlineStr">
        <is>
          <t>VILHELMINA</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4376-2022</t>
        </is>
      </c>
      <c r="B8067" s="1" t="n">
        <v>44588</v>
      </c>
      <c r="C8067" s="1" t="n">
        <v>46145</v>
      </c>
      <c r="D8067" t="inlineStr">
        <is>
          <t>VÄSTERBOTTENS LÄN</t>
        </is>
      </c>
      <c r="E8067" t="inlineStr">
        <is>
          <t>ROBERTSFORS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19614-2025</t>
        </is>
      </c>
      <c r="B8068" s="1" t="n">
        <v>45770.61505787037</v>
      </c>
      <c r="C8068" s="1" t="n">
        <v>46145</v>
      </c>
      <c r="D8068" t="inlineStr">
        <is>
          <t>VÄSTERBOTTENS LÄN</t>
        </is>
      </c>
      <c r="E8068" t="inlineStr">
        <is>
          <t>ÅSELE</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62794-2025</t>
        </is>
      </c>
      <c r="B8069" s="1" t="n">
        <v>46008.63635416667</v>
      </c>
      <c r="C8069" s="1" t="n">
        <v>46145</v>
      </c>
      <c r="D8069" t="inlineStr">
        <is>
          <t>VÄSTERBOTTENS LÄN</t>
        </is>
      </c>
      <c r="E8069" t="inlineStr">
        <is>
          <t>NORSJÖ</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19731-2025</t>
        </is>
      </c>
      <c r="B8070" s="1" t="n">
        <v>45771.36564814814</v>
      </c>
      <c r="C8070" s="1" t="n">
        <v>46145</v>
      </c>
      <c r="D8070" t="inlineStr">
        <is>
          <t>VÄSTERBOTTENS LÄN</t>
        </is>
      </c>
      <c r="E8070" t="inlineStr">
        <is>
          <t>SKELLEFTEÅ</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49926-2023</t>
        </is>
      </c>
      <c r="B8071" s="1" t="n">
        <v>45214.87300925926</v>
      </c>
      <c r="C8071" s="1" t="n">
        <v>46145</v>
      </c>
      <c r="D8071" t="inlineStr">
        <is>
          <t>VÄSTERBOTTENS LÄN</t>
        </is>
      </c>
      <c r="E8071" t="inlineStr">
        <is>
          <t>ÅSELE</t>
        </is>
      </c>
      <c r="F8071" t="inlineStr">
        <is>
          <t>Holmen skog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49928-2023</t>
        </is>
      </c>
      <c r="B8072" s="1" t="n">
        <v>45214.93665509259</v>
      </c>
      <c r="C8072" s="1" t="n">
        <v>46145</v>
      </c>
      <c r="D8072" t="inlineStr">
        <is>
          <t>VÄSTERBOTTENS LÄN</t>
        </is>
      </c>
      <c r="E8072" t="inlineStr">
        <is>
          <t>ÅSELE</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62758-2025</t>
        </is>
      </c>
      <c r="B8073" s="1" t="n">
        <v>46008</v>
      </c>
      <c r="C8073" s="1" t="n">
        <v>46145</v>
      </c>
      <c r="D8073" t="inlineStr">
        <is>
          <t>VÄSTERBOTTENS LÄN</t>
        </is>
      </c>
      <c r="E8073" t="inlineStr">
        <is>
          <t>NORSJÖ</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42988-2023</t>
        </is>
      </c>
      <c r="B8074" s="1" t="n">
        <v>45182</v>
      </c>
      <c r="C8074" s="1" t="n">
        <v>46145</v>
      </c>
      <c r="D8074" t="inlineStr">
        <is>
          <t>VÄSTERBOTTENS LÄN</t>
        </is>
      </c>
      <c r="E8074" t="inlineStr">
        <is>
          <t>MALÅ</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62591-2025</t>
        </is>
      </c>
      <c r="B8075" s="1" t="n">
        <v>46007.88758101852</v>
      </c>
      <c r="C8075" s="1" t="n">
        <v>46145</v>
      </c>
      <c r="D8075" t="inlineStr">
        <is>
          <t>VÄSTERBOTTENS LÄN</t>
        </is>
      </c>
      <c r="E8075" t="inlineStr">
        <is>
          <t>BJURHOLM</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59348-2024</t>
        </is>
      </c>
      <c r="B8076" s="1" t="n">
        <v>45638</v>
      </c>
      <c r="C8076" s="1" t="n">
        <v>46145</v>
      </c>
      <c r="D8076" t="inlineStr">
        <is>
          <t>VÄSTERBOTTENS LÄN</t>
        </is>
      </c>
      <c r="E8076" t="inlineStr">
        <is>
          <t>NORDMALING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62424-2025</t>
        </is>
      </c>
      <c r="B8077" s="1" t="n">
        <v>46007.44877314815</v>
      </c>
      <c r="C8077" s="1" t="n">
        <v>46145</v>
      </c>
      <c r="D8077" t="inlineStr">
        <is>
          <t>VÄSTERBOTTENS LÄN</t>
        </is>
      </c>
      <c r="E8077" t="inlineStr">
        <is>
          <t>DOROTEA</t>
        </is>
      </c>
      <c r="G8077" t="n">
        <v>12.3</v>
      </c>
      <c r="H8077" t="n">
        <v>0</v>
      </c>
      <c r="I8077" t="n">
        <v>0</v>
      </c>
      <c r="J8077" t="n">
        <v>0</v>
      </c>
      <c r="K8077" t="n">
        <v>0</v>
      </c>
      <c r="L8077" t="n">
        <v>0</v>
      </c>
      <c r="M8077" t="n">
        <v>0</v>
      </c>
      <c r="N8077" t="n">
        <v>0</v>
      </c>
      <c r="O8077" t="n">
        <v>0</v>
      </c>
      <c r="P8077" t="n">
        <v>0</v>
      </c>
      <c r="Q8077" t="n">
        <v>0</v>
      </c>
      <c r="R8077" s="2" t="inlineStr"/>
    </row>
    <row r="8078" ht="15" customHeight="1">
      <c r="A8078" t="inlineStr">
        <is>
          <t>A 20524-2024</t>
        </is>
      </c>
      <c r="B8078" s="1" t="n">
        <v>45435.94567129629</v>
      </c>
      <c r="C8078" s="1" t="n">
        <v>46145</v>
      </c>
      <c r="D8078" t="inlineStr">
        <is>
          <t>VÄSTERBOTTENS LÄN</t>
        </is>
      </c>
      <c r="E8078" t="inlineStr">
        <is>
          <t>VILHELMINA</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62498-2025</t>
        </is>
      </c>
      <c r="B8079" s="1" t="n">
        <v>46007.57701388889</v>
      </c>
      <c r="C8079" s="1" t="n">
        <v>46145</v>
      </c>
      <c r="D8079" t="inlineStr">
        <is>
          <t>VÄSTERBOTTENS LÄN</t>
        </is>
      </c>
      <c r="E8079" t="inlineStr">
        <is>
          <t>SKELLEFTEÅ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35803-2023</t>
        </is>
      </c>
      <c r="B8080" s="1" t="n">
        <v>45147</v>
      </c>
      <c r="C8080" s="1" t="n">
        <v>46145</v>
      </c>
      <c r="D8080" t="inlineStr">
        <is>
          <t>VÄSTERBOTTENS LÄN</t>
        </is>
      </c>
      <c r="E8080" t="inlineStr">
        <is>
          <t>NORDMALING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51308-2023</t>
        </is>
      </c>
      <c r="B8081" s="1" t="n">
        <v>45212</v>
      </c>
      <c r="C8081" s="1" t="n">
        <v>46145</v>
      </c>
      <c r="D8081" t="inlineStr">
        <is>
          <t>VÄSTERBOTTENS LÄN</t>
        </is>
      </c>
      <c r="E8081" t="inlineStr">
        <is>
          <t>MALÅ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63096-2025</t>
        </is>
      </c>
      <c r="B8082" s="1" t="n">
        <v>46009.69010416666</v>
      </c>
      <c r="C8082" s="1" t="n">
        <v>46145</v>
      </c>
      <c r="D8082" t="inlineStr">
        <is>
          <t>VÄSTERBOTTENS LÄN</t>
        </is>
      </c>
      <c r="E8082" t="inlineStr">
        <is>
          <t>LYCKSELE</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63131-2025</t>
        </is>
      </c>
      <c r="B8083" s="1" t="n">
        <v>46010.24019675926</v>
      </c>
      <c r="C8083" s="1" t="n">
        <v>46145</v>
      </c>
      <c r="D8083" t="inlineStr">
        <is>
          <t>VÄSTERBOTTENS LÄN</t>
        </is>
      </c>
      <c r="E8083" t="inlineStr">
        <is>
          <t>UMEÅ</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63132-2025</t>
        </is>
      </c>
      <c r="B8084" s="1" t="n">
        <v>46010.27672453703</v>
      </c>
      <c r="C8084" s="1" t="n">
        <v>46145</v>
      </c>
      <c r="D8084" t="inlineStr">
        <is>
          <t>VÄSTERBOTTENS LÄN</t>
        </is>
      </c>
      <c r="E8084" t="inlineStr">
        <is>
          <t>UMEÅ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57295-2025</t>
        </is>
      </c>
      <c r="B8085" s="1" t="n">
        <v>45979</v>
      </c>
      <c r="C8085" s="1" t="n">
        <v>46145</v>
      </c>
      <c r="D8085" t="inlineStr">
        <is>
          <t>VÄSTERBOTTENS LÄN</t>
        </is>
      </c>
      <c r="E8085" t="inlineStr">
        <is>
          <t>LYCKSELE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57297-2025</t>
        </is>
      </c>
      <c r="B8086" s="1" t="n">
        <v>45979</v>
      </c>
      <c r="C8086" s="1" t="n">
        <v>46145</v>
      </c>
      <c r="D8086" t="inlineStr">
        <is>
          <t>VÄSTERBOTTENS LÄN</t>
        </is>
      </c>
      <c r="E8086" t="inlineStr">
        <is>
          <t>LYCKSELE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57298-2025</t>
        </is>
      </c>
      <c r="B8087" s="1" t="n">
        <v>45979</v>
      </c>
      <c r="C8087" s="1" t="n">
        <v>46145</v>
      </c>
      <c r="D8087" t="inlineStr">
        <is>
          <t>VÄSTERBOTTENS LÄN</t>
        </is>
      </c>
      <c r="E8087" t="inlineStr">
        <is>
          <t>LYCKSELE</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10173-2022</t>
        </is>
      </c>
      <c r="B8088" s="1" t="n">
        <v>44622</v>
      </c>
      <c r="C8088" s="1" t="n">
        <v>46145</v>
      </c>
      <c r="D8088" t="inlineStr">
        <is>
          <t>VÄSTERBOTTENS LÄN</t>
        </is>
      </c>
      <c r="E8088" t="inlineStr">
        <is>
          <t>ROBERTSFORS</t>
        </is>
      </c>
      <c r="F8088" t="inlineStr">
        <is>
          <t>Holmen skog AB</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62974-2025</t>
        </is>
      </c>
      <c r="B8089" s="1" t="n">
        <v>46009.46942129629</v>
      </c>
      <c r="C8089" s="1" t="n">
        <v>46145</v>
      </c>
      <c r="D8089" t="inlineStr">
        <is>
          <t>VÄSTERBOTTENS LÄN</t>
        </is>
      </c>
      <c r="E8089" t="inlineStr">
        <is>
          <t>DOROTEA</t>
        </is>
      </c>
      <c r="F8089" t="inlineStr">
        <is>
          <t>SCA</t>
        </is>
      </c>
      <c r="G8089" t="n">
        <v>9.4</v>
      </c>
      <c r="H8089" t="n">
        <v>0</v>
      </c>
      <c r="I8089" t="n">
        <v>0</v>
      </c>
      <c r="J8089" t="n">
        <v>0</v>
      </c>
      <c r="K8089" t="n">
        <v>0</v>
      </c>
      <c r="L8089" t="n">
        <v>0</v>
      </c>
      <c r="M8089" t="n">
        <v>0</v>
      </c>
      <c r="N8089" t="n">
        <v>0</v>
      </c>
      <c r="O8089" t="n">
        <v>0</v>
      </c>
      <c r="P8089" t="n">
        <v>0</v>
      </c>
      <c r="Q8089" t="n">
        <v>0</v>
      </c>
      <c r="R8089" s="2" t="inlineStr"/>
    </row>
    <row r="8090" ht="15" customHeight="1">
      <c r="A8090" t="inlineStr">
        <is>
          <t>A 21135-2024</t>
        </is>
      </c>
      <c r="B8090" s="1" t="n">
        <v>45440</v>
      </c>
      <c r="C8090" s="1" t="n">
        <v>46145</v>
      </c>
      <c r="D8090" t="inlineStr">
        <is>
          <t>VÄSTERBOTTENS LÄN</t>
        </is>
      </c>
      <c r="E8090" t="inlineStr">
        <is>
          <t>VÄNNÄS</t>
        </is>
      </c>
      <c r="F8090" t="inlineStr">
        <is>
          <t>Holmen skog AB</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27868-2023</t>
        </is>
      </c>
      <c r="B8091" s="1" t="n">
        <v>45098</v>
      </c>
      <c r="C8091" s="1" t="n">
        <v>46145</v>
      </c>
      <c r="D8091" t="inlineStr">
        <is>
          <t>VÄSTERBOTTENS LÄN</t>
        </is>
      </c>
      <c r="E8091" t="inlineStr">
        <is>
          <t>ÅSELE</t>
        </is>
      </c>
      <c r="F8091" t="inlineStr">
        <is>
          <t>Sveaskog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62996-2025</t>
        </is>
      </c>
      <c r="B8092" s="1" t="n">
        <v>46009.55274305555</v>
      </c>
      <c r="C8092" s="1" t="n">
        <v>46145</v>
      </c>
      <c r="D8092" t="inlineStr">
        <is>
          <t>VÄSTERBOTTENS LÄN</t>
        </is>
      </c>
      <c r="E8092" t="inlineStr">
        <is>
          <t>VINDELN</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19578-2024</t>
        </is>
      </c>
      <c r="B8093" s="1" t="n">
        <v>45429.92396990741</v>
      </c>
      <c r="C8093" s="1" t="n">
        <v>46145</v>
      </c>
      <c r="D8093" t="inlineStr">
        <is>
          <t>VÄSTERBOTTENS LÄN</t>
        </is>
      </c>
      <c r="E8093" t="inlineStr">
        <is>
          <t>BJURHOLM</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63022-2025</t>
        </is>
      </c>
      <c r="B8094" s="1" t="n">
        <v>46009.59435185185</v>
      </c>
      <c r="C8094" s="1" t="n">
        <v>46145</v>
      </c>
      <c r="D8094" t="inlineStr">
        <is>
          <t>VÄSTERBOTTENS LÄN</t>
        </is>
      </c>
      <c r="E8094" t="inlineStr">
        <is>
          <t>VINDELN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63077-2025</t>
        </is>
      </c>
      <c r="B8095" s="1" t="n">
        <v>46009.66359953704</v>
      </c>
      <c r="C8095" s="1" t="n">
        <v>46145</v>
      </c>
      <c r="D8095" t="inlineStr">
        <is>
          <t>VÄSTERBOTTENS LÄN</t>
        </is>
      </c>
      <c r="E8095" t="inlineStr">
        <is>
          <t>NORDMALING</t>
        </is>
      </c>
      <c r="G8095" t="n">
        <v>10.4</v>
      </c>
      <c r="H8095" t="n">
        <v>0</v>
      </c>
      <c r="I8095" t="n">
        <v>0</v>
      </c>
      <c r="J8095" t="n">
        <v>0</v>
      </c>
      <c r="K8095" t="n">
        <v>0</v>
      </c>
      <c r="L8095" t="n">
        <v>0</v>
      </c>
      <c r="M8095" t="n">
        <v>0</v>
      </c>
      <c r="N8095" t="n">
        <v>0</v>
      </c>
      <c r="O8095" t="n">
        <v>0</v>
      </c>
      <c r="P8095" t="n">
        <v>0</v>
      </c>
      <c r="Q8095" t="n">
        <v>0</v>
      </c>
      <c r="R8095" s="2" t="inlineStr"/>
    </row>
    <row r="8096" ht="15" customHeight="1">
      <c r="A8096" t="inlineStr">
        <is>
          <t>A 61990-2024</t>
        </is>
      </c>
      <c r="B8096" s="1" t="n">
        <v>45646</v>
      </c>
      <c r="C8096" s="1" t="n">
        <v>46145</v>
      </c>
      <c r="D8096" t="inlineStr">
        <is>
          <t>VÄSTERBOTTENS LÄN</t>
        </is>
      </c>
      <c r="E8096" t="inlineStr">
        <is>
          <t>MALÅ</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63100-2025</t>
        </is>
      </c>
      <c r="B8097" s="1" t="n">
        <v>46009.69855324074</v>
      </c>
      <c r="C8097" s="1" t="n">
        <v>46145</v>
      </c>
      <c r="D8097" t="inlineStr">
        <is>
          <t>VÄSTERBOTTENS LÄN</t>
        </is>
      </c>
      <c r="E8097" t="inlineStr">
        <is>
          <t>LYCKSELE</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63939-2025</t>
        </is>
      </c>
      <c r="B8098" s="1" t="n">
        <v>46010</v>
      </c>
      <c r="C8098" s="1" t="n">
        <v>46145</v>
      </c>
      <c r="D8098" t="inlineStr">
        <is>
          <t>VÄSTERBOTTENS LÄN</t>
        </is>
      </c>
      <c r="E8098" t="inlineStr">
        <is>
          <t>DOROTEA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63110-2025</t>
        </is>
      </c>
      <c r="B8099" s="1" t="n">
        <v>46009</v>
      </c>
      <c r="C8099" s="1" t="n">
        <v>46145</v>
      </c>
      <c r="D8099" t="inlineStr">
        <is>
          <t>VÄSTERBOTTENS LÄN</t>
        </is>
      </c>
      <c r="E8099" t="inlineStr">
        <is>
          <t>VILHELMINA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60071-2024</t>
        </is>
      </c>
      <c r="B8100" s="1" t="n">
        <v>45642.52351851852</v>
      </c>
      <c r="C8100" s="1" t="n">
        <v>46145</v>
      </c>
      <c r="D8100" t="inlineStr">
        <is>
          <t>VÄSTERBOTTENS LÄN</t>
        </is>
      </c>
      <c r="E8100" t="inlineStr">
        <is>
          <t>VINDELN</t>
        </is>
      </c>
      <c r="G8100" t="n">
        <v>8.699999999999999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745-2025</t>
        </is>
      </c>
      <c r="B8101" s="1" t="n">
        <v>45665.43612268518</v>
      </c>
      <c r="C8101" s="1" t="n">
        <v>46145</v>
      </c>
      <c r="D8101" t="inlineStr">
        <is>
          <t>VÄSTERBOTTENS LÄN</t>
        </is>
      </c>
      <c r="E8101" t="inlineStr">
        <is>
          <t>VINDELN</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33612-2022</t>
        </is>
      </c>
      <c r="B8102" s="1" t="n">
        <v>44789</v>
      </c>
      <c r="C8102" s="1" t="n">
        <v>46145</v>
      </c>
      <c r="D8102" t="inlineStr">
        <is>
          <t>VÄSTERBOTTENS LÄN</t>
        </is>
      </c>
      <c r="E8102" t="inlineStr">
        <is>
          <t>NORDMALING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55087-2024</t>
        </is>
      </c>
      <c r="B8103" s="1" t="n">
        <v>45621.43199074074</v>
      </c>
      <c r="C8103" s="1" t="n">
        <v>46145</v>
      </c>
      <c r="D8103" t="inlineStr">
        <is>
          <t>VÄSTERBOTTENS LÄN</t>
        </is>
      </c>
      <c r="E8103" t="inlineStr">
        <is>
          <t>LYCKSELE</t>
        </is>
      </c>
      <c r="F8103" t="inlineStr">
        <is>
          <t>Sveaskog</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2893-2025</t>
        </is>
      </c>
      <c r="B8104" s="1" t="n">
        <v>45677</v>
      </c>
      <c r="C8104" s="1" t="n">
        <v>46145</v>
      </c>
      <c r="D8104" t="inlineStr">
        <is>
          <t>VÄSTERBOTTENS LÄN</t>
        </is>
      </c>
      <c r="E8104" t="inlineStr">
        <is>
          <t>ÅSELE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54957-2024</t>
        </is>
      </c>
      <c r="B8105" s="1" t="n">
        <v>45619</v>
      </c>
      <c r="C8105" s="1" t="n">
        <v>46145</v>
      </c>
      <c r="D8105" t="inlineStr">
        <is>
          <t>VÄSTERBOTTENS LÄN</t>
        </is>
      </c>
      <c r="E8105" t="inlineStr">
        <is>
          <t>ÅSELE</t>
        </is>
      </c>
      <c r="F8105" t="inlineStr">
        <is>
          <t>SCA</t>
        </is>
      </c>
      <c r="G8105" t="n">
        <v>17.4</v>
      </c>
      <c r="H8105" t="n">
        <v>0</v>
      </c>
      <c r="I8105" t="n">
        <v>0</v>
      </c>
      <c r="J8105" t="n">
        <v>0</v>
      </c>
      <c r="K8105" t="n">
        <v>0</v>
      </c>
      <c r="L8105" t="n">
        <v>0</v>
      </c>
      <c r="M8105" t="n">
        <v>0</v>
      </c>
      <c r="N8105" t="n">
        <v>0</v>
      </c>
      <c r="O8105" t="n">
        <v>0</v>
      </c>
      <c r="P8105" t="n">
        <v>0</v>
      </c>
      <c r="Q8105" t="n">
        <v>0</v>
      </c>
      <c r="R8105" s="2" t="inlineStr"/>
    </row>
    <row r="8106" ht="15" customHeight="1">
      <c r="A8106" t="inlineStr">
        <is>
          <t>A 63289-2025</t>
        </is>
      </c>
      <c r="B8106" s="1" t="n">
        <v>46010.59076388889</v>
      </c>
      <c r="C8106" s="1" t="n">
        <v>46145</v>
      </c>
      <c r="D8106" t="inlineStr">
        <is>
          <t>VÄSTERBOTTENS LÄN</t>
        </is>
      </c>
      <c r="E8106" t="inlineStr">
        <is>
          <t>VÄNNÄS</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54971-2024</t>
        </is>
      </c>
      <c r="B8107" s="1" t="n">
        <v>45620</v>
      </c>
      <c r="C8107" s="1" t="n">
        <v>46145</v>
      </c>
      <c r="D8107" t="inlineStr">
        <is>
          <t>VÄSTERBOTTENS LÄN</t>
        </is>
      </c>
      <c r="E8107" t="inlineStr">
        <is>
          <t>SKELLEFTEÅ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2942-2025</t>
        </is>
      </c>
      <c r="B8108" s="1" t="n">
        <v>45678.39038194445</v>
      </c>
      <c r="C8108" s="1" t="n">
        <v>46145</v>
      </c>
      <c r="D8108" t="inlineStr">
        <is>
          <t>VÄSTERBOTTENS LÄN</t>
        </is>
      </c>
      <c r="E8108" t="inlineStr">
        <is>
          <t>VÄNNÄS</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33726-2022</t>
        </is>
      </c>
      <c r="B8109" s="1" t="n">
        <v>44789</v>
      </c>
      <c r="C8109" s="1" t="n">
        <v>46145</v>
      </c>
      <c r="D8109" t="inlineStr">
        <is>
          <t>VÄSTERBOTTENS LÄN</t>
        </is>
      </c>
      <c r="E8109" t="inlineStr">
        <is>
          <t>LYCKSELE</t>
        </is>
      </c>
      <c r="F8109" t="inlineStr">
        <is>
          <t>SCA</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53720-2024</t>
        </is>
      </c>
      <c r="B8110" s="1" t="n">
        <v>45615.43817129629</v>
      </c>
      <c r="C8110" s="1" t="n">
        <v>46145</v>
      </c>
      <c r="D8110" t="inlineStr">
        <is>
          <t>VÄSTERBOTTENS LÄN</t>
        </is>
      </c>
      <c r="E8110" t="inlineStr">
        <is>
          <t>SKELLEFTEÅ</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53731-2024</t>
        </is>
      </c>
      <c r="B8111" s="1" t="n">
        <v>45615</v>
      </c>
      <c r="C8111" s="1" t="n">
        <v>46145</v>
      </c>
      <c r="D8111" t="inlineStr">
        <is>
          <t>VÄSTERBOTTENS LÄN</t>
        </is>
      </c>
      <c r="E8111" t="inlineStr">
        <is>
          <t>UMEÅ</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48501-2023</t>
        </is>
      </c>
      <c r="B8112" s="1" t="n">
        <v>45207.82268518519</v>
      </c>
      <c r="C8112" s="1" t="n">
        <v>46145</v>
      </c>
      <c r="D8112" t="inlineStr">
        <is>
          <t>VÄSTERBOTTENS LÄN</t>
        </is>
      </c>
      <c r="E8112" t="inlineStr">
        <is>
          <t>SKELLEFTEÅ</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50494-2023</t>
        </is>
      </c>
      <c r="B8113" s="1" t="n">
        <v>45216.95604166666</v>
      </c>
      <c r="C8113" s="1" t="n">
        <v>46145</v>
      </c>
      <c r="D8113" t="inlineStr">
        <is>
          <t>VÄSTERBOTTENS LÄN</t>
        </is>
      </c>
      <c r="E8113" t="inlineStr">
        <is>
          <t>VILHELMINA</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891-2025</t>
        </is>
      </c>
      <c r="B8114" s="1" t="n">
        <v>45665.65660879629</v>
      </c>
      <c r="C8114" s="1" t="n">
        <v>46145</v>
      </c>
      <c r="D8114" t="inlineStr">
        <is>
          <t>VÄSTERBOTTENS LÄN</t>
        </is>
      </c>
      <c r="E8114" t="inlineStr">
        <is>
          <t>NORSJÖ</t>
        </is>
      </c>
      <c r="F8114" t="inlineStr">
        <is>
          <t>Holmen skog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989-2025</t>
        </is>
      </c>
      <c r="B8115" s="1" t="n">
        <v>45666</v>
      </c>
      <c r="C8115" s="1" t="n">
        <v>46145</v>
      </c>
      <c r="D8115" t="inlineStr">
        <is>
          <t>VÄSTERBOTTENS LÄN</t>
        </is>
      </c>
      <c r="E8115" t="inlineStr">
        <is>
          <t>VINDELN</t>
        </is>
      </c>
      <c r="F8115" t="inlineStr">
        <is>
          <t>Naturvårdsverket</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289-2025</t>
        </is>
      </c>
      <c r="B8116" s="1" t="n">
        <v>45653</v>
      </c>
      <c r="C8116" s="1" t="n">
        <v>46145</v>
      </c>
      <c r="D8116" t="inlineStr">
        <is>
          <t>VÄSTERBOTTENS LÄN</t>
        </is>
      </c>
      <c r="E8116" t="inlineStr">
        <is>
          <t>ROBERTSFORS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63298-2025</t>
        </is>
      </c>
      <c r="B8117" s="1" t="n">
        <v>46010.60195601852</v>
      </c>
      <c r="C8117" s="1" t="n">
        <v>46145</v>
      </c>
      <c r="D8117" t="inlineStr">
        <is>
          <t>VÄSTERBOTTENS LÄN</t>
        </is>
      </c>
      <c r="E8117" t="inlineStr">
        <is>
          <t>VINDELN</t>
        </is>
      </c>
      <c r="G8117" t="n">
        <v>10.2</v>
      </c>
      <c r="H8117" t="n">
        <v>0</v>
      </c>
      <c r="I8117" t="n">
        <v>0</v>
      </c>
      <c r="J8117" t="n">
        <v>0</v>
      </c>
      <c r="K8117" t="n">
        <v>0</v>
      </c>
      <c r="L8117" t="n">
        <v>0</v>
      </c>
      <c r="M8117" t="n">
        <v>0</v>
      </c>
      <c r="N8117" t="n">
        <v>0</v>
      </c>
      <c r="O8117" t="n">
        <v>0</v>
      </c>
      <c r="P8117" t="n">
        <v>0</v>
      </c>
      <c r="Q8117" t="n">
        <v>0</v>
      </c>
      <c r="R8117" s="2" t="inlineStr"/>
    </row>
    <row r="8118" ht="15" customHeight="1">
      <c r="A8118" t="inlineStr">
        <is>
          <t>A 63306-2025</t>
        </is>
      </c>
      <c r="B8118" s="1" t="n">
        <v>46010.61240740741</v>
      </c>
      <c r="C8118" s="1" t="n">
        <v>46145</v>
      </c>
      <c r="D8118" t="inlineStr">
        <is>
          <t>VÄSTERBOTTENS LÄN</t>
        </is>
      </c>
      <c r="E8118" t="inlineStr">
        <is>
          <t>SKELLEFTEÅ</t>
        </is>
      </c>
      <c r="G8118" t="n">
        <v>11.5</v>
      </c>
      <c r="H8118" t="n">
        <v>0</v>
      </c>
      <c r="I8118" t="n">
        <v>0</v>
      </c>
      <c r="J8118" t="n">
        <v>0</v>
      </c>
      <c r="K8118" t="n">
        <v>0</v>
      </c>
      <c r="L8118" t="n">
        <v>0</v>
      </c>
      <c r="M8118" t="n">
        <v>0</v>
      </c>
      <c r="N8118" t="n">
        <v>0</v>
      </c>
      <c r="O8118" t="n">
        <v>0</v>
      </c>
      <c r="P8118" t="n">
        <v>0</v>
      </c>
      <c r="Q8118" t="n">
        <v>0</v>
      </c>
      <c r="R8118" s="2" t="inlineStr"/>
    </row>
    <row r="8119" ht="15" customHeight="1">
      <c r="A8119" t="inlineStr">
        <is>
          <t>A 63121-2025</t>
        </is>
      </c>
      <c r="B8119" s="1" t="n">
        <v>46009.87304398148</v>
      </c>
      <c r="C8119" s="1" t="n">
        <v>46145</v>
      </c>
      <c r="D8119" t="inlineStr">
        <is>
          <t>VÄSTERBOTTENS LÄN</t>
        </is>
      </c>
      <c r="E8119" t="inlineStr">
        <is>
          <t>SKELLEFTEÅ</t>
        </is>
      </c>
      <c r="F8119" t="inlineStr">
        <is>
          <t>Sveaskog</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2661-2025</t>
        </is>
      </c>
      <c r="B8120" s="1" t="n">
        <v>45676.86069444445</v>
      </c>
      <c r="C8120" s="1" t="n">
        <v>46145</v>
      </c>
      <c r="D8120" t="inlineStr">
        <is>
          <t>VÄSTERBOTTENS LÄN</t>
        </is>
      </c>
      <c r="E8120" t="inlineStr">
        <is>
          <t>VINDELN</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49324-2025</t>
        </is>
      </c>
      <c r="B8121" s="1" t="n">
        <v>45938</v>
      </c>
      <c r="C8121" s="1" t="n">
        <v>46145</v>
      </c>
      <c r="D8121" t="inlineStr">
        <is>
          <t>VÄSTERBOTTENS LÄN</t>
        </is>
      </c>
      <c r="E8121" t="inlineStr">
        <is>
          <t>NORSJÖ</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62928-2025</t>
        </is>
      </c>
      <c r="B8122" s="1" t="n">
        <v>46009.38614583333</v>
      </c>
      <c r="C8122" s="1" t="n">
        <v>46145</v>
      </c>
      <c r="D8122" t="inlineStr">
        <is>
          <t>VÄSTERBOTTENS LÄN</t>
        </is>
      </c>
      <c r="E8122" t="inlineStr">
        <is>
          <t>NORDMALING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63294-2025</t>
        </is>
      </c>
      <c r="B8123" s="1" t="n">
        <v>46010.59421296296</v>
      </c>
      <c r="C8123" s="1" t="n">
        <v>46145</v>
      </c>
      <c r="D8123" t="inlineStr">
        <is>
          <t>VÄSTERBOTTENS LÄN</t>
        </is>
      </c>
      <c r="E8123" t="inlineStr">
        <is>
          <t>DOROTEA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63192-2025</t>
        </is>
      </c>
      <c r="B8124" s="1" t="n">
        <v>46010</v>
      </c>
      <c r="C8124" s="1" t="n">
        <v>46145</v>
      </c>
      <c r="D8124" t="inlineStr">
        <is>
          <t>VÄSTERBOTTENS LÄN</t>
        </is>
      </c>
      <c r="E8124" t="inlineStr">
        <is>
          <t>BJURHOLM</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63203-2025</t>
        </is>
      </c>
      <c r="B8125" s="1" t="n">
        <v>46010.46840277778</v>
      </c>
      <c r="C8125" s="1" t="n">
        <v>46145</v>
      </c>
      <c r="D8125" t="inlineStr">
        <is>
          <t>VÄSTERBOTTENS LÄN</t>
        </is>
      </c>
      <c r="E8125" t="inlineStr">
        <is>
          <t>SKELLEFTEÅ</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63250-2025</t>
        </is>
      </c>
      <c r="B8126" s="1" t="n">
        <v>46010.54357638889</v>
      </c>
      <c r="C8126" s="1" t="n">
        <v>46145</v>
      </c>
      <c r="D8126" t="inlineStr">
        <is>
          <t>VÄSTERBOTTENS LÄN</t>
        </is>
      </c>
      <c r="E8126" t="inlineStr">
        <is>
          <t>SKELLEFTEÅ</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63255-2025</t>
        </is>
      </c>
      <c r="B8127" s="1" t="n">
        <v>46010.54994212963</v>
      </c>
      <c r="C8127" s="1" t="n">
        <v>46145</v>
      </c>
      <c r="D8127" t="inlineStr">
        <is>
          <t>VÄSTERBOTTENS LÄN</t>
        </is>
      </c>
      <c r="E8127" t="inlineStr">
        <is>
          <t>SKELLEFTEÅ</t>
        </is>
      </c>
      <c r="G8127" t="n">
        <v>20.7</v>
      </c>
      <c r="H8127" t="n">
        <v>0</v>
      </c>
      <c r="I8127" t="n">
        <v>0</v>
      </c>
      <c r="J8127" t="n">
        <v>0</v>
      </c>
      <c r="K8127" t="n">
        <v>0</v>
      </c>
      <c r="L8127" t="n">
        <v>0</v>
      </c>
      <c r="M8127" t="n">
        <v>0</v>
      </c>
      <c r="N8127" t="n">
        <v>0</v>
      </c>
      <c r="O8127" t="n">
        <v>0</v>
      </c>
      <c r="P8127" t="n">
        <v>0</v>
      </c>
      <c r="Q8127" t="n">
        <v>0</v>
      </c>
      <c r="R8127" s="2" t="inlineStr"/>
    </row>
    <row r="8128" ht="15" customHeight="1">
      <c r="A8128" t="inlineStr">
        <is>
          <t>A 63256-2025</t>
        </is>
      </c>
      <c r="B8128" s="1" t="n">
        <v>46010.55255787037</v>
      </c>
      <c r="C8128" s="1" t="n">
        <v>46145</v>
      </c>
      <c r="D8128" t="inlineStr">
        <is>
          <t>VÄSTERBOTTENS LÄN</t>
        </is>
      </c>
      <c r="E8128" t="inlineStr">
        <is>
          <t>NORDMALING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672-2025</t>
        </is>
      </c>
      <c r="B8129" s="1" t="n">
        <v>45664</v>
      </c>
      <c r="C8129" s="1" t="n">
        <v>46145</v>
      </c>
      <c r="D8129" t="inlineStr">
        <is>
          <t>VÄSTERBOTTENS LÄN</t>
        </is>
      </c>
      <c r="E8129" t="inlineStr">
        <is>
          <t>ROBERTSFORS</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2696-2025</t>
        </is>
      </c>
      <c r="B8130" s="1" t="n">
        <v>45674</v>
      </c>
      <c r="C8130" s="1" t="n">
        <v>46145</v>
      </c>
      <c r="D8130" t="inlineStr">
        <is>
          <t>VÄSTERBOTTENS LÄN</t>
        </is>
      </c>
      <c r="E8130" t="inlineStr">
        <is>
          <t>ROBERTSFORS</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2697-2025</t>
        </is>
      </c>
      <c r="B8131" s="1" t="n">
        <v>45677.39728009259</v>
      </c>
      <c r="C8131" s="1" t="n">
        <v>46145</v>
      </c>
      <c r="D8131" t="inlineStr">
        <is>
          <t>VÄSTERBOTTENS LÄN</t>
        </is>
      </c>
      <c r="E8131" t="inlineStr">
        <is>
          <t>VINDELN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48946-2023</t>
        </is>
      </c>
      <c r="B8132" s="1" t="n">
        <v>45204</v>
      </c>
      <c r="C8132" s="1" t="n">
        <v>46145</v>
      </c>
      <c r="D8132" t="inlineStr">
        <is>
          <t>VÄSTERBOTTENS LÄN</t>
        </is>
      </c>
      <c r="E8132" t="inlineStr">
        <is>
          <t>NORDMALING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61891-2024</t>
        </is>
      </c>
      <c r="B8133" s="1" t="n">
        <v>45652.73207175926</v>
      </c>
      <c r="C8133" s="1" t="n">
        <v>46145</v>
      </c>
      <c r="D8133" t="inlineStr">
        <is>
          <t>VÄSTERBOTTENS LÄN</t>
        </is>
      </c>
      <c r="E8133" t="inlineStr">
        <is>
          <t>LYCKSELE</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55241-2024</t>
        </is>
      </c>
      <c r="B8134" s="1" t="n">
        <v>45621.5884375</v>
      </c>
      <c r="C8134" s="1" t="n">
        <v>46145</v>
      </c>
      <c r="D8134" t="inlineStr">
        <is>
          <t>VÄSTERBOTTENS LÄN</t>
        </is>
      </c>
      <c r="E8134" t="inlineStr">
        <is>
          <t>SKELLEFTEÅ</t>
        </is>
      </c>
      <c r="F8134" t="inlineStr">
        <is>
          <t>Holmen skog AB</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55253-2024</t>
        </is>
      </c>
      <c r="B8135" s="1" t="n">
        <v>45620</v>
      </c>
      <c r="C8135" s="1" t="n">
        <v>46145</v>
      </c>
      <c r="D8135" t="inlineStr">
        <is>
          <t>VÄSTERBOTTENS LÄN</t>
        </is>
      </c>
      <c r="E8135" t="inlineStr">
        <is>
          <t>SKELLEFTEÅ</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3892-2025</t>
        </is>
      </c>
      <c r="B8136" s="1" t="n">
        <v>45684.37506944445</v>
      </c>
      <c r="C8136" s="1" t="n">
        <v>46145</v>
      </c>
      <c r="D8136" t="inlineStr">
        <is>
          <t>VÄSTERBOTTENS LÄN</t>
        </is>
      </c>
      <c r="E8136" t="inlineStr">
        <is>
          <t>SKELLEFTEÅ</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62970-2025</t>
        </is>
      </c>
      <c r="B8137" s="1" t="n">
        <v>46009.46313657407</v>
      </c>
      <c r="C8137" s="1" t="n">
        <v>46145</v>
      </c>
      <c r="D8137" t="inlineStr">
        <is>
          <t>VÄSTERBOTTENS LÄN</t>
        </is>
      </c>
      <c r="E8137" t="inlineStr">
        <is>
          <t>SKELLEFTEÅ</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63160-2025</t>
        </is>
      </c>
      <c r="B8138" s="1" t="n">
        <v>46010.37174768518</v>
      </c>
      <c r="C8138" s="1" t="n">
        <v>46145</v>
      </c>
      <c r="D8138" t="inlineStr">
        <is>
          <t>VÄSTERBOTTENS LÄN</t>
        </is>
      </c>
      <c r="E8138" t="inlineStr">
        <is>
          <t>VÄNNÄS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63169-2025</t>
        </is>
      </c>
      <c r="B8139" s="1" t="n">
        <v>46010.39408564815</v>
      </c>
      <c r="C8139" s="1" t="n">
        <v>46145</v>
      </c>
      <c r="D8139" t="inlineStr">
        <is>
          <t>VÄSTERBOTTENS LÄN</t>
        </is>
      </c>
      <c r="E8139" t="inlineStr">
        <is>
          <t>BJURHOLM</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63207-2025</t>
        </is>
      </c>
      <c r="B8140" s="1" t="n">
        <v>46010.47295138889</v>
      </c>
      <c r="C8140" s="1" t="n">
        <v>46145</v>
      </c>
      <c r="D8140" t="inlineStr">
        <is>
          <t>VÄSTERBOTTENS LÄN</t>
        </is>
      </c>
      <c r="E8140" t="inlineStr">
        <is>
          <t>SKELLEFTEÅ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63221-2025</t>
        </is>
      </c>
      <c r="B8141" s="1" t="n">
        <v>46010.49079861111</v>
      </c>
      <c r="C8141" s="1" t="n">
        <v>46145</v>
      </c>
      <c r="D8141" t="inlineStr">
        <is>
          <t>VÄSTERBOTTENS LÄN</t>
        </is>
      </c>
      <c r="E8141" t="inlineStr">
        <is>
          <t>SKELLEFTEÅ</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56719-2025</t>
        </is>
      </c>
      <c r="B8142" s="1" t="n">
        <v>45975</v>
      </c>
      <c r="C8142" s="1" t="n">
        <v>46145</v>
      </c>
      <c r="D8142" t="inlineStr">
        <is>
          <t>VÄSTERBOTTENS LÄN</t>
        </is>
      </c>
      <c r="E8142" t="inlineStr">
        <is>
          <t>SKELLEFTEÅ</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62949-2025</t>
        </is>
      </c>
      <c r="B8143" s="1" t="n">
        <v>46009.44704861111</v>
      </c>
      <c r="C8143" s="1" t="n">
        <v>46145</v>
      </c>
      <c r="D8143" t="inlineStr">
        <is>
          <t>VÄSTERBOTTENS LÄN</t>
        </is>
      </c>
      <c r="E8143" t="inlineStr">
        <is>
          <t>SKELLEFTEÅ</t>
        </is>
      </c>
      <c r="F8143" t="inlineStr">
        <is>
          <t>Holmen skog AB</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62976-2025</t>
        </is>
      </c>
      <c r="B8144" s="1" t="n">
        <v>46009.46953703704</v>
      </c>
      <c r="C8144" s="1" t="n">
        <v>46145</v>
      </c>
      <c r="D8144" t="inlineStr">
        <is>
          <t>VÄSTERBOTTENS LÄN</t>
        </is>
      </c>
      <c r="E8144" t="inlineStr">
        <is>
          <t>VINDELN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62906-2025</t>
        </is>
      </c>
      <c r="B8145" s="1" t="n">
        <v>46009</v>
      </c>
      <c r="C8145" s="1" t="n">
        <v>46145</v>
      </c>
      <c r="D8145" t="inlineStr">
        <is>
          <t>VÄSTERBOTTENS LÄN</t>
        </is>
      </c>
      <c r="E8145" t="inlineStr">
        <is>
          <t>LYCKSELE</t>
        </is>
      </c>
      <c r="F8145" t="inlineStr">
        <is>
          <t>Holmen skog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59777-2024</t>
        </is>
      </c>
      <c r="B8146" s="1" t="n">
        <v>45638</v>
      </c>
      <c r="C8146" s="1" t="n">
        <v>46145</v>
      </c>
      <c r="D8146" t="inlineStr">
        <is>
          <t>VÄSTERBOTTENS LÄN</t>
        </is>
      </c>
      <c r="E8146" t="inlineStr">
        <is>
          <t>STORUMAN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62894-2025</t>
        </is>
      </c>
      <c r="B8147" s="1" t="n">
        <v>46009.33802083333</v>
      </c>
      <c r="C8147" s="1" t="n">
        <v>46145</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62910-2025</t>
        </is>
      </c>
      <c r="B8148" s="1" t="n">
        <v>46009.36521990741</v>
      </c>
      <c r="C8148" s="1" t="n">
        <v>46145</v>
      </c>
      <c r="D8148" t="inlineStr">
        <is>
          <t>VÄSTERBOTTENS LÄN</t>
        </is>
      </c>
      <c r="E8148" t="inlineStr">
        <is>
          <t>DOROTEA</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39445-2023</t>
        </is>
      </c>
      <c r="B8149" s="1" t="n">
        <v>45166</v>
      </c>
      <c r="C8149" s="1" t="n">
        <v>46145</v>
      </c>
      <c r="D8149" t="inlineStr">
        <is>
          <t>VÄSTERBOTTENS LÄN</t>
        </is>
      </c>
      <c r="E8149" t="inlineStr">
        <is>
          <t>UMEÅ</t>
        </is>
      </c>
      <c r="G8149" t="n">
        <v>33.4</v>
      </c>
      <c r="H8149" t="n">
        <v>0</v>
      </c>
      <c r="I8149" t="n">
        <v>0</v>
      </c>
      <c r="J8149" t="n">
        <v>0</v>
      </c>
      <c r="K8149" t="n">
        <v>0</v>
      </c>
      <c r="L8149" t="n">
        <v>0</v>
      </c>
      <c r="M8149" t="n">
        <v>0</v>
      </c>
      <c r="N8149" t="n">
        <v>0</v>
      </c>
      <c r="O8149" t="n">
        <v>0</v>
      </c>
      <c r="P8149" t="n">
        <v>0</v>
      </c>
      <c r="Q8149" t="n">
        <v>0</v>
      </c>
      <c r="R8149" s="2" t="inlineStr"/>
    </row>
    <row r="8150" ht="15" customHeight="1">
      <c r="A8150" t="inlineStr">
        <is>
          <t>A 63191-2025</t>
        </is>
      </c>
      <c r="B8150" s="1" t="n">
        <v>46010.45041666667</v>
      </c>
      <c r="C8150" s="1" t="n">
        <v>46145</v>
      </c>
      <c r="D8150" t="inlineStr">
        <is>
          <t>VÄSTERBOTTENS LÄN</t>
        </is>
      </c>
      <c r="E8150" t="inlineStr">
        <is>
          <t>BJURHOLM</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54993-2025</t>
        </is>
      </c>
      <c r="B8151" s="1" t="n">
        <v>45967</v>
      </c>
      <c r="C8151" s="1" t="n">
        <v>46145</v>
      </c>
      <c r="D8151" t="inlineStr">
        <is>
          <t>VÄSTERBOTTENS LÄN</t>
        </is>
      </c>
      <c r="E8151" t="inlineStr">
        <is>
          <t>LYCKSELE</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63218-2025</t>
        </is>
      </c>
      <c r="B8152" s="1" t="n">
        <v>46010.48998842593</v>
      </c>
      <c r="C8152" s="1" t="n">
        <v>46145</v>
      </c>
      <c r="D8152" t="inlineStr">
        <is>
          <t>VÄSTERBOTTENS LÄN</t>
        </is>
      </c>
      <c r="E8152" t="inlineStr">
        <is>
          <t>UMEÅ</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63219-2025</t>
        </is>
      </c>
      <c r="B8153" s="1" t="n">
        <v>46010.49005787037</v>
      </c>
      <c r="C8153" s="1" t="n">
        <v>46145</v>
      </c>
      <c r="D8153" t="inlineStr">
        <is>
          <t>VÄSTERBOTTENS LÄN</t>
        </is>
      </c>
      <c r="E8153" t="inlineStr">
        <is>
          <t>UMEÅ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63223-2025</t>
        </is>
      </c>
      <c r="B8154" s="1" t="n">
        <v>46010.49422453704</v>
      </c>
      <c r="C8154" s="1" t="n">
        <v>46145</v>
      </c>
      <c r="D8154" t="inlineStr">
        <is>
          <t>VÄSTERBOTTENS LÄN</t>
        </is>
      </c>
      <c r="E8154" t="inlineStr">
        <is>
          <t>LYCKSELE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49013-2023</t>
        </is>
      </c>
      <c r="B8155" s="1" t="n">
        <v>45204</v>
      </c>
      <c r="C8155" s="1" t="n">
        <v>46145</v>
      </c>
      <c r="D8155" t="inlineStr">
        <is>
          <t>VÄSTERBOTTENS LÄN</t>
        </is>
      </c>
      <c r="E8155" t="inlineStr">
        <is>
          <t>MALÅ</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55417-2023</t>
        </is>
      </c>
      <c r="B8156" s="1" t="n">
        <v>45238.41365740741</v>
      </c>
      <c r="C8156" s="1" t="n">
        <v>46145</v>
      </c>
      <c r="D8156" t="inlineStr">
        <is>
          <t>VÄSTERBOTTENS LÄN</t>
        </is>
      </c>
      <c r="E8156" t="inlineStr">
        <is>
          <t>ROBERTSFORS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63266-2025</t>
        </is>
      </c>
      <c r="B8157" s="1" t="n">
        <v>46010.56211805555</v>
      </c>
      <c r="C8157" s="1" t="n">
        <v>46145</v>
      </c>
      <c r="D8157" t="inlineStr">
        <is>
          <t>VÄSTERBOTTENS LÄN</t>
        </is>
      </c>
      <c r="E8157" t="inlineStr">
        <is>
          <t>NORDMALING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6179-2025</t>
        </is>
      </c>
      <c r="B8158" s="1" t="n">
        <v>45698.44835648148</v>
      </c>
      <c r="C8158" s="1" t="n">
        <v>46145</v>
      </c>
      <c r="D8158" t="inlineStr">
        <is>
          <t>VÄSTERBOTTENS LÄN</t>
        </is>
      </c>
      <c r="E8158" t="inlineStr">
        <is>
          <t>VÄNNÄS</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21925-2021</t>
        </is>
      </c>
      <c r="B8159" s="1" t="n">
        <v>44322.91846064815</v>
      </c>
      <c r="C8159" s="1" t="n">
        <v>46145</v>
      </c>
      <c r="D8159" t="inlineStr">
        <is>
          <t>VÄSTERBOTTENS LÄN</t>
        </is>
      </c>
      <c r="E8159" t="inlineStr">
        <is>
          <t>ROBERTSFORS</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55444-2023</t>
        </is>
      </c>
      <c r="B8160" s="1" t="n">
        <v>45231</v>
      </c>
      <c r="C8160" s="1" t="n">
        <v>46145</v>
      </c>
      <c r="D8160" t="inlineStr">
        <is>
          <t>VÄSTERBOTTENS LÄN</t>
        </is>
      </c>
      <c r="E8160" t="inlineStr">
        <is>
          <t>VÄNNÄS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56203-2023</t>
        </is>
      </c>
      <c r="B8161" s="1" t="n">
        <v>45240</v>
      </c>
      <c r="C8161" s="1" t="n">
        <v>46145</v>
      </c>
      <c r="D8161" t="inlineStr">
        <is>
          <t>VÄSTERBOTTENS LÄN</t>
        </is>
      </c>
      <c r="E8161" t="inlineStr">
        <is>
          <t>SKELLEFTEÅ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56258-2023</t>
        </is>
      </c>
      <c r="B8162" s="1" t="n">
        <v>45240.94754629629</v>
      </c>
      <c r="C8162" s="1" t="n">
        <v>46145</v>
      </c>
      <c r="D8162" t="inlineStr">
        <is>
          <t>VÄSTERBOTTENS LÄN</t>
        </is>
      </c>
      <c r="E8162" t="inlineStr">
        <is>
          <t>ÅSELE</t>
        </is>
      </c>
      <c r="F8162" t="inlineStr">
        <is>
          <t>SCA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8159-2025</t>
        </is>
      </c>
      <c r="B8163" s="1" t="n">
        <v>45708.34431712963</v>
      </c>
      <c r="C8163" s="1" t="n">
        <v>46145</v>
      </c>
      <c r="D8163" t="inlineStr">
        <is>
          <t>VÄSTERBOTTENS LÄN</t>
        </is>
      </c>
      <c r="E8163" t="inlineStr">
        <is>
          <t>NORSJÖ</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8184-2025</t>
        </is>
      </c>
      <c r="B8164" s="1" t="n">
        <v>45708</v>
      </c>
      <c r="C8164" s="1" t="n">
        <v>46145</v>
      </c>
      <c r="D8164" t="inlineStr">
        <is>
          <t>VÄSTERBOTTENS LÄN</t>
        </is>
      </c>
      <c r="E8164" t="inlineStr">
        <is>
          <t>UMEÅ</t>
        </is>
      </c>
      <c r="F8164" t="inlineStr">
        <is>
          <t>Holmen skog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8566-2025</t>
        </is>
      </c>
      <c r="B8165" s="1" t="n">
        <v>45709</v>
      </c>
      <c r="C8165" s="1" t="n">
        <v>46145</v>
      </c>
      <c r="D8165" t="inlineStr">
        <is>
          <t>VÄSTERBOTTENS LÄN</t>
        </is>
      </c>
      <c r="E8165" t="inlineStr">
        <is>
          <t>VILHELMINA</t>
        </is>
      </c>
      <c r="G8165" t="n">
        <v>10.5</v>
      </c>
      <c r="H8165" t="n">
        <v>0</v>
      </c>
      <c r="I8165" t="n">
        <v>0</v>
      </c>
      <c r="J8165" t="n">
        <v>0</v>
      </c>
      <c r="K8165" t="n">
        <v>0</v>
      </c>
      <c r="L8165" t="n">
        <v>0</v>
      </c>
      <c r="M8165" t="n">
        <v>0</v>
      </c>
      <c r="N8165" t="n">
        <v>0</v>
      </c>
      <c r="O8165" t="n">
        <v>0</v>
      </c>
      <c r="P8165" t="n">
        <v>0</v>
      </c>
      <c r="Q8165" t="n">
        <v>0</v>
      </c>
      <c r="R8165" s="2" t="inlineStr"/>
    </row>
    <row r="8166" ht="15" customHeight="1">
      <c r="A8166" t="inlineStr">
        <is>
          <t>A 8581-2025</t>
        </is>
      </c>
      <c r="B8166" s="1" t="n">
        <v>45709.67219907408</v>
      </c>
      <c r="C8166" s="1" t="n">
        <v>46145</v>
      </c>
      <c r="D8166" t="inlineStr">
        <is>
          <t>VÄSTERBOTTENS LÄN</t>
        </is>
      </c>
      <c r="E8166" t="inlineStr">
        <is>
          <t>UMEÅ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8584-2025</t>
        </is>
      </c>
      <c r="B8167" s="1" t="n">
        <v>45709.67657407407</v>
      </c>
      <c r="C8167" s="1" t="n">
        <v>46145</v>
      </c>
      <c r="D8167" t="inlineStr">
        <is>
          <t>VÄSTERBOTTENS LÄN</t>
        </is>
      </c>
      <c r="E8167" t="inlineStr">
        <is>
          <t>UMEÅ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8585-2025</t>
        </is>
      </c>
      <c r="B8168" s="1" t="n">
        <v>45709</v>
      </c>
      <c r="C8168" s="1" t="n">
        <v>46145</v>
      </c>
      <c r="D8168" t="inlineStr">
        <is>
          <t>VÄSTERBOTTENS LÄN</t>
        </is>
      </c>
      <c r="E8168" t="inlineStr">
        <is>
          <t>VILHELMINA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8586-2025</t>
        </is>
      </c>
      <c r="B8169" s="1" t="n">
        <v>45709.67998842592</v>
      </c>
      <c r="C8169" s="1" t="n">
        <v>46145</v>
      </c>
      <c r="D8169" t="inlineStr">
        <is>
          <t>VÄSTERBOTTENS LÄN</t>
        </is>
      </c>
      <c r="E8169" t="inlineStr">
        <is>
          <t>UMEÅ</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8618-2025</t>
        </is>
      </c>
      <c r="B8170" s="1" t="n">
        <v>45711</v>
      </c>
      <c r="C8170" s="1" t="n">
        <v>46145</v>
      </c>
      <c r="D8170" t="inlineStr">
        <is>
          <t>VÄSTERBOTTENS LÄN</t>
        </is>
      </c>
      <c r="E8170" t="inlineStr">
        <is>
          <t>UMEÅ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34685-2023</t>
        </is>
      </c>
      <c r="B8171" s="1" t="n">
        <v>45140.96217592592</v>
      </c>
      <c r="C8171" s="1" t="n">
        <v>46145</v>
      </c>
      <c r="D8171" t="inlineStr">
        <is>
          <t>VÄSTERBOTTENS LÄN</t>
        </is>
      </c>
      <c r="E8171" t="inlineStr">
        <is>
          <t>NORDMALING</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26031-2022</t>
        </is>
      </c>
      <c r="B8172" s="1" t="n">
        <v>44734.57721064815</v>
      </c>
      <c r="C8172" s="1" t="n">
        <v>46145</v>
      </c>
      <c r="D8172" t="inlineStr">
        <is>
          <t>VÄSTERBOTTENS LÄN</t>
        </is>
      </c>
      <c r="E8172" t="inlineStr">
        <is>
          <t>SKELLEFTEÅ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63065-2025</t>
        </is>
      </c>
      <c r="B8173" s="1" t="n">
        <v>46009.65525462963</v>
      </c>
      <c r="C8173" s="1" t="n">
        <v>46145</v>
      </c>
      <c r="D8173" t="inlineStr">
        <is>
          <t>VÄSTERBOTTENS LÄN</t>
        </is>
      </c>
      <c r="E8173" t="inlineStr">
        <is>
          <t>NORDMALING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63323-2025</t>
        </is>
      </c>
      <c r="B8174" s="1" t="n">
        <v>46010.63744212963</v>
      </c>
      <c r="C8174" s="1" t="n">
        <v>46145</v>
      </c>
      <c r="D8174" t="inlineStr">
        <is>
          <t>VÄSTERBOTTENS LÄN</t>
        </is>
      </c>
      <c r="E8174" t="inlineStr">
        <is>
          <t>SKELLEFTEÅ</t>
        </is>
      </c>
      <c r="F8174" t="inlineStr">
        <is>
          <t>Holmen skog AB</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31698-2023</t>
        </is>
      </c>
      <c r="B8175" s="1" t="n">
        <v>45117</v>
      </c>
      <c r="C8175" s="1" t="n">
        <v>46145</v>
      </c>
      <c r="D8175" t="inlineStr">
        <is>
          <t>VÄSTERBOTTENS LÄN</t>
        </is>
      </c>
      <c r="E8175" t="inlineStr">
        <is>
          <t>LYCKSELE</t>
        </is>
      </c>
      <c r="F8175" t="inlineStr">
        <is>
          <t>Holmen skog AB</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56722-2025</t>
        </is>
      </c>
      <c r="B8176" s="1" t="n">
        <v>45975</v>
      </c>
      <c r="C8176" s="1" t="n">
        <v>46145</v>
      </c>
      <c r="D8176" t="inlineStr">
        <is>
          <t>VÄSTERBOTTENS LÄN</t>
        </is>
      </c>
      <c r="E8176" t="inlineStr">
        <is>
          <t>SKELLEFTEÅ</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62908-2025</t>
        </is>
      </c>
      <c r="B8177" s="1" t="n">
        <v>46009.3637962963</v>
      </c>
      <c r="C8177" s="1" t="n">
        <v>46145</v>
      </c>
      <c r="D8177" t="inlineStr">
        <is>
          <t>VÄSTERBOTTENS LÄN</t>
        </is>
      </c>
      <c r="E8177" t="inlineStr">
        <is>
          <t>SKELLEFTEÅ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62940-2025</t>
        </is>
      </c>
      <c r="B8178" s="1" t="n">
        <v>46009.4275</v>
      </c>
      <c r="C8178" s="1" t="n">
        <v>46145</v>
      </c>
      <c r="D8178" t="inlineStr">
        <is>
          <t>VÄSTERBOTTENS LÄN</t>
        </is>
      </c>
      <c r="E8178" t="inlineStr">
        <is>
          <t>SKELLEFTEÅ</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53937-2025</t>
        </is>
      </c>
      <c r="B8179" s="1" t="n">
        <v>45960</v>
      </c>
      <c r="C8179" s="1" t="n">
        <v>46145</v>
      </c>
      <c r="D8179" t="inlineStr">
        <is>
          <t>VÄSTERBOTTENS LÄN</t>
        </is>
      </c>
      <c r="E8179" t="inlineStr">
        <is>
          <t>LYCKSELE</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19585-2024</t>
        </is>
      </c>
      <c r="B8180" s="1" t="n">
        <v>45429</v>
      </c>
      <c r="C8180" s="1" t="n">
        <v>46145</v>
      </c>
      <c r="D8180" t="inlineStr">
        <is>
          <t>VÄSTERBOTTENS LÄN</t>
        </is>
      </c>
      <c r="E8180" t="inlineStr">
        <is>
          <t>VILHELMINA</t>
        </is>
      </c>
      <c r="F8180" t="inlineStr">
        <is>
          <t>SCA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63021-2025</t>
        </is>
      </c>
      <c r="B8181" s="1" t="n">
        <v>46009.59429398148</v>
      </c>
      <c r="C8181" s="1" t="n">
        <v>46145</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8035-2024</t>
        </is>
      </c>
      <c r="B8182" s="1" t="n">
        <v>45350.95329861111</v>
      </c>
      <c r="C8182" s="1" t="n">
        <v>46145</v>
      </c>
      <c r="D8182" t="inlineStr">
        <is>
          <t>VÄSTERBOTTENS LÄN</t>
        </is>
      </c>
      <c r="E8182" t="inlineStr">
        <is>
          <t>LYCKSELE</t>
        </is>
      </c>
      <c r="F8182" t="inlineStr">
        <is>
          <t>SCA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63035-2025</t>
        </is>
      </c>
      <c r="B8183" s="1" t="n">
        <v>46009.61186342593</v>
      </c>
      <c r="C8183" s="1" t="n">
        <v>46145</v>
      </c>
      <c r="D8183" t="inlineStr">
        <is>
          <t>VÄSTERBOTTENS LÄN</t>
        </is>
      </c>
      <c r="E8183" t="inlineStr">
        <is>
          <t>NORDMALING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29115-2021</t>
        </is>
      </c>
      <c r="B8184" s="1" t="n">
        <v>44358</v>
      </c>
      <c r="C8184" s="1" t="n">
        <v>46145</v>
      </c>
      <c r="D8184" t="inlineStr">
        <is>
          <t>VÄSTERBOTTENS LÄN</t>
        </is>
      </c>
      <c r="E8184" t="inlineStr">
        <is>
          <t>SKELLEFTEÅ</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14039-2024</t>
        </is>
      </c>
      <c r="B8185" s="1" t="n">
        <v>45392</v>
      </c>
      <c r="C8185" s="1" t="n">
        <v>46145</v>
      </c>
      <c r="D8185" t="inlineStr">
        <is>
          <t>VÄSTERBOTTENS LÄN</t>
        </is>
      </c>
      <c r="E8185" t="inlineStr">
        <is>
          <t>UMEÅ</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45727-2023</t>
        </is>
      </c>
      <c r="B8186" s="1" t="n">
        <v>45189</v>
      </c>
      <c r="C8186" s="1" t="n">
        <v>46145</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45744-2023</t>
        </is>
      </c>
      <c r="B8187" s="1" t="n">
        <v>45193</v>
      </c>
      <c r="C8187" s="1" t="n">
        <v>46145</v>
      </c>
      <c r="D8187" t="inlineStr">
        <is>
          <t>VÄSTERBOTTENS LÄN</t>
        </is>
      </c>
      <c r="E8187" t="inlineStr">
        <is>
          <t>MALÅ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62921-2025</t>
        </is>
      </c>
      <c r="B8188" s="1" t="n">
        <v>46009.37679398148</v>
      </c>
      <c r="C8188" s="1" t="n">
        <v>46145</v>
      </c>
      <c r="D8188" t="inlineStr">
        <is>
          <t>VÄSTERBOTTENS LÄN</t>
        </is>
      </c>
      <c r="E8188" t="inlineStr">
        <is>
          <t>SKELLEFTEÅ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20519-2022</t>
        </is>
      </c>
      <c r="B8189" s="1" t="n">
        <v>44699</v>
      </c>
      <c r="C8189" s="1" t="n">
        <v>46145</v>
      </c>
      <c r="D8189" t="inlineStr">
        <is>
          <t>VÄSTERBOTTENS LÄN</t>
        </is>
      </c>
      <c r="E8189" t="inlineStr">
        <is>
          <t>ROBERTSFORS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63315-2025</t>
        </is>
      </c>
      <c r="B8190" s="1" t="n">
        <v>46010.63096064814</v>
      </c>
      <c r="C8190" s="1" t="n">
        <v>46145</v>
      </c>
      <c r="D8190" t="inlineStr">
        <is>
          <t>VÄSTERBOTTENS LÄN</t>
        </is>
      </c>
      <c r="E8190" t="inlineStr">
        <is>
          <t>LYCKSELE</t>
        </is>
      </c>
      <c r="G8190" t="n">
        <v>9.199999999999999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49239-2025</t>
        </is>
      </c>
      <c r="B8191" s="1" t="n">
        <v>45937</v>
      </c>
      <c r="C8191" s="1" t="n">
        <v>46145</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49242-2025</t>
        </is>
      </c>
      <c r="B8192" s="1" t="n">
        <v>45937</v>
      </c>
      <c r="C8192" s="1" t="n">
        <v>46145</v>
      </c>
      <c r="D8192" t="inlineStr">
        <is>
          <t>VÄSTERBOTTENS LÄN</t>
        </is>
      </c>
      <c r="E8192" t="inlineStr">
        <is>
          <t>SKELLEFTEÅ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9470-2024</t>
        </is>
      </c>
      <c r="B8193" s="1" t="n">
        <v>45359.55322916667</v>
      </c>
      <c r="C8193" s="1" t="n">
        <v>46145</v>
      </c>
      <c r="D8193" t="inlineStr">
        <is>
          <t>VÄSTERBOTTENS LÄN</t>
        </is>
      </c>
      <c r="E8193" t="inlineStr">
        <is>
          <t>SKELLEFTEÅ</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22530-2025</t>
        </is>
      </c>
      <c r="B8194" s="1" t="n">
        <v>45786</v>
      </c>
      <c r="C8194" s="1" t="n">
        <v>46145</v>
      </c>
      <c r="D8194" t="inlineStr">
        <is>
          <t>VÄSTERBOTTENS LÄN</t>
        </is>
      </c>
      <c r="E8194" t="inlineStr">
        <is>
          <t>SKELLEFTEÅ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54264-2024</t>
        </is>
      </c>
      <c r="B8195" s="1" t="n">
        <v>45616</v>
      </c>
      <c r="C8195" s="1" t="n">
        <v>46145</v>
      </c>
      <c r="D8195" t="inlineStr">
        <is>
          <t>VÄSTERBOTTENS LÄN</t>
        </is>
      </c>
      <c r="E8195" t="inlineStr">
        <is>
          <t>SKELLEFTEÅ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21495-2024</t>
        </is>
      </c>
      <c r="B8196" s="1" t="n">
        <v>45441</v>
      </c>
      <c r="C8196" s="1" t="n">
        <v>46145</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33792-2024</t>
        </is>
      </c>
      <c r="B8197" s="1" t="n">
        <v>45520</v>
      </c>
      <c r="C8197" s="1" t="n">
        <v>46145</v>
      </c>
      <c r="D8197" t="inlineStr">
        <is>
          <t>VÄSTERBOTTENS LÄN</t>
        </is>
      </c>
      <c r="E8197" t="inlineStr">
        <is>
          <t>SKELLEFTEÅ</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22531-2025</t>
        </is>
      </c>
      <c r="B8198" s="1" t="n">
        <v>45786</v>
      </c>
      <c r="C8198" s="1" t="n">
        <v>46145</v>
      </c>
      <c r="D8198" t="inlineStr">
        <is>
          <t>VÄSTERBOTTENS LÄN</t>
        </is>
      </c>
      <c r="E8198" t="inlineStr">
        <is>
          <t>SKELLEFTEÅ</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35792-2023</t>
        </is>
      </c>
      <c r="B8199" s="1" t="n">
        <v>45147</v>
      </c>
      <c r="C8199" s="1" t="n">
        <v>46145</v>
      </c>
      <c r="D8199" t="inlineStr">
        <is>
          <t>VÄSTERBOTTENS LÄN</t>
        </is>
      </c>
      <c r="E8199" t="inlineStr">
        <is>
          <t>NORDMALING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51723-2023</t>
        </is>
      </c>
      <c r="B8200" s="1" t="n">
        <v>45222</v>
      </c>
      <c r="C8200" s="1" t="n">
        <v>46145</v>
      </c>
      <c r="D8200" t="inlineStr">
        <is>
          <t>VÄSTERBOTTENS LÄN</t>
        </is>
      </c>
      <c r="E8200" t="inlineStr">
        <is>
          <t>MALÅ</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30485-2023</t>
        </is>
      </c>
      <c r="B8201" s="1" t="n">
        <v>45111.60275462963</v>
      </c>
      <c r="C8201" s="1" t="n">
        <v>46145</v>
      </c>
      <c r="D8201" t="inlineStr">
        <is>
          <t>VÄSTERBOTTENS LÄN</t>
        </is>
      </c>
      <c r="E8201" t="inlineStr">
        <is>
          <t>SKELLEFTEÅ</t>
        </is>
      </c>
      <c r="F8201" t="inlineStr">
        <is>
          <t>Sveaskog</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38577-2023</t>
        </is>
      </c>
      <c r="B8202" s="1" t="n">
        <v>45161</v>
      </c>
      <c r="C8202" s="1" t="n">
        <v>46145</v>
      </c>
      <c r="D8202" t="inlineStr">
        <is>
          <t>VÄSTERBOTTENS LÄN</t>
        </is>
      </c>
      <c r="E8202" t="inlineStr">
        <is>
          <t>SKELLEFTEÅ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16642-2025</t>
        </is>
      </c>
      <c r="B8203" s="1" t="n">
        <v>45754.37208333334</v>
      </c>
      <c r="C8203" s="1" t="n">
        <v>46145</v>
      </c>
      <c r="D8203" t="inlineStr">
        <is>
          <t>VÄSTERBOTTENS LÄN</t>
        </is>
      </c>
      <c r="E8203" t="inlineStr">
        <is>
          <t>SKELLEFTEÅ</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7981-2025</t>
        </is>
      </c>
      <c r="B8204" s="1" t="n">
        <v>45707.46899305555</v>
      </c>
      <c r="C8204" s="1" t="n">
        <v>46145</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63130-2025</t>
        </is>
      </c>
      <c r="B8205" s="1" t="n">
        <v>46010.23451388889</v>
      </c>
      <c r="C8205" s="1" t="n">
        <v>46145</v>
      </c>
      <c r="D8205" t="inlineStr">
        <is>
          <t>VÄSTERBOTTENS LÄN</t>
        </is>
      </c>
      <c r="E8205" t="inlineStr">
        <is>
          <t>UMEÅ</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63155-2025</t>
        </is>
      </c>
      <c r="B8206" s="1" t="n">
        <v>46010.3641087963</v>
      </c>
      <c r="C8206" s="1" t="n">
        <v>46145</v>
      </c>
      <c r="D8206" t="inlineStr">
        <is>
          <t>VÄSTERBOTTENS LÄN</t>
        </is>
      </c>
      <c r="E8206" t="inlineStr">
        <is>
          <t>UMEÅ</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63166-2025</t>
        </is>
      </c>
      <c r="B8207" s="1" t="n">
        <v>46010</v>
      </c>
      <c r="C8207" s="1" t="n">
        <v>46145</v>
      </c>
      <c r="D8207" t="inlineStr">
        <is>
          <t>VÄSTERBOTTENS LÄN</t>
        </is>
      </c>
      <c r="E8207" t="inlineStr">
        <is>
          <t>BJURHOLM</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63170-2025</t>
        </is>
      </c>
      <c r="B8208" s="1" t="n">
        <v>46010.39568287037</v>
      </c>
      <c r="C8208" s="1" t="n">
        <v>46145</v>
      </c>
      <c r="D8208" t="inlineStr">
        <is>
          <t>VÄSTERBOTTENS LÄN</t>
        </is>
      </c>
      <c r="E8208" t="inlineStr">
        <is>
          <t>BJURHOLM</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63253-2025</t>
        </is>
      </c>
      <c r="B8209" s="1" t="n">
        <v>46010.54806712963</v>
      </c>
      <c r="C8209" s="1" t="n">
        <v>46145</v>
      </c>
      <c r="D8209" t="inlineStr">
        <is>
          <t>VÄSTERBOTTENS LÄN</t>
        </is>
      </c>
      <c r="E8209" t="inlineStr">
        <is>
          <t>NORDMALING</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62890-2025</t>
        </is>
      </c>
      <c r="B8210" s="1" t="n">
        <v>46009.32591435185</v>
      </c>
      <c r="C8210" s="1" t="n">
        <v>46145</v>
      </c>
      <c r="D8210" t="inlineStr">
        <is>
          <t>VÄSTERBOTTENS LÄN</t>
        </is>
      </c>
      <c r="E8210" t="inlineStr">
        <is>
          <t>SKELLEFTEÅ</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35786-2023</t>
        </is>
      </c>
      <c r="B8211" s="1" t="n">
        <v>45147</v>
      </c>
      <c r="C8211" s="1" t="n">
        <v>46145</v>
      </c>
      <c r="D8211" t="inlineStr">
        <is>
          <t>VÄSTERBOTTENS LÄN</t>
        </is>
      </c>
      <c r="E8211" t="inlineStr">
        <is>
          <t>NORDMALING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35801-2023</t>
        </is>
      </c>
      <c r="B8212" s="1" t="n">
        <v>45147</v>
      </c>
      <c r="C8212" s="1" t="n">
        <v>46145</v>
      </c>
      <c r="D8212" t="inlineStr">
        <is>
          <t>VÄSTERBOTTENS LÄN</t>
        </is>
      </c>
      <c r="E8212" t="inlineStr">
        <is>
          <t>NORDMALING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16659-2025</t>
        </is>
      </c>
      <c r="B8213" s="1" t="n">
        <v>45754.41245370371</v>
      </c>
      <c r="C8213" s="1" t="n">
        <v>46145</v>
      </c>
      <c r="D8213" t="inlineStr">
        <is>
          <t>VÄSTERBOTTENS LÄN</t>
        </is>
      </c>
      <c r="E8213" t="inlineStr">
        <is>
          <t>NORSJÖ</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16663-2025</t>
        </is>
      </c>
      <c r="B8214" s="1" t="n">
        <v>45754.41936342593</v>
      </c>
      <c r="C8214" s="1" t="n">
        <v>46145</v>
      </c>
      <c r="D8214" t="inlineStr">
        <is>
          <t>VÄSTERBOTTENS LÄN</t>
        </is>
      </c>
      <c r="E8214" t="inlineStr">
        <is>
          <t>SKELLEFTEÅ</t>
        </is>
      </c>
      <c r="G8214" t="n">
        <v>8.300000000000001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25596-2022</t>
        </is>
      </c>
      <c r="B8215" s="1" t="n">
        <v>44732</v>
      </c>
      <c r="C8215" s="1" t="n">
        <v>46145</v>
      </c>
      <c r="D8215" t="inlineStr">
        <is>
          <t>VÄSTERBOTTENS LÄN</t>
        </is>
      </c>
      <c r="E8215" t="inlineStr">
        <is>
          <t>SKELLEFTEÅ</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1022-2025</t>
        </is>
      </c>
      <c r="B8216" s="1" t="n">
        <v>45665</v>
      </c>
      <c r="C8216" s="1" t="n">
        <v>46145</v>
      </c>
      <c r="D8216" t="inlineStr">
        <is>
          <t>VÄSTERBOTTENS LÄN</t>
        </is>
      </c>
      <c r="E8216" t="inlineStr">
        <is>
          <t>SKELLEFTEÅ</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35797-2023</t>
        </is>
      </c>
      <c r="B8217" s="1" t="n">
        <v>45147</v>
      </c>
      <c r="C8217" s="1" t="n">
        <v>46145</v>
      </c>
      <c r="D8217" t="inlineStr">
        <is>
          <t>VÄSTERBOTTENS LÄN</t>
        </is>
      </c>
      <c r="E8217" t="inlineStr">
        <is>
          <t>NORDMALING</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62891-2025</t>
        </is>
      </c>
      <c r="B8218" s="1" t="n">
        <v>46009.33181712963</v>
      </c>
      <c r="C8218" s="1" t="n">
        <v>46145</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63033-2025</t>
        </is>
      </c>
      <c r="B8219" s="1" t="n">
        <v>46009.60849537037</v>
      </c>
      <c r="C8219" s="1" t="n">
        <v>46145</v>
      </c>
      <c r="D8219" t="inlineStr">
        <is>
          <t>VÄSTERBOTTENS LÄN</t>
        </is>
      </c>
      <c r="E8219" t="inlineStr">
        <is>
          <t>NORDMALING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63007-2025</t>
        </is>
      </c>
      <c r="B8220" s="1" t="n">
        <v>46009.57525462963</v>
      </c>
      <c r="C8220" s="1" t="n">
        <v>46145</v>
      </c>
      <c r="D8220" t="inlineStr">
        <is>
          <t>VÄSTERBOTTENS LÄN</t>
        </is>
      </c>
      <c r="E8220" t="inlineStr">
        <is>
          <t>NORDMALING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63019-2025</t>
        </is>
      </c>
      <c r="B8221" s="1" t="n">
        <v>46009.59363425926</v>
      </c>
      <c r="C8221" s="1" t="n">
        <v>46145</v>
      </c>
      <c r="D8221" t="inlineStr">
        <is>
          <t>VÄSTERBOTTENS LÄN</t>
        </is>
      </c>
      <c r="E8221" t="inlineStr">
        <is>
          <t>NORDMALING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63037-2025</t>
        </is>
      </c>
      <c r="B8222" s="1" t="n">
        <v>46009.61435185185</v>
      </c>
      <c r="C8222" s="1" t="n">
        <v>46145</v>
      </c>
      <c r="D8222" t="inlineStr">
        <is>
          <t>VÄSTERBOTTENS LÄN</t>
        </is>
      </c>
      <c r="E8222" t="inlineStr">
        <is>
          <t>NORDMALING</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63073-2025</t>
        </is>
      </c>
      <c r="B8223" s="1" t="n">
        <v>46009.66118055556</v>
      </c>
      <c r="C8223" s="1" t="n">
        <v>46145</v>
      </c>
      <c r="D8223" t="inlineStr">
        <is>
          <t>VÄSTERBOTTENS LÄN</t>
        </is>
      </c>
      <c r="E8223" t="inlineStr">
        <is>
          <t>NORDMALING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56663-2024</t>
        </is>
      </c>
      <c r="B8224" s="1" t="n">
        <v>45625</v>
      </c>
      <c r="C8224" s="1" t="n">
        <v>46145</v>
      </c>
      <c r="D8224" t="inlineStr">
        <is>
          <t>VÄSTERBOTTENS LÄN</t>
        </is>
      </c>
      <c r="E8224" t="inlineStr">
        <is>
          <t>MALÅ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63549-2025</t>
        </is>
      </c>
      <c r="B8225" s="1" t="n">
        <v>46013.60505787037</v>
      </c>
      <c r="C8225" s="1" t="n">
        <v>46145</v>
      </c>
      <c r="D8225" t="inlineStr">
        <is>
          <t>VÄSTERBOTTENS LÄN</t>
        </is>
      </c>
      <c r="E8225" t="inlineStr">
        <is>
          <t>SKELLEFTEÅ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63598-2025</t>
        </is>
      </c>
      <c r="B8226" s="1" t="n">
        <v>46014.29841435186</v>
      </c>
      <c r="C8226" s="1" t="n">
        <v>46145</v>
      </c>
      <c r="D8226" t="inlineStr">
        <is>
          <t>VÄSTERBOTTENS LÄN</t>
        </is>
      </c>
      <c r="E8226" t="inlineStr">
        <is>
          <t>SKELLEFTEÅ</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34484-2023</t>
        </is>
      </c>
      <c r="B8227" s="1" t="n">
        <v>45139.94689814815</v>
      </c>
      <c r="C8227" s="1" t="n">
        <v>46145</v>
      </c>
      <c r="D8227" t="inlineStr">
        <is>
          <t>VÄSTERBOTTENS LÄN</t>
        </is>
      </c>
      <c r="E8227" t="inlineStr">
        <is>
          <t>NORDMALING</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36042-2023</t>
        </is>
      </c>
      <c r="B8228" s="1" t="n">
        <v>45149</v>
      </c>
      <c r="C8228" s="1" t="n">
        <v>46145</v>
      </c>
      <c r="D8228" t="inlineStr">
        <is>
          <t>VÄSTERBOTTENS LÄN</t>
        </is>
      </c>
      <c r="E8228" t="inlineStr">
        <is>
          <t>ÅSELE</t>
        </is>
      </c>
      <c r="F8228" t="inlineStr">
        <is>
          <t>Holmen skog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36054-2023</t>
        </is>
      </c>
      <c r="B8229" s="1" t="n">
        <v>45148</v>
      </c>
      <c r="C8229" s="1" t="n">
        <v>46145</v>
      </c>
      <c r="D8229" t="inlineStr">
        <is>
          <t>VÄSTERBOTTENS LÄN</t>
        </is>
      </c>
      <c r="E8229" t="inlineStr">
        <is>
          <t>MALÅ</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12036-2025</t>
        </is>
      </c>
      <c r="B8230" s="1" t="n">
        <v>45728.6524537037</v>
      </c>
      <c r="C8230" s="1" t="n">
        <v>46145</v>
      </c>
      <c r="D8230" t="inlineStr">
        <is>
          <t>VÄSTERBOTTENS LÄN</t>
        </is>
      </c>
      <c r="E8230" t="inlineStr">
        <is>
          <t>VINDELN</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64157-2025</t>
        </is>
      </c>
      <c r="B8231" s="1" t="n">
        <v>46013</v>
      </c>
      <c r="C8231" s="1" t="n">
        <v>46145</v>
      </c>
      <c r="D8231" t="inlineStr">
        <is>
          <t>VÄSTERBOTTENS LÄN</t>
        </is>
      </c>
      <c r="E8231" t="inlineStr">
        <is>
          <t>UMEÅ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63655-2025</t>
        </is>
      </c>
      <c r="B8232" s="1" t="n">
        <v>46014.44158564815</v>
      </c>
      <c r="C8232" s="1" t="n">
        <v>46145</v>
      </c>
      <c r="D8232" t="inlineStr">
        <is>
          <t>VÄSTERBOTTENS LÄN</t>
        </is>
      </c>
      <c r="E8232" t="inlineStr">
        <is>
          <t>VINDELN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63495-2025</t>
        </is>
      </c>
      <c r="B8233" s="1" t="n">
        <v>46013.48013888889</v>
      </c>
      <c r="C8233" s="1" t="n">
        <v>46145</v>
      </c>
      <c r="D8233" t="inlineStr">
        <is>
          <t>VÄSTERBOTTENS LÄN</t>
        </is>
      </c>
      <c r="E8233" t="inlineStr">
        <is>
          <t>SKELLEFTEÅ</t>
        </is>
      </c>
      <c r="F8233" t="inlineStr">
        <is>
          <t>Holmen skog AB</t>
        </is>
      </c>
      <c r="G8233" t="n">
        <v>14.6</v>
      </c>
      <c r="H8233" t="n">
        <v>0</v>
      </c>
      <c r="I8233" t="n">
        <v>0</v>
      </c>
      <c r="J8233" t="n">
        <v>0</v>
      </c>
      <c r="K8233" t="n">
        <v>0</v>
      </c>
      <c r="L8233" t="n">
        <v>0</v>
      </c>
      <c r="M8233" t="n">
        <v>0</v>
      </c>
      <c r="N8233" t="n">
        <v>0</v>
      </c>
      <c r="O8233" t="n">
        <v>0</v>
      </c>
      <c r="P8233" t="n">
        <v>0</v>
      </c>
      <c r="Q8233" t="n">
        <v>0</v>
      </c>
      <c r="R8233" s="2" t="inlineStr"/>
    </row>
    <row r="8234" ht="15" customHeight="1">
      <c r="A8234" t="inlineStr">
        <is>
          <t>A 63481-2025</t>
        </is>
      </c>
      <c r="B8234" s="1" t="n">
        <v>46013.46344907407</v>
      </c>
      <c r="C8234" s="1" t="n">
        <v>46145</v>
      </c>
      <c r="D8234" t="inlineStr">
        <is>
          <t>VÄSTERBOTTENS LÄN</t>
        </is>
      </c>
      <c r="E8234" t="inlineStr">
        <is>
          <t>SKELLEFTEÅ</t>
        </is>
      </c>
      <c r="F8234" t="inlineStr">
        <is>
          <t>Holmen skog AB</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61911-2025</t>
        </is>
      </c>
      <c r="B8235" s="1" t="n">
        <v>46003</v>
      </c>
      <c r="C8235" s="1" t="n">
        <v>46145</v>
      </c>
      <c r="D8235" t="inlineStr">
        <is>
          <t>VÄSTERBOTTENS LÄN</t>
        </is>
      </c>
      <c r="E8235" t="inlineStr">
        <is>
          <t>VILHELMINA</t>
        </is>
      </c>
      <c r="G8235" t="n">
        <v>23.1</v>
      </c>
      <c r="H8235" t="n">
        <v>0</v>
      </c>
      <c r="I8235" t="n">
        <v>0</v>
      </c>
      <c r="J8235" t="n">
        <v>0</v>
      </c>
      <c r="K8235" t="n">
        <v>0</v>
      </c>
      <c r="L8235" t="n">
        <v>0</v>
      </c>
      <c r="M8235" t="n">
        <v>0</v>
      </c>
      <c r="N8235" t="n">
        <v>0</v>
      </c>
      <c r="O8235" t="n">
        <v>0</v>
      </c>
      <c r="P8235" t="n">
        <v>0</v>
      </c>
      <c r="Q8235" t="n">
        <v>0</v>
      </c>
      <c r="R8235" s="2" t="inlineStr"/>
    </row>
    <row r="8236" ht="15" customHeight="1">
      <c r="A8236" t="inlineStr">
        <is>
          <t>A 46614-2023</t>
        </is>
      </c>
      <c r="B8236" s="1" t="n">
        <v>45198.40074074074</v>
      </c>
      <c r="C8236" s="1" t="n">
        <v>46145</v>
      </c>
      <c r="D8236" t="inlineStr">
        <is>
          <t>VÄSTERBOTTENS LÄN</t>
        </is>
      </c>
      <c r="E8236" t="inlineStr">
        <is>
          <t>BJURHOLM</t>
        </is>
      </c>
      <c r="F8236" t="inlineStr">
        <is>
          <t>Holmen skog AB</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17628-2025</t>
        </is>
      </c>
      <c r="B8237" s="1" t="n">
        <v>45757.97299768519</v>
      </c>
      <c r="C8237" s="1" t="n">
        <v>46145</v>
      </c>
      <c r="D8237" t="inlineStr">
        <is>
          <t>VÄSTERBOTTENS LÄN</t>
        </is>
      </c>
      <c r="E8237" t="inlineStr">
        <is>
          <t>SKELLEFTEÅ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20378-2025</t>
        </is>
      </c>
      <c r="B8238" s="1" t="n">
        <v>45775.42729166667</v>
      </c>
      <c r="C8238" s="1" t="n">
        <v>46145</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28099-2023</t>
        </is>
      </c>
      <c r="B8239" s="1" t="n">
        <v>45099</v>
      </c>
      <c r="C8239" s="1" t="n">
        <v>46145</v>
      </c>
      <c r="D8239" t="inlineStr">
        <is>
          <t>VÄSTERBOTTENS LÄN</t>
        </is>
      </c>
      <c r="E8239" t="inlineStr">
        <is>
          <t>UMEÅ</t>
        </is>
      </c>
      <c r="F8239" t="inlineStr">
        <is>
          <t>Holmen skog AB</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63658-2025</t>
        </is>
      </c>
      <c r="B8240" s="1" t="n">
        <v>46014.44509259259</v>
      </c>
      <c r="C8240" s="1" t="n">
        <v>46145</v>
      </c>
      <c r="D8240" t="inlineStr">
        <is>
          <t>VÄSTERBOTTENS LÄN</t>
        </is>
      </c>
      <c r="E8240" t="inlineStr">
        <is>
          <t>VINDELN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37813-2023</t>
        </is>
      </c>
      <c r="B8241" s="1" t="n">
        <v>45159</v>
      </c>
      <c r="C8241" s="1" t="n">
        <v>46145</v>
      </c>
      <c r="D8241" t="inlineStr">
        <is>
          <t>VÄSTERBOTTENS LÄN</t>
        </is>
      </c>
      <c r="E8241" t="inlineStr">
        <is>
          <t>SORSELE</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63447-2025</t>
        </is>
      </c>
      <c r="B8242" s="1" t="n">
        <v>46013.4020949074</v>
      </c>
      <c r="C8242" s="1" t="n">
        <v>46145</v>
      </c>
      <c r="D8242" t="inlineStr">
        <is>
          <t>VÄSTERBOTTENS LÄN</t>
        </is>
      </c>
      <c r="E8242" t="inlineStr">
        <is>
          <t>VÄNNÄS</t>
        </is>
      </c>
      <c r="F8242" t="inlineStr">
        <is>
          <t>Sveaskog</t>
        </is>
      </c>
      <c r="G8242" t="n">
        <v>21.4</v>
      </c>
      <c r="H8242" t="n">
        <v>0</v>
      </c>
      <c r="I8242" t="n">
        <v>0</v>
      </c>
      <c r="J8242" t="n">
        <v>0</v>
      </c>
      <c r="K8242" t="n">
        <v>0</v>
      </c>
      <c r="L8242" t="n">
        <v>0</v>
      </c>
      <c r="M8242" t="n">
        <v>0</v>
      </c>
      <c r="N8242" t="n">
        <v>0</v>
      </c>
      <c r="O8242" t="n">
        <v>0</v>
      </c>
      <c r="P8242" t="n">
        <v>0</v>
      </c>
      <c r="Q8242" t="n">
        <v>0</v>
      </c>
      <c r="R8242" s="2" t="inlineStr"/>
    </row>
    <row r="8243" ht="15" customHeight="1">
      <c r="A8243" t="inlineStr">
        <is>
          <t>A 63670-2025</t>
        </is>
      </c>
      <c r="B8243" s="1" t="n">
        <v>46014.46296296296</v>
      </c>
      <c r="C8243" s="1" t="n">
        <v>46145</v>
      </c>
      <c r="D8243" t="inlineStr">
        <is>
          <t>VÄSTERBOTTENS LÄN</t>
        </is>
      </c>
      <c r="E8243" t="inlineStr">
        <is>
          <t>BJURHOLM</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52444-2023</t>
        </is>
      </c>
      <c r="B8244" s="1" t="n">
        <v>45225.37877314815</v>
      </c>
      <c r="C8244" s="1" t="n">
        <v>46145</v>
      </c>
      <c r="D8244" t="inlineStr">
        <is>
          <t>VÄSTERBOTTENS LÄN</t>
        </is>
      </c>
      <c r="E8244" t="inlineStr">
        <is>
          <t>SKELLEFTEÅ</t>
        </is>
      </c>
      <c r="F8244" t="inlineStr">
        <is>
          <t>Sveaskog</t>
        </is>
      </c>
      <c r="G8244" t="n">
        <v>28.5</v>
      </c>
      <c r="H8244" t="n">
        <v>0</v>
      </c>
      <c r="I8244" t="n">
        <v>0</v>
      </c>
      <c r="J8244" t="n">
        <v>0</v>
      </c>
      <c r="K8244" t="n">
        <v>0</v>
      </c>
      <c r="L8244" t="n">
        <v>0</v>
      </c>
      <c r="M8244" t="n">
        <v>0</v>
      </c>
      <c r="N8244" t="n">
        <v>0</v>
      </c>
      <c r="O8244" t="n">
        <v>0</v>
      </c>
      <c r="P8244" t="n">
        <v>0</v>
      </c>
      <c r="Q8244" t="n">
        <v>0</v>
      </c>
      <c r="R8244" s="2" t="inlineStr"/>
    </row>
    <row r="8245" ht="15" customHeight="1">
      <c r="A8245" t="inlineStr">
        <is>
          <t>A 16780-2022</t>
        </is>
      </c>
      <c r="B8245" s="1" t="n">
        <v>44673</v>
      </c>
      <c r="C8245" s="1" t="n">
        <v>46145</v>
      </c>
      <c r="D8245" t="inlineStr">
        <is>
          <t>VÄSTERBOTTENS LÄN</t>
        </is>
      </c>
      <c r="E8245" t="inlineStr">
        <is>
          <t>VINDELN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35861-2023</t>
        </is>
      </c>
      <c r="B8246" s="1" t="n">
        <v>45147</v>
      </c>
      <c r="C8246" s="1" t="n">
        <v>46145</v>
      </c>
      <c r="D8246" t="inlineStr">
        <is>
          <t>VÄSTERBOTTENS LÄN</t>
        </is>
      </c>
      <c r="E8246" t="inlineStr">
        <is>
          <t>ÅSELE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7438-2022</t>
        </is>
      </c>
      <c r="B8247" s="1" t="n">
        <v>44606.93429398148</v>
      </c>
      <c r="C8247" s="1" t="n">
        <v>46145</v>
      </c>
      <c r="D8247" t="inlineStr">
        <is>
          <t>VÄSTERBOTTENS LÄN</t>
        </is>
      </c>
      <c r="E8247" t="inlineStr">
        <is>
          <t>UMEÅ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63574-2025</t>
        </is>
      </c>
      <c r="B8248" s="1" t="n">
        <v>46013.66307870371</v>
      </c>
      <c r="C8248" s="1" t="n">
        <v>46145</v>
      </c>
      <c r="D8248" t="inlineStr">
        <is>
          <t>VÄSTERBOTTENS LÄN</t>
        </is>
      </c>
      <c r="E8248" t="inlineStr">
        <is>
          <t>VÄNNÄS</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63553-2025</t>
        </is>
      </c>
      <c r="B8249" s="1" t="n">
        <v>46013.61215277778</v>
      </c>
      <c r="C8249" s="1" t="n">
        <v>46145</v>
      </c>
      <c r="D8249" t="inlineStr">
        <is>
          <t>VÄSTERBOTTENS LÄN</t>
        </is>
      </c>
      <c r="E8249" t="inlineStr">
        <is>
          <t>BJURHOLM</t>
        </is>
      </c>
      <c r="F8249" t="inlineStr">
        <is>
          <t>Holmen skog AB</t>
        </is>
      </c>
      <c r="G8249" t="n">
        <v>7.5</v>
      </c>
      <c r="H8249" t="n">
        <v>0</v>
      </c>
      <c r="I8249" t="n">
        <v>0</v>
      </c>
      <c r="J8249" t="n">
        <v>0</v>
      </c>
      <c r="K8249" t="n">
        <v>0</v>
      </c>
      <c r="L8249" t="n">
        <v>0</v>
      </c>
      <c r="M8249" t="n">
        <v>0</v>
      </c>
      <c r="N8249" t="n">
        <v>0</v>
      </c>
      <c r="O8249" t="n">
        <v>0</v>
      </c>
      <c r="P8249" t="n">
        <v>0</v>
      </c>
      <c r="Q8249" t="n">
        <v>0</v>
      </c>
      <c r="R8249" s="2" t="inlineStr"/>
    </row>
    <row r="8250" ht="15" customHeight="1">
      <c r="A8250" t="inlineStr">
        <is>
          <t>A 63575-2025</t>
        </is>
      </c>
      <c r="B8250" s="1" t="n">
        <v>46013.66325231481</v>
      </c>
      <c r="C8250" s="1" t="n">
        <v>46145</v>
      </c>
      <c r="D8250" t="inlineStr">
        <is>
          <t>VÄSTERBOTTENS LÄN</t>
        </is>
      </c>
      <c r="E8250" t="inlineStr">
        <is>
          <t>DOROTEA</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63639-2025</t>
        </is>
      </c>
      <c r="B8251" s="1" t="n">
        <v>46014.39515046297</v>
      </c>
      <c r="C8251" s="1" t="n">
        <v>46145</v>
      </c>
      <c r="D8251" t="inlineStr">
        <is>
          <t>VÄSTERBOTTENS LÄN</t>
        </is>
      </c>
      <c r="E8251" t="inlineStr">
        <is>
          <t>LYCKSELE</t>
        </is>
      </c>
      <c r="F8251" t="inlineStr">
        <is>
          <t>Sveaskog</t>
        </is>
      </c>
      <c r="G8251" t="n">
        <v>10.6</v>
      </c>
      <c r="H8251" t="n">
        <v>0</v>
      </c>
      <c r="I8251" t="n">
        <v>0</v>
      </c>
      <c r="J8251" t="n">
        <v>0</v>
      </c>
      <c r="K8251" t="n">
        <v>0</v>
      </c>
      <c r="L8251" t="n">
        <v>0</v>
      </c>
      <c r="M8251" t="n">
        <v>0</v>
      </c>
      <c r="N8251" t="n">
        <v>0</v>
      </c>
      <c r="O8251" t="n">
        <v>0</v>
      </c>
      <c r="P8251" t="n">
        <v>0</v>
      </c>
      <c r="Q8251" t="n">
        <v>0</v>
      </c>
      <c r="R8251" s="2" t="inlineStr"/>
    </row>
    <row r="8252" ht="15" customHeight="1">
      <c r="A8252" t="inlineStr">
        <is>
          <t>A 63659-2025</t>
        </is>
      </c>
      <c r="B8252" s="1" t="n">
        <v>46014.44659722222</v>
      </c>
      <c r="C8252" s="1" t="n">
        <v>46145</v>
      </c>
      <c r="D8252" t="inlineStr">
        <is>
          <t>VÄSTERBOTTENS LÄN</t>
        </is>
      </c>
      <c r="E8252" t="inlineStr">
        <is>
          <t>VINDELN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29861-2023</t>
        </is>
      </c>
      <c r="B8253" s="1" t="n">
        <v>45107</v>
      </c>
      <c r="C8253" s="1" t="n">
        <v>46145</v>
      </c>
      <c r="D8253" t="inlineStr">
        <is>
          <t>VÄSTERBOTTENS LÄN</t>
        </is>
      </c>
      <c r="E8253" t="inlineStr">
        <is>
          <t>LYCKSELE</t>
        </is>
      </c>
      <c r="G8253" t="n">
        <v>10</v>
      </c>
      <c r="H8253" t="n">
        <v>0</v>
      </c>
      <c r="I8253" t="n">
        <v>0</v>
      </c>
      <c r="J8253" t="n">
        <v>0</v>
      </c>
      <c r="K8253" t="n">
        <v>0</v>
      </c>
      <c r="L8253" t="n">
        <v>0</v>
      </c>
      <c r="M8253" t="n">
        <v>0</v>
      </c>
      <c r="N8253" t="n">
        <v>0</v>
      </c>
      <c r="O8253" t="n">
        <v>0</v>
      </c>
      <c r="P8253" t="n">
        <v>0</v>
      </c>
      <c r="Q8253" t="n">
        <v>0</v>
      </c>
      <c r="R8253" s="2" t="inlineStr"/>
    </row>
    <row r="8254" ht="15" customHeight="1">
      <c r="A8254" t="inlineStr">
        <is>
          <t>A 63571-2025</t>
        </is>
      </c>
      <c r="B8254" s="1" t="n">
        <v>46013.6524537037</v>
      </c>
      <c r="C8254" s="1" t="n">
        <v>46145</v>
      </c>
      <c r="D8254" t="inlineStr">
        <is>
          <t>VÄSTERBOTTENS LÄN</t>
        </is>
      </c>
      <c r="E8254" t="inlineStr">
        <is>
          <t>SKELLEFTEÅ</t>
        </is>
      </c>
      <c r="G8254" t="n">
        <v>12.9</v>
      </c>
      <c r="H8254" t="n">
        <v>0</v>
      </c>
      <c r="I8254" t="n">
        <v>0</v>
      </c>
      <c r="J8254" t="n">
        <v>0</v>
      </c>
      <c r="K8254" t="n">
        <v>0</v>
      </c>
      <c r="L8254" t="n">
        <v>0</v>
      </c>
      <c r="M8254" t="n">
        <v>0</v>
      </c>
      <c r="N8254" t="n">
        <v>0</v>
      </c>
      <c r="O8254" t="n">
        <v>0</v>
      </c>
      <c r="P8254" t="n">
        <v>0</v>
      </c>
      <c r="Q8254" t="n">
        <v>0</v>
      </c>
      <c r="R8254" s="2" t="inlineStr"/>
    </row>
    <row r="8255" ht="15" customHeight="1">
      <c r="A8255" t="inlineStr">
        <is>
          <t>A 15542-2025</t>
        </is>
      </c>
      <c r="B8255" s="1" t="n">
        <v>45747.65768518519</v>
      </c>
      <c r="C8255" s="1" t="n">
        <v>46145</v>
      </c>
      <c r="D8255" t="inlineStr">
        <is>
          <t>VÄSTERBOTTENS LÄN</t>
        </is>
      </c>
      <c r="E8255" t="inlineStr">
        <is>
          <t>SKELLEFTEÅ</t>
        </is>
      </c>
      <c r="F8255" t="inlineStr">
        <is>
          <t>Övriga Aktiebolag</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44777-2023</t>
        </is>
      </c>
      <c r="B8256" s="1" t="n">
        <v>45190</v>
      </c>
      <c r="C8256" s="1" t="n">
        <v>46145</v>
      </c>
      <c r="D8256" t="inlineStr">
        <is>
          <t>VÄSTERBOTTENS LÄN</t>
        </is>
      </c>
      <c r="E8256" t="inlineStr">
        <is>
          <t>BJURHOLM</t>
        </is>
      </c>
      <c r="F8256" t="inlineStr">
        <is>
          <t>Holmen skog AB</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63529-2025</t>
        </is>
      </c>
      <c r="B8257" s="1" t="n">
        <v>46013.56108796296</v>
      </c>
      <c r="C8257" s="1" t="n">
        <v>46145</v>
      </c>
      <c r="D8257" t="inlineStr">
        <is>
          <t>VÄSTERBOTTENS LÄN</t>
        </is>
      </c>
      <c r="E8257" t="inlineStr">
        <is>
          <t>SKELLEFTEÅ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18098-2025</t>
        </is>
      </c>
      <c r="B8258" s="1" t="n">
        <v>45761.5509375</v>
      </c>
      <c r="C8258" s="1" t="n">
        <v>46145</v>
      </c>
      <c r="D8258" t="inlineStr">
        <is>
          <t>VÄSTERBOTTENS LÄN</t>
        </is>
      </c>
      <c r="E8258" t="inlineStr">
        <is>
          <t>SKELLEFTEÅ</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63612-2025</t>
        </is>
      </c>
      <c r="B8259" s="1" t="n">
        <v>46014.3443287037</v>
      </c>
      <c r="C8259" s="1" t="n">
        <v>46145</v>
      </c>
      <c r="D8259" t="inlineStr">
        <is>
          <t>VÄSTERBOTTENS LÄN</t>
        </is>
      </c>
      <c r="E8259" t="inlineStr">
        <is>
          <t>SKELLEFTEÅ</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63484-2025</t>
        </is>
      </c>
      <c r="B8260" s="1" t="n">
        <v>46013.46725694444</v>
      </c>
      <c r="C8260" s="1" t="n">
        <v>46145</v>
      </c>
      <c r="D8260" t="inlineStr">
        <is>
          <t>VÄSTERBOTTENS LÄN</t>
        </is>
      </c>
      <c r="E8260" t="inlineStr">
        <is>
          <t>SKELLEFTEÅ</t>
        </is>
      </c>
      <c r="F8260" t="inlineStr">
        <is>
          <t>Holmen skog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14248-2025</t>
        </is>
      </c>
      <c r="B8261" s="1" t="n">
        <v>45740</v>
      </c>
      <c r="C8261" s="1" t="n">
        <v>46145</v>
      </c>
      <c r="D8261" t="inlineStr">
        <is>
          <t>VÄSTERBOTTENS LÄN</t>
        </is>
      </c>
      <c r="E8261" t="inlineStr">
        <is>
          <t>LYCKSELE</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18070-2022</t>
        </is>
      </c>
      <c r="B8262" s="1" t="n">
        <v>44684</v>
      </c>
      <c r="C8262" s="1" t="n">
        <v>46145</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20140-2022</t>
        </is>
      </c>
      <c r="B8263" s="1" t="n">
        <v>44698</v>
      </c>
      <c r="C8263" s="1" t="n">
        <v>46145</v>
      </c>
      <c r="D8263" t="inlineStr">
        <is>
          <t>VÄSTERBOTTENS LÄN</t>
        </is>
      </c>
      <c r="E8263" t="inlineStr">
        <is>
          <t>ÅSELE</t>
        </is>
      </c>
      <c r="F8263" t="inlineStr">
        <is>
          <t>Holmen skog AB</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11321-2024</t>
        </is>
      </c>
      <c r="B8264" s="1" t="n">
        <v>45371</v>
      </c>
      <c r="C8264" s="1" t="n">
        <v>46145</v>
      </c>
      <c r="D8264" t="inlineStr">
        <is>
          <t>VÄSTERBOTTENS LÄN</t>
        </is>
      </c>
      <c r="E8264" t="inlineStr">
        <is>
          <t>SORSELE</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11323-2024</t>
        </is>
      </c>
      <c r="B8265" s="1" t="n">
        <v>45371</v>
      </c>
      <c r="C8265" s="1" t="n">
        <v>46145</v>
      </c>
      <c r="D8265" t="inlineStr">
        <is>
          <t>VÄSTERBOTTENS LÄN</t>
        </is>
      </c>
      <c r="E8265" t="inlineStr">
        <is>
          <t>SORSELE</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20144-2024</t>
        </is>
      </c>
      <c r="B8266" s="1" t="n">
        <v>45434</v>
      </c>
      <c r="C8266" s="1" t="n">
        <v>46145</v>
      </c>
      <c r="D8266" t="inlineStr">
        <is>
          <t>VÄSTERBOTTENS LÄN</t>
        </is>
      </c>
      <c r="E8266" t="inlineStr">
        <is>
          <t>VINDELN</t>
        </is>
      </c>
      <c r="F8266" t="inlineStr">
        <is>
          <t>Holmen skog AB</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20455-2025</t>
        </is>
      </c>
      <c r="B8267" s="1" t="n">
        <v>45775</v>
      </c>
      <c r="C8267" s="1" t="n">
        <v>46145</v>
      </c>
      <c r="D8267" t="inlineStr">
        <is>
          <t>VÄSTERBOTTENS LÄN</t>
        </is>
      </c>
      <c r="E8267" t="inlineStr">
        <is>
          <t>ÅSELE</t>
        </is>
      </c>
      <c r="F8267" t="inlineStr">
        <is>
          <t>SCA</t>
        </is>
      </c>
      <c r="G8267" t="n">
        <v>18.4</v>
      </c>
      <c r="H8267" t="n">
        <v>0</v>
      </c>
      <c r="I8267" t="n">
        <v>0</v>
      </c>
      <c r="J8267" t="n">
        <v>0</v>
      </c>
      <c r="K8267" t="n">
        <v>0</v>
      </c>
      <c r="L8267" t="n">
        <v>0</v>
      </c>
      <c r="M8267" t="n">
        <v>0</v>
      </c>
      <c r="N8267" t="n">
        <v>0</v>
      </c>
      <c r="O8267" t="n">
        <v>0</v>
      </c>
      <c r="P8267" t="n">
        <v>0</v>
      </c>
      <c r="Q8267" t="n">
        <v>0</v>
      </c>
      <c r="R8267" s="2" t="inlineStr"/>
    </row>
    <row r="8268" ht="15" customHeight="1">
      <c r="A8268" t="inlineStr">
        <is>
          <t>A 20476-2025</t>
        </is>
      </c>
      <c r="B8268" s="1" t="n">
        <v>45775.54994212963</v>
      </c>
      <c r="C8268" s="1" t="n">
        <v>46145</v>
      </c>
      <c r="D8268" t="inlineStr">
        <is>
          <t>VÄSTERBOTTENS LÄN</t>
        </is>
      </c>
      <c r="E8268" t="inlineStr">
        <is>
          <t>NORDMALING</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20479-2025</t>
        </is>
      </c>
      <c r="B8269" s="1" t="n">
        <v>45775</v>
      </c>
      <c r="C8269" s="1" t="n">
        <v>46145</v>
      </c>
      <c r="D8269" t="inlineStr">
        <is>
          <t>VÄSTERBOTTENS LÄN</t>
        </is>
      </c>
      <c r="E8269" t="inlineStr">
        <is>
          <t>NORDMALING</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20481-2025</t>
        </is>
      </c>
      <c r="B8270" s="1" t="n">
        <v>45775</v>
      </c>
      <c r="C8270" s="1" t="n">
        <v>46145</v>
      </c>
      <c r="D8270" t="inlineStr">
        <is>
          <t>VÄSTERBOTTENS LÄN</t>
        </is>
      </c>
      <c r="E8270" t="inlineStr">
        <is>
          <t>NORDMALING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25683-2025</t>
        </is>
      </c>
      <c r="B8271" s="1" t="n">
        <v>45803</v>
      </c>
      <c r="C8271" s="1" t="n">
        <v>46145</v>
      </c>
      <c r="D8271" t="inlineStr">
        <is>
          <t>VÄSTERBOTTENS LÄN</t>
        </is>
      </c>
      <c r="E8271" t="inlineStr">
        <is>
          <t>UMEÅ</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164-2025</t>
        </is>
      </c>
      <c r="B8272" s="1" t="n">
        <v>45659.63700231481</v>
      </c>
      <c r="C8272" s="1" t="n">
        <v>46145</v>
      </c>
      <c r="D8272" t="inlineStr">
        <is>
          <t>VÄSTERBOTTENS LÄN</t>
        </is>
      </c>
      <c r="E8272" t="inlineStr">
        <is>
          <t>ROBERTSFORS</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34805-2023</t>
        </is>
      </c>
      <c r="B8273" s="1" t="n">
        <v>45140</v>
      </c>
      <c r="C8273" s="1" t="n">
        <v>46145</v>
      </c>
      <c r="D8273" t="inlineStr">
        <is>
          <t>VÄSTERBOTTENS LÄN</t>
        </is>
      </c>
      <c r="E8273" t="inlineStr">
        <is>
          <t>VILHELMINA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6717-2025</t>
        </is>
      </c>
      <c r="B8274" s="1" t="n">
        <v>45700.5734837963</v>
      </c>
      <c r="C8274" s="1" t="n">
        <v>46145</v>
      </c>
      <c r="D8274" t="inlineStr">
        <is>
          <t>VÄSTERBOTTENS LÄN</t>
        </is>
      </c>
      <c r="E8274" t="inlineStr">
        <is>
          <t>DOROTEA</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43-2026</t>
        </is>
      </c>
      <c r="B8275" s="1" t="n">
        <v>46014</v>
      </c>
      <c r="C8275" s="1" t="n">
        <v>46145</v>
      </c>
      <c r="D8275" t="inlineStr">
        <is>
          <t>VÄSTERBOTTENS LÄN</t>
        </is>
      </c>
      <c r="E8275" t="inlineStr">
        <is>
          <t>NORDMALING</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13708-2022</t>
        </is>
      </c>
      <c r="B8276" s="1" t="n">
        <v>44648.92366898148</v>
      </c>
      <c r="C8276" s="1" t="n">
        <v>46145</v>
      </c>
      <c r="D8276" t="inlineStr">
        <is>
          <t>VÄSTERBOTTENS LÄN</t>
        </is>
      </c>
      <c r="E8276" t="inlineStr">
        <is>
          <t>STORUMAN</t>
        </is>
      </c>
      <c r="G8276" t="n">
        <v>17.1</v>
      </c>
      <c r="H8276" t="n">
        <v>0</v>
      </c>
      <c r="I8276" t="n">
        <v>0</v>
      </c>
      <c r="J8276" t="n">
        <v>0</v>
      </c>
      <c r="K8276" t="n">
        <v>0</v>
      </c>
      <c r="L8276" t="n">
        <v>0</v>
      </c>
      <c r="M8276" t="n">
        <v>0</v>
      </c>
      <c r="N8276" t="n">
        <v>0</v>
      </c>
      <c r="O8276" t="n">
        <v>0</v>
      </c>
      <c r="P8276" t="n">
        <v>0</v>
      </c>
      <c r="Q8276" t="n">
        <v>0</v>
      </c>
      <c r="R8276" s="2" t="inlineStr"/>
    </row>
    <row r="8277" ht="15" customHeight="1">
      <c r="A8277" t="inlineStr">
        <is>
          <t>A 63600-2025</t>
        </is>
      </c>
      <c r="B8277" s="1" t="n">
        <v>46014.31091435185</v>
      </c>
      <c r="C8277" s="1" t="n">
        <v>46145</v>
      </c>
      <c r="D8277" t="inlineStr">
        <is>
          <t>VÄSTERBOTTENS LÄN</t>
        </is>
      </c>
      <c r="E8277" t="inlineStr">
        <is>
          <t>UMEÅ</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11320-2024</t>
        </is>
      </c>
      <c r="B8278" s="1" t="n">
        <v>45371</v>
      </c>
      <c r="C8278" s="1" t="n">
        <v>46145</v>
      </c>
      <c r="D8278" t="inlineStr">
        <is>
          <t>VÄSTERBOTTENS LÄN</t>
        </is>
      </c>
      <c r="E8278" t="inlineStr">
        <is>
          <t>SORSELE</t>
        </is>
      </c>
      <c r="G8278" t="n">
        <v>18.2</v>
      </c>
      <c r="H8278" t="n">
        <v>0</v>
      </c>
      <c r="I8278" t="n">
        <v>0</v>
      </c>
      <c r="J8278" t="n">
        <v>0</v>
      </c>
      <c r="K8278" t="n">
        <v>0</v>
      </c>
      <c r="L8278" t="n">
        <v>0</v>
      </c>
      <c r="M8278" t="n">
        <v>0</v>
      </c>
      <c r="N8278" t="n">
        <v>0</v>
      </c>
      <c r="O8278" t="n">
        <v>0</v>
      </c>
      <c r="P8278" t="n">
        <v>0</v>
      </c>
      <c r="Q8278" t="n">
        <v>0</v>
      </c>
      <c r="R8278" s="2" t="inlineStr"/>
    </row>
    <row r="8279" ht="15" customHeight="1">
      <c r="A8279" t="inlineStr">
        <is>
          <t>A 11322-2024</t>
        </is>
      </c>
      <c r="B8279" s="1" t="n">
        <v>45371</v>
      </c>
      <c r="C8279" s="1" t="n">
        <v>46145</v>
      </c>
      <c r="D8279" t="inlineStr">
        <is>
          <t>VÄSTERBOTTENS LÄN</t>
        </is>
      </c>
      <c r="E8279" t="inlineStr">
        <is>
          <t>SORSELE</t>
        </is>
      </c>
      <c r="G8279" t="n">
        <v>18.7</v>
      </c>
      <c r="H8279" t="n">
        <v>0</v>
      </c>
      <c r="I8279" t="n">
        <v>0</v>
      </c>
      <c r="J8279" t="n">
        <v>0</v>
      </c>
      <c r="K8279" t="n">
        <v>0</v>
      </c>
      <c r="L8279" t="n">
        <v>0</v>
      </c>
      <c r="M8279" t="n">
        <v>0</v>
      </c>
      <c r="N8279" t="n">
        <v>0</v>
      </c>
      <c r="O8279" t="n">
        <v>0</v>
      </c>
      <c r="P8279" t="n">
        <v>0</v>
      </c>
      <c r="Q8279" t="n">
        <v>0</v>
      </c>
      <c r="R8279" s="2" t="inlineStr"/>
    </row>
    <row r="8280" ht="15" customHeight="1">
      <c r="A8280" t="inlineStr">
        <is>
          <t>A 37606-2025</t>
        </is>
      </c>
      <c r="B8280" s="1" t="n">
        <v>45880</v>
      </c>
      <c r="C8280" s="1" t="n">
        <v>46145</v>
      </c>
      <c r="D8280" t="inlineStr">
        <is>
          <t>VÄSTERBOTTENS LÄN</t>
        </is>
      </c>
      <c r="E8280" t="inlineStr">
        <is>
          <t>DOROTEA</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44872-2023</t>
        </is>
      </c>
      <c r="B8281" s="1" t="n">
        <v>45190.60226851852</v>
      </c>
      <c r="C8281" s="1" t="n">
        <v>46145</v>
      </c>
      <c r="D8281" t="inlineStr">
        <is>
          <t>VÄSTERBOTTENS LÄN</t>
        </is>
      </c>
      <c r="E8281" t="inlineStr">
        <is>
          <t>SKELLEFTEÅ</t>
        </is>
      </c>
      <c r="F8281" t="inlineStr">
        <is>
          <t>Holmen skog AB</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46280-2023</t>
        </is>
      </c>
      <c r="B8282" s="1" t="n">
        <v>45195</v>
      </c>
      <c r="C8282" s="1" t="n">
        <v>46145</v>
      </c>
      <c r="D8282" t="inlineStr">
        <is>
          <t>VÄSTERBOTTENS LÄN</t>
        </is>
      </c>
      <c r="E8282" t="inlineStr">
        <is>
          <t>MALÅ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46372-2023</t>
        </is>
      </c>
      <c r="B8283" s="1" t="n">
        <v>45197</v>
      </c>
      <c r="C8283" s="1" t="n">
        <v>46145</v>
      </c>
      <c r="D8283" t="inlineStr">
        <is>
          <t>VÄSTERBOTTENS LÄN</t>
        </is>
      </c>
      <c r="E8283" t="inlineStr">
        <is>
          <t>UMEÅ</t>
        </is>
      </c>
      <c r="F8283" t="inlineStr">
        <is>
          <t>Holmen skog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45079-2025</t>
        </is>
      </c>
      <c r="B8284" s="1" t="n">
        <v>45919.36539351852</v>
      </c>
      <c r="C8284" s="1" t="n">
        <v>46145</v>
      </c>
      <c r="D8284" t="inlineStr">
        <is>
          <t>VÄSTERBOTTENS LÄN</t>
        </is>
      </c>
      <c r="E8284" t="inlineStr">
        <is>
          <t>VINDELN</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63847-2025</t>
        </is>
      </c>
      <c r="B8285" s="1" t="n">
        <v>46020.44150462963</v>
      </c>
      <c r="C8285" s="1" t="n">
        <v>46145</v>
      </c>
      <c r="D8285" t="inlineStr">
        <is>
          <t>VÄSTERBOTTENS LÄN</t>
        </is>
      </c>
      <c r="E8285" t="inlineStr">
        <is>
          <t>NORSJÖ</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37959-2023</t>
        </is>
      </c>
      <c r="B8286" s="1" t="n">
        <v>45159</v>
      </c>
      <c r="C8286" s="1" t="n">
        <v>46145</v>
      </c>
      <c r="D8286" t="inlineStr">
        <is>
          <t>VÄSTERBOTTENS LÄN</t>
        </is>
      </c>
      <c r="E8286" t="inlineStr">
        <is>
          <t>VINDELN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7019-2025</t>
        </is>
      </c>
      <c r="B8287" s="1" t="n">
        <v>45701.61490740741</v>
      </c>
      <c r="C8287" s="1" t="n">
        <v>46145</v>
      </c>
      <c r="D8287" t="inlineStr">
        <is>
          <t>VÄSTERBOTTENS LÄN</t>
        </is>
      </c>
      <c r="E8287" t="inlineStr">
        <is>
          <t>NORDMALING</t>
        </is>
      </c>
      <c r="G8287" t="n">
        <v>12.5</v>
      </c>
      <c r="H8287" t="n">
        <v>0</v>
      </c>
      <c r="I8287" t="n">
        <v>0</v>
      </c>
      <c r="J8287" t="n">
        <v>0</v>
      </c>
      <c r="K8287" t="n">
        <v>0</v>
      </c>
      <c r="L8287" t="n">
        <v>0</v>
      </c>
      <c r="M8287" t="n">
        <v>0</v>
      </c>
      <c r="N8287" t="n">
        <v>0</v>
      </c>
      <c r="O8287" t="n">
        <v>0</v>
      </c>
      <c r="P8287" t="n">
        <v>0</v>
      </c>
      <c r="Q8287" t="n">
        <v>0</v>
      </c>
      <c r="R8287" s="2" t="inlineStr"/>
    </row>
    <row r="8288" ht="15" customHeight="1">
      <c r="A8288" t="inlineStr">
        <is>
          <t>A 7027-2025</t>
        </is>
      </c>
      <c r="B8288" s="1" t="n">
        <v>45701.63026620371</v>
      </c>
      <c r="C8288" s="1" t="n">
        <v>46145</v>
      </c>
      <c r="D8288" t="inlineStr">
        <is>
          <t>VÄSTERBOTTENS LÄN</t>
        </is>
      </c>
      <c r="E8288" t="inlineStr">
        <is>
          <t>SKELLEFTEÅ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28345-2025</t>
        </is>
      </c>
      <c r="B8289" s="1" t="n">
        <v>45818</v>
      </c>
      <c r="C8289" s="1" t="n">
        <v>46145</v>
      </c>
      <c r="D8289" t="inlineStr">
        <is>
          <t>VÄSTERBOTTENS LÄN</t>
        </is>
      </c>
      <c r="E8289" t="inlineStr">
        <is>
          <t>LYCKSELE</t>
        </is>
      </c>
      <c r="F8289" t="inlineStr">
        <is>
          <t>Holmen skog AB</t>
        </is>
      </c>
      <c r="G8289" t="n">
        <v>16.9</v>
      </c>
      <c r="H8289" t="n">
        <v>0</v>
      </c>
      <c r="I8289" t="n">
        <v>0</v>
      </c>
      <c r="J8289" t="n">
        <v>0</v>
      </c>
      <c r="K8289" t="n">
        <v>0</v>
      </c>
      <c r="L8289" t="n">
        <v>0</v>
      </c>
      <c r="M8289" t="n">
        <v>0</v>
      </c>
      <c r="N8289" t="n">
        <v>0</v>
      </c>
      <c r="O8289" t="n">
        <v>0</v>
      </c>
      <c r="P8289" t="n">
        <v>0</v>
      </c>
      <c r="Q8289" t="n">
        <v>0</v>
      </c>
      <c r="R8289" s="2" t="inlineStr"/>
    </row>
    <row r="8290" ht="15" customHeight="1">
      <c r="A8290" t="inlineStr">
        <is>
          <t>A 123-2026</t>
        </is>
      </c>
      <c r="B8290" s="1" t="n">
        <v>46019</v>
      </c>
      <c r="C8290" s="1" t="n">
        <v>46145</v>
      </c>
      <c r="D8290" t="inlineStr">
        <is>
          <t>VÄSTERBOTTENS LÄN</t>
        </is>
      </c>
      <c r="E8290" t="inlineStr">
        <is>
          <t>NORDMALING</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55269-2024</t>
        </is>
      </c>
      <c r="B8291" s="1" t="n">
        <v>45621.61444444444</v>
      </c>
      <c r="C8291" s="1" t="n">
        <v>46145</v>
      </c>
      <c r="D8291" t="inlineStr">
        <is>
          <t>VÄSTERBOTTENS LÄN</t>
        </is>
      </c>
      <c r="E8291" t="inlineStr">
        <is>
          <t>SKELLEFTEÅ</t>
        </is>
      </c>
      <c r="F8291" t="inlineStr">
        <is>
          <t>Sveaskog</t>
        </is>
      </c>
      <c r="G8291" t="n">
        <v>9.6</v>
      </c>
      <c r="H8291" t="n">
        <v>0</v>
      </c>
      <c r="I8291" t="n">
        <v>0</v>
      </c>
      <c r="J8291" t="n">
        <v>0</v>
      </c>
      <c r="K8291" t="n">
        <v>0</v>
      </c>
      <c r="L8291" t="n">
        <v>0</v>
      </c>
      <c r="M8291" t="n">
        <v>0</v>
      </c>
      <c r="N8291" t="n">
        <v>0</v>
      </c>
      <c r="O8291" t="n">
        <v>0</v>
      </c>
      <c r="P8291" t="n">
        <v>0</v>
      </c>
      <c r="Q8291" t="n">
        <v>0</v>
      </c>
      <c r="R8291" s="2" t="inlineStr"/>
    </row>
    <row r="8292" ht="15" customHeight="1">
      <c r="A8292" t="inlineStr">
        <is>
          <t>A 4650-2025</t>
        </is>
      </c>
      <c r="B8292" s="1" t="n">
        <v>45687.66449074074</v>
      </c>
      <c r="C8292" s="1" t="n">
        <v>46145</v>
      </c>
      <c r="D8292" t="inlineStr">
        <is>
          <t>VÄSTERBOTTENS LÄN</t>
        </is>
      </c>
      <c r="E8292" t="inlineStr">
        <is>
          <t>UMEÅ</t>
        </is>
      </c>
      <c r="F8292" t="inlineStr">
        <is>
          <t>Holmen skog AB</t>
        </is>
      </c>
      <c r="G8292" t="n">
        <v>20.8</v>
      </c>
      <c r="H8292" t="n">
        <v>0</v>
      </c>
      <c r="I8292" t="n">
        <v>0</v>
      </c>
      <c r="J8292" t="n">
        <v>0</v>
      </c>
      <c r="K8292" t="n">
        <v>0</v>
      </c>
      <c r="L8292" t="n">
        <v>0</v>
      </c>
      <c r="M8292" t="n">
        <v>0</v>
      </c>
      <c r="N8292" t="n">
        <v>0</v>
      </c>
      <c r="O8292" t="n">
        <v>0</v>
      </c>
      <c r="P8292" t="n">
        <v>0</v>
      </c>
      <c r="Q8292" t="n">
        <v>0</v>
      </c>
      <c r="R8292" s="2" t="inlineStr"/>
    </row>
    <row r="8293" ht="15" customHeight="1">
      <c r="A8293" t="inlineStr">
        <is>
          <t>A 44930-2025</t>
        </is>
      </c>
      <c r="B8293" s="1" t="n">
        <v>45918</v>
      </c>
      <c r="C8293" s="1" t="n">
        <v>46145</v>
      </c>
      <c r="D8293" t="inlineStr">
        <is>
          <t>VÄSTERBOTTENS LÄN</t>
        </is>
      </c>
      <c r="E8293" t="inlineStr">
        <is>
          <t>STORUMAN</t>
        </is>
      </c>
      <c r="F8293" t="inlineStr">
        <is>
          <t>Övriga statliga verk och myndigheter</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4671-2025</t>
        </is>
      </c>
      <c r="B8294" s="1" t="n">
        <v>45687</v>
      </c>
      <c r="C8294" s="1" t="n">
        <v>46145</v>
      </c>
      <c r="D8294" t="inlineStr">
        <is>
          <t>VÄSTERBOTTENS LÄN</t>
        </is>
      </c>
      <c r="E8294" t="inlineStr">
        <is>
          <t>LYCKSELE</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118-2026</t>
        </is>
      </c>
      <c r="B8295" s="1" t="n">
        <v>46019</v>
      </c>
      <c r="C8295" s="1" t="n">
        <v>46145</v>
      </c>
      <c r="D8295" t="inlineStr">
        <is>
          <t>VÄSTERBOTTENS LÄN</t>
        </is>
      </c>
      <c r="E8295" t="inlineStr">
        <is>
          <t>NORDMALING</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46692-2025</t>
        </is>
      </c>
      <c r="B8296" s="1" t="n">
        <v>45926</v>
      </c>
      <c r="C8296" s="1" t="n">
        <v>46145</v>
      </c>
      <c r="D8296" t="inlineStr">
        <is>
          <t>VÄSTERBOTTENS LÄN</t>
        </is>
      </c>
      <c r="E8296" t="inlineStr">
        <is>
          <t>LYCKSELE</t>
        </is>
      </c>
      <c r="F8296" t="inlineStr">
        <is>
          <t>Holmen skog AB</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63810-2025</t>
        </is>
      </c>
      <c r="B8297" s="1" t="n">
        <v>46020.32105324074</v>
      </c>
      <c r="C8297" s="1" t="n">
        <v>46145</v>
      </c>
      <c r="D8297" t="inlineStr">
        <is>
          <t>VÄSTERBOTTENS LÄN</t>
        </is>
      </c>
      <c r="E8297" t="inlineStr">
        <is>
          <t>UMEÅ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64111-2025</t>
        </is>
      </c>
      <c r="B8298" s="1" t="n">
        <v>46013</v>
      </c>
      <c r="C8298" s="1" t="n">
        <v>46145</v>
      </c>
      <c r="D8298" t="inlineStr">
        <is>
          <t>VÄSTERBOTTENS LÄN</t>
        </is>
      </c>
      <c r="E8298" t="inlineStr">
        <is>
          <t>VILHELMINA</t>
        </is>
      </c>
      <c r="G8298" t="n">
        <v>23.6</v>
      </c>
      <c r="H8298" t="n">
        <v>0</v>
      </c>
      <c r="I8298" t="n">
        <v>0</v>
      </c>
      <c r="J8298" t="n">
        <v>0</v>
      </c>
      <c r="K8298" t="n">
        <v>0</v>
      </c>
      <c r="L8298" t="n">
        <v>0</v>
      </c>
      <c r="M8298" t="n">
        <v>0</v>
      </c>
      <c r="N8298" t="n">
        <v>0</v>
      </c>
      <c r="O8298" t="n">
        <v>0</v>
      </c>
      <c r="P8298" t="n">
        <v>0</v>
      </c>
      <c r="Q8298" t="n">
        <v>0</v>
      </c>
      <c r="R8298" s="2" t="inlineStr"/>
    </row>
    <row r="8299" ht="15" customHeight="1">
      <c r="A8299" t="inlineStr">
        <is>
          <t>A 36745-2023</t>
        </is>
      </c>
      <c r="B8299" s="1" t="n">
        <v>45153</v>
      </c>
      <c r="C8299" s="1" t="n">
        <v>46145</v>
      </c>
      <c r="D8299" t="inlineStr">
        <is>
          <t>VÄSTERBOTTENS LÄN</t>
        </is>
      </c>
      <c r="E8299" t="inlineStr">
        <is>
          <t>MALÅ</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57476-2024</t>
        </is>
      </c>
      <c r="B8300" s="1" t="n">
        <v>45630.34612268519</v>
      </c>
      <c r="C8300" s="1" t="n">
        <v>46145</v>
      </c>
      <c r="D8300" t="inlineStr">
        <is>
          <t>VÄSTERBOTTENS LÄN</t>
        </is>
      </c>
      <c r="E8300" t="inlineStr">
        <is>
          <t>NORSJÖ</t>
        </is>
      </c>
      <c r="F8300" t="inlineStr">
        <is>
          <t>Holmen skog AB</t>
        </is>
      </c>
      <c r="G8300" t="n">
        <v>23.7</v>
      </c>
      <c r="H8300" t="n">
        <v>0</v>
      </c>
      <c r="I8300" t="n">
        <v>0</v>
      </c>
      <c r="J8300" t="n">
        <v>0</v>
      </c>
      <c r="K8300" t="n">
        <v>0</v>
      </c>
      <c r="L8300" t="n">
        <v>0</v>
      </c>
      <c r="M8300" t="n">
        <v>0</v>
      </c>
      <c r="N8300" t="n">
        <v>0</v>
      </c>
      <c r="O8300" t="n">
        <v>0</v>
      </c>
      <c r="P8300" t="n">
        <v>0</v>
      </c>
      <c r="Q8300" t="n">
        <v>0</v>
      </c>
      <c r="R8300" s="2" t="inlineStr"/>
    </row>
    <row r="8301" ht="15" customHeight="1">
      <c r="A8301" t="inlineStr">
        <is>
          <t>A 44014-2025</t>
        </is>
      </c>
      <c r="B8301" s="1" t="n">
        <v>45915.469375</v>
      </c>
      <c r="C8301" s="1" t="n">
        <v>46145</v>
      </c>
      <c r="D8301" t="inlineStr">
        <is>
          <t>VÄSTERBOTTENS LÄN</t>
        </is>
      </c>
      <c r="E8301" t="inlineStr">
        <is>
          <t>VINDELN</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12109-2024</t>
        </is>
      </c>
      <c r="B8302" s="1" t="n">
        <v>45376</v>
      </c>
      <c r="C8302" s="1" t="n">
        <v>46145</v>
      </c>
      <c r="D8302" t="inlineStr">
        <is>
          <t>VÄSTERBOTTENS LÄN</t>
        </is>
      </c>
      <c r="E8302" t="inlineStr">
        <is>
          <t>SORSELE</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2116-2023</t>
        </is>
      </c>
      <c r="B8303" s="1" t="n">
        <v>44939</v>
      </c>
      <c r="C8303" s="1" t="n">
        <v>46145</v>
      </c>
      <c r="D8303" t="inlineStr">
        <is>
          <t>VÄSTERBOTTENS LÄN</t>
        </is>
      </c>
      <c r="E8303" t="inlineStr">
        <is>
          <t>MALÅ</t>
        </is>
      </c>
      <c r="F8303" t="inlineStr">
        <is>
          <t>SCA</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63745-2025</t>
        </is>
      </c>
      <c r="B8304" s="1" t="n">
        <v>46017.34442129629</v>
      </c>
      <c r="C8304" s="1" t="n">
        <v>46145</v>
      </c>
      <c r="D8304" t="inlineStr">
        <is>
          <t>VÄSTERBOTTENS LÄN</t>
        </is>
      </c>
      <c r="E8304" t="inlineStr">
        <is>
          <t>DOROTEA</t>
        </is>
      </c>
      <c r="F8304" t="inlineStr">
        <is>
          <t>SCA</t>
        </is>
      </c>
      <c r="G8304" t="n">
        <v>8.699999999999999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31449-2024</t>
        </is>
      </c>
      <c r="B8305" s="1" t="n">
        <v>45505.9299537037</v>
      </c>
      <c r="C8305" s="1" t="n">
        <v>46145</v>
      </c>
      <c r="D8305" t="inlineStr">
        <is>
          <t>VÄSTERBOTTENS LÄN</t>
        </is>
      </c>
      <c r="E8305" t="inlineStr">
        <is>
          <t>VILHELMINA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21440-2024</t>
        </is>
      </c>
      <c r="B8306" s="1" t="n">
        <v>45441</v>
      </c>
      <c r="C8306" s="1" t="n">
        <v>46145</v>
      </c>
      <c r="D8306" t="inlineStr">
        <is>
          <t>VÄSTERBOTTENS LÄN</t>
        </is>
      </c>
      <c r="E8306" t="inlineStr">
        <is>
          <t>UMEÅ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63754-2025</t>
        </is>
      </c>
      <c r="B8307" s="1" t="n">
        <v>46018.34943287037</v>
      </c>
      <c r="C8307" s="1" t="n">
        <v>46145</v>
      </c>
      <c r="D8307" t="inlineStr">
        <is>
          <t>VÄSTERBOTTENS LÄN</t>
        </is>
      </c>
      <c r="E8307" t="inlineStr">
        <is>
          <t>NORDMALING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112-2026</t>
        </is>
      </c>
      <c r="B8308" s="1" t="n">
        <v>46019</v>
      </c>
      <c r="C8308" s="1" t="n">
        <v>46145</v>
      </c>
      <c r="D8308" t="inlineStr">
        <is>
          <t>VÄSTERBOTTENS LÄN</t>
        </is>
      </c>
      <c r="E8308" t="inlineStr">
        <is>
          <t>NORDMALING</t>
        </is>
      </c>
      <c r="G8308" t="n">
        <v>15.3</v>
      </c>
      <c r="H8308" t="n">
        <v>0</v>
      </c>
      <c r="I8308" t="n">
        <v>0</v>
      </c>
      <c r="J8308" t="n">
        <v>0</v>
      </c>
      <c r="K8308" t="n">
        <v>0</v>
      </c>
      <c r="L8308" t="n">
        <v>0</v>
      </c>
      <c r="M8308" t="n">
        <v>0</v>
      </c>
      <c r="N8308" t="n">
        <v>0</v>
      </c>
      <c r="O8308" t="n">
        <v>0</v>
      </c>
      <c r="P8308" t="n">
        <v>0</v>
      </c>
      <c r="Q8308" t="n">
        <v>0</v>
      </c>
      <c r="R8308" s="2" t="inlineStr"/>
    </row>
    <row r="8309" ht="15" customHeight="1">
      <c r="A8309" t="inlineStr">
        <is>
          <t>A 40733-2025</t>
        </is>
      </c>
      <c r="B8309" s="1" t="n">
        <v>45897</v>
      </c>
      <c r="C8309" s="1" t="n">
        <v>46145</v>
      </c>
      <c r="D8309" t="inlineStr">
        <is>
          <t>VÄSTERBOTTENS LÄN</t>
        </is>
      </c>
      <c r="E8309" t="inlineStr">
        <is>
          <t>VINDELN</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63755-2025</t>
        </is>
      </c>
      <c r="B8310" s="1" t="n">
        <v>46018.35533564815</v>
      </c>
      <c r="C8310" s="1" t="n">
        <v>46145</v>
      </c>
      <c r="D8310" t="inlineStr">
        <is>
          <t>VÄSTERBOTTENS LÄN</t>
        </is>
      </c>
      <c r="E8310" t="inlineStr">
        <is>
          <t>NORDMALING</t>
        </is>
      </c>
      <c r="G8310" t="n">
        <v>16.2</v>
      </c>
      <c r="H8310" t="n">
        <v>0</v>
      </c>
      <c r="I8310" t="n">
        <v>0</v>
      </c>
      <c r="J8310" t="n">
        <v>0</v>
      </c>
      <c r="K8310" t="n">
        <v>0</v>
      </c>
      <c r="L8310" t="n">
        <v>0</v>
      </c>
      <c r="M8310" t="n">
        <v>0</v>
      </c>
      <c r="N8310" t="n">
        <v>0</v>
      </c>
      <c r="O8310" t="n">
        <v>0</v>
      </c>
      <c r="P8310" t="n">
        <v>0</v>
      </c>
      <c r="Q8310" t="n">
        <v>0</v>
      </c>
      <c r="R8310" s="2" t="inlineStr"/>
    </row>
    <row r="8311" ht="15" customHeight="1">
      <c r="A8311" t="inlineStr">
        <is>
          <t>A 63756-2025</t>
        </is>
      </c>
      <c r="B8311" s="1" t="n">
        <v>46018.36070601852</v>
      </c>
      <c r="C8311" s="1" t="n">
        <v>46145</v>
      </c>
      <c r="D8311" t="inlineStr">
        <is>
          <t>VÄSTERBOTTENS LÄN</t>
        </is>
      </c>
      <c r="E8311" t="inlineStr">
        <is>
          <t>NORDMALING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63813-2025</t>
        </is>
      </c>
      <c r="B8312" s="1" t="n">
        <v>46020.33409722222</v>
      </c>
      <c r="C8312" s="1" t="n">
        <v>46145</v>
      </c>
      <c r="D8312" t="inlineStr">
        <is>
          <t>VÄSTERBOTTENS LÄN</t>
        </is>
      </c>
      <c r="E8312" t="inlineStr">
        <is>
          <t>NORDMALING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63843-2025</t>
        </is>
      </c>
      <c r="B8313" s="1" t="n">
        <v>46020.43430555556</v>
      </c>
      <c r="C8313" s="1" t="n">
        <v>46145</v>
      </c>
      <c r="D8313" t="inlineStr">
        <is>
          <t>VÄSTERBOTTENS LÄN</t>
        </is>
      </c>
      <c r="E8313" t="inlineStr">
        <is>
          <t>NORSJÖ</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16971-2025</t>
        </is>
      </c>
      <c r="B8314" s="1" t="n">
        <v>45755.46940972222</v>
      </c>
      <c r="C8314" s="1" t="n">
        <v>46145</v>
      </c>
      <c r="D8314" t="inlineStr">
        <is>
          <t>VÄSTERBOTTENS LÄN</t>
        </is>
      </c>
      <c r="E8314" t="inlineStr">
        <is>
          <t>SKELLEFTEÅ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58462-2025</t>
        </is>
      </c>
      <c r="B8315" s="1" t="n">
        <v>45985.63643518519</v>
      </c>
      <c r="C8315" s="1" t="n">
        <v>46145</v>
      </c>
      <c r="D8315" t="inlineStr">
        <is>
          <t>VÄSTERBOTTENS LÄN</t>
        </is>
      </c>
      <c r="E8315" t="inlineStr">
        <is>
          <t>LYCKSELE</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28023-2025</t>
        </is>
      </c>
      <c r="B8316" s="1" t="n">
        <v>45817</v>
      </c>
      <c r="C8316" s="1" t="n">
        <v>46145</v>
      </c>
      <c r="D8316" t="inlineStr">
        <is>
          <t>VÄSTERBOTTENS LÄN</t>
        </is>
      </c>
      <c r="E8316" t="inlineStr">
        <is>
          <t>SORSELE</t>
        </is>
      </c>
      <c r="F8316" t="inlineStr">
        <is>
          <t>Övriga statliga verk och myndigheter</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17547-2025</t>
        </is>
      </c>
      <c r="B8317" s="1" t="n">
        <v>45757.60878472222</v>
      </c>
      <c r="C8317" s="1" t="n">
        <v>46145</v>
      </c>
      <c r="D8317" t="inlineStr">
        <is>
          <t>VÄSTERBOTTENS LÄN</t>
        </is>
      </c>
      <c r="E8317" t="inlineStr">
        <is>
          <t>ROBERTSFORS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61044-2024</t>
        </is>
      </c>
      <c r="B8318" s="1" t="n">
        <v>45645.47677083333</v>
      </c>
      <c r="C8318" s="1" t="n">
        <v>46145</v>
      </c>
      <c r="D8318" t="inlineStr">
        <is>
          <t>VÄSTERBOTTENS LÄN</t>
        </is>
      </c>
      <c r="E8318" t="inlineStr">
        <is>
          <t>VINDELN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36853-2023</t>
        </is>
      </c>
      <c r="B8319" s="1" t="n">
        <v>45154</v>
      </c>
      <c r="C8319" s="1" t="n">
        <v>46145</v>
      </c>
      <c r="D8319" t="inlineStr">
        <is>
          <t>VÄSTERBOTTENS LÄN</t>
        </is>
      </c>
      <c r="E8319" t="inlineStr">
        <is>
          <t>SORSELE</t>
        </is>
      </c>
      <c r="G8319" t="n">
        <v>16.9</v>
      </c>
      <c r="H8319" t="n">
        <v>0</v>
      </c>
      <c r="I8319" t="n">
        <v>0</v>
      </c>
      <c r="J8319" t="n">
        <v>0</v>
      </c>
      <c r="K8319" t="n">
        <v>0</v>
      </c>
      <c r="L8319" t="n">
        <v>0</v>
      </c>
      <c r="M8319" t="n">
        <v>0</v>
      </c>
      <c r="N8319" t="n">
        <v>0</v>
      </c>
      <c r="O8319" t="n">
        <v>0</v>
      </c>
      <c r="P8319" t="n">
        <v>0</v>
      </c>
      <c r="Q8319" t="n">
        <v>0</v>
      </c>
      <c r="R8319" s="2" t="inlineStr"/>
    </row>
    <row r="8320" ht="15" customHeight="1">
      <c r="A8320" t="inlineStr">
        <is>
          <t>A 40735-2025</t>
        </is>
      </c>
      <c r="B8320" s="1" t="n">
        <v>45897.36552083334</v>
      </c>
      <c r="C8320" s="1" t="n">
        <v>46145</v>
      </c>
      <c r="D8320" t="inlineStr">
        <is>
          <t>VÄSTERBOTTENS LÄN</t>
        </is>
      </c>
      <c r="E8320" t="inlineStr">
        <is>
          <t>VINDELN</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44880-2023</t>
        </is>
      </c>
      <c r="B8321" s="1" t="n">
        <v>45190.60920138889</v>
      </c>
      <c r="C8321" s="1" t="n">
        <v>46145</v>
      </c>
      <c r="D8321" t="inlineStr">
        <is>
          <t>VÄSTERBOTTENS LÄN</t>
        </is>
      </c>
      <c r="E8321" t="inlineStr">
        <is>
          <t>BJURHOLM</t>
        </is>
      </c>
      <c r="F8321" t="inlineStr">
        <is>
          <t>Holmen skog AB</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51825-2023</t>
        </is>
      </c>
      <c r="B8322" s="1" t="n">
        <v>45222</v>
      </c>
      <c r="C8322" s="1" t="n">
        <v>46145</v>
      </c>
      <c r="D8322" t="inlineStr">
        <is>
          <t>VÄSTERBOTTENS LÄN</t>
        </is>
      </c>
      <c r="E8322" t="inlineStr">
        <is>
          <t>VILHELMINA</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48348-2023</t>
        </is>
      </c>
      <c r="B8323" s="1" t="n">
        <v>45201</v>
      </c>
      <c r="C8323" s="1" t="n">
        <v>46145</v>
      </c>
      <c r="D8323" t="inlineStr">
        <is>
          <t>VÄSTERBOTTENS LÄN</t>
        </is>
      </c>
      <c r="E8323" t="inlineStr">
        <is>
          <t>MALÅ</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38250-2023</t>
        </is>
      </c>
      <c r="B8324" s="1" t="n">
        <v>45161.58166666667</v>
      </c>
      <c r="C8324" s="1" t="n">
        <v>46145</v>
      </c>
      <c r="D8324" t="inlineStr">
        <is>
          <t>VÄSTERBOTTENS LÄN</t>
        </is>
      </c>
      <c r="E8324" t="inlineStr">
        <is>
          <t>LYCKSELE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3828-2025</t>
        </is>
      </c>
      <c r="B8325" s="1" t="n">
        <v>45681.82818287037</v>
      </c>
      <c r="C8325" s="1" t="n">
        <v>46145</v>
      </c>
      <c r="D8325" t="inlineStr">
        <is>
          <t>VÄSTERBOTTENS LÄN</t>
        </is>
      </c>
      <c r="E8325" t="inlineStr">
        <is>
          <t>UMEÅ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3829-2025</t>
        </is>
      </c>
      <c r="B8326" s="1" t="n">
        <v>45681.83350694444</v>
      </c>
      <c r="C8326" s="1" t="n">
        <v>46145</v>
      </c>
      <c r="D8326" t="inlineStr">
        <is>
          <t>VÄSTERBOTTENS LÄN</t>
        </is>
      </c>
      <c r="E8326" t="inlineStr">
        <is>
          <t>UMEÅ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26396-2022</t>
        </is>
      </c>
      <c r="B8327" s="1" t="n">
        <v>44735</v>
      </c>
      <c r="C8327" s="1" t="n">
        <v>46145</v>
      </c>
      <c r="D8327" t="inlineStr">
        <is>
          <t>VÄSTERBOTTENS LÄN</t>
        </is>
      </c>
      <c r="E8327" t="inlineStr">
        <is>
          <t>LYCKSELE</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9162-2022</t>
        </is>
      </c>
      <c r="B8328" s="1" t="n">
        <v>44615</v>
      </c>
      <c r="C8328" s="1" t="n">
        <v>46145</v>
      </c>
      <c r="D8328" t="inlineStr">
        <is>
          <t>VÄSTERBOTTENS LÄN</t>
        </is>
      </c>
      <c r="E8328" t="inlineStr">
        <is>
          <t>VILHELMINA</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40734-2025</t>
        </is>
      </c>
      <c r="B8329" s="1" t="n">
        <v>45897.3653125</v>
      </c>
      <c r="C8329" s="1" t="n">
        <v>46145</v>
      </c>
      <c r="D8329" t="inlineStr">
        <is>
          <t>VÄSTERBOTTENS LÄN</t>
        </is>
      </c>
      <c r="E8329" t="inlineStr">
        <is>
          <t>VINDELN</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46181-2025</t>
        </is>
      </c>
      <c r="B8330" s="1" t="n">
        <v>45924.65697916667</v>
      </c>
      <c r="C8330" s="1" t="n">
        <v>46145</v>
      </c>
      <c r="D8330" t="inlineStr">
        <is>
          <t>VÄSTERBOTTENS LÄN</t>
        </is>
      </c>
      <c r="E8330" t="inlineStr">
        <is>
          <t>LYCKSELE</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10527-2025</t>
        </is>
      </c>
      <c r="B8331" s="1" t="n">
        <v>45721.445625</v>
      </c>
      <c r="C8331" s="1" t="n">
        <v>46145</v>
      </c>
      <c r="D8331" t="inlineStr">
        <is>
          <t>VÄSTERBOTTENS LÄN</t>
        </is>
      </c>
      <c r="E8331" t="inlineStr">
        <is>
          <t>BJURHOLM</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41842-2024</t>
        </is>
      </c>
      <c r="B8332" s="1" t="n">
        <v>45561.42701388889</v>
      </c>
      <c r="C8332" s="1" t="n">
        <v>46145</v>
      </c>
      <c r="D8332" t="inlineStr">
        <is>
          <t>VÄSTERBOTTENS LÄN</t>
        </is>
      </c>
      <c r="E8332" t="inlineStr">
        <is>
          <t>STORUMAN</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27817-2022</t>
        </is>
      </c>
      <c r="B8333" s="1" t="n">
        <v>44743</v>
      </c>
      <c r="C8333" s="1" t="n">
        <v>46145</v>
      </c>
      <c r="D8333" t="inlineStr">
        <is>
          <t>VÄSTERBOTTENS LÄN</t>
        </is>
      </c>
      <c r="E8333" t="inlineStr">
        <is>
          <t>SKELLEFTEÅ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44771-2024</t>
        </is>
      </c>
      <c r="B8334" s="1" t="n">
        <v>45574</v>
      </c>
      <c r="C8334" s="1" t="n">
        <v>46145</v>
      </c>
      <c r="D8334" t="inlineStr">
        <is>
          <t>VÄSTERBOTTENS LÄN</t>
        </is>
      </c>
      <c r="E8334" t="inlineStr">
        <is>
          <t>NORSJÖ</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9769-2022</t>
        </is>
      </c>
      <c r="B8335" s="1" t="n">
        <v>44619.71880787037</v>
      </c>
      <c r="C8335" s="1" t="n">
        <v>46145</v>
      </c>
      <c r="D8335" t="inlineStr">
        <is>
          <t>VÄSTERBOTTENS LÄN</t>
        </is>
      </c>
      <c r="E8335" t="inlineStr">
        <is>
          <t>UMEÅ</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20302-2025</t>
        </is>
      </c>
      <c r="B8336" s="1" t="n">
        <v>45774.7928587963</v>
      </c>
      <c r="C8336" s="1" t="n">
        <v>46145</v>
      </c>
      <c r="D8336" t="inlineStr">
        <is>
          <t>VÄSTERBOTTENS LÄN</t>
        </is>
      </c>
      <c r="E8336" t="inlineStr">
        <is>
          <t>ÅSELE</t>
        </is>
      </c>
      <c r="G8336" t="n">
        <v>12.7</v>
      </c>
      <c r="H8336" t="n">
        <v>0</v>
      </c>
      <c r="I8336" t="n">
        <v>0</v>
      </c>
      <c r="J8336" t="n">
        <v>0</v>
      </c>
      <c r="K8336" t="n">
        <v>0</v>
      </c>
      <c r="L8336" t="n">
        <v>0</v>
      </c>
      <c r="M8336" t="n">
        <v>0</v>
      </c>
      <c r="N8336" t="n">
        <v>0</v>
      </c>
      <c r="O8336" t="n">
        <v>0</v>
      </c>
      <c r="P8336" t="n">
        <v>0</v>
      </c>
      <c r="Q8336" t="n">
        <v>0</v>
      </c>
      <c r="R8336" s="2" t="inlineStr"/>
    </row>
    <row r="8337" ht="15" customHeight="1">
      <c r="A8337" t="inlineStr">
        <is>
          <t>A 20303-2025</t>
        </is>
      </c>
      <c r="B8337" s="1" t="n">
        <v>45774.80667824074</v>
      </c>
      <c r="C8337" s="1" t="n">
        <v>46145</v>
      </c>
      <c r="D8337" t="inlineStr">
        <is>
          <t>VÄSTERBOTTENS LÄN</t>
        </is>
      </c>
      <c r="E8337" t="inlineStr">
        <is>
          <t>ÅSELE</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60606-2023</t>
        </is>
      </c>
      <c r="B8338" s="1" t="n">
        <v>45260.34408564815</v>
      </c>
      <c r="C8338" s="1" t="n">
        <v>46145</v>
      </c>
      <c r="D8338" t="inlineStr">
        <is>
          <t>VÄSTERBOTTENS LÄN</t>
        </is>
      </c>
      <c r="E8338" t="inlineStr">
        <is>
          <t>BJURHOLM</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46839-2024</t>
        </is>
      </c>
      <c r="B8339" s="1" t="n">
        <v>45583.59901620371</v>
      </c>
      <c r="C8339" s="1" t="n">
        <v>46145</v>
      </c>
      <c r="D8339" t="inlineStr">
        <is>
          <t>VÄSTERBOTTENS LÄN</t>
        </is>
      </c>
      <c r="E8339" t="inlineStr">
        <is>
          <t>VINDELN</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60614-2023</t>
        </is>
      </c>
      <c r="B8340" s="1" t="n">
        <v>45260</v>
      </c>
      <c r="C8340" s="1" t="n">
        <v>46145</v>
      </c>
      <c r="D8340" t="inlineStr">
        <is>
          <t>VÄSTERBOTTENS LÄN</t>
        </is>
      </c>
      <c r="E8340" t="inlineStr">
        <is>
          <t>SKELLEFTEÅ</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64017-2025</t>
        </is>
      </c>
      <c r="B8341" s="1" t="n">
        <v>46021.45047453704</v>
      </c>
      <c r="C8341" s="1" t="n">
        <v>46145</v>
      </c>
      <c r="D8341" t="inlineStr">
        <is>
          <t>VÄSTERBOTTENS LÄN</t>
        </is>
      </c>
      <c r="E8341" t="inlineStr">
        <is>
          <t>SKELLEFTEÅ</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53469-2024</t>
        </is>
      </c>
      <c r="B8342" s="1" t="n">
        <v>45611</v>
      </c>
      <c r="C8342" s="1" t="n">
        <v>46145</v>
      </c>
      <c r="D8342" t="inlineStr">
        <is>
          <t>VÄSTERBOTTENS LÄN</t>
        </is>
      </c>
      <c r="E8342" t="inlineStr">
        <is>
          <t>DOROTEA</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64138-2025</t>
        </is>
      </c>
      <c r="B8343" s="1" t="n">
        <v>46022</v>
      </c>
      <c r="C8343" s="1" t="n">
        <v>46145</v>
      </c>
      <c r="D8343" t="inlineStr">
        <is>
          <t>VÄSTERBOTTENS LÄN</t>
        </is>
      </c>
      <c r="E8343" t="inlineStr">
        <is>
          <t>ROBERTSFORS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63922-2025</t>
        </is>
      </c>
      <c r="B8344" s="1" t="n">
        <v>46020.75583333334</v>
      </c>
      <c r="C8344" s="1" t="n">
        <v>46145</v>
      </c>
      <c r="D8344" t="inlineStr">
        <is>
          <t>VÄSTERBOTTENS LÄN</t>
        </is>
      </c>
      <c r="E8344" t="inlineStr">
        <is>
          <t>NORDMALING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64020-2025</t>
        </is>
      </c>
      <c r="B8345" s="1" t="n">
        <v>46021.46155092592</v>
      </c>
      <c r="C8345" s="1" t="n">
        <v>46145</v>
      </c>
      <c r="D8345" t="inlineStr">
        <is>
          <t>VÄSTERBOTTENS LÄN</t>
        </is>
      </c>
      <c r="E8345" t="inlineStr">
        <is>
          <t>SKELLEFTEÅ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7437-2024</t>
        </is>
      </c>
      <c r="B8346" s="1" t="n">
        <v>45345</v>
      </c>
      <c r="C8346" s="1" t="n">
        <v>46145</v>
      </c>
      <c r="D8346" t="inlineStr">
        <is>
          <t>VÄSTERBOTTENS LÄN</t>
        </is>
      </c>
      <c r="E8346" t="inlineStr">
        <is>
          <t>UMEÅ</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43474-2023</t>
        </is>
      </c>
      <c r="B8347" s="1" t="n">
        <v>45184.42844907408</v>
      </c>
      <c r="C8347" s="1" t="n">
        <v>46145</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53564-2024</t>
        </is>
      </c>
      <c r="B8348" s="1" t="n">
        <v>45611</v>
      </c>
      <c r="C8348" s="1" t="n">
        <v>46145</v>
      </c>
      <c r="D8348" t="inlineStr">
        <is>
          <t>VÄSTERBOTTENS LÄN</t>
        </is>
      </c>
      <c r="E8348" t="inlineStr">
        <is>
          <t>ROBERTSFORS</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55654-2024</t>
        </is>
      </c>
      <c r="B8349" s="1" t="n">
        <v>45621</v>
      </c>
      <c r="C8349" s="1" t="n">
        <v>46145</v>
      </c>
      <c r="D8349" t="inlineStr">
        <is>
          <t>VÄSTERBOTTENS LÄN</t>
        </is>
      </c>
      <c r="E8349" t="inlineStr">
        <is>
          <t>SKELLEFTEÅ</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64088-2025</t>
        </is>
      </c>
      <c r="B8350" s="1" t="n">
        <v>46021.72010416666</v>
      </c>
      <c r="C8350" s="1" t="n">
        <v>46145</v>
      </c>
      <c r="D8350" t="inlineStr">
        <is>
          <t>VÄSTERBOTTENS LÄN</t>
        </is>
      </c>
      <c r="E8350" t="inlineStr">
        <is>
          <t>UMEÅ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21996-2022</t>
        </is>
      </c>
      <c r="B8351" s="1" t="n">
        <v>44711.56952546296</v>
      </c>
      <c r="C8351" s="1" t="n">
        <v>46145</v>
      </c>
      <c r="D8351" t="inlineStr">
        <is>
          <t>VÄSTERBOTTENS LÄN</t>
        </is>
      </c>
      <c r="E8351" t="inlineStr">
        <is>
          <t>SKELLEFTEÅ</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64053-2025</t>
        </is>
      </c>
      <c r="B8352" s="1" t="n">
        <v>46021.59449074074</v>
      </c>
      <c r="C8352" s="1" t="n">
        <v>46145</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64141-2025</t>
        </is>
      </c>
      <c r="B8353" s="1" t="n">
        <v>46022.43075231482</v>
      </c>
      <c r="C8353" s="1" t="n">
        <v>46145</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6655-2025</t>
        </is>
      </c>
      <c r="B8354" s="1" t="n">
        <v>45700.42770833334</v>
      </c>
      <c r="C8354" s="1" t="n">
        <v>46145</v>
      </c>
      <c r="D8354" t="inlineStr">
        <is>
          <t>VÄSTERBOTTENS LÄN</t>
        </is>
      </c>
      <c r="E8354" t="inlineStr">
        <is>
          <t>MALÅ</t>
        </is>
      </c>
      <c r="F8354" t="inlineStr">
        <is>
          <t>SCA</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7080-2025</t>
        </is>
      </c>
      <c r="B8355" s="1" t="n">
        <v>45701.69836805556</v>
      </c>
      <c r="C8355" s="1" t="n">
        <v>46145</v>
      </c>
      <c r="D8355" t="inlineStr">
        <is>
          <t>VÄSTERBOTTENS LÄN</t>
        </is>
      </c>
      <c r="E8355" t="inlineStr">
        <is>
          <t>NORDMALING</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63993-2025</t>
        </is>
      </c>
      <c r="B8356" s="1" t="n">
        <v>46021.37748842593</v>
      </c>
      <c r="C8356" s="1" t="n">
        <v>46145</v>
      </c>
      <c r="D8356" t="inlineStr">
        <is>
          <t>VÄSTERBOTTENS LÄN</t>
        </is>
      </c>
      <c r="E8356" t="inlineStr">
        <is>
          <t>SKELLEFTEÅ</t>
        </is>
      </c>
      <c r="F8356" t="inlineStr">
        <is>
          <t>Sveaskog</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64089-2025</t>
        </is>
      </c>
      <c r="B8357" s="1" t="n">
        <v>46021.72287037037</v>
      </c>
      <c r="C8357" s="1" t="n">
        <v>46145</v>
      </c>
      <c r="D8357" t="inlineStr">
        <is>
          <t>VÄSTERBOTTENS LÄN</t>
        </is>
      </c>
      <c r="E8357" t="inlineStr">
        <is>
          <t>UMEÅ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60059-2024</t>
        </is>
      </c>
      <c r="B8358" s="1" t="n">
        <v>45642.49046296296</v>
      </c>
      <c r="C8358" s="1" t="n">
        <v>46145</v>
      </c>
      <c r="D8358" t="inlineStr">
        <is>
          <t>VÄSTERBOTTENS LÄN</t>
        </is>
      </c>
      <c r="E8358" t="inlineStr">
        <is>
          <t>VINDELN</t>
        </is>
      </c>
      <c r="F8358" t="inlineStr">
        <is>
          <t>SCA</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114-2026</t>
        </is>
      </c>
      <c r="B8359" s="1" t="n">
        <v>46024.55775462963</v>
      </c>
      <c r="C8359" s="1" t="n">
        <v>46145</v>
      </c>
      <c r="D8359" t="inlineStr">
        <is>
          <t>VÄSTERBOTTENS LÄN</t>
        </is>
      </c>
      <c r="E8359" t="inlineStr">
        <is>
          <t>SKELLEFTEÅ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41861-2024</t>
        </is>
      </c>
      <c r="B8360" s="1" t="n">
        <v>45561</v>
      </c>
      <c r="C8360" s="1" t="n">
        <v>46145</v>
      </c>
      <c r="D8360" t="inlineStr">
        <is>
          <t>VÄSTERBOTTENS LÄN</t>
        </is>
      </c>
      <c r="E8360" t="inlineStr">
        <is>
          <t>ÅSELE</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35453-2025</t>
        </is>
      </c>
      <c r="B8361" s="1" t="n">
        <v>45855</v>
      </c>
      <c r="C8361" s="1" t="n">
        <v>46145</v>
      </c>
      <c r="D8361" t="inlineStr">
        <is>
          <t>VÄSTERBOTTENS LÄN</t>
        </is>
      </c>
      <c r="E8361" t="inlineStr">
        <is>
          <t>ÅSELE</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21336-2023</t>
        </is>
      </c>
      <c r="B8362" s="1" t="n">
        <v>45062</v>
      </c>
      <c r="C8362" s="1" t="n">
        <v>46145</v>
      </c>
      <c r="D8362" t="inlineStr">
        <is>
          <t>VÄSTERBOTTENS LÄN</t>
        </is>
      </c>
      <c r="E8362" t="inlineStr">
        <is>
          <t>SKELLEFTEÅ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2933-2022</t>
        </is>
      </c>
      <c r="B8363" s="1" t="n">
        <v>44581</v>
      </c>
      <c r="C8363" s="1" t="n">
        <v>46145</v>
      </c>
      <c r="D8363" t="inlineStr">
        <is>
          <t>VÄSTERBOTTENS LÄN</t>
        </is>
      </c>
      <c r="E8363" t="inlineStr">
        <is>
          <t>VÄNNÄS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64158-2025</t>
        </is>
      </c>
      <c r="B8364" s="1" t="n">
        <v>46022.87686342592</v>
      </c>
      <c r="C8364" s="1" t="n">
        <v>46145</v>
      </c>
      <c r="D8364" t="inlineStr">
        <is>
          <t>VÄSTERBOTTENS LÄN</t>
        </is>
      </c>
      <c r="E8364" t="inlineStr">
        <is>
          <t>NORDMALING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20591-2025</t>
        </is>
      </c>
      <c r="B8365" s="1" t="n">
        <v>45775</v>
      </c>
      <c r="C8365" s="1" t="n">
        <v>46145</v>
      </c>
      <c r="D8365" t="inlineStr">
        <is>
          <t>VÄSTERBOTTENS LÄN</t>
        </is>
      </c>
      <c r="E8365" t="inlineStr">
        <is>
          <t>VILHELMINA</t>
        </is>
      </c>
      <c r="F8365" t="inlineStr">
        <is>
          <t>SCA</t>
        </is>
      </c>
      <c r="G8365" t="n">
        <v>27.4</v>
      </c>
      <c r="H8365" t="n">
        <v>0</v>
      </c>
      <c r="I8365" t="n">
        <v>0</v>
      </c>
      <c r="J8365" t="n">
        <v>0</v>
      </c>
      <c r="K8365" t="n">
        <v>0</v>
      </c>
      <c r="L8365" t="n">
        <v>0</v>
      </c>
      <c r="M8365" t="n">
        <v>0</v>
      </c>
      <c r="N8365" t="n">
        <v>0</v>
      </c>
      <c r="O8365" t="n">
        <v>0</v>
      </c>
      <c r="P8365" t="n">
        <v>0</v>
      </c>
      <c r="Q8365" t="n">
        <v>0</v>
      </c>
      <c r="R8365" s="2" t="inlineStr"/>
    </row>
    <row r="8366" ht="15" customHeight="1">
      <c r="A8366" t="inlineStr">
        <is>
          <t>A 33738-2024</t>
        </is>
      </c>
      <c r="B8366" s="1" t="n">
        <v>45520</v>
      </c>
      <c r="C8366" s="1" t="n">
        <v>46145</v>
      </c>
      <c r="D8366" t="inlineStr">
        <is>
          <t>VÄSTERBOTTENS LÄN</t>
        </is>
      </c>
      <c r="E8366" t="inlineStr">
        <is>
          <t>DOROTEA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49949-2023</t>
        </is>
      </c>
      <c r="B8367" s="1" t="n">
        <v>45215.36532407408</v>
      </c>
      <c r="C8367" s="1" t="n">
        <v>46145</v>
      </c>
      <c r="D8367" t="inlineStr">
        <is>
          <t>VÄSTERBOTTENS LÄN</t>
        </is>
      </c>
      <c r="E8367" t="inlineStr">
        <is>
          <t>SKELLEFTEÅ</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16294-2022</t>
        </is>
      </c>
      <c r="B8368" s="1" t="n">
        <v>44670.54792824074</v>
      </c>
      <c r="C8368" s="1" t="n">
        <v>46145</v>
      </c>
      <c r="D8368" t="inlineStr">
        <is>
          <t>VÄSTERBOTTENS LÄN</t>
        </is>
      </c>
      <c r="E8368" t="inlineStr">
        <is>
          <t>NORSJÖ</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22-2026</t>
        </is>
      </c>
      <c r="B8369" s="1" t="n">
        <v>46023.84774305556</v>
      </c>
      <c r="C8369" s="1" t="n">
        <v>46145</v>
      </c>
      <c r="D8369" t="inlineStr">
        <is>
          <t>VÄSTERBOTTENS LÄN</t>
        </is>
      </c>
      <c r="E8369" t="inlineStr">
        <is>
          <t>BJURHOLM</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1573-2025</t>
        </is>
      </c>
      <c r="B8370" s="1" t="n">
        <v>45670</v>
      </c>
      <c r="C8370" s="1" t="n">
        <v>46145</v>
      </c>
      <c r="D8370" t="inlineStr">
        <is>
          <t>VÄSTERBOTTENS LÄN</t>
        </is>
      </c>
      <c r="E8370" t="inlineStr">
        <is>
          <t>ROBERTSFORS</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39594-2023</t>
        </is>
      </c>
      <c r="B8371" s="1" t="n">
        <v>45167</v>
      </c>
      <c r="C8371" s="1" t="n">
        <v>46145</v>
      </c>
      <c r="D8371" t="inlineStr">
        <is>
          <t>VÄSTERBOTTENS LÄN</t>
        </is>
      </c>
      <c r="E8371" t="inlineStr">
        <is>
          <t>UMEÅ</t>
        </is>
      </c>
      <c r="F8371" t="inlineStr">
        <is>
          <t>Sveaskog</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19-2026</t>
        </is>
      </c>
      <c r="B8372" s="1" t="n">
        <v>46023</v>
      </c>
      <c r="C8372" s="1" t="n">
        <v>46145</v>
      </c>
      <c r="D8372" t="inlineStr">
        <is>
          <t>VÄSTERBOTTENS LÄN</t>
        </is>
      </c>
      <c r="E8372" t="inlineStr">
        <is>
          <t>NORDMALING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33636-2021</t>
        </is>
      </c>
      <c r="B8373" s="1" t="n">
        <v>44378</v>
      </c>
      <c r="C8373" s="1" t="n">
        <v>46145</v>
      </c>
      <c r="D8373" t="inlineStr">
        <is>
          <t>VÄSTERBOTTENS LÄN</t>
        </is>
      </c>
      <c r="E8373" t="inlineStr">
        <is>
          <t>VILHELMINA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32767-2024</t>
        </is>
      </c>
      <c r="B8374" s="1" t="n">
        <v>45516</v>
      </c>
      <c r="C8374" s="1" t="n">
        <v>46145</v>
      </c>
      <c r="D8374" t="inlineStr">
        <is>
          <t>VÄSTERBOTTENS LÄN</t>
        </is>
      </c>
      <c r="E8374" t="inlineStr">
        <is>
          <t>MALÅ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18482-2025</t>
        </is>
      </c>
      <c r="B8375" s="1" t="n">
        <v>45763.26912037037</v>
      </c>
      <c r="C8375" s="1" t="n">
        <v>46145</v>
      </c>
      <c r="D8375" t="inlineStr">
        <is>
          <t>VÄSTERBOTTENS LÄN</t>
        </is>
      </c>
      <c r="E8375" t="inlineStr">
        <is>
          <t>VINDELN</t>
        </is>
      </c>
      <c r="F8375" t="inlineStr">
        <is>
          <t>Holmen skog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57085-2023</t>
        </is>
      </c>
      <c r="B8376" s="1" t="n">
        <v>45245.25636574074</v>
      </c>
      <c r="C8376" s="1" t="n">
        <v>46145</v>
      </c>
      <c r="D8376" t="inlineStr">
        <is>
          <t>VÄSTERBOTTENS LÄN</t>
        </is>
      </c>
      <c r="E8376" t="inlineStr">
        <is>
          <t>SKELLEFTEÅ</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52329-2023</t>
        </is>
      </c>
      <c r="B8377" s="1" t="n">
        <v>45224.65313657407</v>
      </c>
      <c r="C8377" s="1" t="n">
        <v>46145</v>
      </c>
      <c r="D8377" t="inlineStr">
        <is>
          <t>VÄSTERBOTTENS LÄN</t>
        </is>
      </c>
      <c r="E8377" t="inlineStr">
        <is>
          <t>VINDELN</t>
        </is>
      </c>
      <c r="F8377" t="inlineStr">
        <is>
          <t>Sveaskog</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16519-2024</t>
        </is>
      </c>
      <c r="B8378" s="1" t="n">
        <v>45408</v>
      </c>
      <c r="C8378" s="1" t="n">
        <v>46145</v>
      </c>
      <c r="D8378" t="inlineStr">
        <is>
          <t>VÄSTERBOTTENS LÄN</t>
        </is>
      </c>
      <c r="E8378" t="inlineStr">
        <is>
          <t>SKELLEFTEÅ</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24726-2024</t>
        </is>
      </c>
      <c r="B8379" s="1" t="n">
        <v>45460</v>
      </c>
      <c r="C8379" s="1" t="n">
        <v>46145</v>
      </c>
      <c r="D8379" t="inlineStr">
        <is>
          <t>VÄSTERBOTTENS LÄN</t>
        </is>
      </c>
      <c r="E8379" t="inlineStr">
        <is>
          <t>VINDELN</t>
        </is>
      </c>
      <c r="F8379" t="inlineStr">
        <is>
          <t>Holmen skog AB</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9053-2022</t>
        </is>
      </c>
      <c r="B8380" s="1" t="n">
        <v>44615</v>
      </c>
      <c r="C8380" s="1" t="n">
        <v>46145</v>
      </c>
      <c r="D8380" t="inlineStr">
        <is>
          <t>VÄSTERBOTTENS LÄN</t>
        </is>
      </c>
      <c r="E8380" t="inlineStr">
        <is>
          <t>SKELLEFTEÅ</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35984-2023</t>
        </is>
      </c>
      <c r="B8381" s="1" t="n">
        <v>45148.96195601852</v>
      </c>
      <c r="C8381" s="1" t="n">
        <v>46145</v>
      </c>
      <c r="D8381" t="inlineStr">
        <is>
          <t>VÄSTERBOTTENS LÄN</t>
        </is>
      </c>
      <c r="E8381" t="inlineStr">
        <is>
          <t>VILHELMINA</t>
        </is>
      </c>
      <c r="F8381" t="inlineStr">
        <is>
          <t>SCA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25009-2022</t>
        </is>
      </c>
      <c r="B8382" s="1" t="n">
        <v>44728.92866898148</v>
      </c>
      <c r="C8382" s="1" t="n">
        <v>46145</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17582-2024</t>
        </is>
      </c>
      <c r="B8383" s="1" t="n">
        <v>45415</v>
      </c>
      <c r="C8383" s="1" t="n">
        <v>46145</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44026-2022</t>
        </is>
      </c>
      <c r="B8384" s="1" t="n">
        <v>44838.92494212963</v>
      </c>
      <c r="C8384" s="1" t="n">
        <v>46145</v>
      </c>
      <c r="D8384" t="inlineStr">
        <is>
          <t>VÄSTERBOTTENS LÄN</t>
        </is>
      </c>
      <c r="E8384" t="inlineStr">
        <is>
          <t>ROBERTSFORS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5582-2025</t>
        </is>
      </c>
      <c r="B8385" s="1" t="n">
        <v>45693.55229166667</v>
      </c>
      <c r="C8385" s="1" t="n">
        <v>46145</v>
      </c>
      <c r="D8385" t="inlineStr">
        <is>
          <t>VÄSTERBOTTENS LÄN</t>
        </is>
      </c>
      <c r="E8385" t="inlineStr">
        <is>
          <t>BJURHOLM</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256-2026</t>
        </is>
      </c>
      <c r="B8386" s="1" t="n">
        <v>46027.43188657407</v>
      </c>
      <c r="C8386" s="1" t="n">
        <v>46145</v>
      </c>
      <c r="D8386" t="inlineStr">
        <is>
          <t>VÄSTERBOTTENS LÄN</t>
        </is>
      </c>
      <c r="E8386" t="inlineStr">
        <is>
          <t>UMEÅ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263-2026</t>
        </is>
      </c>
      <c r="B8387" s="1" t="n">
        <v>46027</v>
      </c>
      <c r="C8387" s="1" t="n">
        <v>46145</v>
      </c>
      <c r="D8387" t="inlineStr">
        <is>
          <t>VÄSTERBOTTENS LÄN</t>
        </is>
      </c>
      <c r="E8387" t="inlineStr">
        <is>
          <t>MALÅ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55528-2023</t>
        </is>
      </c>
      <c r="B8388" s="1" t="n">
        <v>45238.59362268518</v>
      </c>
      <c r="C8388" s="1" t="n">
        <v>46145</v>
      </c>
      <c r="D8388" t="inlineStr">
        <is>
          <t>VÄSTERBOTTENS LÄN</t>
        </is>
      </c>
      <c r="E8388" t="inlineStr">
        <is>
          <t>SKELLEFTEÅ</t>
        </is>
      </c>
      <c r="G8388" t="n">
        <v>9.6</v>
      </c>
      <c r="H8388" t="n">
        <v>0</v>
      </c>
      <c r="I8388" t="n">
        <v>0</v>
      </c>
      <c r="J8388" t="n">
        <v>0</v>
      </c>
      <c r="K8388" t="n">
        <v>0</v>
      </c>
      <c r="L8388" t="n">
        <v>0</v>
      </c>
      <c r="M8388" t="n">
        <v>0</v>
      </c>
      <c r="N8388" t="n">
        <v>0</v>
      </c>
      <c r="O8388" t="n">
        <v>0</v>
      </c>
      <c r="P8388" t="n">
        <v>0</v>
      </c>
      <c r="Q8388" t="n">
        <v>0</v>
      </c>
      <c r="R8388" s="2" t="inlineStr"/>
    </row>
    <row r="8389" ht="15" customHeight="1">
      <c r="A8389" t="inlineStr">
        <is>
          <t>A 55305-2023</t>
        </is>
      </c>
      <c r="B8389" s="1" t="n">
        <v>45237.86452546297</v>
      </c>
      <c r="C8389" s="1" t="n">
        <v>46145</v>
      </c>
      <c r="D8389" t="inlineStr">
        <is>
          <t>VÄSTERBOTTENS LÄN</t>
        </is>
      </c>
      <c r="E8389" t="inlineStr">
        <is>
          <t>NORDMALING</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22339-2024</t>
        </is>
      </c>
      <c r="B8390" s="1" t="n">
        <v>45446</v>
      </c>
      <c r="C8390" s="1" t="n">
        <v>46145</v>
      </c>
      <c r="D8390" t="inlineStr">
        <is>
          <t>VÄSTERBOTTENS LÄN</t>
        </is>
      </c>
      <c r="E8390" t="inlineStr">
        <is>
          <t>ROBERTSFORS</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23973-2024</t>
        </is>
      </c>
      <c r="B8391" s="1" t="n">
        <v>45455.9684837963</v>
      </c>
      <c r="C8391" s="1" t="n">
        <v>46145</v>
      </c>
      <c r="D8391" t="inlineStr">
        <is>
          <t>VÄSTERBOTTENS LÄN</t>
        </is>
      </c>
      <c r="E8391" t="inlineStr">
        <is>
          <t>LYCKSELE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44121-2022</t>
        </is>
      </c>
      <c r="B8392" s="1" t="n">
        <v>44839</v>
      </c>
      <c r="C8392" s="1" t="n">
        <v>46145</v>
      </c>
      <c r="D8392" t="inlineStr">
        <is>
          <t>VÄSTERBOTTENS LÄN</t>
        </is>
      </c>
      <c r="E8392" t="inlineStr">
        <is>
          <t>UMEÅ</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393-2026</t>
        </is>
      </c>
      <c r="B8393" s="1" t="n">
        <v>46028</v>
      </c>
      <c r="C8393" s="1" t="n">
        <v>46145</v>
      </c>
      <c r="D8393" t="inlineStr">
        <is>
          <t>VÄSTERBOTTENS LÄN</t>
        </is>
      </c>
      <c r="E8393" t="inlineStr">
        <is>
          <t>BJURHOLM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22405-2024</t>
        </is>
      </c>
      <c r="B8394" s="1" t="n">
        <v>45446</v>
      </c>
      <c r="C8394" s="1" t="n">
        <v>46145</v>
      </c>
      <c r="D8394" t="inlineStr">
        <is>
          <t>VÄSTERBOTTENS LÄN</t>
        </is>
      </c>
      <c r="E8394" t="inlineStr">
        <is>
          <t>VINDELN</t>
        </is>
      </c>
      <c r="G8394" t="n">
        <v>10.5</v>
      </c>
      <c r="H8394" t="n">
        <v>0</v>
      </c>
      <c r="I8394" t="n">
        <v>0</v>
      </c>
      <c r="J8394" t="n">
        <v>0</v>
      </c>
      <c r="K8394" t="n">
        <v>0</v>
      </c>
      <c r="L8394" t="n">
        <v>0</v>
      </c>
      <c r="M8394" t="n">
        <v>0</v>
      </c>
      <c r="N8394" t="n">
        <v>0</v>
      </c>
      <c r="O8394" t="n">
        <v>0</v>
      </c>
      <c r="P8394" t="n">
        <v>0</v>
      </c>
      <c r="Q8394" t="n">
        <v>0</v>
      </c>
      <c r="R8394" s="2" t="inlineStr"/>
    </row>
    <row r="8395" ht="15" customHeight="1">
      <c r="A8395" t="inlineStr">
        <is>
          <t>A 6228-2025</t>
        </is>
      </c>
      <c r="B8395" s="1" t="n">
        <v>45697</v>
      </c>
      <c r="C8395" s="1" t="n">
        <v>46145</v>
      </c>
      <c r="D8395" t="inlineStr">
        <is>
          <t>VÄSTERBOTTENS LÄN</t>
        </is>
      </c>
      <c r="E8395" t="inlineStr">
        <is>
          <t>SORSELE</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28728-2023</t>
        </is>
      </c>
      <c r="B8396" s="1" t="n">
        <v>45103</v>
      </c>
      <c r="C8396" s="1" t="n">
        <v>46145</v>
      </c>
      <c r="D8396" t="inlineStr">
        <is>
          <t>VÄSTERBOTTENS LÄN</t>
        </is>
      </c>
      <c r="E8396" t="inlineStr">
        <is>
          <t>ÅSELE</t>
        </is>
      </c>
      <c r="F8396" t="inlineStr">
        <is>
          <t>Sveaskog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28731-2023</t>
        </is>
      </c>
      <c r="B8397" s="1" t="n">
        <v>45103</v>
      </c>
      <c r="C8397" s="1" t="n">
        <v>46145</v>
      </c>
      <c r="D8397" t="inlineStr">
        <is>
          <t>VÄSTERBOTTENS LÄN</t>
        </is>
      </c>
      <c r="E8397" t="inlineStr">
        <is>
          <t>ÅSELE</t>
        </is>
      </c>
      <c r="F8397" t="inlineStr">
        <is>
          <t>Sveaskog</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45800-2023</t>
        </is>
      </c>
      <c r="B8398" s="1" t="n">
        <v>45189</v>
      </c>
      <c r="C8398" s="1" t="n">
        <v>46145</v>
      </c>
      <c r="D8398" t="inlineStr">
        <is>
          <t>VÄSTERBOTTENS LÄN</t>
        </is>
      </c>
      <c r="E8398" t="inlineStr">
        <is>
          <t>ÅSELE</t>
        </is>
      </c>
      <c r="G8398" t="n">
        <v>42.1</v>
      </c>
      <c r="H8398" t="n">
        <v>0</v>
      </c>
      <c r="I8398" t="n">
        <v>0</v>
      </c>
      <c r="J8398" t="n">
        <v>0</v>
      </c>
      <c r="K8398" t="n">
        <v>0</v>
      </c>
      <c r="L8398" t="n">
        <v>0</v>
      </c>
      <c r="M8398" t="n">
        <v>0</v>
      </c>
      <c r="N8398" t="n">
        <v>0</v>
      </c>
      <c r="O8398" t="n">
        <v>0</v>
      </c>
      <c r="P8398" t="n">
        <v>0</v>
      </c>
      <c r="Q8398" t="n">
        <v>0</v>
      </c>
      <c r="R8398" s="2" t="inlineStr"/>
    </row>
    <row r="8399" ht="15" customHeight="1">
      <c r="A8399" t="inlineStr">
        <is>
          <t>A 45812-2023</t>
        </is>
      </c>
      <c r="B8399" s="1" t="n">
        <v>45189</v>
      </c>
      <c r="C8399" s="1" t="n">
        <v>46145</v>
      </c>
      <c r="D8399" t="inlineStr">
        <is>
          <t>VÄSTERBOTTENS LÄN</t>
        </is>
      </c>
      <c r="E8399" t="inlineStr">
        <is>
          <t>MALÅ</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55920-2023</t>
        </is>
      </c>
      <c r="B8400" s="1" t="n">
        <v>45239.96893518518</v>
      </c>
      <c r="C8400" s="1" t="n">
        <v>46145</v>
      </c>
      <c r="D8400" t="inlineStr">
        <is>
          <t>VÄSTERBOTTENS LÄN</t>
        </is>
      </c>
      <c r="E8400" t="inlineStr">
        <is>
          <t>ÅSELE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55938-2023</t>
        </is>
      </c>
      <c r="B8401" s="1" t="n">
        <v>45240.28634259259</v>
      </c>
      <c r="C8401" s="1" t="n">
        <v>46145</v>
      </c>
      <c r="D8401" t="inlineStr">
        <is>
          <t>VÄSTERBOTTENS LÄN</t>
        </is>
      </c>
      <c r="E8401" t="inlineStr">
        <is>
          <t>LYCKSELE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404-2026</t>
        </is>
      </c>
      <c r="B8402" s="1" t="n">
        <v>46028.66927083334</v>
      </c>
      <c r="C8402" s="1" t="n">
        <v>46145</v>
      </c>
      <c r="D8402" t="inlineStr">
        <is>
          <t>VÄSTERBOTTENS LÄN</t>
        </is>
      </c>
      <c r="E8402" t="inlineStr">
        <is>
          <t>NORDMALING</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32129-2024</t>
        </is>
      </c>
      <c r="B8403" s="1" t="n">
        <v>45511</v>
      </c>
      <c r="C8403" s="1" t="n">
        <v>46145</v>
      </c>
      <c r="D8403" t="inlineStr">
        <is>
          <t>VÄSTERBOTTENS LÄN</t>
        </is>
      </c>
      <c r="E8403" t="inlineStr">
        <is>
          <t>BJURHOLM</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38076-2023</t>
        </is>
      </c>
      <c r="B8404" s="1" t="n">
        <v>45160</v>
      </c>
      <c r="C8404" s="1" t="n">
        <v>46145</v>
      </c>
      <c r="D8404" t="inlineStr">
        <is>
          <t>VÄSTERBOTTENS LÄN</t>
        </is>
      </c>
      <c r="E8404" t="inlineStr">
        <is>
          <t>ÅSELE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278-2026</t>
        </is>
      </c>
      <c r="B8405" s="1" t="n">
        <v>46027</v>
      </c>
      <c r="C8405" s="1" t="n">
        <v>46145</v>
      </c>
      <c r="D8405" t="inlineStr">
        <is>
          <t>VÄSTERBOTTENS LÄN</t>
        </is>
      </c>
      <c r="E8405" t="inlineStr">
        <is>
          <t>MALÅ</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300-2026</t>
        </is>
      </c>
      <c r="B8406" s="1" t="n">
        <v>46027.5158912037</v>
      </c>
      <c r="C8406" s="1" t="n">
        <v>46145</v>
      </c>
      <c r="D8406" t="inlineStr">
        <is>
          <t>VÄSTERBOTTENS LÄN</t>
        </is>
      </c>
      <c r="E8406" t="inlineStr">
        <is>
          <t>ROBERTSFORS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6231-2025</t>
        </is>
      </c>
      <c r="B8407" s="1" t="n">
        <v>45697</v>
      </c>
      <c r="C8407" s="1" t="n">
        <v>46145</v>
      </c>
      <c r="D8407" t="inlineStr">
        <is>
          <t>VÄSTERBOTTENS LÄN</t>
        </is>
      </c>
      <c r="E8407" t="inlineStr">
        <is>
          <t>SORSELE</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48394-2023</t>
        </is>
      </c>
      <c r="B8408" s="1" t="n">
        <v>45201</v>
      </c>
      <c r="C8408" s="1" t="n">
        <v>46145</v>
      </c>
      <c r="D8408" t="inlineStr">
        <is>
          <t>VÄSTERBOTTENS LÄN</t>
        </is>
      </c>
      <c r="E8408" t="inlineStr">
        <is>
          <t>SKELLEFTEÅ</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281-2026</t>
        </is>
      </c>
      <c r="B8409" s="1" t="n">
        <v>46027</v>
      </c>
      <c r="C8409" s="1" t="n">
        <v>46145</v>
      </c>
      <c r="D8409" t="inlineStr">
        <is>
          <t>VÄSTERBOTTENS LÄN</t>
        </is>
      </c>
      <c r="E8409" t="inlineStr">
        <is>
          <t>UMEÅ</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56-2025</t>
        </is>
      </c>
      <c r="B8410" s="1" t="n">
        <v>45659.39510416667</v>
      </c>
      <c r="C8410" s="1" t="n">
        <v>46145</v>
      </c>
      <c r="D8410" t="inlineStr">
        <is>
          <t>VÄSTERBOTTENS LÄN</t>
        </is>
      </c>
      <c r="E8410" t="inlineStr">
        <is>
          <t>BJURHOLM</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42557-2023</t>
        </is>
      </c>
      <c r="B8411" s="1" t="n">
        <v>45181.38291666667</v>
      </c>
      <c r="C8411" s="1" t="n">
        <v>46145</v>
      </c>
      <c r="D8411" t="inlineStr">
        <is>
          <t>VÄSTERBOTTENS LÄN</t>
        </is>
      </c>
      <c r="E8411" t="inlineStr">
        <is>
          <t>BJURHOLM</t>
        </is>
      </c>
      <c r="F8411" t="inlineStr">
        <is>
          <t>Holmen skog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464-2026</t>
        </is>
      </c>
      <c r="B8412" s="1" t="n">
        <v>46029.38431712963</v>
      </c>
      <c r="C8412" s="1" t="n">
        <v>46145</v>
      </c>
      <c r="D8412" t="inlineStr">
        <is>
          <t>VÄSTERBOTTENS LÄN</t>
        </is>
      </c>
      <c r="E8412" t="inlineStr">
        <is>
          <t>SKELLEFTEÅ</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27558-2022</t>
        </is>
      </c>
      <c r="B8413" s="1" t="n">
        <v>44742</v>
      </c>
      <c r="C8413" s="1" t="n">
        <v>46145</v>
      </c>
      <c r="D8413" t="inlineStr">
        <is>
          <t>VÄSTERBOTTENS LÄN</t>
        </is>
      </c>
      <c r="E8413" t="inlineStr">
        <is>
          <t>DOROTEA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61064-2023</t>
        </is>
      </c>
      <c r="B8414" s="1" t="n">
        <v>45259</v>
      </c>
      <c r="C8414" s="1" t="n">
        <v>46145</v>
      </c>
      <c r="D8414" t="inlineStr">
        <is>
          <t>VÄSTERBOTTENS LÄN</t>
        </is>
      </c>
      <c r="E8414" t="inlineStr">
        <is>
          <t>SKELLEFTEÅ</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61094-2023</t>
        </is>
      </c>
      <c r="B8415" s="1" t="n">
        <v>45261</v>
      </c>
      <c r="C8415" s="1" t="n">
        <v>46145</v>
      </c>
      <c r="D8415" t="inlineStr">
        <is>
          <t>VÄSTERBOTTENS LÄN</t>
        </is>
      </c>
      <c r="E8415" t="inlineStr">
        <is>
          <t>LYCKSELE</t>
        </is>
      </c>
      <c r="G8415" t="n">
        <v>0</v>
      </c>
      <c r="H8415" t="n">
        <v>0</v>
      </c>
      <c r="I8415" t="n">
        <v>0</v>
      </c>
      <c r="J8415" t="n">
        <v>0</v>
      </c>
      <c r="K8415" t="n">
        <v>0</v>
      </c>
      <c r="L8415" t="n">
        <v>0</v>
      </c>
      <c r="M8415" t="n">
        <v>0</v>
      </c>
      <c r="N8415" t="n">
        <v>0</v>
      </c>
      <c r="O8415" t="n">
        <v>0</v>
      </c>
      <c r="P8415" t="n">
        <v>0</v>
      </c>
      <c r="Q8415" t="n">
        <v>0</v>
      </c>
      <c r="R8415" s="2" t="inlineStr"/>
    </row>
    <row r="8416" ht="15" customHeight="1">
      <c r="A8416" t="inlineStr">
        <is>
          <t>A 6660-2025</t>
        </is>
      </c>
      <c r="B8416" s="1" t="n">
        <v>45700.44704861111</v>
      </c>
      <c r="C8416" s="1" t="n">
        <v>46145</v>
      </c>
      <c r="D8416" t="inlineStr">
        <is>
          <t>VÄSTERBOTTENS LÄN</t>
        </is>
      </c>
      <c r="E8416" t="inlineStr">
        <is>
          <t>VINDELN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6662-2025</t>
        </is>
      </c>
      <c r="B8417" s="1" t="n">
        <v>45700.45233796296</v>
      </c>
      <c r="C8417" s="1" t="n">
        <v>46145</v>
      </c>
      <c r="D8417" t="inlineStr">
        <is>
          <t>VÄSTERBOTTENS LÄN</t>
        </is>
      </c>
      <c r="E8417" t="inlineStr">
        <is>
          <t>VINDELN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413-2026</t>
        </is>
      </c>
      <c r="B8418" s="1" t="n">
        <v>46028.75300925926</v>
      </c>
      <c r="C8418" s="1" t="n">
        <v>46145</v>
      </c>
      <c r="D8418" t="inlineStr">
        <is>
          <t>VÄSTERBOTTENS LÄN</t>
        </is>
      </c>
      <c r="E8418" t="inlineStr">
        <is>
          <t>ÅSELE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6725-2025</t>
        </is>
      </c>
      <c r="B8419" s="1" t="n">
        <v>45700</v>
      </c>
      <c r="C8419" s="1" t="n">
        <v>46145</v>
      </c>
      <c r="D8419" t="inlineStr">
        <is>
          <t>VÄSTERBOTTENS LÄN</t>
        </is>
      </c>
      <c r="E8419" t="inlineStr">
        <is>
          <t>ROBERTSFORS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18366-2022</t>
        </is>
      </c>
      <c r="B8420" s="1" t="n">
        <v>44685</v>
      </c>
      <c r="C8420" s="1" t="n">
        <v>46145</v>
      </c>
      <c r="D8420" t="inlineStr">
        <is>
          <t>VÄSTERBOTTENS LÄN</t>
        </is>
      </c>
      <c r="E8420" t="inlineStr">
        <is>
          <t>STORUMAN</t>
        </is>
      </c>
      <c r="G8420" t="n">
        <v>19.6</v>
      </c>
      <c r="H8420" t="n">
        <v>0</v>
      </c>
      <c r="I8420" t="n">
        <v>0</v>
      </c>
      <c r="J8420" t="n">
        <v>0</v>
      </c>
      <c r="K8420" t="n">
        <v>0</v>
      </c>
      <c r="L8420" t="n">
        <v>0</v>
      </c>
      <c r="M8420" t="n">
        <v>0</v>
      </c>
      <c r="N8420" t="n">
        <v>0</v>
      </c>
      <c r="O8420" t="n">
        <v>0</v>
      </c>
      <c r="P8420" t="n">
        <v>0</v>
      </c>
      <c r="Q8420" t="n">
        <v>0</v>
      </c>
      <c r="R8420" s="2" t="inlineStr"/>
    </row>
    <row r="8421" ht="15" customHeight="1">
      <c r="A8421" t="inlineStr">
        <is>
          <t>A 41552-2023</t>
        </is>
      </c>
      <c r="B8421" s="1" t="n">
        <v>45173</v>
      </c>
      <c r="C8421" s="1" t="n">
        <v>46145</v>
      </c>
      <c r="D8421" t="inlineStr">
        <is>
          <t>VÄSTERBOTTENS LÄN</t>
        </is>
      </c>
      <c r="E8421" t="inlineStr">
        <is>
          <t>NORSJÖ</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473-2026</t>
        </is>
      </c>
      <c r="B8422" s="1" t="n">
        <v>46029.39254629629</v>
      </c>
      <c r="C8422" s="1" t="n">
        <v>46145</v>
      </c>
      <c r="D8422" t="inlineStr">
        <is>
          <t>VÄSTERBOTTENS LÄN</t>
        </is>
      </c>
      <c r="E8422" t="inlineStr">
        <is>
          <t>SKELLEFTEÅ</t>
        </is>
      </c>
      <c r="G8422" t="n">
        <v>12.8</v>
      </c>
      <c r="H8422" t="n">
        <v>0</v>
      </c>
      <c r="I8422" t="n">
        <v>0</v>
      </c>
      <c r="J8422" t="n">
        <v>0</v>
      </c>
      <c r="K8422" t="n">
        <v>0</v>
      </c>
      <c r="L8422" t="n">
        <v>0</v>
      </c>
      <c r="M8422" t="n">
        <v>0</v>
      </c>
      <c r="N8422" t="n">
        <v>0</v>
      </c>
      <c r="O8422" t="n">
        <v>0</v>
      </c>
      <c r="P8422" t="n">
        <v>0</v>
      </c>
      <c r="Q8422" t="n">
        <v>0</v>
      </c>
      <c r="R8422" s="2" t="inlineStr"/>
    </row>
    <row r="8423" ht="15" customHeight="1">
      <c r="A8423" t="inlineStr">
        <is>
          <t>A 474-2026</t>
        </is>
      </c>
      <c r="B8423" s="1" t="n">
        <v>46029.39258101852</v>
      </c>
      <c r="C8423" s="1" t="n">
        <v>46145</v>
      </c>
      <c r="D8423" t="inlineStr">
        <is>
          <t>VÄSTERBOTTENS LÄN</t>
        </is>
      </c>
      <c r="E8423" t="inlineStr">
        <is>
          <t>SKELLEFTEÅ</t>
        </is>
      </c>
      <c r="G8423" t="n">
        <v>8.300000000000001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55082-2023</t>
        </is>
      </c>
      <c r="B8424" s="1" t="n">
        <v>45230</v>
      </c>
      <c r="C8424" s="1" t="n">
        <v>46145</v>
      </c>
      <c r="D8424" t="inlineStr">
        <is>
          <t>VÄSTERBOTTENS LÄN</t>
        </is>
      </c>
      <c r="E8424" t="inlineStr">
        <is>
          <t>UMEÅ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54463-2023</t>
        </is>
      </c>
      <c r="B8425" s="1" t="n">
        <v>45232</v>
      </c>
      <c r="C8425" s="1" t="n">
        <v>46145</v>
      </c>
      <c r="D8425" t="inlineStr">
        <is>
          <t>VÄSTERBOTTENS LÄN</t>
        </is>
      </c>
      <c r="E8425" t="inlineStr">
        <is>
          <t>MALÅ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4387-2025</t>
        </is>
      </c>
      <c r="B8426" s="1" t="n">
        <v>45686.40269675926</v>
      </c>
      <c r="C8426" s="1" t="n">
        <v>46145</v>
      </c>
      <c r="D8426" t="inlineStr">
        <is>
          <t>VÄSTERBOTTENS LÄN</t>
        </is>
      </c>
      <c r="E8426" t="inlineStr">
        <is>
          <t>SKELLEFTEÅ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35753-2023</t>
        </is>
      </c>
      <c r="B8427" s="1" t="n">
        <v>45147.95390046296</v>
      </c>
      <c r="C8427" s="1" t="n">
        <v>46145</v>
      </c>
      <c r="D8427" t="inlineStr">
        <is>
          <t>VÄSTERBOTTENS LÄN</t>
        </is>
      </c>
      <c r="E8427" t="inlineStr">
        <is>
          <t>VILHELMINA</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494-2026</t>
        </is>
      </c>
      <c r="B8428" s="1" t="n">
        <v>46029.42859953704</v>
      </c>
      <c r="C8428" s="1" t="n">
        <v>46145</v>
      </c>
      <c r="D8428" t="inlineStr">
        <is>
          <t>VÄSTERBOTTENS LÄN</t>
        </is>
      </c>
      <c r="E8428" t="inlineStr">
        <is>
          <t>NORDMALING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53255-2023</t>
        </is>
      </c>
      <c r="B8429" s="1" t="n">
        <v>45229.5280787037</v>
      </c>
      <c r="C8429" s="1" t="n">
        <v>46145</v>
      </c>
      <c r="D8429" t="inlineStr">
        <is>
          <t>VÄSTERBOTTENS LÄN</t>
        </is>
      </c>
      <c r="E8429" t="inlineStr">
        <is>
          <t>SKELLEFTEÅ</t>
        </is>
      </c>
      <c r="F8429" t="inlineStr">
        <is>
          <t>Sveaskog</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52746-2023</t>
        </is>
      </c>
      <c r="B8430" s="1" t="n">
        <v>45225.96753472222</v>
      </c>
      <c r="C8430" s="1" t="n">
        <v>46145</v>
      </c>
      <c r="D8430" t="inlineStr">
        <is>
          <t>VÄSTERBOTTENS LÄN</t>
        </is>
      </c>
      <c r="E8430" t="inlineStr">
        <is>
          <t>VILHELMINA</t>
        </is>
      </c>
      <c r="F8430" t="inlineStr">
        <is>
          <t>SCA</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49498-2025</t>
        </is>
      </c>
      <c r="B8431" s="1" t="n">
        <v>45939.36655092592</v>
      </c>
      <c r="C8431" s="1" t="n">
        <v>46145</v>
      </c>
      <c r="D8431" t="inlineStr">
        <is>
          <t>VÄSTERBOTTENS LÄN</t>
        </is>
      </c>
      <c r="E8431" t="inlineStr">
        <is>
          <t>VINDELN</t>
        </is>
      </c>
      <c r="G8431" t="n">
        <v>14.9</v>
      </c>
      <c r="H8431" t="n">
        <v>0</v>
      </c>
      <c r="I8431" t="n">
        <v>0</v>
      </c>
      <c r="J8431" t="n">
        <v>0</v>
      </c>
      <c r="K8431" t="n">
        <v>0</v>
      </c>
      <c r="L8431" t="n">
        <v>0</v>
      </c>
      <c r="M8431" t="n">
        <v>0</v>
      </c>
      <c r="N8431" t="n">
        <v>0</v>
      </c>
      <c r="O8431" t="n">
        <v>0</v>
      </c>
      <c r="P8431" t="n">
        <v>0</v>
      </c>
      <c r="Q8431" t="n">
        <v>0</v>
      </c>
      <c r="R8431" s="2" t="inlineStr"/>
    </row>
    <row r="8432" ht="15" customHeight="1">
      <c r="A8432" t="inlineStr">
        <is>
          <t>A 686-2026</t>
        </is>
      </c>
      <c r="B8432" s="1" t="n">
        <v>46029.60719907407</v>
      </c>
      <c r="C8432" s="1" t="n">
        <v>46145</v>
      </c>
      <c r="D8432" t="inlineStr">
        <is>
          <t>VÄSTERBOTTENS LÄN</t>
        </is>
      </c>
      <c r="E8432" t="inlineStr">
        <is>
          <t>VÄNNÄS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909-2026</t>
        </is>
      </c>
      <c r="B8433" s="1" t="n">
        <v>46030.47678240741</v>
      </c>
      <c r="C8433" s="1" t="n">
        <v>46145</v>
      </c>
      <c r="D8433" t="inlineStr">
        <is>
          <t>VÄSTERBOTTENS LÄN</t>
        </is>
      </c>
      <c r="E8433" t="inlineStr">
        <is>
          <t>DOROTEA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18666-2025</t>
        </is>
      </c>
      <c r="B8434" s="1" t="n">
        <v>45763.59434027778</v>
      </c>
      <c r="C8434" s="1" t="n">
        <v>46145</v>
      </c>
      <c r="D8434" t="inlineStr">
        <is>
          <t>VÄSTERBOTTENS LÄN</t>
        </is>
      </c>
      <c r="E8434" t="inlineStr">
        <is>
          <t>NORSJÖ</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983-2026</t>
        </is>
      </c>
      <c r="B8435" s="1" t="n">
        <v>46030.58021990741</v>
      </c>
      <c r="C8435" s="1" t="n">
        <v>46145</v>
      </c>
      <c r="D8435" t="inlineStr">
        <is>
          <t>VÄSTERBOTTENS LÄN</t>
        </is>
      </c>
      <c r="E8435" t="inlineStr">
        <is>
          <t>SKELLEFTEÅ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18667-2025</t>
        </is>
      </c>
      <c r="B8436" s="1" t="n">
        <v>45763.59436342592</v>
      </c>
      <c r="C8436" s="1" t="n">
        <v>46145</v>
      </c>
      <c r="D8436" t="inlineStr">
        <is>
          <t>VÄSTERBOTTENS LÄN</t>
        </is>
      </c>
      <c r="E8436" t="inlineStr">
        <is>
          <t>NORSJÖ</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18668-2025</t>
        </is>
      </c>
      <c r="B8437" s="1" t="n">
        <v>45763.59438657408</v>
      </c>
      <c r="C8437" s="1" t="n">
        <v>46145</v>
      </c>
      <c r="D8437" t="inlineStr">
        <is>
          <t>VÄSTERBOTTENS LÄN</t>
        </is>
      </c>
      <c r="E8437" t="inlineStr">
        <is>
          <t>NORSJÖ</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61089-2023</t>
        </is>
      </c>
      <c r="B8438" s="1" t="n">
        <v>45260</v>
      </c>
      <c r="C8438" s="1" t="n">
        <v>46145</v>
      </c>
      <c r="D8438" t="inlineStr">
        <is>
          <t>VÄSTERBOTTENS LÄN</t>
        </is>
      </c>
      <c r="E8438" t="inlineStr">
        <is>
          <t>SKELLEFTEÅ</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1007-2026</t>
        </is>
      </c>
      <c r="B8439" s="1" t="n">
        <v>46030.59869212963</v>
      </c>
      <c r="C8439" s="1" t="n">
        <v>46145</v>
      </c>
      <c r="D8439" t="inlineStr">
        <is>
          <t>VÄSTERBOTTENS LÄN</t>
        </is>
      </c>
      <c r="E8439" t="inlineStr">
        <is>
          <t>SKELLEFTEÅ</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7853-2025</t>
        </is>
      </c>
      <c r="B8440" s="1" t="n">
        <v>45706.67732638889</v>
      </c>
      <c r="C8440" s="1" t="n">
        <v>46145</v>
      </c>
      <c r="D8440" t="inlineStr">
        <is>
          <t>VÄSTERBOTTENS LÄN</t>
        </is>
      </c>
      <c r="E8440" t="inlineStr">
        <is>
          <t>UMEÅ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14111-2025</t>
        </is>
      </c>
      <c r="B8441" s="1" t="n">
        <v>45740.45887731481</v>
      </c>
      <c r="C8441" s="1" t="n">
        <v>46145</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923-2026</t>
        </is>
      </c>
      <c r="B8442" s="1" t="n">
        <v>46030.49034722222</v>
      </c>
      <c r="C8442" s="1" t="n">
        <v>46145</v>
      </c>
      <c r="D8442" t="inlineStr">
        <is>
          <t>VÄSTERBOTTENS LÄN</t>
        </is>
      </c>
      <c r="E8442" t="inlineStr">
        <is>
          <t>UMEÅ</t>
        </is>
      </c>
      <c r="G8442" t="n">
        <v>9.1</v>
      </c>
      <c r="H8442" t="n">
        <v>0</v>
      </c>
      <c r="I8442" t="n">
        <v>0</v>
      </c>
      <c r="J8442" t="n">
        <v>0</v>
      </c>
      <c r="K8442" t="n">
        <v>0</v>
      </c>
      <c r="L8442" t="n">
        <v>0</v>
      </c>
      <c r="M8442" t="n">
        <v>0</v>
      </c>
      <c r="N8442" t="n">
        <v>0</v>
      </c>
      <c r="O8442" t="n">
        <v>0</v>
      </c>
      <c r="P8442" t="n">
        <v>0</v>
      </c>
      <c r="Q8442" t="n">
        <v>0</v>
      </c>
      <c r="R8442" s="2" t="inlineStr"/>
    </row>
    <row r="8443" ht="15" customHeight="1">
      <c r="A8443" t="inlineStr">
        <is>
          <t>A 14380-2025</t>
        </is>
      </c>
      <c r="B8443" s="1" t="n">
        <v>45741.41429398148</v>
      </c>
      <c r="C8443" s="1" t="n">
        <v>46145</v>
      </c>
      <c r="D8443" t="inlineStr">
        <is>
          <t>VÄSTERBOTTENS LÄN</t>
        </is>
      </c>
      <c r="E8443" t="inlineStr">
        <is>
          <t>UMEÅ</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33268-2022</t>
        </is>
      </c>
      <c r="B8444" s="1" t="n">
        <v>44788.32501157407</v>
      </c>
      <c r="C8444" s="1" t="n">
        <v>46145</v>
      </c>
      <c r="D8444" t="inlineStr">
        <is>
          <t>VÄSTERBOTTENS LÄN</t>
        </is>
      </c>
      <c r="E8444" t="inlineStr">
        <is>
          <t>SKELLEFTEÅ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862-2026</t>
        </is>
      </c>
      <c r="B8445" s="1" t="n">
        <v>46030.42516203703</v>
      </c>
      <c r="C8445" s="1" t="n">
        <v>46145</v>
      </c>
      <c r="D8445" t="inlineStr">
        <is>
          <t>VÄSTERBOTTENS LÄN</t>
        </is>
      </c>
      <c r="E8445" t="inlineStr">
        <is>
          <t>VÄNNÄS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24505-2022</t>
        </is>
      </c>
      <c r="B8446" s="1" t="n">
        <v>44726.92622685185</v>
      </c>
      <c r="C8446" s="1" t="n">
        <v>46145</v>
      </c>
      <c r="D8446" t="inlineStr">
        <is>
          <t>VÄSTERBOTTENS LÄN</t>
        </is>
      </c>
      <c r="E8446" t="inlineStr">
        <is>
          <t>SKELLEFTEÅ</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46727-2023</t>
        </is>
      </c>
      <c r="B8447" s="1" t="n">
        <v>45198</v>
      </c>
      <c r="C8447" s="1" t="n">
        <v>46145</v>
      </c>
      <c r="D8447" t="inlineStr">
        <is>
          <t>VÄSTERBOTTENS LÄN</t>
        </is>
      </c>
      <c r="E8447" t="inlineStr">
        <is>
          <t>UMEÅ</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1143-2026</t>
        </is>
      </c>
      <c r="B8448" s="1" t="n">
        <v>46030</v>
      </c>
      <c r="C8448" s="1" t="n">
        <v>46145</v>
      </c>
      <c r="D8448" t="inlineStr">
        <is>
          <t>VÄSTERBOTTENS LÄN</t>
        </is>
      </c>
      <c r="E8448" t="inlineStr">
        <is>
          <t>UMEÅ</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46803-2023</t>
        </is>
      </c>
      <c r="B8449" s="1" t="n">
        <v>45198</v>
      </c>
      <c r="C8449" s="1" t="n">
        <v>46145</v>
      </c>
      <c r="D8449" t="inlineStr">
        <is>
          <t>VÄSTERBOTTENS LÄN</t>
        </is>
      </c>
      <c r="E8449" t="inlineStr">
        <is>
          <t>NORSJÖ</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16606-2022</t>
        </is>
      </c>
      <c r="B8450" s="1" t="n">
        <v>44672</v>
      </c>
      <c r="C8450" s="1" t="n">
        <v>46145</v>
      </c>
      <c r="D8450" t="inlineStr">
        <is>
          <t>VÄSTERBOTTENS LÄN</t>
        </is>
      </c>
      <c r="E8450" t="inlineStr">
        <is>
          <t>UMEÅ</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55326-2023</t>
        </is>
      </c>
      <c r="B8451" s="1" t="n">
        <v>45237.97364583334</v>
      </c>
      <c r="C8451" s="1" t="n">
        <v>46145</v>
      </c>
      <c r="D8451" t="inlineStr">
        <is>
          <t>VÄSTERBOTTENS LÄN</t>
        </is>
      </c>
      <c r="E8451" t="inlineStr">
        <is>
          <t>VILHELMINA</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3602-2025</t>
        </is>
      </c>
      <c r="B8452" s="1" t="n">
        <v>45681.34489583333</v>
      </c>
      <c r="C8452" s="1" t="n">
        <v>46145</v>
      </c>
      <c r="D8452" t="inlineStr">
        <is>
          <t>VÄSTERBOTTENS LÄN</t>
        </is>
      </c>
      <c r="E8452" t="inlineStr">
        <is>
          <t>SORSELE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42034-2023</t>
        </is>
      </c>
      <c r="B8453" s="1" t="n">
        <v>45177.50577546296</v>
      </c>
      <c r="C8453" s="1" t="n">
        <v>46145</v>
      </c>
      <c r="D8453" t="inlineStr">
        <is>
          <t>VÄSTERBOTTENS LÄN</t>
        </is>
      </c>
      <c r="E8453" t="inlineStr">
        <is>
          <t>NORSJÖ</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19246-2025</t>
        </is>
      </c>
      <c r="B8454" s="1" t="n">
        <v>45769.48415509259</v>
      </c>
      <c r="C8454" s="1" t="n">
        <v>46145</v>
      </c>
      <c r="D8454" t="inlineStr">
        <is>
          <t>VÄSTERBOTTENS LÄN</t>
        </is>
      </c>
      <c r="E8454" t="inlineStr">
        <is>
          <t>LYCKSELE</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52104-2023</t>
        </is>
      </c>
      <c r="B8455" s="1" t="n">
        <v>45223</v>
      </c>
      <c r="C8455" s="1" t="n">
        <v>46145</v>
      </c>
      <c r="D8455" t="inlineStr">
        <is>
          <t>VÄSTERBOTTENS LÄN</t>
        </is>
      </c>
      <c r="E8455" t="inlineStr">
        <is>
          <t>MALÅ</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52148-2023</t>
        </is>
      </c>
      <c r="B8456" s="1" t="n">
        <v>45223.9649537037</v>
      </c>
      <c r="C8456" s="1" t="n">
        <v>46145</v>
      </c>
      <c r="D8456" t="inlineStr">
        <is>
          <t>VÄSTERBOTTENS LÄN</t>
        </is>
      </c>
      <c r="E8456" t="inlineStr">
        <is>
          <t>DOROTEA</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572-2026</t>
        </is>
      </c>
      <c r="B8457" s="1" t="n">
        <v>46029.47375</v>
      </c>
      <c r="C8457" s="1" t="n">
        <v>46145</v>
      </c>
      <c r="D8457" t="inlineStr">
        <is>
          <t>VÄSTERBOTTENS LÄN</t>
        </is>
      </c>
      <c r="E8457" t="inlineStr">
        <is>
          <t>NORSJÖ</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27918-2022</t>
        </is>
      </c>
      <c r="B8458" s="1" t="n">
        <v>44743.94145833333</v>
      </c>
      <c r="C8458" s="1" t="n">
        <v>46145</v>
      </c>
      <c r="D8458" t="inlineStr">
        <is>
          <t>VÄSTERBOTTENS LÄN</t>
        </is>
      </c>
      <c r="E8458" t="inlineStr">
        <is>
          <t>VILHELMINA</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527-2026</t>
        </is>
      </c>
      <c r="B8459" s="1" t="n">
        <v>46029.44916666667</v>
      </c>
      <c r="C8459" s="1" t="n">
        <v>46145</v>
      </c>
      <c r="D8459" t="inlineStr">
        <is>
          <t>VÄSTERBOTTENS LÄN</t>
        </is>
      </c>
      <c r="E8459" t="inlineStr">
        <is>
          <t>UMEÅ</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35249-2023</t>
        </is>
      </c>
      <c r="B8460" s="1" t="n">
        <v>45145.92299768519</v>
      </c>
      <c r="C8460" s="1" t="n">
        <v>46145</v>
      </c>
      <c r="D8460" t="inlineStr">
        <is>
          <t>VÄSTERBOTTENS LÄN</t>
        </is>
      </c>
      <c r="E8460" t="inlineStr">
        <is>
          <t>BJURHOLM</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25182-2022</t>
        </is>
      </c>
      <c r="B8461" s="1" t="n">
        <v>44729.60717592593</v>
      </c>
      <c r="C8461" s="1" t="n">
        <v>46145</v>
      </c>
      <c r="D8461" t="inlineStr">
        <is>
          <t>VÄSTERBOTTENS LÄN</t>
        </is>
      </c>
      <c r="E8461" t="inlineStr">
        <is>
          <t>SKELLEFTEÅ</t>
        </is>
      </c>
      <c r="F8461" t="inlineStr">
        <is>
          <t>Holmen skog AB</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35251-2023</t>
        </is>
      </c>
      <c r="B8462" s="1" t="n">
        <v>45145.92325231482</v>
      </c>
      <c r="C8462" s="1" t="n">
        <v>46145</v>
      </c>
      <c r="D8462" t="inlineStr">
        <is>
          <t>VÄSTERBOTTENS LÄN</t>
        </is>
      </c>
      <c r="E8462" t="inlineStr">
        <is>
          <t>BJURHOLM</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35032-2023</t>
        </is>
      </c>
      <c r="B8463" s="1" t="n">
        <v>45145</v>
      </c>
      <c r="C8463" s="1" t="n">
        <v>46145</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64258-2023</t>
        </is>
      </c>
      <c r="B8464" s="1" t="n">
        <v>45279</v>
      </c>
      <c r="C8464" s="1" t="n">
        <v>46145</v>
      </c>
      <c r="D8464" t="inlineStr">
        <is>
          <t>VÄSTERBOTTENS LÄN</t>
        </is>
      </c>
      <c r="E8464" t="inlineStr">
        <is>
          <t>SKELLEFTEÅ</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54746-2023</t>
        </is>
      </c>
      <c r="B8465" s="1" t="n">
        <v>45236.4175</v>
      </c>
      <c r="C8465" s="1" t="n">
        <v>46145</v>
      </c>
      <c r="D8465" t="inlineStr">
        <is>
          <t>VÄSTERBOTTENS LÄN</t>
        </is>
      </c>
      <c r="E8465" t="inlineStr">
        <is>
          <t>ÅSELE</t>
        </is>
      </c>
      <c r="F8465" t="inlineStr">
        <is>
          <t>Sveaskog</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992-2026</t>
        </is>
      </c>
      <c r="B8466" s="1" t="n">
        <v>46030.58759259259</v>
      </c>
      <c r="C8466" s="1" t="n">
        <v>46145</v>
      </c>
      <c r="D8466" t="inlineStr">
        <is>
          <t>VÄSTERBOTTENS LÄN</t>
        </is>
      </c>
      <c r="E8466" t="inlineStr">
        <is>
          <t>BJURHOLM</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59242-2023</t>
        </is>
      </c>
      <c r="B8467" s="1" t="n">
        <v>45252</v>
      </c>
      <c r="C8467" s="1" t="n">
        <v>46145</v>
      </c>
      <c r="D8467" t="inlineStr">
        <is>
          <t>VÄSTERBOTTENS LÄN</t>
        </is>
      </c>
      <c r="E8467" t="inlineStr">
        <is>
          <t>SKELLEFTEÅ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9925-2022</t>
        </is>
      </c>
      <c r="B8468" s="1" t="n">
        <v>44620.92208333333</v>
      </c>
      <c r="C8468" s="1" t="n">
        <v>46145</v>
      </c>
      <c r="D8468" t="inlineStr">
        <is>
          <t>VÄSTERBOTTENS LÄN</t>
        </is>
      </c>
      <c r="E8468" t="inlineStr">
        <is>
          <t>SKELLEFTEÅ</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59289-2023</t>
        </is>
      </c>
      <c r="B8469" s="1" t="n">
        <v>45252</v>
      </c>
      <c r="C8469" s="1" t="n">
        <v>46145</v>
      </c>
      <c r="D8469" t="inlineStr">
        <is>
          <t>VÄSTERBOTTENS LÄN</t>
        </is>
      </c>
      <c r="E8469" t="inlineStr">
        <is>
          <t>UMEÅ</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841-2026</t>
        </is>
      </c>
      <c r="B8470" s="1" t="n">
        <v>46030</v>
      </c>
      <c r="C8470" s="1" t="n">
        <v>46145</v>
      </c>
      <c r="D8470" t="inlineStr">
        <is>
          <t>VÄSTERBOTTENS LÄN</t>
        </is>
      </c>
      <c r="E8470" t="inlineStr">
        <is>
          <t>UMEÅ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54765-2023</t>
        </is>
      </c>
      <c r="B8471" s="1" t="n">
        <v>45236.45083333334</v>
      </c>
      <c r="C8471" s="1" t="n">
        <v>46145</v>
      </c>
      <c r="D8471" t="inlineStr">
        <is>
          <t>VÄSTERBOTTENS LÄN</t>
        </is>
      </c>
      <c r="E8471" t="inlineStr">
        <is>
          <t>ÅSELE</t>
        </is>
      </c>
      <c r="F8471" t="inlineStr">
        <is>
          <t>Sveaskog</t>
        </is>
      </c>
      <c r="G8471" t="n">
        <v>18.9</v>
      </c>
      <c r="H8471" t="n">
        <v>0</v>
      </c>
      <c r="I8471" t="n">
        <v>0</v>
      </c>
      <c r="J8471" t="n">
        <v>0</v>
      </c>
      <c r="K8471" t="n">
        <v>0</v>
      </c>
      <c r="L8471" t="n">
        <v>0</v>
      </c>
      <c r="M8471" t="n">
        <v>0</v>
      </c>
      <c r="N8471" t="n">
        <v>0</v>
      </c>
      <c r="O8471" t="n">
        <v>0</v>
      </c>
      <c r="P8471" t="n">
        <v>0</v>
      </c>
      <c r="Q8471" t="n">
        <v>0</v>
      </c>
      <c r="R8471" s="2" t="inlineStr"/>
    </row>
    <row r="8472" ht="15" customHeight="1">
      <c r="A8472" t="inlineStr">
        <is>
          <t>A 42463-2023</t>
        </is>
      </c>
      <c r="B8472" s="1" t="n">
        <v>45180.67883101852</v>
      </c>
      <c r="C8472" s="1" t="n">
        <v>46145</v>
      </c>
      <c r="D8472" t="inlineStr">
        <is>
          <t>VÄSTERBOTTENS LÄN</t>
        </is>
      </c>
      <c r="E8472" t="inlineStr">
        <is>
          <t>UMEÅ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1103-2026</t>
        </is>
      </c>
      <c r="B8473" s="1" t="n">
        <v>46030.6678587963</v>
      </c>
      <c r="C8473" s="1" t="n">
        <v>46145</v>
      </c>
      <c r="D8473" t="inlineStr">
        <is>
          <t>VÄSTERBOTTENS LÄN</t>
        </is>
      </c>
      <c r="E8473" t="inlineStr">
        <is>
          <t>LYCKSELE</t>
        </is>
      </c>
      <c r="G8473" t="n">
        <v>16.3</v>
      </c>
      <c r="H8473" t="n">
        <v>0</v>
      </c>
      <c r="I8473" t="n">
        <v>0</v>
      </c>
      <c r="J8473" t="n">
        <v>0</v>
      </c>
      <c r="K8473" t="n">
        <v>0</v>
      </c>
      <c r="L8473" t="n">
        <v>0</v>
      </c>
      <c r="M8473" t="n">
        <v>0</v>
      </c>
      <c r="N8473" t="n">
        <v>0</v>
      </c>
      <c r="O8473" t="n">
        <v>0</v>
      </c>
      <c r="P8473" t="n">
        <v>0</v>
      </c>
      <c r="Q8473" t="n">
        <v>0</v>
      </c>
      <c r="R8473" s="2" t="inlineStr"/>
    </row>
    <row r="8474" ht="15" customHeight="1">
      <c r="A8474" t="inlineStr">
        <is>
          <t>A 23164-2022</t>
        </is>
      </c>
      <c r="B8474" s="1" t="n">
        <v>44719</v>
      </c>
      <c r="C8474" s="1" t="n">
        <v>46145</v>
      </c>
      <c r="D8474" t="inlineStr">
        <is>
          <t>VÄSTERBOTTENS LÄN</t>
        </is>
      </c>
      <c r="E8474" t="inlineStr">
        <is>
          <t>LYCKSELE</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6130-2025</t>
        </is>
      </c>
      <c r="B8475" s="1" t="n">
        <v>45698.36478009259</v>
      </c>
      <c r="C8475" s="1" t="n">
        <v>46145</v>
      </c>
      <c r="D8475" t="inlineStr">
        <is>
          <t>VÄSTERBOTTENS LÄN</t>
        </is>
      </c>
      <c r="E8475" t="inlineStr">
        <is>
          <t>UMEÅ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501-2026</t>
        </is>
      </c>
      <c r="B8476" s="1" t="n">
        <v>46029.43572916667</v>
      </c>
      <c r="C8476" s="1" t="n">
        <v>46145</v>
      </c>
      <c r="D8476" t="inlineStr">
        <is>
          <t>VÄSTERBOTTENS LÄN</t>
        </is>
      </c>
      <c r="E8476" t="inlineStr">
        <is>
          <t>NORDMALING</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31942-2022</t>
        </is>
      </c>
      <c r="B8477" s="1" t="n">
        <v>44777</v>
      </c>
      <c r="C8477" s="1" t="n">
        <v>46145</v>
      </c>
      <c r="D8477" t="inlineStr">
        <is>
          <t>VÄSTERBOTTENS LÄN</t>
        </is>
      </c>
      <c r="E8477" t="inlineStr">
        <is>
          <t>VINDELN</t>
        </is>
      </c>
      <c r="F8477" t="inlineStr">
        <is>
          <t>Naturvårdsverket</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526-2026</t>
        </is>
      </c>
      <c r="B8478" s="1" t="n">
        <v>46029.44914351852</v>
      </c>
      <c r="C8478" s="1" t="n">
        <v>46145</v>
      </c>
      <c r="D8478" t="inlineStr">
        <is>
          <t>VÄSTERBOTTENS LÄN</t>
        </is>
      </c>
      <c r="E8478" t="inlineStr">
        <is>
          <t>UMEÅ</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19452-2022</t>
        </is>
      </c>
      <c r="B8479" s="1" t="n">
        <v>44693</v>
      </c>
      <c r="C8479" s="1" t="n">
        <v>46145</v>
      </c>
      <c r="D8479" t="inlineStr">
        <is>
          <t>VÄSTERBOTTENS LÄN</t>
        </is>
      </c>
      <c r="E8479" t="inlineStr">
        <is>
          <t>VINDELN</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21395-2022</t>
        </is>
      </c>
      <c r="B8480" s="1" t="n">
        <v>44705.92563657407</v>
      </c>
      <c r="C8480" s="1" t="n">
        <v>46145</v>
      </c>
      <c r="D8480" t="inlineStr">
        <is>
          <t>VÄSTERBOTTENS LÄN</t>
        </is>
      </c>
      <c r="E8480" t="inlineStr">
        <is>
          <t>SKELLEFTEÅ</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667-2026</t>
        </is>
      </c>
      <c r="B8481" s="1" t="n">
        <v>46029.58945601852</v>
      </c>
      <c r="C8481" s="1" t="n">
        <v>46145</v>
      </c>
      <c r="D8481" t="inlineStr">
        <is>
          <t>VÄSTERBOTTENS LÄN</t>
        </is>
      </c>
      <c r="E8481" t="inlineStr">
        <is>
          <t>UMEÅ</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671-2026</t>
        </is>
      </c>
      <c r="B8482" s="1" t="n">
        <v>46029.59167824074</v>
      </c>
      <c r="C8482" s="1" t="n">
        <v>46145</v>
      </c>
      <c r="D8482" t="inlineStr">
        <is>
          <t>VÄSTERBOTTENS LÄN</t>
        </is>
      </c>
      <c r="E8482" t="inlineStr">
        <is>
          <t>NORSJÖ</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739-2026</t>
        </is>
      </c>
      <c r="B8483" s="1" t="n">
        <v>46029.65706018519</v>
      </c>
      <c r="C8483" s="1" t="n">
        <v>46145</v>
      </c>
      <c r="D8483" t="inlineStr">
        <is>
          <t>VÄSTERBOTTENS LÄN</t>
        </is>
      </c>
      <c r="E8483" t="inlineStr">
        <is>
          <t>VINDELN</t>
        </is>
      </c>
      <c r="G8483" t="n">
        <v>17.6</v>
      </c>
      <c r="H8483" t="n">
        <v>0</v>
      </c>
      <c r="I8483" t="n">
        <v>0</v>
      </c>
      <c r="J8483" t="n">
        <v>0</v>
      </c>
      <c r="K8483" t="n">
        <v>0</v>
      </c>
      <c r="L8483" t="n">
        <v>0</v>
      </c>
      <c r="M8483" t="n">
        <v>0</v>
      </c>
      <c r="N8483" t="n">
        <v>0</v>
      </c>
      <c r="O8483" t="n">
        <v>0</v>
      </c>
      <c r="P8483" t="n">
        <v>0</v>
      </c>
      <c r="Q8483" t="n">
        <v>0</v>
      </c>
      <c r="R8483" s="2" t="inlineStr"/>
    </row>
    <row r="8484" ht="15" customHeight="1">
      <c r="A8484" t="inlineStr">
        <is>
          <t>A 466-2026</t>
        </is>
      </c>
      <c r="B8484" s="1" t="n">
        <v>46029.38585648148</v>
      </c>
      <c r="C8484" s="1" t="n">
        <v>46145</v>
      </c>
      <c r="D8484" t="inlineStr">
        <is>
          <t>VÄSTERBOTTENS LÄN</t>
        </is>
      </c>
      <c r="E8484" t="inlineStr">
        <is>
          <t>NORSJÖ</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48547-2023</t>
        </is>
      </c>
      <c r="B8485" s="1" t="n">
        <v>45202</v>
      </c>
      <c r="C8485" s="1" t="n">
        <v>46145</v>
      </c>
      <c r="D8485" t="inlineStr">
        <is>
          <t>VÄSTERBOTTENS LÄN</t>
        </is>
      </c>
      <c r="E8485" t="inlineStr">
        <is>
          <t>ROBERTSFORS</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48549-2023</t>
        </is>
      </c>
      <c r="B8486" s="1" t="n">
        <v>45208</v>
      </c>
      <c r="C8486" s="1" t="n">
        <v>46145</v>
      </c>
      <c r="D8486" t="inlineStr">
        <is>
          <t>VÄSTERBOTTENS LÄN</t>
        </is>
      </c>
      <c r="E8486" t="inlineStr">
        <is>
          <t>NORSJÖ</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511-2026</t>
        </is>
      </c>
      <c r="B8487" s="1" t="n">
        <v>46029.44138888889</v>
      </c>
      <c r="C8487" s="1" t="n">
        <v>46145</v>
      </c>
      <c r="D8487" t="inlineStr">
        <is>
          <t>VÄSTERBOTTENS LÄN</t>
        </is>
      </c>
      <c r="E8487" t="inlineStr">
        <is>
          <t>NORDMALING</t>
        </is>
      </c>
      <c r="G8487" t="n">
        <v>8.9</v>
      </c>
      <c r="H8487" t="n">
        <v>0</v>
      </c>
      <c r="I8487" t="n">
        <v>0</v>
      </c>
      <c r="J8487" t="n">
        <v>0</v>
      </c>
      <c r="K8487" t="n">
        <v>0</v>
      </c>
      <c r="L8487" t="n">
        <v>0</v>
      </c>
      <c r="M8487" t="n">
        <v>0</v>
      </c>
      <c r="N8487" t="n">
        <v>0</v>
      </c>
      <c r="O8487" t="n">
        <v>0</v>
      </c>
      <c r="P8487" t="n">
        <v>0</v>
      </c>
      <c r="Q8487" t="n">
        <v>0</v>
      </c>
      <c r="R8487" s="2" t="inlineStr"/>
    </row>
    <row r="8488" ht="15" customHeight="1">
      <c r="A8488" t="inlineStr">
        <is>
          <t>A 524-2026</t>
        </is>
      </c>
      <c r="B8488" s="1" t="n">
        <v>46029.44908564815</v>
      </c>
      <c r="C8488" s="1" t="n">
        <v>46145</v>
      </c>
      <c r="D8488" t="inlineStr">
        <is>
          <t>VÄSTERBOTTENS LÄN</t>
        </is>
      </c>
      <c r="E8488" t="inlineStr">
        <is>
          <t>UMEÅ</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39791-2023</t>
        </is>
      </c>
      <c r="B8489" s="1" t="n">
        <v>45167</v>
      </c>
      <c r="C8489" s="1" t="n">
        <v>46145</v>
      </c>
      <c r="D8489" t="inlineStr">
        <is>
          <t>VÄSTERBOTTENS LÄN</t>
        </is>
      </c>
      <c r="E8489" t="inlineStr">
        <is>
          <t>MALÅ</t>
        </is>
      </c>
      <c r="G8489" t="n">
        <v>10</v>
      </c>
      <c r="H8489" t="n">
        <v>0</v>
      </c>
      <c r="I8489" t="n">
        <v>0</v>
      </c>
      <c r="J8489" t="n">
        <v>0</v>
      </c>
      <c r="K8489" t="n">
        <v>0</v>
      </c>
      <c r="L8489" t="n">
        <v>0</v>
      </c>
      <c r="M8489" t="n">
        <v>0</v>
      </c>
      <c r="N8489" t="n">
        <v>0</v>
      </c>
      <c r="O8489" t="n">
        <v>0</v>
      </c>
      <c r="P8489" t="n">
        <v>0</v>
      </c>
      <c r="Q8489" t="n">
        <v>0</v>
      </c>
      <c r="R8489" s="2" t="inlineStr"/>
    </row>
    <row r="8490" ht="15" customHeight="1">
      <c r="A8490" t="inlineStr">
        <is>
          <t>A 53002-2023</t>
        </is>
      </c>
      <c r="B8490" s="1" t="n">
        <v>45226.64099537037</v>
      </c>
      <c r="C8490" s="1" t="n">
        <v>46145</v>
      </c>
      <c r="D8490" t="inlineStr">
        <is>
          <t>VÄSTERBOTTENS LÄN</t>
        </is>
      </c>
      <c r="E8490" t="inlineStr">
        <is>
          <t>VINDELN</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39304-2023</t>
        </is>
      </c>
      <c r="B8491" s="1" t="n">
        <v>45166</v>
      </c>
      <c r="C8491" s="1" t="n">
        <v>46145</v>
      </c>
      <c r="D8491" t="inlineStr">
        <is>
          <t>VÄSTERBOTTENS LÄN</t>
        </is>
      </c>
      <c r="E8491" t="inlineStr">
        <is>
          <t>MALÅ</t>
        </is>
      </c>
      <c r="F8491" t="inlineStr">
        <is>
          <t>Kyrkan</t>
        </is>
      </c>
      <c r="G8491" t="n">
        <v>27.3</v>
      </c>
      <c r="H8491" t="n">
        <v>0</v>
      </c>
      <c r="I8491" t="n">
        <v>0</v>
      </c>
      <c r="J8491" t="n">
        <v>0</v>
      </c>
      <c r="K8491" t="n">
        <v>0</v>
      </c>
      <c r="L8491" t="n">
        <v>0</v>
      </c>
      <c r="M8491" t="n">
        <v>0</v>
      </c>
      <c r="N8491" t="n">
        <v>0</v>
      </c>
      <c r="O8491" t="n">
        <v>0</v>
      </c>
      <c r="P8491" t="n">
        <v>0</v>
      </c>
      <c r="Q8491" t="n">
        <v>0</v>
      </c>
      <c r="R8491" s="2" t="inlineStr"/>
    </row>
    <row r="8492" ht="15" customHeight="1">
      <c r="A8492" t="inlineStr">
        <is>
          <t>A 39320-2023</t>
        </is>
      </c>
      <c r="B8492" s="1" t="n">
        <v>45166</v>
      </c>
      <c r="C8492" s="1" t="n">
        <v>46145</v>
      </c>
      <c r="D8492" t="inlineStr">
        <is>
          <t>VÄSTERBOTTENS LÄN</t>
        </is>
      </c>
      <c r="E8492" t="inlineStr">
        <is>
          <t>MALÅ</t>
        </is>
      </c>
      <c r="F8492" t="inlineStr">
        <is>
          <t>Kyrkan</t>
        </is>
      </c>
      <c r="G8492" t="n">
        <v>84.5</v>
      </c>
      <c r="H8492" t="n">
        <v>0</v>
      </c>
      <c r="I8492" t="n">
        <v>0</v>
      </c>
      <c r="J8492" t="n">
        <v>0</v>
      </c>
      <c r="K8492" t="n">
        <v>0</v>
      </c>
      <c r="L8492" t="n">
        <v>0</v>
      </c>
      <c r="M8492" t="n">
        <v>0</v>
      </c>
      <c r="N8492" t="n">
        <v>0</v>
      </c>
      <c r="O8492" t="n">
        <v>0</v>
      </c>
      <c r="P8492" t="n">
        <v>0</v>
      </c>
      <c r="Q8492" t="n">
        <v>0</v>
      </c>
      <c r="R8492" s="2" t="inlineStr"/>
    </row>
    <row r="8493" ht="15" customHeight="1">
      <c r="A8493" t="inlineStr">
        <is>
          <t>A 3497-2025</t>
        </is>
      </c>
      <c r="B8493" s="1" t="n">
        <v>45680.56597222222</v>
      </c>
      <c r="C8493" s="1" t="n">
        <v>46145</v>
      </c>
      <c r="D8493" t="inlineStr">
        <is>
          <t>VÄSTERBOTTENS LÄN</t>
        </is>
      </c>
      <c r="E8493" t="inlineStr">
        <is>
          <t>BJURHOLM</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56801-2023</t>
        </is>
      </c>
      <c r="B8494" s="1" t="n">
        <v>45244.43186342593</v>
      </c>
      <c r="C8494" s="1" t="n">
        <v>46145</v>
      </c>
      <c r="D8494" t="inlineStr">
        <is>
          <t>VÄSTERBOTTENS LÄN</t>
        </is>
      </c>
      <c r="E8494" t="inlineStr">
        <is>
          <t>NORDMALING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1085-2026</t>
        </is>
      </c>
      <c r="B8495" s="1" t="n">
        <v>46030.65726851852</v>
      </c>
      <c r="C8495" s="1" t="n">
        <v>46145</v>
      </c>
      <c r="D8495" t="inlineStr">
        <is>
          <t>VÄSTERBOTTENS LÄN</t>
        </is>
      </c>
      <c r="E8495" t="inlineStr">
        <is>
          <t>LYCKSELE</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30953-2023</t>
        </is>
      </c>
      <c r="B8496" s="1" t="n">
        <v>45113.46905092592</v>
      </c>
      <c r="C8496" s="1" t="n">
        <v>46145</v>
      </c>
      <c r="D8496" t="inlineStr">
        <is>
          <t>VÄSTERBOTTENS LÄN</t>
        </is>
      </c>
      <c r="E8496" t="inlineStr">
        <is>
          <t>SKELLEFTEÅ</t>
        </is>
      </c>
      <c r="F8496" t="inlineStr">
        <is>
          <t>Holmen skog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553-2026</t>
        </is>
      </c>
      <c r="B8497" s="1" t="n">
        <v>46029.46365740741</v>
      </c>
      <c r="C8497" s="1" t="n">
        <v>46145</v>
      </c>
      <c r="D8497" t="inlineStr">
        <is>
          <t>VÄSTERBOTTENS LÄN</t>
        </is>
      </c>
      <c r="E8497" t="inlineStr">
        <is>
          <t>NORSJÖ</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49573-2023</t>
        </is>
      </c>
      <c r="B8498" s="1" t="n">
        <v>45205</v>
      </c>
      <c r="C8498" s="1" t="n">
        <v>46145</v>
      </c>
      <c r="D8498" t="inlineStr">
        <is>
          <t>VÄSTERBOTTENS LÄN</t>
        </is>
      </c>
      <c r="E8498" t="inlineStr">
        <is>
          <t>SKELLEFTEÅ</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617-2026</t>
        </is>
      </c>
      <c r="B8499" s="1" t="n">
        <v>46029.54206018519</v>
      </c>
      <c r="C8499" s="1" t="n">
        <v>46145</v>
      </c>
      <c r="D8499" t="inlineStr">
        <is>
          <t>VÄSTERBOTTENS LÄN</t>
        </is>
      </c>
      <c r="E8499" t="inlineStr">
        <is>
          <t>SKELLEFTEÅ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29152-2023</t>
        </is>
      </c>
      <c r="B8500" s="1" t="n">
        <v>45105</v>
      </c>
      <c r="C8500" s="1" t="n">
        <v>46145</v>
      </c>
      <c r="D8500" t="inlineStr">
        <is>
          <t>VÄSTERBOTTENS LÄN</t>
        </is>
      </c>
      <c r="E8500" t="inlineStr">
        <is>
          <t>SKELLEFTEÅ</t>
        </is>
      </c>
      <c r="F8500" t="inlineStr">
        <is>
          <t>Holmen skog AB</t>
        </is>
      </c>
      <c r="G8500" t="n">
        <v>18.5</v>
      </c>
      <c r="H8500" t="n">
        <v>0</v>
      </c>
      <c r="I8500" t="n">
        <v>0</v>
      </c>
      <c r="J8500" t="n">
        <v>0</v>
      </c>
      <c r="K8500" t="n">
        <v>0</v>
      </c>
      <c r="L8500" t="n">
        <v>0</v>
      </c>
      <c r="M8500" t="n">
        <v>0</v>
      </c>
      <c r="N8500" t="n">
        <v>0</v>
      </c>
      <c r="O8500" t="n">
        <v>0</v>
      </c>
      <c r="P8500" t="n">
        <v>0</v>
      </c>
      <c r="Q8500" t="n">
        <v>0</v>
      </c>
      <c r="R8500" s="2" t="inlineStr"/>
    </row>
    <row r="8501" ht="15" customHeight="1">
      <c r="A8501" t="inlineStr">
        <is>
          <t>A 43768-2023</t>
        </is>
      </c>
      <c r="B8501" s="1" t="n">
        <v>45187.50721064815</v>
      </c>
      <c r="C8501" s="1" t="n">
        <v>46145</v>
      </c>
      <c r="D8501" t="inlineStr">
        <is>
          <t>VÄSTERBOTTENS LÄN</t>
        </is>
      </c>
      <c r="E8501" t="inlineStr">
        <is>
          <t>ÅSELE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44295-2023</t>
        </is>
      </c>
      <c r="B8502" s="1" t="n">
        <v>45188.64064814815</v>
      </c>
      <c r="C8502" s="1" t="n">
        <v>46145</v>
      </c>
      <c r="D8502" t="inlineStr">
        <is>
          <t>VÄSTERBOTTENS LÄN</t>
        </is>
      </c>
      <c r="E8502" t="inlineStr">
        <is>
          <t>VÄNNÄS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44310-2023</t>
        </is>
      </c>
      <c r="B8503" s="1" t="n">
        <v>45187</v>
      </c>
      <c r="C8503" s="1" t="n">
        <v>46145</v>
      </c>
      <c r="D8503" t="inlineStr">
        <is>
          <t>VÄSTERBOTTENS LÄN</t>
        </is>
      </c>
      <c r="E8503" t="inlineStr">
        <is>
          <t>NORSJÖ</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1633-2026</t>
        </is>
      </c>
      <c r="B8504" s="1" t="n">
        <v>46034.49119212963</v>
      </c>
      <c r="C8504" s="1" t="n">
        <v>46145</v>
      </c>
      <c r="D8504" t="inlineStr">
        <is>
          <t>VÄSTERBOTTENS LÄN</t>
        </is>
      </c>
      <c r="E8504" t="inlineStr">
        <is>
          <t>VÄNNÄS</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7256-2025</t>
        </is>
      </c>
      <c r="B8505" s="1" t="n">
        <v>45702</v>
      </c>
      <c r="C8505" s="1" t="n">
        <v>46145</v>
      </c>
      <c r="D8505" t="inlineStr">
        <is>
          <t>VÄSTERBOTTENS LÄN</t>
        </is>
      </c>
      <c r="E8505" t="inlineStr">
        <is>
          <t>SORSELE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1207-2026</t>
        </is>
      </c>
      <c r="B8506" s="1" t="n">
        <v>46031</v>
      </c>
      <c r="C8506" s="1" t="n">
        <v>46145</v>
      </c>
      <c r="D8506" t="inlineStr">
        <is>
          <t>VÄSTERBOTTENS LÄN</t>
        </is>
      </c>
      <c r="E8506" t="inlineStr">
        <is>
          <t>MALÅ</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23336-2022</t>
        </is>
      </c>
      <c r="B8507" s="1" t="n">
        <v>44719</v>
      </c>
      <c r="C8507" s="1" t="n">
        <v>46145</v>
      </c>
      <c r="D8507" t="inlineStr">
        <is>
          <t>VÄSTERBOTTENS LÄN</t>
        </is>
      </c>
      <c r="E8507" t="inlineStr">
        <is>
          <t>SORSELE</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41411-2023</t>
        </is>
      </c>
      <c r="B8508" s="1" t="n">
        <v>45174.93942129629</v>
      </c>
      <c r="C8508" s="1" t="n">
        <v>46145</v>
      </c>
      <c r="D8508" t="inlineStr">
        <is>
          <t>VÄSTERBOTTENS LÄN</t>
        </is>
      </c>
      <c r="E8508" t="inlineStr">
        <is>
          <t>ÅSELE</t>
        </is>
      </c>
      <c r="F8508" t="inlineStr">
        <is>
          <t>SCA</t>
        </is>
      </c>
      <c r="G8508" t="n">
        <v>12.7</v>
      </c>
      <c r="H8508" t="n">
        <v>0</v>
      </c>
      <c r="I8508" t="n">
        <v>0</v>
      </c>
      <c r="J8508" t="n">
        <v>0</v>
      </c>
      <c r="K8508" t="n">
        <v>0</v>
      </c>
      <c r="L8508" t="n">
        <v>0</v>
      </c>
      <c r="M8508" t="n">
        <v>0</v>
      </c>
      <c r="N8508" t="n">
        <v>0</v>
      </c>
      <c r="O8508" t="n">
        <v>0</v>
      </c>
      <c r="P8508" t="n">
        <v>0</v>
      </c>
      <c r="Q8508" t="n">
        <v>0</v>
      </c>
      <c r="R8508" s="2" t="inlineStr"/>
    </row>
    <row r="8509" ht="15" customHeight="1">
      <c r="A8509" t="inlineStr">
        <is>
          <t>A 31402-2022</t>
        </is>
      </c>
      <c r="B8509" s="1" t="n">
        <v>44774</v>
      </c>
      <c r="C8509" s="1" t="n">
        <v>46145</v>
      </c>
      <c r="D8509" t="inlineStr">
        <is>
          <t>VÄSTERBOTTENS LÄN</t>
        </is>
      </c>
      <c r="E8509" t="inlineStr">
        <is>
          <t>ÅSELE</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44274-2023</t>
        </is>
      </c>
      <c r="B8510" s="1" t="n">
        <v>45188.61318287037</v>
      </c>
      <c r="C8510" s="1" t="n">
        <v>46145</v>
      </c>
      <c r="D8510" t="inlineStr">
        <is>
          <t>VÄSTERBOTTENS LÄN</t>
        </is>
      </c>
      <c r="E8510" t="inlineStr">
        <is>
          <t>BJURHOLM</t>
        </is>
      </c>
      <c r="F8510" t="inlineStr">
        <is>
          <t>Holmen skog AB</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3562-2025</t>
        </is>
      </c>
      <c r="B8511" s="1" t="n">
        <v>45680</v>
      </c>
      <c r="C8511" s="1" t="n">
        <v>46145</v>
      </c>
      <c r="D8511" t="inlineStr">
        <is>
          <t>VÄSTERBOTTENS LÄN</t>
        </is>
      </c>
      <c r="E8511" t="inlineStr">
        <is>
          <t>DOROTEA</t>
        </is>
      </c>
      <c r="F8511" t="inlineStr">
        <is>
          <t>SCA</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2086-2026</t>
        </is>
      </c>
      <c r="B8512" s="1" t="n">
        <v>46034</v>
      </c>
      <c r="C8512" s="1" t="n">
        <v>46145</v>
      </c>
      <c r="D8512" t="inlineStr">
        <is>
          <t>VÄSTERBOTTENS LÄN</t>
        </is>
      </c>
      <c r="E8512" t="inlineStr">
        <is>
          <t>VILHELMINA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20836-2022</t>
        </is>
      </c>
      <c r="B8513" s="1" t="n">
        <v>44701</v>
      </c>
      <c r="C8513" s="1" t="n">
        <v>46145</v>
      </c>
      <c r="D8513" t="inlineStr">
        <is>
          <t>VÄSTERBOTTENS LÄN</t>
        </is>
      </c>
      <c r="E8513" t="inlineStr">
        <is>
          <t>BJURHOLM</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1614-2026</t>
        </is>
      </c>
      <c r="B8514" s="1" t="n">
        <v>46034.46947916667</v>
      </c>
      <c r="C8514" s="1" t="n">
        <v>46145</v>
      </c>
      <c r="D8514" t="inlineStr">
        <is>
          <t>VÄSTERBOTTENS LÄN</t>
        </is>
      </c>
      <c r="E8514" t="inlineStr">
        <is>
          <t>VÄNNÄS</t>
        </is>
      </c>
      <c r="G8514" t="n">
        <v>9.1</v>
      </c>
      <c r="H8514" t="n">
        <v>0</v>
      </c>
      <c r="I8514" t="n">
        <v>0</v>
      </c>
      <c r="J8514" t="n">
        <v>0</v>
      </c>
      <c r="K8514" t="n">
        <v>0</v>
      </c>
      <c r="L8514" t="n">
        <v>0</v>
      </c>
      <c r="M8514" t="n">
        <v>0</v>
      </c>
      <c r="N8514" t="n">
        <v>0</v>
      </c>
      <c r="O8514" t="n">
        <v>0</v>
      </c>
      <c r="P8514" t="n">
        <v>0</v>
      </c>
      <c r="Q8514" t="n">
        <v>0</v>
      </c>
      <c r="R8514" s="2" t="inlineStr"/>
    </row>
    <row r="8515" ht="15" customHeight="1">
      <c r="A8515" t="inlineStr">
        <is>
          <t>A 1246-2026</t>
        </is>
      </c>
      <c r="B8515" s="1" t="n">
        <v>46031</v>
      </c>
      <c r="C8515" s="1" t="n">
        <v>46145</v>
      </c>
      <c r="D8515" t="inlineStr">
        <is>
          <t>VÄSTERBOTTENS LÄN</t>
        </is>
      </c>
      <c r="E8515" t="inlineStr">
        <is>
          <t>MALÅ</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1166-2026</t>
        </is>
      </c>
      <c r="B8516" s="1" t="n">
        <v>46031.3431712963</v>
      </c>
      <c r="C8516" s="1" t="n">
        <v>46145</v>
      </c>
      <c r="D8516" t="inlineStr">
        <is>
          <t>VÄSTERBOTTENS LÄN</t>
        </is>
      </c>
      <c r="E8516" t="inlineStr">
        <is>
          <t>NORSJÖ</t>
        </is>
      </c>
      <c r="F8516" t="inlineStr">
        <is>
          <t>Holmen skog AB</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50308-2025</t>
        </is>
      </c>
      <c r="B8517" s="1" t="n">
        <v>45944</v>
      </c>
      <c r="C8517" s="1" t="n">
        <v>46145</v>
      </c>
      <c r="D8517" t="inlineStr">
        <is>
          <t>VÄSTERBOTTENS LÄN</t>
        </is>
      </c>
      <c r="E8517" t="inlineStr">
        <is>
          <t>ÅSELE</t>
        </is>
      </c>
      <c r="F8517" t="inlineStr">
        <is>
          <t>Holmen skog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38999-2023</t>
        </is>
      </c>
      <c r="B8518" s="1" t="n">
        <v>45162</v>
      </c>
      <c r="C8518" s="1" t="n">
        <v>46145</v>
      </c>
      <c r="D8518" t="inlineStr">
        <is>
          <t>VÄSTERBOTTENS LÄN</t>
        </is>
      </c>
      <c r="E8518" t="inlineStr">
        <is>
          <t>MALÅ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39816-2023</t>
        </is>
      </c>
      <c r="B8519" s="1" t="n">
        <v>45167.95972222222</v>
      </c>
      <c r="C8519" s="1" t="n">
        <v>46145</v>
      </c>
      <c r="D8519" t="inlineStr">
        <is>
          <t>VÄSTERBOTTENS LÄN</t>
        </is>
      </c>
      <c r="E8519" t="inlineStr">
        <is>
          <t>NORDMALING</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18639-2022</t>
        </is>
      </c>
      <c r="B8520" s="1" t="n">
        <v>44687</v>
      </c>
      <c r="C8520" s="1" t="n">
        <v>46145</v>
      </c>
      <c r="D8520" t="inlineStr">
        <is>
          <t>VÄSTERBOTTENS LÄN</t>
        </is>
      </c>
      <c r="E8520" t="inlineStr">
        <is>
          <t>NORDMALING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58833-2023</t>
        </is>
      </c>
      <c r="B8521" s="1" t="n">
        <v>45248</v>
      </c>
      <c r="C8521" s="1" t="n">
        <v>46145</v>
      </c>
      <c r="D8521" t="inlineStr">
        <is>
          <t>VÄSTERBOTTENS LÄN</t>
        </is>
      </c>
      <c r="E8521" t="inlineStr">
        <is>
          <t>VILHELMINA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1751-2026</t>
        </is>
      </c>
      <c r="B8522" s="1" t="n">
        <v>46034.65690972222</v>
      </c>
      <c r="C8522" s="1" t="n">
        <v>46145</v>
      </c>
      <c r="D8522" t="inlineStr">
        <is>
          <t>VÄSTERBOTTENS LÄN</t>
        </is>
      </c>
      <c r="E8522" t="inlineStr">
        <is>
          <t>LYCKSELE</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1142-2026</t>
        </is>
      </c>
      <c r="B8523" s="1" t="n">
        <v>46030.84501157407</v>
      </c>
      <c r="C8523" s="1" t="n">
        <v>46145</v>
      </c>
      <c r="D8523" t="inlineStr">
        <is>
          <t>VÄSTERBOTTENS LÄN</t>
        </is>
      </c>
      <c r="E8523" t="inlineStr">
        <is>
          <t>UMEÅ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58752-2023</t>
        </is>
      </c>
      <c r="B8524" s="1" t="n">
        <v>45251.92969907408</v>
      </c>
      <c r="C8524" s="1" t="n">
        <v>46145</v>
      </c>
      <c r="D8524" t="inlineStr">
        <is>
          <t>VÄSTERBOTTENS LÄN</t>
        </is>
      </c>
      <c r="E8524" t="inlineStr">
        <is>
          <t>SKELLEFTEÅ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1258-2026</t>
        </is>
      </c>
      <c r="B8525" s="1" t="n">
        <v>46031</v>
      </c>
      <c r="C8525" s="1" t="n">
        <v>46145</v>
      </c>
      <c r="D8525" t="inlineStr">
        <is>
          <t>VÄSTERBOTTENS LÄN</t>
        </is>
      </c>
      <c r="E8525" t="inlineStr">
        <is>
          <t>VINDELN</t>
        </is>
      </c>
      <c r="F8525" t="inlineStr">
        <is>
          <t>SCA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1267-2026</t>
        </is>
      </c>
      <c r="B8526" s="1" t="n">
        <v>46031</v>
      </c>
      <c r="C8526" s="1" t="n">
        <v>46145</v>
      </c>
      <c r="D8526" t="inlineStr">
        <is>
          <t>VÄSTERBOTTENS LÄN</t>
        </is>
      </c>
      <c r="E8526" t="inlineStr">
        <is>
          <t>VINDELN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58755-2023</t>
        </is>
      </c>
      <c r="B8527" s="1" t="n">
        <v>45251</v>
      </c>
      <c r="C8527" s="1" t="n">
        <v>46145</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39945-2023</t>
        </is>
      </c>
      <c r="B8528" s="1" t="n">
        <v>45168</v>
      </c>
      <c r="C8528" s="1" t="n">
        <v>46145</v>
      </c>
      <c r="D8528" t="inlineStr">
        <is>
          <t>VÄSTERBOTTENS LÄN</t>
        </is>
      </c>
      <c r="E8528" t="inlineStr">
        <is>
          <t>UMEÅ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1698-2026</t>
        </is>
      </c>
      <c r="B8529" s="1" t="n">
        <v>46034.59423611111</v>
      </c>
      <c r="C8529" s="1" t="n">
        <v>46145</v>
      </c>
      <c r="D8529" t="inlineStr">
        <is>
          <t>VÄSTERBOTTENS LÄN</t>
        </is>
      </c>
      <c r="E8529" t="inlineStr">
        <is>
          <t>SORSELE</t>
        </is>
      </c>
      <c r="G8529" t="n">
        <v>15.4</v>
      </c>
      <c r="H8529" t="n">
        <v>0</v>
      </c>
      <c r="I8529" t="n">
        <v>0</v>
      </c>
      <c r="J8529" t="n">
        <v>0</v>
      </c>
      <c r="K8529" t="n">
        <v>0</v>
      </c>
      <c r="L8529" t="n">
        <v>0</v>
      </c>
      <c r="M8529" t="n">
        <v>0</v>
      </c>
      <c r="N8529" t="n">
        <v>0</v>
      </c>
      <c r="O8529" t="n">
        <v>0</v>
      </c>
      <c r="P8529" t="n">
        <v>0</v>
      </c>
      <c r="Q8529" t="n">
        <v>0</v>
      </c>
      <c r="R8529" s="2" t="inlineStr"/>
    </row>
    <row r="8530" ht="15" customHeight="1">
      <c r="A8530" t="inlineStr">
        <is>
          <t>A 1392-2026</t>
        </is>
      </c>
      <c r="B8530" s="1" t="n">
        <v>46031.63582175926</v>
      </c>
      <c r="C8530" s="1" t="n">
        <v>46145</v>
      </c>
      <c r="D8530" t="inlineStr">
        <is>
          <t>VÄSTERBOTTENS LÄN</t>
        </is>
      </c>
      <c r="E8530" t="inlineStr">
        <is>
          <t>NORSJÖ</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1700-2026</t>
        </is>
      </c>
      <c r="B8531" s="1" t="n">
        <v>46034.5943287037</v>
      </c>
      <c r="C8531" s="1" t="n">
        <v>46145</v>
      </c>
      <c r="D8531" t="inlineStr">
        <is>
          <t>VÄSTERBOTTENS LÄN</t>
        </is>
      </c>
      <c r="E8531" t="inlineStr">
        <is>
          <t>SORSELE</t>
        </is>
      </c>
      <c r="G8531" t="n">
        <v>29.6</v>
      </c>
      <c r="H8531" t="n">
        <v>0</v>
      </c>
      <c r="I8531" t="n">
        <v>0</v>
      </c>
      <c r="J8531" t="n">
        <v>0</v>
      </c>
      <c r="K8531" t="n">
        <v>0</v>
      </c>
      <c r="L8531" t="n">
        <v>0</v>
      </c>
      <c r="M8531" t="n">
        <v>0</v>
      </c>
      <c r="N8531" t="n">
        <v>0</v>
      </c>
      <c r="O8531" t="n">
        <v>0</v>
      </c>
      <c r="P8531" t="n">
        <v>0</v>
      </c>
      <c r="Q8531" t="n">
        <v>0</v>
      </c>
      <c r="R8531" s="2" t="inlineStr"/>
    </row>
    <row r="8532" ht="15" customHeight="1">
      <c r="A8532" t="inlineStr">
        <is>
          <t>A 1731-2026</t>
        </is>
      </c>
      <c r="B8532" s="1" t="n">
        <v>46034.63575231482</v>
      </c>
      <c r="C8532" s="1" t="n">
        <v>46145</v>
      </c>
      <c r="D8532" t="inlineStr">
        <is>
          <t>VÄSTERBOTTENS LÄN</t>
        </is>
      </c>
      <c r="E8532" t="inlineStr">
        <is>
          <t>SORSELE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1699-2026</t>
        </is>
      </c>
      <c r="B8533" s="1" t="n">
        <v>46034.59425925926</v>
      </c>
      <c r="C8533" s="1" t="n">
        <v>46145</v>
      </c>
      <c r="D8533" t="inlineStr">
        <is>
          <t>VÄSTERBOTTENS LÄN</t>
        </is>
      </c>
      <c r="E8533" t="inlineStr">
        <is>
          <t>SORSELE</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60035-2023</t>
        </is>
      </c>
      <c r="B8534" s="1" t="n">
        <v>45254</v>
      </c>
      <c r="C8534" s="1" t="n">
        <v>46145</v>
      </c>
      <c r="D8534" t="inlineStr">
        <is>
          <t>VÄSTERBOTTENS LÄN</t>
        </is>
      </c>
      <c r="E8534" t="inlineStr">
        <is>
          <t>VILHELMINA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1763-2026</t>
        </is>
      </c>
      <c r="B8535" s="1" t="n">
        <v>46034.6775</v>
      </c>
      <c r="C8535" s="1" t="n">
        <v>46145</v>
      </c>
      <c r="D8535" t="inlineStr">
        <is>
          <t>VÄSTERBOTTENS LÄN</t>
        </is>
      </c>
      <c r="E8535" t="inlineStr">
        <is>
          <t>SKELLEFTEÅ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1769-2026</t>
        </is>
      </c>
      <c r="B8536" s="1" t="n">
        <v>46034.69822916666</v>
      </c>
      <c r="C8536" s="1" t="n">
        <v>46145</v>
      </c>
      <c r="D8536" t="inlineStr">
        <is>
          <t>VÄSTERBOTTENS LÄN</t>
        </is>
      </c>
      <c r="E8536" t="inlineStr">
        <is>
          <t>STORUMAN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9550-2025</t>
        </is>
      </c>
      <c r="B8537" s="1" t="n">
        <v>45715.59436342592</v>
      </c>
      <c r="C8537" s="1" t="n">
        <v>46145</v>
      </c>
      <c r="D8537" t="inlineStr">
        <is>
          <t>VÄSTERBOTTENS LÄN</t>
        </is>
      </c>
      <c r="E8537" t="inlineStr">
        <is>
          <t>LYCKSELE</t>
        </is>
      </c>
      <c r="F8537" t="inlineStr">
        <is>
          <t>SCA</t>
        </is>
      </c>
      <c r="G8537" t="n">
        <v>20.6</v>
      </c>
      <c r="H8537" t="n">
        <v>0</v>
      </c>
      <c r="I8537" t="n">
        <v>0</v>
      </c>
      <c r="J8537" t="n">
        <v>0</v>
      </c>
      <c r="K8537" t="n">
        <v>0</v>
      </c>
      <c r="L8537" t="n">
        <v>0</v>
      </c>
      <c r="M8537" t="n">
        <v>0</v>
      </c>
      <c r="N8537" t="n">
        <v>0</v>
      </c>
      <c r="O8537" t="n">
        <v>0</v>
      </c>
      <c r="P8537" t="n">
        <v>0</v>
      </c>
      <c r="Q8537" t="n">
        <v>0</v>
      </c>
      <c r="R8537" s="2" t="inlineStr"/>
    </row>
    <row r="8538" ht="15" customHeight="1">
      <c r="A8538" t="inlineStr">
        <is>
          <t>A 1272-2026</t>
        </is>
      </c>
      <c r="B8538" s="1" t="n">
        <v>46031.46912037037</v>
      </c>
      <c r="C8538" s="1" t="n">
        <v>46145</v>
      </c>
      <c r="D8538" t="inlineStr">
        <is>
          <t>VÄSTERBOTTENS LÄN</t>
        </is>
      </c>
      <c r="E8538" t="inlineStr">
        <is>
          <t>MALÅ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1206-2026</t>
        </is>
      </c>
      <c r="B8539" s="1" t="n">
        <v>46031.38577546296</v>
      </c>
      <c r="C8539" s="1" t="n">
        <v>46145</v>
      </c>
      <c r="D8539" t="inlineStr">
        <is>
          <t>VÄSTERBOTTENS LÄN</t>
        </is>
      </c>
      <c r="E8539" t="inlineStr">
        <is>
          <t>ROBERTSFORS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1613-2026</t>
        </is>
      </c>
      <c r="B8540" s="1" t="n">
        <v>46034.46943287037</v>
      </c>
      <c r="C8540" s="1" t="n">
        <v>46145</v>
      </c>
      <c r="D8540" t="inlineStr">
        <is>
          <t>VÄSTERBOTTENS LÄN</t>
        </is>
      </c>
      <c r="E8540" t="inlineStr">
        <is>
          <t>LYCKSELE</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1325-2026</t>
        </is>
      </c>
      <c r="B8541" s="1" t="n">
        <v>46031</v>
      </c>
      <c r="C8541" s="1" t="n">
        <v>46145</v>
      </c>
      <c r="D8541" t="inlineStr">
        <is>
          <t>VÄSTERBOTTENS LÄN</t>
        </is>
      </c>
      <c r="E8541" t="inlineStr">
        <is>
          <t>MALÅ</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1334-2026</t>
        </is>
      </c>
      <c r="B8542" s="1" t="n">
        <v>46031.57356481482</v>
      </c>
      <c r="C8542" s="1" t="n">
        <v>46145</v>
      </c>
      <c r="D8542" t="inlineStr">
        <is>
          <t>VÄSTERBOTTENS LÄN</t>
        </is>
      </c>
      <c r="E8542" t="inlineStr">
        <is>
          <t>VINDELN</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2252-2026</t>
        </is>
      </c>
      <c r="B8543" s="1" t="n">
        <v>46034</v>
      </c>
      <c r="C8543" s="1" t="n">
        <v>46145</v>
      </c>
      <c r="D8543" t="inlineStr">
        <is>
          <t>VÄSTERBOTTENS LÄN</t>
        </is>
      </c>
      <c r="E8543" t="inlineStr">
        <is>
          <t>UMEÅ</t>
        </is>
      </c>
      <c r="G8543" t="n">
        <v>10.7</v>
      </c>
      <c r="H8543" t="n">
        <v>0</v>
      </c>
      <c r="I8543" t="n">
        <v>0</v>
      </c>
      <c r="J8543" t="n">
        <v>0</v>
      </c>
      <c r="K8543" t="n">
        <v>0</v>
      </c>
      <c r="L8543" t="n">
        <v>0</v>
      </c>
      <c r="M8543" t="n">
        <v>0</v>
      </c>
      <c r="N8543" t="n">
        <v>0</v>
      </c>
      <c r="O8543" t="n">
        <v>0</v>
      </c>
      <c r="P8543" t="n">
        <v>0</v>
      </c>
      <c r="Q8543" t="n">
        <v>0</v>
      </c>
      <c r="R8543" s="2" t="inlineStr"/>
    </row>
    <row r="8544" ht="15" customHeight="1">
      <c r="A8544" t="inlineStr">
        <is>
          <t>A 20216-2025</t>
        </is>
      </c>
      <c r="B8544" s="1" t="n">
        <v>45772</v>
      </c>
      <c r="C8544" s="1" t="n">
        <v>46145</v>
      </c>
      <c r="D8544" t="inlineStr">
        <is>
          <t>VÄSTERBOTTENS LÄN</t>
        </is>
      </c>
      <c r="E8544" t="inlineStr">
        <is>
          <t>SKELLEFTEÅ</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20220-2025</t>
        </is>
      </c>
      <c r="B8545" s="1" t="n">
        <v>45772</v>
      </c>
      <c r="C8545" s="1" t="n">
        <v>46145</v>
      </c>
      <c r="D8545" t="inlineStr">
        <is>
          <t>VÄSTERBOTTENS LÄN</t>
        </is>
      </c>
      <c r="E8545" t="inlineStr">
        <is>
          <t>SKELLEFTEÅ</t>
        </is>
      </c>
      <c r="G8545" t="n">
        <v>18.6</v>
      </c>
      <c r="H8545" t="n">
        <v>0</v>
      </c>
      <c r="I8545" t="n">
        <v>0</v>
      </c>
      <c r="J8545" t="n">
        <v>0</v>
      </c>
      <c r="K8545" t="n">
        <v>0</v>
      </c>
      <c r="L8545" t="n">
        <v>0</v>
      </c>
      <c r="M8545" t="n">
        <v>0</v>
      </c>
      <c r="N8545" t="n">
        <v>0</v>
      </c>
      <c r="O8545" t="n">
        <v>0</v>
      </c>
      <c r="P8545" t="n">
        <v>0</v>
      </c>
      <c r="Q8545" t="n">
        <v>0</v>
      </c>
      <c r="R8545" s="2" t="inlineStr"/>
    </row>
    <row r="8546" ht="15" customHeight="1">
      <c r="A8546" t="inlineStr">
        <is>
          <t>A 20240-2025</t>
        </is>
      </c>
      <c r="B8546" s="1" t="n">
        <v>45772.69824074074</v>
      </c>
      <c r="C8546" s="1" t="n">
        <v>46145</v>
      </c>
      <c r="D8546" t="inlineStr">
        <is>
          <t>VÄSTERBOTTENS LÄN</t>
        </is>
      </c>
      <c r="E8546" t="inlineStr">
        <is>
          <t>DOROTEA</t>
        </is>
      </c>
      <c r="F8546" t="inlineStr">
        <is>
          <t>SCA</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1524-2026</t>
        </is>
      </c>
      <c r="B8547" s="1" t="n">
        <v>46034.36497685185</v>
      </c>
      <c r="C8547" s="1" t="n">
        <v>46145</v>
      </c>
      <c r="D8547" t="inlineStr">
        <is>
          <t>VÄSTERBOTTENS LÄN</t>
        </is>
      </c>
      <c r="E8547" t="inlineStr">
        <is>
          <t>SKELLEFTEÅ</t>
        </is>
      </c>
      <c r="G8547" t="n">
        <v>20.7</v>
      </c>
      <c r="H8547" t="n">
        <v>0</v>
      </c>
      <c r="I8547" t="n">
        <v>0</v>
      </c>
      <c r="J8547" t="n">
        <v>0</v>
      </c>
      <c r="K8547" t="n">
        <v>0</v>
      </c>
      <c r="L8547" t="n">
        <v>0</v>
      </c>
      <c r="M8547" t="n">
        <v>0</v>
      </c>
      <c r="N8547" t="n">
        <v>0</v>
      </c>
      <c r="O8547" t="n">
        <v>0</v>
      </c>
      <c r="P8547" t="n">
        <v>0</v>
      </c>
      <c r="Q8547" t="n">
        <v>0</v>
      </c>
      <c r="R8547" s="2" t="inlineStr"/>
    </row>
    <row r="8548" ht="15" customHeight="1">
      <c r="A8548" t="inlineStr">
        <is>
          <t>A 1557-2026</t>
        </is>
      </c>
      <c r="B8548" s="1" t="n">
        <v>46034.38920138889</v>
      </c>
      <c r="C8548" s="1" t="n">
        <v>46145</v>
      </c>
      <c r="D8548" t="inlineStr">
        <is>
          <t>VÄSTERBOTTENS LÄN</t>
        </is>
      </c>
      <c r="E8548" t="inlineStr">
        <is>
          <t>UMEÅ</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58553-2023</t>
        </is>
      </c>
      <c r="B8549" s="1" t="n">
        <v>45251</v>
      </c>
      <c r="C8549" s="1" t="n">
        <v>46145</v>
      </c>
      <c r="D8549" t="inlineStr">
        <is>
          <t>VÄSTERBOTTENS LÄN</t>
        </is>
      </c>
      <c r="E8549" t="inlineStr">
        <is>
          <t>LYCKSELE</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856-2025</t>
        </is>
      </c>
      <c r="B8550" s="1" t="n">
        <v>45665</v>
      </c>
      <c r="C8550" s="1" t="n">
        <v>46145</v>
      </c>
      <c r="D8550" t="inlineStr">
        <is>
          <t>VÄSTERBOTTENS LÄN</t>
        </is>
      </c>
      <c r="E8550" t="inlineStr">
        <is>
          <t>VINDELN</t>
        </is>
      </c>
      <c r="F8550" t="inlineStr">
        <is>
          <t>Naturvårdsverket</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879-2025</t>
        </is>
      </c>
      <c r="B8551" s="1" t="n">
        <v>45665</v>
      </c>
      <c r="C8551" s="1" t="n">
        <v>46145</v>
      </c>
      <c r="D8551" t="inlineStr">
        <is>
          <t>VÄSTERBOTTENS LÄN</t>
        </is>
      </c>
      <c r="E8551" t="inlineStr">
        <is>
          <t>NORDMALING</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886-2025</t>
        </is>
      </c>
      <c r="B8552" s="1" t="n">
        <v>45665.64759259259</v>
      </c>
      <c r="C8552" s="1" t="n">
        <v>46145</v>
      </c>
      <c r="D8552" t="inlineStr">
        <is>
          <t>VÄSTERBOTTENS LÄN</t>
        </is>
      </c>
      <c r="E8552" t="inlineStr">
        <is>
          <t>LYCKSELE</t>
        </is>
      </c>
      <c r="F8552" t="inlineStr">
        <is>
          <t>Naturvårdsverket</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1764-2026</t>
        </is>
      </c>
      <c r="B8553" s="1" t="n">
        <v>46034.6775462963</v>
      </c>
      <c r="C8553" s="1" t="n">
        <v>46145</v>
      </c>
      <c r="D8553" t="inlineStr">
        <is>
          <t>VÄSTERBOTTENS LÄN</t>
        </is>
      </c>
      <c r="E8553" t="inlineStr">
        <is>
          <t>STORUMAN</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1770-2026</t>
        </is>
      </c>
      <c r="B8554" s="1" t="n">
        <v>46034.69831018519</v>
      </c>
      <c r="C8554" s="1" t="n">
        <v>46145</v>
      </c>
      <c r="D8554" t="inlineStr">
        <is>
          <t>VÄSTERBOTTENS LÄN</t>
        </is>
      </c>
      <c r="E8554" t="inlineStr">
        <is>
          <t>STORUMAN</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1548-2026</t>
        </is>
      </c>
      <c r="B8555" s="1" t="n">
        <v>46034.3870949074</v>
      </c>
      <c r="C8555" s="1" t="n">
        <v>46145</v>
      </c>
      <c r="D8555" t="inlineStr">
        <is>
          <t>VÄSTERBOTTENS LÄN</t>
        </is>
      </c>
      <c r="E8555" t="inlineStr">
        <is>
          <t>SKELLEFTEÅ</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1551-2026</t>
        </is>
      </c>
      <c r="B8556" s="1" t="n">
        <v>46034.38724537037</v>
      </c>
      <c r="C8556" s="1" t="n">
        <v>46145</v>
      </c>
      <c r="D8556" t="inlineStr">
        <is>
          <t>VÄSTERBOTTENS LÄN</t>
        </is>
      </c>
      <c r="E8556" t="inlineStr">
        <is>
          <t>SKELLEFTEÅ</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2402-2026</t>
        </is>
      </c>
      <c r="B8557" s="1" t="n">
        <v>46034</v>
      </c>
      <c r="C8557" s="1" t="n">
        <v>46145</v>
      </c>
      <c r="D8557" t="inlineStr">
        <is>
          <t>VÄSTERBOTTENS LÄN</t>
        </is>
      </c>
      <c r="E8557" t="inlineStr">
        <is>
          <t>BJURHOLM</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55740-2023</t>
        </is>
      </c>
      <c r="B8558" s="1" t="n">
        <v>45239.43872685185</v>
      </c>
      <c r="C8558" s="1" t="n">
        <v>46145</v>
      </c>
      <c r="D8558" t="inlineStr">
        <is>
          <t>VÄSTERBOTTENS LÄN</t>
        </is>
      </c>
      <c r="E8558" t="inlineStr">
        <is>
          <t>NORDMALING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52480-2023</t>
        </is>
      </c>
      <c r="B8559" s="1" t="n">
        <v>45225</v>
      </c>
      <c r="C8559" s="1" t="n">
        <v>46145</v>
      </c>
      <c r="D8559" t="inlineStr">
        <is>
          <t>VÄSTERBOTTENS LÄN</t>
        </is>
      </c>
      <c r="E8559" t="inlineStr">
        <is>
          <t>MALÅ</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30491-2022</t>
        </is>
      </c>
      <c r="B8560" s="1" t="n">
        <v>44761</v>
      </c>
      <c r="C8560" s="1" t="n">
        <v>46145</v>
      </c>
      <c r="D8560" t="inlineStr">
        <is>
          <t>VÄSTERBOTTENS LÄN</t>
        </is>
      </c>
      <c r="E8560" t="inlineStr">
        <is>
          <t>ÅSELE</t>
        </is>
      </c>
      <c r="F8560" t="inlineStr">
        <is>
          <t>SCA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29732-2023</t>
        </is>
      </c>
      <c r="B8561" s="1" t="n">
        <v>45107.45042824074</v>
      </c>
      <c r="C8561" s="1" t="n">
        <v>46145</v>
      </c>
      <c r="D8561" t="inlineStr">
        <is>
          <t>VÄSTERBOTTENS LÄN</t>
        </is>
      </c>
      <c r="E8561" t="inlineStr">
        <is>
          <t>SORSELE</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1523-2026</t>
        </is>
      </c>
      <c r="B8562" s="1" t="n">
        <v>46034.36490740741</v>
      </c>
      <c r="C8562" s="1" t="n">
        <v>46145</v>
      </c>
      <c r="D8562" t="inlineStr">
        <is>
          <t>VÄSTERBOTTENS LÄN</t>
        </is>
      </c>
      <c r="E8562" t="inlineStr">
        <is>
          <t>SKELLEFTEÅ</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18578-2022</t>
        </is>
      </c>
      <c r="B8563" s="1" t="n">
        <v>44687.30193287037</v>
      </c>
      <c r="C8563" s="1" t="n">
        <v>46145</v>
      </c>
      <c r="D8563" t="inlineStr">
        <is>
          <t>VÄSTERBOTTENS LÄN</t>
        </is>
      </c>
      <c r="E8563" t="inlineStr">
        <is>
          <t>ÅSELE</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37539-2023</t>
        </is>
      </c>
      <c r="B8564" s="1" t="n">
        <v>45158.94190972222</v>
      </c>
      <c r="C8564" s="1" t="n">
        <v>46145</v>
      </c>
      <c r="D8564" t="inlineStr">
        <is>
          <t>VÄSTERBOTTENS LÄN</t>
        </is>
      </c>
      <c r="E8564" t="inlineStr">
        <is>
          <t>DOROTEA</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37548-2023</t>
        </is>
      </c>
      <c r="B8565" s="1" t="n">
        <v>45158.97362268518</v>
      </c>
      <c r="C8565" s="1" t="n">
        <v>46145</v>
      </c>
      <c r="D8565" t="inlineStr">
        <is>
          <t>VÄSTERBOTTENS LÄN</t>
        </is>
      </c>
      <c r="E8565" t="inlineStr">
        <is>
          <t>NORDMALING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1550-2026</t>
        </is>
      </c>
      <c r="B8566" s="1" t="n">
        <v>46034.38722222222</v>
      </c>
      <c r="C8566" s="1" t="n">
        <v>46145</v>
      </c>
      <c r="D8566" t="inlineStr">
        <is>
          <t>VÄSTERBOTTENS LÄN</t>
        </is>
      </c>
      <c r="E8566" t="inlineStr">
        <is>
          <t>SKELLEFTEÅ</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1561-2026</t>
        </is>
      </c>
      <c r="B8567" s="1" t="n">
        <v>46034.39422453703</v>
      </c>
      <c r="C8567" s="1" t="n">
        <v>46145</v>
      </c>
      <c r="D8567" t="inlineStr">
        <is>
          <t>VÄSTERBOTTENS LÄN</t>
        </is>
      </c>
      <c r="E8567" t="inlineStr">
        <is>
          <t>LYCKSELE</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1578-2026</t>
        </is>
      </c>
      <c r="B8568" s="1" t="n">
        <v>46034.42350694445</v>
      </c>
      <c r="C8568" s="1" t="n">
        <v>46145</v>
      </c>
      <c r="D8568" t="inlineStr">
        <is>
          <t>VÄSTERBOTTENS LÄN</t>
        </is>
      </c>
      <c r="E8568" t="inlineStr">
        <is>
          <t>SKELLEFTEÅ</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43227-2023</t>
        </is>
      </c>
      <c r="B8569" s="1" t="n">
        <v>45180</v>
      </c>
      <c r="C8569" s="1" t="n">
        <v>46145</v>
      </c>
      <c r="D8569" t="inlineStr">
        <is>
          <t>VÄSTERBOTTENS LÄN</t>
        </is>
      </c>
      <c r="E8569" t="inlineStr">
        <is>
          <t>STORUMAN</t>
        </is>
      </c>
      <c r="G8569" t="n">
        <v>41.1</v>
      </c>
      <c r="H8569" t="n">
        <v>0</v>
      </c>
      <c r="I8569" t="n">
        <v>0</v>
      </c>
      <c r="J8569" t="n">
        <v>0</v>
      </c>
      <c r="K8569" t="n">
        <v>0</v>
      </c>
      <c r="L8569" t="n">
        <v>0</v>
      </c>
      <c r="M8569" t="n">
        <v>0</v>
      </c>
      <c r="N8569" t="n">
        <v>0</v>
      </c>
      <c r="O8569" t="n">
        <v>0</v>
      </c>
      <c r="P8569" t="n">
        <v>0</v>
      </c>
      <c r="Q8569" t="n">
        <v>0</v>
      </c>
      <c r="R8569" s="2" t="inlineStr"/>
    </row>
    <row r="8570" ht="15" customHeight="1">
      <c r="A8570" t="inlineStr">
        <is>
          <t>A 40756-2023</t>
        </is>
      </c>
      <c r="B8570" s="1" t="n">
        <v>45170</v>
      </c>
      <c r="C8570" s="1" t="n">
        <v>46145</v>
      </c>
      <c r="D8570" t="inlineStr">
        <is>
          <t>VÄSTERBOTTENS LÄN</t>
        </is>
      </c>
      <c r="E8570" t="inlineStr">
        <is>
          <t>NORSJÖ</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34964-2022</t>
        </is>
      </c>
      <c r="B8571" s="1" t="n">
        <v>44796</v>
      </c>
      <c r="C8571" s="1" t="n">
        <v>46145</v>
      </c>
      <c r="D8571" t="inlineStr">
        <is>
          <t>VÄSTERBOTTENS LÄN</t>
        </is>
      </c>
      <c r="E8571" t="inlineStr">
        <is>
          <t>SORSELE</t>
        </is>
      </c>
      <c r="F8571" t="inlineStr">
        <is>
          <t>Sveaskog</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43832-2023</t>
        </is>
      </c>
      <c r="B8572" s="1" t="n">
        <v>45182</v>
      </c>
      <c r="C8572" s="1" t="n">
        <v>46145</v>
      </c>
      <c r="D8572" t="inlineStr">
        <is>
          <t>VÄSTERBOTTENS LÄN</t>
        </is>
      </c>
      <c r="E8572" t="inlineStr">
        <is>
          <t>NORSJÖ</t>
        </is>
      </c>
      <c r="G8572" t="n">
        <v>14.4</v>
      </c>
      <c r="H8572" t="n">
        <v>0</v>
      </c>
      <c r="I8572" t="n">
        <v>0</v>
      </c>
      <c r="J8572" t="n">
        <v>0</v>
      </c>
      <c r="K8572" t="n">
        <v>0</v>
      </c>
      <c r="L8572" t="n">
        <v>0</v>
      </c>
      <c r="M8572" t="n">
        <v>0</v>
      </c>
      <c r="N8572" t="n">
        <v>0</v>
      </c>
      <c r="O8572" t="n">
        <v>0</v>
      </c>
      <c r="P8572" t="n">
        <v>0</v>
      </c>
      <c r="Q8572" t="n">
        <v>0</v>
      </c>
      <c r="R8572" s="2" t="inlineStr"/>
    </row>
    <row r="8573" ht="15" customHeight="1">
      <c r="A8573" t="inlineStr">
        <is>
          <t>A 1373-2026</t>
        </is>
      </c>
      <c r="B8573" s="1" t="n">
        <v>46031</v>
      </c>
      <c r="C8573" s="1" t="n">
        <v>46145</v>
      </c>
      <c r="D8573" t="inlineStr">
        <is>
          <t>VÄSTERBOTTENS LÄN</t>
        </is>
      </c>
      <c r="E8573" t="inlineStr">
        <is>
          <t>NORDMALING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1388-2026</t>
        </is>
      </c>
      <c r="B8574" s="1" t="n">
        <v>46031.62766203703</v>
      </c>
      <c r="C8574" s="1" t="n">
        <v>46145</v>
      </c>
      <c r="D8574" t="inlineStr">
        <is>
          <t>VÄSTERBOTTENS LÄN</t>
        </is>
      </c>
      <c r="E8574" t="inlineStr">
        <is>
          <t>UMEÅ</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1424-2026</t>
        </is>
      </c>
      <c r="B8575" s="1" t="n">
        <v>46031</v>
      </c>
      <c r="C8575" s="1" t="n">
        <v>46145</v>
      </c>
      <c r="D8575" t="inlineStr">
        <is>
          <t>VÄSTERBOTTENS LÄN</t>
        </is>
      </c>
      <c r="E8575" t="inlineStr">
        <is>
          <t>ROBERTSFORS</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39677-2024</t>
        </is>
      </c>
      <c r="B8576" s="1" t="n">
        <v>45552</v>
      </c>
      <c r="C8576" s="1" t="n">
        <v>46145</v>
      </c>
      <c r="D8576" t="inlineStr">
        <is>
          <t>VÄSTERBOTTENS LÄN</t>
        </is>
      </c>
      <c r="E8576" t="inlineStr">
        <is>
          <t>VILHELMINA</t>
        </is>
      </c>
      <c r="F8576" t="inlineStr">
        <is>
          <t>SCA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37074-2023</t>
        </is>
      </c>
      <c r="B8577" s="1" t="n">
        <v>45155.48350694445</v>
      </c>
      <c r="C8577" s="1" t="n">
        <v>46145</v>
      </c>
      <c r="D8577" t="inlineStr">
        <is>
          <t>VÄSTERBOTTENS LÄN</t>
        </is>
      </c>
      <c r="E8577" t="inlineStr">
        <is>
          <t>STORUMAN</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1746-2026</t>
        </is>
      </c>
      <c r="B8578" s="1" t="n">
        <v>46034.65533564815</v>
      </c>
      <c r="C8578" s="1" t="n">
        <v>46145</v>
      </c>
      <c r="D8578" t="inlineStr">
        <is>
          <t>VÄSTERBOTTENS LÄN</t>
        </is>
      </c>
      <c r="E8578" t="inlineStr">
        <is>
          <t>LYCKSELE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1761-2026</t>
        </is>
      </c>
      <c r="B8579" s="1" t="n">
        <v>46034.67740740741</v>
      </c>
      <c r="C8579" s="1" t="n">
        <v>46145</v>
      </c>
      <c r="D8579" t="inlineStr">
        <is>
          <t>VÄSTERBOTTENS LÄN</t>
        </is>
      </c>
      <c r="E8579" t="inlineStr">
        <is>
          <t>SKELLEFTEÅ</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1665-2026</t>
        </is>
      </c>
      <c r="B8580" s="1" t="n">
        <v>46034.55868055556</v>
      </c>
      <c r="C8580" s="1" t="n">
        <v>46145</v>
      </c>
      <c r="D8580" t="inlineStr">
        <is>
          <t>VÄSTERBOTTENS LÄN</t>
        </is>
      </c>
      <c r="E8580" t="inlineStr">
        <is>
          <t>SKELLEFTEÅ</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38909-2023</t>
        </is>
      </c>
      <c r="B8581" s="1" t="n">
        <v>45163.57194444445</v>
      </c>
      <c r="C8581" s="1" t="n">
        <v>46145</v>
      </c>
      <c r="D8581" t="inlineStr">
        <is>
          <t>VÄSTERBOTTENS LÄN</t>
        </is>
      </c>
      <c r="E8581" t="inlineStr">
        <is>
          <t>VINDELN</t>
        </is>
      </c>
      <c r="F8581" t="inlineStr">
        <is>
          <t>Holmen skog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1732-2026</t>
        </is>
      </c>
      <c r="B8582" s="1" t="n">
        <v>46034.63582175926</v>
      </c>
      <c r="C8582" s="1" t="n">
        <v>46145</v>
      </c>
      <c r="D8582" t="inlineStr">
        <is>
          <t>VÄSTERBOTTENS LÄN</t>
        </is>
      </c>
      <c r="E8582" t="inlineStr">
        <is>
          <t>SKELLEFTEÅ</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1429-2026</t>
        </is>
      </c>
      <c r="B8583" s="1" t="n">
        <v>46032.39072916667</v>
      </c>
      <c r="C8583" s="1" t="n">
        <v>46145</v>
      </c>
      <c r="D8583" t="inlineStr">
        <is>
          <t>VÄSTERBOTTENS LÄN</t>
        </is>
      </c>
      <c r="E8583" t="inlineStr">
        <is>
          <t>NORDMALING</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19516-2025</t>
        </is>
      </c>
      <c r="B8584" s="1" t="n">
        <v>45770.44284722222</v>
      </c>
      <c r="C8584" s="1" t="n">
        <v>46145</v>
      </c>
      <c r="D8584" t="inlineStr">
        <is>
          <t>VÄSTERBOTTENS LÄN</t>
        </is>
      </c>
      <c r="E8584" t="inlineStr">
        <is>
          <t>NORDMALING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1501-2026</t>
        </is>
      </c>
      <c r="B8585" s="1" t="n">
        <v>46034.33572916667</v>
      </c>
      <c r="C8585" s="1" t="n">
        <v>46145</v>
      </c>
      <c r="D8585" t="inlineStr">
        <is>
          <t>VÄSTERBOTTENS LÄN</t>
        </is>
      </c>
      <c r="E8585" t="inlineStr">
        <is>
          <t>SKELLEFTEÅ</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1813-2026</t>
        </is>
      </c>
      <c r="B8586" s="1" t="n">
        <v>46035.34439814815</v>
      </c>
      <c r="C8586" s="1" t="n">
        <v>46145</v>
      </c>
      <c r="D8586" t="inlineStr">
        <is>
          <t>VÄSTERBOTTENS LÄN</t>
        </is>
      </c>
      <c r="E8586" t="inlineStr">
        <is>
          <t>NORSJÖ</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41548-2023</t>
        </is>
      </c>
      <c r="B8587" s="1" t="n">
        <v>45172</v>
      </c>
      <c r="C8587" s="1" t="n">
        <v>46145</v>
      </c>
      <c r="D8587" t="inlineStr">
        <is>
          <t>VÄSTERBOTTENS LÄN</t>
        </is>
      </c>
      <c r="E8587" t="inlineStr">
        <is>
          <t>NORSJÖ</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25374-2022</t>
        </is>
      </c>
      <c r="B8588" s="1" t="n">
        <v>44731</v>
      </c>
      <c r="C8588" s="1" t="n">
        <v>46145</v>
      </c>
      <c r="D8588" t="inlineStr">
        <is>
          <t>VÄSTERBOTTENS LÄN</t>
        </is>
      </c>
      <c r="E8588" t="inlineStr">
        <is>
          <t>SORSELE</t>
        </is>
      </c>
      <c r="G8588" t="n">
        <v>37.1</v>
      </c>
      <c r="H8588" t="n">
        <v>0</v>
      </c>
      <c r="I8588" t="n">
        <v>0</v>
      </c>
      <c r="J8588" t="n">
        <v>0</v>
      </c>
      <c r="K8588" t="n">
        <v>0</v>
      </c>
      <c r="L8588" t="n">
        <v>0</v>
      </c>
      <c r="M8588" t="n">
        <v>0</v>
      </c>
      <c r="N8588" t="n">
        <v>0</v>
      </c>
      <c r="O8588" t="n">
        <v>0</v>
      </c>
      <c r="P8588" t="n">
        <v>0</v>
      </c>
      <c r="Q8588" t="n">
        <v>0</v>
      </c>
      <c r="R8588" s="2" t="inlineStr"/>
    </row>
    <row r="8589" ht="15" customHeight="1">
      <c r="A8589" t="inlineStr">
        <is>
          <t>A 25404-2022</t>
        </is>
      </c>
      <c r="B8589" s="1" t="n">
        <v>44732</v>
      </c>
      <c r="C8589" s="1" t="n">
        <v>46145</v>
      </c>
      <c r="D8589" t="inlineStr">
        <is>
          <t>VÄSTERBOTTENS LÄN</t>
        </is>
      </c>
      <c r="E8589" t="inlineStr">
        <is>
          <t>SKELLEFTEÅ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52375-2023</t>
        </is>
      </c>
      <c r="B8590" s="1" t="n">
        <v>45224.75395833333</v>
      </c>
      <c r="C8590" s="1" t="n">
        <v>46145</v>
      </c>
      <c r="D8590" t="inlineStr">
        <is>
          <t>VÄSTERBOTTENS LÄN</t>
        </is>
      </c>
      <c r="E8590" t="inlineStr">
        <is>
          <t>BJURHOLM</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59253-2024</t>
        </is>
      </c>
      <c r="B8591" s="1" t="n">
        <v>45637.59724537037</v>
      </c>
      <c r="C8591" s="1" t="n">
        <v>46145</v>
      </c>
      <c r="D8591" t="inlineStr">
        <is>
          <t>VÄSTERBOTTENS LÄN</t>
        </is>
      </c>
      <c r="E8591" t="inlineStr">
        <is>
          <t>VÄNNÄS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2101-2026</t>
        </is>
      </c>
      <c r="B8592" s="1" t="n">
        <v>46036.37449074074</v>
      </c>
      <c r="C8592" s="1" t="n">
        <v>46145</v>
      </c>
      <c r="D8592" t="inlineStr">
        <is>
          <t>VÄSTERBOTTENS LÄN</t>
        </is>
      </c>
      <c r="E8592" t="inlineStr">
        <is>
          <t>ÅSELE</t>
        </is>
      </c>
      <c r="F8592" t="inlineStr">
        <is>
          <t>Sveaskog</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2294-2026</t>
        </is>
      </c>
      <c r="B8593" s="1" t="n">
        <v>46036.58723379629</v>
      </c>
      <c r="C8593" s="1" t="n">
        <v>46145</v>
      </c>
      <c r="D8593" t="inlineStr">
        <is>
          <t>VÄSTERBOTTENS LÄN</t>
        </is>
      </c>
      <c r="E8593" t="inlineStr">
        <is>
          <t>ÅSELE</t>
        </is>
      </c>
      <c r="F8593" t="inlineStr">
        <is>
          <t>Sveaskog</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59282-2024</t>
        </is>
      </c>
      <c r="B8594" s="1" t="n">
        <v>45637</v>
      </c>
      <c r="C8594" s="1" t="n">
        <v>46145</v>
      </c>
      <c r="D8594" t="inlineStr">
        <is>
          <t>VÄSTERBOTTENS LÄN</t>
        </is>
      </c>
      <c r="E8594" t="inlineStr">
        <is>
          <t>ÅSELE</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41852-2023</t>
        </is>
      </c>
      <c r="B8595" s="1" t="n">
        <v>45174</v>
      </c>
      <c r="C8595" s="1" t="n">
        <v>46145</v>
      </c>
      <c r="D8595" t="inlineStr">
        <is>
          <t>VÄSTERBOTTENS LÄN</t>
        </is>
      </c>
      <c r="E8595" t="inlineStr">
        <is>
          <t>MALÅ</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46693-2023</t>
        </is>
      </c>
      <c r="B8596" s="1" t="n">
        <v>45198</v>
      </c>
      <c r="C8596" s="1" t="n">
        <v>46145</v>
      </c>
      <c r="D8596" t="inlineStr">
        <is>
          <t>VÄSTERBOTTENS LÄN</t>
        </is>
      </c>
      <c r="E8596" t="inlineStr">
        <is>
          <t>ÅSELE</t>
        </is>
      </c>
      <c r="F8596" t="inlineStr">
        <is>
          <t>Sveaskog</t>
        </is>
      </c>
      <c r="G8596" t="n">
        <v>14.8</v>
      </c>
      <c r="H8596" t="n">
        <v>0</v>
      </c>
      <c r="I8596" t="n">
        <v>0</v>
      </c>
      <c r="J8596" t="n">
        <v>0</v>
      </c>
      <c r="K8596" t="n">
        <v>0</v>
      </c>
      <c r="L8596" t="n">
        <v>0</v>
      </c>
      <c r="M8596" t="n">
        <v>0</v>
      </c>
      <c r="N8596" t="n">
        <v>0</v>
      </c>
      <c r="O8596" t="n">
        <v>0</v>
      </c>
      <c r="P8596" t="n">
        <v>0</v>
      </c>
      <c r="Q8596" t="n">
        <v>0</v>
      </c>
      <c r="R8596" s="2" t="inlineStr"/>
    </row>
    <row r="8597" ht="15" customHeight="1">
      <c r="A8597" t="inlineStr">
        <is>
          <t>A 964-2025</t>
        </is>
      </c>
      <c r="B8597" s="1" t="n">
        <v>45666.38408564815</v>
      </c>
      <c r="C8597" s="1" t="n">
        <v>46145</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1863-2026</t>
        </is>
      </c>
      <c r="B8598" s="1" t="n">
        <v>46035.44826388889</v>
      </c>
      <c r="C8598" s="1" t="n">
        <v>46145</v>
      </c>
      <c r="D8598" t="inlineStr">
        <is>
          <t>VÄSTERBOTTENS LÄN</t>
        </is>
      </c>
      <c r="E8598" t="inlineStr">
        <is>
          <t>ÅSELE</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45672-2023</t>
        </is>
      </c>
      <c r="B8599" s="1" t="n">
        <v>45194</v>
      </c>
      <c r="C8599" s="1" t="n">
        <v>46145</v>
      </c>
      <c r="D8599" t="inlineStr">
        <is>
          <t>VÄSTERBOTTENS LÄN</t>
        </is>
      </c>
      <c r="E8599" t="inlineStr">
        <is>
          <t>VILHELMINA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1877-2024</t>
        </is>
      </c>
      <c r="B8600" s="1" t="n">
        <v>45307</v>
      </c>
      <c r="C8600" s="1" t="n">
        <v>46145</v>
      </c>
      <c r="D8600" t="inlineStr">
        <is>
          <t>VÄSTERBOTTENS LÄN</t>
        </is>
      </c>
      <c r="E8600" t="inlineStr">
        <is>
          <t>BJURHOLM</t>
        </is>
      </c>
      <c r="G8600" t="n">
        <v>7.9</v>
      </c>
      <c r="H8600" t="n">
        <v>0</v>
      </c>
      <c r="I8600" t="n">
        <v>0</v>
      </c>
      <c r="J8600" t="n">
        <v>0</v>
      </c>
      <c r="K8600" t="n">
        <v>0</v>
      </c>
      <c r="L8600" t="n">
        <v>0</v>
      </c>
      <c r="M8600" t="n">
        <v>0</v>
      </c>
      <c r="N8600" t="n">
        <v>0</v>
      </c>
      <c r="O8600" t="n">
        <v>0</v>
      </c>
      <c r="P8600" t="n">
        <v>0</v>
      </c>
      <c r="Q8600" t="n">
        <v>0</v>
      </c>
      <c r="R8600" s="2" t="inlineStr"/>
    </row>
    <row r="8601" ht="15" customHeight="1">
      <c r="A8601" t="inlineStr">
        <is>
          <t>A 2043-2024</t>
        </is>
      </c>
      <c r="B8601" s="1" t="n">
        <v>45308</v>
      </c>
      <c r="C8601" s="1" t="n">
        <v>46145</v>
      </c>
      <c r="D8601" t="inlineStr">
        <is>
          <t>VÄSTERBOTTENS LÄN</t>
        </is>
      </c>
      <c r="E8601" t="inlineStr">
        <is>
          <t>SKELLEFTEÅ</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2111-2026</t>
        </is>
      </c>
      <c r="B8602" s="1" t="n">
        <v>46036.37813657407</v>
      </c>
      <c r="C8602" s="1" t="n">
        <v>46145</v>
      </c>
      <c r="D8602" t="inlineStr">
        <is>
          <t>VÄSTERBOTTENS LÄN</t>
        </is>
      </c>
      <c r="E8602" t="inlineStr">
        <is>
          <t>SKELLEFTEÅ</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2146-2026</t>
        </is>
      </c>
      <c r="B8603" s="1" t="n">
        <v>46036.40693287037</v>
      </c>
      <c r="C8603" s="1" t="n">
        <v>46145</v>
      </c>
      <c r="D8603" t="inlineStr">
        <is>
          <t>VÄSTERBOTTENS LÄN</t>
        </is>
      </c>
      <c r="E8603" t="inlineStr">
        <is>
          <t>DOROTEA</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32677-2022</t>
        </is>
      </c>
      <c r="B8604" s="1" t="n">
        <v>44783.55438657408</v>
      </c>
      <c r="C8604" s="1" t="n">
        <v>46145</v>
      </c>
      <c r="D8604" t="inlineStr">
        <is>
          <t>VÄSTERBOTTENS LÄN</t>
        </is>
      </c>
      <c r="E8604" t="inlineStr">
        <is>
          <t>SKELLEFTEÅ</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2100-2026</t>
        </is>
      </c>
      <c r="B8605" s="1" t="n">
        <v>46036.37225694444</v>
      </c>
      <c r="C8605" s="1" t="n">
        <v>46145</v>
      </c>
      <c r="D8605" t="inlineStr">
        <is>
          <t>VÄSTERBOTTENS LÄN</t>
        </is>
      </c>
      <c r="E8605" t="inlineStr">
        <is>
          <t>ÅSELE</t>
        </is>
      </c>
      <c r="F8605" t="inlineStr">
        <is>
          <t>Sveaskog</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16527-2022</t>
        </is>
      </c>
      <c r="B8606" s="1" t="n">
        <v>44671.94822916666</v>
      </c>
      <c r="C8606" s="1" t="n">
        <v>46145</v>
      </c>
      <c r="D8606" t="inlineStr">
        <is>
          <t>VÄSTERBOTTENS LÄN</t>
        </is>
      </c>
      <c r="E8606" t="inlineStr">
        <is>
          <t>ÅSELE</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1814-2026</t>
        </is>
      </c>
      <c r="B8607" s="1" t="n">
        <v>46035.34442129629</v>
      </c>
      <c r="C8607" s="1" t="n">
        <v>46145</v>
      </c>
      <c r="D8607" t="inlineStr">
        <is>
          <t>VÄSTERBOTTENS LÄN</t>
        </is>
      </c>
      <c r="E8607" t="inlineStr">
        <is>
          <t>NORSJÖ</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2254-2026</t>
        </is>
      </c>
      <c r="B8608" s="1" t="n">
        <v>46036.55858796297</v>
      </c>
      <c r="C8608" s="1" t="n">
        <v>46145</v>
      </c>
      <c r="D8608" t="inlineStr">
        <is>
          <t>VÄSTERBOTTENS LÄN</t>
        </is>
      </c>
      <c r="E8608" t="inlineStr">
        <is>
          <t>SKELLEFTEÅ</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2091-2026</t>
        </is>
      </c>
      <c r="B8609" s="1" t="n">
        <v>46036.36160879629</v>
      </c>
      <c r="C8609" s="1" t="n">
        <v>46145</v>
      </c>
      <c r="D8609" t="inlineStr">
        <is>
          <t>VÄSTERBOTTENS LÄN</t>
        </is>
      </c>
      <c r="E8609" t="inlineStr">
        <is>
          <t>SKELLEFTEÅ</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32747-2023</t>
        </is>
      </c>
      <c r="B8610" s="1" t="n">
        <v>45122</v>
      </c>
      <c r="C8610" s="1" t="n">
        <v>46145</v>
      </c>
      <c r="D8610" t="inlineStr">
        <is>
          <t>VÄSTERBOTTENS LÄN</t>
        </is>
      </c>
      <c r="E8610" t="inlineStr">
        <is>
          <t>SKELLEFTEÅ</t>
        </is>
      </c>
      <c r="F8610" t="inlineStr">
        <is>
          <t>Holmen skog AB</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50419-2024</t>
        </is>
      </c>
      <c r="B8611" s="1" t="n">
        <v>45601</v>
      </c>
      <c r="C8611" s="1" t="n">
        <v>46145</v>
      </c>
      <c r="D8611" t="inlineStr">
        <is>
          <t>VÄSTERBOTTENS LÄN</t>
        </is>
      </c>
      <c r="E8611" t="inlineStr">
        <is>
          <t>ÅSELE</t>
        </is>
      </c>
      <c r="F8611" t="inlineStr">
        <is>
          <t>SCA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2321-2026</t>
        </is>
      </c>
      <c r="B8612" s="1" t="n">
        <v>46036.603125</v>
      </c>
      <c r="C8612" s="1" t="n">
        <v>46145</v>
      </c>
      <c r="D8612" t="inlineStr">
        <is>
          <t>VÄSTERBOTTENS LÄN</t>
        </is>
      </c>
      <c r="E8612" t="inlineStr">
        <is>
          <t>ÅSELE</t>
        </is>
      </c>
      <c r="F8612" t="inlineStr">
        <is>
          <t>Sveaskog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28486-2022</t>
        </is>
      </c>
      <c r="B8613" s="1" t="n">
        <v>44747</v>
      </c>
      <c r="C8613" s="1" t="n">
        <v>46145</v>
      </c>
      <c r="D8613" t="inlineStr">
        <is>
          <t>VÄSTERBOTTENS LÄN</t>
        </is>
      </c>
      <c r="E8613" t="inlineStr">
        <is>
          <t>VILHELMINA</t>
        </is>
      </c>
      <c r="F8613" t="inlineStr">
        <is>
          <t>SCA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26663-2023</t>
        </is>
      </c>
      <c r="B8614" s="1" t="n">
        <v>45092.94042824074</v>
      </c>
      <c r="C8614" s="1" t="n">
        <v>46145</v>
      </c>
      <c r="D8614" t="inlineStr">
        <is>
          <t>VÄSTERBOTTENS LÄN</t>
        </is>
      </c>
      <c r="E8614" t="inlineStr">
        <is>
          <t>VILHELMINA</t>
        </is>
      </c>
      <c r="F8614" t="inlineStr">
        <is>
          <t>SCA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29027-2022</t>
        </is>
      </c>
      <c r="B8615" s="1" t="n">
        <v>44749.9266087963</v>
      </c>
      <c r="C8615" s="1" t="n">
        <v>46145</v>
      </c>
      <c r="D8615" t="inlineStr">
        <is>
          <t>VÄSTERBOTTENS LÄN</t>
        </is>
      </c>
      <c r="E8615" t="inlineStr">
        <is>
          <t>UMEÅ</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2113-2026</t>
        </is>
      </c>
      <c r="B8616" s="1" t="n">
        <v>46036.37971064815</v>
      </c>
      <c r="C8616" s="1" t="n">
        <v>46145</v>
      </c>
      <c r="D8616" t="inlineStr">
        <is>
          <t>VÄSTERBOTTENS LÄN</t>
        </is>
      </c>
      <c r="E8616" t="inlineStr">
        <is>
          <t>SKELLEFTEÅ</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30212-2023</t>
        </is>
      </c>
      <c r="B8617" s="1" t="n">
        <v>45110</v>
      </c>
      <c r="C8617" s="1" t="n">
        <v>46145</v>
      </c>
      <c r="D8617" t="inlineStr">
        <is>
          <t>VÄSTERBOTTENS LÄN</t>
        </is>
      </c>
      <c r="E8617" t="inlineStr">
        <is>
          <t>SKELLEFTEÅ</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30221-2023</t>
        </is>
      </c>
      <c r="B8618" s="1" t="n">
        <v>45099</v>
      </c>
      <c r="C8618" s="1" t="n">
        <v>46145</v>
      </c>
      <c r="D8618" t="inlineStr">
        <is>
          <t>VÄSTERBOTTENS LÄN</t>
        </is>
      </c>
      <c r="E8618" t="inlineStr">
        <is>
          <t>VÄNNÄS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2209-2026</t>
        </is>
      </c>
      <c r="B8619" s="1" t="n">
        <v>46036.48923611111</v>
      </c>
      <c r="C8619" s="1" t="n">
        <v>46145</v>
      </c>
      <c r="D8619" t="inlineStr">
        <is>
          <t>VÄSTERBOTTENS LÄN</t>
        </is>
      </c>
      <c r="E8619" t="inlineStr">
        <is>
          <t>STORUMAN</t>
        </is>
      </c>
      <c r="G8619" t="n">
        <v>17.6</v>
      </c>
      <c r="H8619" t="n">
        <v>0</v>
      </c>
      <c r="I8619" t="n">
        <v>0</v>
      </c>
      <c r="J8619" t="n">
        <v>0</v>
      </c>
      <c r="K8619" t="n">
        <v>0</v>
      </c>
      <c r="L8619" t="n">
        <v>0</v>
      </c>
      <c r="M8619" t="n">
        <v>0</v>
      </c>
      <c r="N8619" t="n">
        <v>0</v>
      </c>
      <c r="O8619" t="n">
        <v>0</v>
      </c>
      <c r="P8619" t="n">
        <v>0</v>
      </c>
      <c r="Q8619" t="n">
        <v>0</v>
      </c>
      <c r="R8619" s="2" t="inlineStr"/>
    </row>
    <row r="8620" ht="15" customHeight="1">
      <c r="A8620" t="inlineStr">
        <is>
          <t>A 47096-2023</t>
        </is>
      </c>
      <c r="B8620" s="1" t="n">
        <v>45201.64815972222</v>
      </c>
      <c r="C8620" s="1" t="n">
        <v>46145</v>
      </c>
      <c r="D8620" t="inlineStr">
        <is>
          <t>VÄSTERBOTTENS LÄN</t>
        </is>
      </c>
      <c r="E8620" t="inlineStr">
        <is>
          <t>LYCKSELE</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2357-2026</t>
        </is>
      </c>
      <c r="B8621" s="1" t="n">
        <v>46036.63644675926</v>
      </c>
      <c r="C8621" s="1" t="n">
        <v>46145</v>
      </c>
      <c r="D8621" t="inlineStr">
        <is>
          <t>VÄSTERBOTTENS LÄN</t>
        </is>
      </c>
      <c r="E8621" t="inlineStr">
        <is>
          <t>NORSJÖ</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2378-2026</t>
        </is>
      </c>
      <c r="B8622" s="1" t="n">
        <v>46036.65756944445</v>
      </c>
      <c r="C8622" s="1" t="n">
        <v>46145</v>
      </c>
      <c r="D8622" t="inlineStr">
        <is>
          <t>VÄSTERBOTTENS LÄN</t>
        </is>
      </c>
      <c r="E8622" t="inlineStr">
        <is>
          <t>ÅSELE</t>
        </is>
      </c>
      <c r="F8622" t="inlineStr">
        <is>
          <t>Sveaskog</t>
        </is>
      </c>
      <c r="G8622" t="n">
        <v>17.1</v>
      </c>
      <c r="H8622" t="n">
        <v>0</v>
      </c>
      <c r="I8622" t="n">
        <v>0</v>
      </c>
      <c r="J8622" t="n">
        <v>0</v>
      </c>
      <c r="K8622" t="n">
        <v>0</v>
      </c>
      <c r="L8622" t="n">
        <v>0</v>
      </c>
      <c r="M8622" t="n">
        <v>0</v>
      </c>
      <c r="N8622" t="n">
        <v>0</v>
      </c>
      <c r="O8622" t="n">
        <v>0</v>
      </c>
      <c r="P8622" t="n">
        <v>0</v>
      </c>
      <c r="Q8622" t="n">
        <v>0</v>
      </c>
      <c r="R8622" s="2" t="inlineStr"/>
    </row>
    <row r="8623" ht="15" customHeight="1">
      <c r="A8623" t="inlineStr">
        <is>
          <t>A 1891-2026</t>
        </is>
      </c>
      <c r="B8623" s="1" t="n">
        <v>46035.49623842593</v>
      </c>
      <c r="C8623" s="1" t="n">
        <v>46145</v>
      </c>
      <c r="D8623" t="inlineStr">
        <is>
          <t>VÄSTERBOTTENS LÄN</t>
        </is>
      </c>
      <c r="E8623" t="inlineStr">
        <is>
          <t>NORSJÖ</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1917-2026</t>
        </is>
      </c>
      <c r="B8624" s="1" t="n">
        <v>46035</v>
      </c>
      <c r="C8624" s="1" t="n">
        <v>46145</v>
      </c>
      <c r="D8624" t="inlineStr">
        <is>
          <t>VÄSTERBOTTENS LÄN</t>
        </is>
      </c>
      <c r="E8624" t="inlineStr">
        <is>
          <t>SKELLEFTEÅ</t>
        </is>
      </c>
      <c r="G8624" t="n">
        <v>0.1</v>
      </c>
      <c r="H8624" t="n">
        <v>0</v>
      </c>
      <c r="I8624" t="n">
        <v>0</v>
      </c>
      <c r="J8624" t="n">
        <v>0</v>
      </c>
      <c r="K8624" t="n">
        <v>0</v>
      </c>
      <c r="L8624" t="n">
        <v>0</v>
      </c>
      <c r="M8624" t="n">
        <v>0</v>
      </c>
      <c r="N8624" t="n">
        <v>0</v>
      </c>
      <c r="O8624" t="n">
        <v>0</v>
      </c>
      <c r="P8624" t="n">
        <v>0</v>
      </c>
      <c r="Q8624" t="n">
        <v>0</v>
      </c>
      <c r="R8624" s="2" t="inlineStr"/>
    </row>
    <row r="8625" ht="15" customHeight="1">
      <c r="A8625" t="inlineStr">
        <is>
          <t>A 52529-2023</t>
        </is>
      </c>
      <c r="B8625" s="1" t="n">
        <v>45225.53422453703</v>
      </c>
      <c r="C8625" s="1" t="n">
        <v>46145</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57846-2023</t>
        </is>
      </c>
      <c r="B8626" s="1" t="n">
        <v>45247</v>
      </c>
      <c r="C8626" s="1" t="n">
        <v>46145</v>
      </c>
      <c r="D8626" t="inlineStr">
        <is>
          <t>VÄSTERBOTTENS LÄN</t>
        </is>
      </c>
      <c r="E8626" t="inlineStr">
        <is>
          <t>VINDELN</t>
        </is>
      </c>
      <c r="F8626" t="inlineStr">
        <is>
          <t>Sveaskog</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48044-2024</t>
        </is>
      </c>
      <c r="B8627" s="1" t="n">
        <v>45589</v>
      </c>
      <c r="C8627" s="1" t="n">
        <v>46145</v>
      </c>
      <c r="D8627" t="inlineStr">
        <is>
          <t>VÄSTERBOTTENS LÄN</t>
        </is>
      </c>
      <c r="E8627" t="inlineStr">
        <is>
          <t>ÅSELE</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2247-2026</t>
        </is>
      </c>
      <c r="B8628" s="1" t="n">
        <v>46036.54668981482</v>
      </c>
      <c r="C8628" s="1" t="n">
        <v>46145</v>
      </c>
      <c r="D8628" t="inlineStr">
        <is>
          <t>VÄSTERBOTTENS LÄN</t>
        </is>
      </c>
      <c r="E8628" t="inlineStr">
        <is>
          <t>SKELLEFTEÅ</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48051-2024</t>
        </is>
      </c>
      <c r="B8629" s="1" t="n">
        <v>45589</v>
      </c>
      <c r="C8629" s="1" t="n">
        <v>46145</v>
      </c>
      <c r="D8629" t="inlineStr">
        <is>
          <t>VÄSTERBOTTENS LÄN</t>
        </is>
      </c>
      <c r="E8629" t="inlineStr">
        <is>
          <t>ÅSELE</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63877-2023</t>
        </is>
      </c>
      <c r="B8630" s="1" t="n">
        <v>45278</v>
      </c>
      <c r="C8630" s="1" t="n">
        <v>46145</v>
      </c>
      <c r="D8630" t="inlineStr">
        <is>
          <t>VÄSTERBOTTENS LÄN</t>
        </is>
      </c>
      <c r="E8630" t="inlineStr">
        <is>
          <t>VILHELMINA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1896-2026</t>
        </is>
      </c>
      <c r="B8631" s="1" t="n">
        <v>46035.50795138889</v>
      </c>
      <c r="C8631" s="1" t="n">
        <v>46145</v>
      </c>
      <c r="D8631" t="inlineStr">
        <is>
          <t>VÄSTERBOTTENS LÄN</t>
        </is>
      </c>
      <c r="E8631" t="inlineStr">
        <is>
          <t>SKELLEFTEÅ</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51405-2024</t>
        </is>
      </c>
      <c r="B8632" s="1" t="n">
        <v>45604</v>
      </c>
      <c r="C8632" s="1" t="n">
        <v>46145</v>
      </c>
      <c r="D8632" t="inlineStr">
        <is>
          <t>VÄSTERBOTTENS LÄN</t>
        </is>
      </c>
      <c r="E8632" t="inlineStr">
        <is>
          <t>ÅSELE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2072-2026</t>
        </is>
      </c>
      <c r="B8633" s="1" t="n">
        <v>46036.33851851852</v>
      </c>
      <c r="C8633" s="1" t="n">
        <v>46145</v>
      </c>
      <c r="D8633" t="inlineStr">
        <is>
          <t>VÄSTERBOTTENS LÄN</t>
        </is>
      </c>
      <c r="E8633" t="inlineStr">
        <is>
          <t>VÄNNÄS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26293-2025</t>
        </is>
      </c>
      <c r="B8634" s="1" t="n">
        <v>45805</v>
      </c>
      <c r="C8634" s="1" t="n">
        <v>46145</v>
      </c>
      <c r="D8634" t="inlineStr">
        <is>
          <t>VÄSTERBOTTENS LÄN</t>
        </is>
      </c>
      <c r="E8634" t="inlineStr">
        <is>
          <t>SKELLEFTEÅ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1894-2026</t>
        </is>
      </c>
      <c r="B8635" s="1" t="n">
        <v>46035.50423611111</v>
      </c>
      <c r="C8635" s="1" t="n">
        <v>46145</v>
      </c>
      <c r="D8635" t="inlineStr">
        <is>
          <t>VÄSTERBOTTENS LÄN</t>
        </is>
      </c>
      <c r="E8635" t="inlineStr">
        <is>
          <t>NORSJÖ</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32863-2023</t>
        </is>
      </c>
      <c r="B8636" s="1" t="n">
        <v>45124</v>
      </c>
      <c r="C8636" s="1" t="n">
        <v>46145</v>
      </c>
      <c r="D8636" t="inlineStr">
        <is>
          <t>VÄSTERBOTTENS LÄN</t>
        </is>
      </c>
      <c r="E8636" t="inlineStr">
        <is>
          <t>LYCKSELE</t>
        </is>
      </c>
      <c r="F8636" t="inlineStr">
        <is>
          <t>Sveaskog</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59359-2022</t>
        </is>
      </c>
      <c r="B8637" s="1" t="n">
        <v>44904.92574074074</v>
      </c>
      <c r="C8637" s="1" t="n">
        <v>46145</v>
      </c>
      <c r="D8637" t="inlineStr">
        <is>
          <t>VÄSTERBOTTENS LÄN</t>
        </is>
      </c>
      <c r="E8637" t="inlineStr">
        <is>
          <t>STORUMAN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36144-2023</t>
        </is>
      </c>
      <c r="B8638" s="1" t="n">
        <v>45149</v>
      </c>
      <c r="C8638" s="1" t="n">
        <v>46145</v>
      </c>
      <c r="D8638" t="inlineStr">
        <is>
          <t>VÄSTERBOTTENS LÄN</t>
        </is>
      </c>
      <c r="E8638" t="inlineStr">
        <is>
          <t>MALÅ</t>
        </is>
      </c>
      <c r="G8638" t="n">
        <v>147.1</v>
      </c>
      <c r="H8638" t="n">
        <v>0</v>
      </c>
      <c r="I8638" t="n">
        <v>0</v>
      </c>
      <c r="J8638" t="n">
        <v>0</v>
      </c>
      <c r="K8638" t="n">
        <v>0</v>
      </c>
      <c r="L8638" t="n">
        <v>0</v>
      </c>
      <c r="M8638" t="n">
        <v>0</v>
      </c>
      <c r="N8638" t="n">
        <v>0</v>
      </c>
      <c r="O8638" t="n">
        <v>0</v>
      </c>
      <c r="P8638" t="n">
        <v>0</v>
      </c>
      <c r="Q8638" t="n">
        <v>0</v>
      </c>
      <c r="R8638" s="2" t="inlineStr"/>
    </row>
    <row r="8639" ht="15" customHeight="1">
      <c r="A8639" t="inlineStr">
        <is>
          <t>A 36146-2023</t>
        </is>
      </c>
      <c r="B8639" s="1" t="n">
        <v>45149.59932870371</v>
      </c>
      <c r="C8639" s="1" t="n">
        <v>46145</v>
      </c>
      <c r="D8639" t="inlineStr">
        <is>
          <t>VÄSTERBOTTENS LÄN</t>
        </is>
      </c>
      <c r="E8639" t="inlineStr">
        <is>
          <t>LYCKSELE</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26352-2024</t>
        </is>
      </c>
      <c r="B8640" s="1" t="n">
        <v>45469.36628472222</v>
      </c>
      <c r="C8640" s="1" t="n">
        <v>46145</v>
      </c>
      <c r="D8640" t="inlineStr">
        <is>
          <t>VÄSTERBOTTENS LÄN</t>
        </is>
      </c>
      <c r="E8640" t="inlineStr">
        <is>
          <t>UMEÅ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14998-2022</t>
        </is>
      </c>
      <c r="B8641" s="1" t="n">
        <v>44657</v>
      </c>
      <c r="C8641" s="1" t="n">
        <v>46145</v>
      </c>
      <c r="D8641" t="inlineStr">
        <is>
          <t>VÄSTERBOTTENS LÄN</t>
        </is>
      </c>
      <c r="E8641" t="inlineStr">
        <is>
          <t>SORSELE</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2232-2026</t>
        </is>
      </c>
      <c r="B8642" s="1" t="n">
        <v>46036.53188657408</v>
      </c>
      <c r="C8642" s="1" t="n">
        <v>46145</v>
      </c>
      <c r="D8642" t="inlineStr">
        <is>
          <t>VÄSTERBOTTENS LÄN</t>
        </is>
      </c>
      <c r="E8642" t="inlineStr">
        <is>
          <t>VILHELMINA</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1966-2026</t>
        </is>
      </c>
      <c r="B8643" s="1" t="n">
        <v>46035.6363425926</v>
      </c>
      <c r="C8643" s="1" t="n">
        <v>46145</v>
      </c>
      <c r="D8643" t="inlineStr">
        <is>
          <t>VÄSTERBOTTENS LÄN</t>
        </is>
      </c>
      <c r="E8643" t="inlineStr">
        <is>
          <t>NORSJÖ</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45384-2021</t>
        </is>
      </c>
      <c r="B8644" s="1" t="n">
        <v>44440.3184375</v>
      </c>
      <c r="C8644" s="1" t="n">
        <v>46145</v>
      </c>
      <c r="D8644" t="inlineStr">
        <is>
          <t>VÄSTERBOTTENS LÄN</t>
        </is>
      </c>
      <c r="E8644" t="inlineStr">
        <is>
          <t>SKELLEFTEÅ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48472-2023</t>
        </is>
      </c>
      <c r="B8645" s="1" t="n">
        <v>45206.95761574074</v>
      </c>
      <c r="C8645" s="1" t="n">
        <v>46145</v>
      </c>
      <c r="D8645" t="inlineStr">
        <is>
          <t>VÄSTERBOTTENS LÄN</t>
        </is>
      </c>
      <c r="E8645" t="inlineStr">
        <is>
          <t>VILHELMINA</t>
        </is>
      </c>
      <c r="F8645" t="inlineStr">
        <is>
          <t>SCA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1987-2026</t>
        </is>
      </c>
      <c r="B8646" s="1" t="n">
        <v>46035.65710648148</v>
      </c>
      <c r="C8646" s="1" t="n">
        <v>46145</v>
      </c>
      <c r="D8646" t="inlineStr">
        <is>
          <t>VÄSTERBOTTENS LÄN</t>
        </is>
      </c>
      <c r="E8646" t="inlineStr">
        <is>
          <t>NORSJÖ</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48572-2023</t>
        </is>
      </c>
      <c r="B8647" s="1" t="n">
        <v>45202</v>
      </c>
      <c r="C8647" s="1" t="n">
        <v>46145</v>
      </c>
      <c r="D8647" t="inlineStr">
        <is>
          <t>VÄSTERBOTTENS LÄN</t>
        </is>
      </c>
      <c r="E8647" t="inlineStr">
        <is>
          <t>MALÅ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1817-2026</t>
        </is>
      </c>
      <c r="B8648" s="1" t="n">
        <v>46035.34459490741</v>
      </c>
      <c r="C8648" s="1" t="n">
        <v>46145</v>
      </c>
      <c r="D8648" t="inlineStr">
        <is>
          <t>VÄSTERBOTTENS LÄN</t>
        </is>
      </c>
      <c r="E8648" t="inlineStr">
        <is>
          <t>SKELLEFTEÅ</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2394-2026</t>
        </is>
      </c>
      <c r="B8649" s="1" t="n">
        <v>46036.67759259259</v>
      </c>
      <c r="C8649" s="1" t="n">
        <v>46145</v>
      </c>
      <c r="D8649" t="inlineStr">
        <is>
          <t>VÄSTERBOTTENS LÄN</t>
        </is>
      </c>
      <c r="E8649" t="inlineStr">
        <is>
          <t>DOROTEA</t>
        </is>
      </c>
      <c r="F8649" t="inlineStr">
        <is>
          <t>SCA</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25346-2024</t>
        </is>
      </c>
      <c r="B8650" s="1" t="n">
        <v>45462</v>
      </c>
      <c r="C8650" s="1" t="n">
        <v>46145</v>
      </c>
      <c r="D8650" t="inlineStr">
        <is>
          <t>VÄSTERBOTTENS LÄN</t>
        </is>
      </c>
      <c r="E8650" t="inlineStr">
        <is>
          <t>UMEÅ</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25399-2024</t>
        </is>
      </c>
      <c r="B8651" s="1" t="n">
        <v>45463</v>
      </c>
      <c r="C8651" s="1" t="n">
        <v>46145</v>
      </c>
      <c r="D8651" t="inlineStr">
        <is>
          <t>VÄSTERBOTTENS LÄN</t>
        </is>
      </c>
      <c r="E8651" t="inlineStr">
        <is>
          <t>VINDELN</t>
        </is>
      </c>
      <c r="F8651" t="inlineStr">
        <is>
          <t>Sveaskog</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42208-2022</t>
        </is>
      </c>
      <c r="B8652" s="1" t="n">
        <v>44830</v>
      </c>
      <c r="C8652" s="1" t="n">
        <v>46145</v>
      </c>
      <c r="D8652" t="inlineStr">
        <is>
          <t>VÄSTERBOTTENS LÄN</t>
        </is>
      </c>
      <c r="E8652" t="inlineStr">
        <is>
          <t>LYCKSELE</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1986-2026</t>
        </is>
      </c>
      <c r="B8653" s="1" t="n">
        <v>46035.65704861111</v>
      </c>
      <c r="C8653" s="1" t="n">
        <v>46145</v>
      </c>
      <c r="D8653" t="inlineStr">
        <is>
          <t>VÄSTERBOTTENS LÄN</t>
        </is>
      </c>
      <c r="E8653" t="inlineStr">
        <is>
          <t>SORSELE</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43637-2023</t>
        </is>
      </c>
      <c r="B8654" s="1" t="n">
        <v>45186.51590277778</v>
      </c>
      <c r="C8654" s="1" t="n">
        <v>46145</v>
      </c>
      <c r="D8654" t="inlineStr">
        <is>
          <t>VÄSTERBOTTENS LÄN</t>
        </is>
      </c>
      <c r="E8654" t="inlineStr">
        <is>
          <t>VILHELMINA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1882-2026</t>
        </is>
      </c>
      <c r="B8655" s="1" t="n">
        <v>46035.47445601852</v>
      </c>
      <c r="C8655" s="1" t="n">
        <v>46145</v>
      </c>
      <c r="D8655" t="inlineStr">
        <is>
          <t>VÄSTERBOTTENS LÄN</t>
        </is>
      </c>
      <c r="E8655" t="inlineStr">
        <is>
          <t>NORSJÖ</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1883-2026</t>
        </is>
      </c>
      <c r="B8656" s="1" t="n">
        <v>46035.48497685185</v>
      </c>
      <c r="C8656" s="1" t="n">
        <v>46145</v>
      </c>
      <c r="D8656" t="inlineStr">
        <is>
          <t>VÄSTERBOTTENS LÄN</t>
        </is>
      </c>
      <c r="E8656" t="inlineStr">
        <is>
          <t>VINDELN</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34060-2023</t>
        </is>
      </c>
      <c r="B8657" s="1" t="n">
        <v>45135</v>
      </c>
      <c r="C8657" s="1" t="n">
        <v>46145</v>
      </c>
      <c r="D8657" t="inlineStr">
        <is>
          <t>VÄSTERBOTTENS LÄN</t>
        </is>
      </c>
      <c r="E8657" t="inlineStr">
        <is>
          <t>LYCKSELE</t>
        </is>
      </c>
      <c r="F8657" t="inlineStr">
        <is>
          <t>Holmen skog AB</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1900-2026</t>
        </is>
      </c>
      <c r="B8658" s="1" t="n">
        <v>46035.52957175926</v>
      </c>
      <c r="C8658" s="1" t="n">
        <v>46145</v>
      </c>
      <c r="D8658" t="inlineStr">
        <is>
          <t>VÄSTERBOTTENS LÄN</t>
        </is>
      </c>
      <c r="E8658" t="inlineStr">
        <is>
          <t>MALÅ</t>
        </is>
      </c>
      <c r="F8658" t="inlineStr">
        <is>
          <t>Sveaskog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17173-2025</t>
        </is>
      </c>
      <c r="B8659" s="1" t="n">
        <v>45756.37224537037</v>
      </c>
      <c r="C8659" s="1" t="n">
        <v>46145</v>
      </c>
      <c r="D8659" t="inlineStr">
        <is>
          <t>VÄSTERBOTTENS LÄN</t>
        </is>
      </c>
      <c r="E8659" t="inlineStr">
        <is>
          <t>SKELLEFTEÅ</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40438-2023</t>
        </is>
      </c>
      <c r="B8660" s="1" t="n">
        <v>45169.94112268519</v>
      </c>
      <c r="C8660" s="1" t="n">
        <v>46145</v>
      </c>
      <c r="D8660" t="inlineStr">
        <is>
          <t>VÄSTERBOTTENS LÄN</t>
        </is>
      </c>
      <c r="E8660" t="inlineStr">
        <is>
          <t>DOROTEA</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39810-2021</t>
        </is>
      </c>
      <c r="B8661" s="1" t="n">
        <v>44417</v>
      </c>
      <c r="C8661" s="1" t="n">
        <v>46145</v>
      </c>
      <c r="D8661" t="inlineStr">
        <is>
          <t>VÄSTERBOTTENS LÄN</t>
        </is>
      </c>
      <c r="E8661" t="inlineStr">
        <is>
          <t>STORUMAN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59771-2023</t>
        </is>
      </c>
      <c r="B8662" s="1" t="n">
        <v>45257</v>
      </c>
      <c r="C8662" s="1" t="n">
        <v>46145</v>
      </c>
      <c r="D8662" t="inlineStr">
        <is>
          <t>VÄSTERBOTTENS LÄN</t>
        </is>
      </c>
      <c r="E8662" t="inlineStr">
        <is>
          <t>VÄNNÄS</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53256-2023</t>
        </is>
      </c>
      <c r="B8663" s="1" t="n">
        <v>45229</v>
      </c>
      <c r="C8663" s="1" t="n">
        <v>46145</v>
      </c>
      <c r="D8663" t="inlineStr">
        <is>
          <t>VÄSTERBOTTENS LÄN</t>
        </is>
      </c>
      <c r="E8663" t="inlineStr">
        <is>
          <t>MALÅ</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29085-2022</t>
        </is>
      </c>
      <c r="B8664" s="1" t="n">
        <v>44749</v>
      </c>
      <c r="C8664" s="1" t="n">
        <v>46145</v>
      </c>
      <c r="D8664" t="inlineStr">
        <is>
          <t>VÄSTERBOTTENS LÄN</t>
        </is>
      </c>
      <c r="E8664" t="inlineStr">
        <is>
          <t>SKELLEFTEÅ</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2496-2026</t>
        </is>
      </c>
      <c r="B8665" s="1" t="n">
        <v>46037.40002314815</v>
      </c>
      <c r="C8665" s="1" t="n">
        <v>46145</v>
      </c>
      <c r="D8665" t="inlineStr">
        <is>
          <t>VÄSTERBOTTENS LÄN</t>
        </is>
      </c>
      <c r="E8665" t="inlineStr">
        <is>
          <t>VÄNNÄS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28244-2021</t>
        </is>
      </c>
      <c r="B8666" s="1" t="n">
        <v>44355</v>
      </c>
      <c r="C8666" s="1" t="n">
        <v>46145</v>
      </c>
      <c r="D8666" t="inlineStr">
        <is>
          <t>VÄSTERBOTTENS LÄN</t>
        </is>
      </c>
      <c r="E8666" t="inlineStr">
        <is>
          <t>SKELLEFTEÅ</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41468-2022</t>
        </is>
      </c>
      <c r="B8667" s="1" t="n">
        <v>44826</v>
      </c>
      <c r="C8667" s="1" t="n">
        <v>46145</v>
      </c>
      <c r="D8667" t="inlineStr">
        <is>
          <t>VÄSTERBOTTENS LÄN</t>
        </is>
      </c>
      <c r="E8667" t="inlineStr">
        <is>
          <t>ÅSELE</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2594-2026</t>
        </is>
      </c>
      <c r="B8668" s="1" t="n">
        <v>46037.55253472222</v>
      </c>
      <c r="C8668" s="1" t="n">
        <v>46145</v>
      </c>
      <c r="D8668" t="inlineStr">
        <is>
          <t>VÄSTERBOTTENS LÄN</t>
        </is>
      </c>
      <c r="E8668" t="inlineStr">
        <is>
          <t>SKELLEFTEÅ</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16598-2025</t>
        </is>
      </c>
      <c r="B8669" s="1" t="n">
        <v>45753.47692129629</v>
      </c>
      <c r="C8669" s="1" t="n">
        <v>46145</v>
      </c>
      <c r="D8669" t="inlineStr">
        <is>
          <t>VÄSTERBOTTENS LÄN</t>
        </is>
      </c>
      <c r="E8669" t="inlineStr">
        <is>
          <t>VINDELN</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16602-2025</t>
        </is>
      </c>
      <c r="B8670" s="1" t="n">
        <v>45753.53373842593</v>
      </c>
      <c r="C8670" s="1" t="n">
        <v>46145</v>
      </c>
      <c r="D8670" t="inlineStr">
        <is>
          <t>VÄSTERBOTTENS LÄN</t>
        </is>
      </c>
      <c r="E8670" t="inlineStr">
        <is>
          <t>SKELLEFTEÅ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29185-2022</t>
        </is>
      </c>
      <c r="B8671" s="1" t="n">
        <v>44750.54626157408</v>
      </c>
      <c r="C8671" s="1" t="n">
        <v>46145</v>
      </c>
      <c r="D8671" t="inlineStr">
        <is>
          <t>VÄSTERBOTTENS LÄN</t>
        </is>
      </c>
      <c r="E8671" t="inlineStr">
        <is>
          <t>LYCKSELE</t>
        </is>
      </c>
      <c r="F8671" t="inlineStr">
        <is>
          <t>Holmen skog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2723-2026</t>
        </is>
      </c>
      <c r="B8672" s="1" t="n">
        <v>46037</v>
      </c>
      <c r="C8672" s="1" t="n">
        <v>46145</v>
      </c>
      <c r="D8672" t="inlineStr">
        <is>
          <t>VÄSTERBOTTENS LÄN</t>
        </is>
      </c>
      <c r="E8672" t="inlineStr">
        <is>
          <t>NORDMALING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2724-2026</t>
        </is>
      </c>
      <c r="B8673" s="1" t="n">
        <v>46037.81715277778</v>
      </c>
      <c r="C8673" s="1" t="n">
        <v>46145</v>
      </c>
      <c r="D8673" t="inlineStr">
        <is>
          <t>VÄSTERBOTTENS LÄN</t>
        </is>
      </c>
      <c r="E8673" t="inlineStr">
        <is>
          <t>NORDMALING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3032-2026</t>
        </is>
      </c>
      <c r="B8674" s="1" t="n">
        <v>46038.71721064814</v>
      </c>
      <c r="C8674" s="1" t="n">
        <v>46145</v>
      </c>
      <c r="D8674" t="inlineStr">
        <is>
          <t>VÄSTERBOTTENS LÄN</t>
        </is>
      </c>
      <c r="E8674" t="inlineStr">
        <is>
          <t>SKELLEFTEÅ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2955-2026</t>
        </is>
      </c>
      <c r="B8675" s="1" t="n">
        <v>46038.60483796296</v>
      </c>
      <c r="C8675" s="1" t="n">
        <v>46145</v>
      </c>
      <c r="D8675" t="inlineStr">
        <is>
          <t>VÄSTERBOTTENS LÄN</t>
        </is>
      </c>
      <c r="E8675" t="inlineStr">
        <is>
          <t>NORDMALING</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59554-2022</t>
        </is>
      </c>
      <c r="B8676" s="1" t="n">
        <v>44900</v>
      </c>
      <c r="C8676" s="1" t="n">
        <v>46145</v>
      </c>
      <c r="D8676" t="inlineStr">
        <is>
          <t>VÄSTERBOTTENS LÄN</t>
        </is>
      </c>
      <c r="E8676" t="inlineStr">
        <is>
          <t>LYCKSELE</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16471-2025</t>
        </is>
      </c>
      <c r="B8677" s="1" t="n">
        <v>45751.54825231482</v>
      </c>
      <c r="C8677" s="1" t="n">
        <v>46145</v>
      </c>
      <c r="D8677" t="inlineStr">
        <is>
          <t>VÄSTERBOTTENS LÄN</t>
        </is>
      </c>
      <c r="E8677" t="inlineStr">
        <is>
          <t>VÄNNÄS</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10422-2025</t>
        </is>
      </c>
      <c r="B8678" s="1" t="n">
        <v>45720.64917824074</v>
      </c>
      <c r="C8678" s="1" t="n">
        <v>46145</v>
      </c>
      <c r="D8678" t="inlineStr">
        <is>
          <t>VÄSTERBOTTENS LÄN</t>
        </is>
      </c>
      <c r="E8678" t="inlineStr">
        <is>
          <t>UMEÅ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2763-2026</t>
        </is>
      </c>
      <c r="B8679" s="1" t="n">
        <v>46038.34892361111</v>
      </c>
      <c r="C8679" s="1" t="n">
        <v>46145</v>
      </c>
      <c r="D8679" t="inlineStr">
        <is>
          <t>VÄSTERBOTTENS LÄN</t>
        </is>
      </c>
      <c r="E8679" t="inlineStr">
        <is>
          <t>ÅSELE</t>
        </is>
      </c>
      <c r="F8679" t="inlineStr">
        <is>
          <t>Sveaskog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2774-2026</t>
        </is>
      </c>
      <c r="B8680" s="1" t="n">
        <v>46038.37543981482</v>
      </c>
      <c r="C8680" s="1" t="n">
        <v>46145</v>
      </c>
      <c r="D8680" t="inlineStr">
        <is>
          <t>VÄSTERBOTTENS LÄN</t>
        </is>
      </c>
      <c r="E8680" t="inlineStr">
        <is>
          <t>VÄNNÄS</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2776-2026</t>
        </is>
      </c>
      <c r="B8681" s="1" t="n">
        <v>46036</v>
      </c>
      <c r="C8681" s="1" t="n">
        <v>46145</v>
      </c>
      <c r="D8681" t="inlineStr">
        <is>
          <t>VÄSTERBOTTENS LÄN</t>
        </is>
      </c>
      <c r="E8681" t="inlineStr">
        <is>
          <t>SKELLEFTEÅ</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18165-2024</t>
        </is>
      </c>
      <c r="B8682" s="1" t="n">
        <v>45420.62534722222</v>
      </c>
      <c r="C8682" s="1" t="n">
        <v>46145</v>
      </c>
      <c r="D8682" t="inlineStr">
        <is>
          <t>VÄSTERBOTTENS LÄN</t>
        </is>
      </c>
      <c r="E8682" t="inlineStr">
        <is>
          <t>NORSJÖ</t>
        </is>
      </c>
      <c r="F8682" t="inlineStr">
        <is>
          <t>Holmen skog AB</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2877-2026</t>
        </is>
      </c>
      <c r="B8683" s="1" t="n">
        <v>46038</v>
      </c>
      <c r="C8683" s="1" t="n">
        <v>46145</v>
      </c>
      <c r="D8683" t="inlineStr">
        <is>
          <t>VÄSTERBOTTENS LÄN</t>
        </is>
      </c>
      <c r="E8683" t="inlineStr">
        <is>
          <t>SKELLEFTEÅ</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16608-2024</t>
        </is>
      </c>
      <c r="B8684" s="1" t="n">
        <v>45408</v>
      </c>
      <c r="C8684" s="1" t="n">
        <v>46145</v>
      </c>
      <c r="D8684" t="inlineStr">
        <is>
          <t>VÄSTERBOTTENS LÄN</t>
        </is>
      </c>
      <c r="E8684" t="inlineStr">
        <is>
          <t>VILHELMINA</t>
        </is>
      </c>
      <c r="G8684" t="n">
        <v>17.5</v>
      </c>
      <c r="H8684" t="n">
        <v>0</v>
      </c>
      <c r="I8684" t="n">
        <v>0</v>
      </c>
      <c r="J8684" t="n">
        <v>0</v>
      </c>
      <c r="K8684" t="n">
        <v>0</v>
      </c>
      <c r="L8684" t="n">
        <v>0</v>
      </c>
      <c r="M8684" t="n">
        <v>0</v>
      </c>
      <c r="N8684" t="n">
        <v>0</v>
      </c>
      <c r="O8684" t="n">
        <v>0</v>
      </c>
      <c r="P8684" t="n">
        <v>0</v>
      </c>
      <c r="Q8684" t="n">
        <v>0</v>
      </c>
      <c r="R8684" s="2" t="inlineStr"/>
    </row>
    <row r="8685" ht="15" customHeight="1">
      <c r="A8685" t="inlineStr">
        <is>
          <t>A 2822-2026</t>
        </is>
      </c>
      <c r="B8685" s="1" t="n">
        <v>46038.43719907408</v>
      </c>
      <c r="C8685" s="1" t="n">
        <v>46145</v>
      </c>
      <c r="D8685" t="inlineStr">
        <is>
          <t>VÄSTERBOTTENS LÄN</t>
        </is>
      </c>
      <c r="E8685" t="inlineStr">
        <is>
          <t>VILHELMINA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50805-2023</t>
        </is>
      </c>
      <c r="B8686" s="1" t="n">
        <v>45211</v>
      </c>
      <c r="C8686" s="1" t="n">
        <v>46145</v>
      </c>
      <c r="D8686" t="inlineStr">
        <is>
          <t>VÄSTERBOTTENS LÄN</t>
        </is>
      </c>
      <c r="E8686" t="inlineStr">
        <is>
          <t>VINDELN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9159-2025</t>
        </is>
      </c>
      <c r="B8687" s="1" t="n">
        <v>45714.35774305555</v>
      </c>
      <c r="C8687" s="1" t="n">
        <v>46145</v>
      </c>
      <c r="D8687" t="inlineStr">
        <is>
          <t>VÄSTERBOTTENS LÄN</t>
        </is>
      </c>
      <c r="E8687" t="inlineStr">
        <is>
          <t>UMEÅ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60311-2022</t>
        </is>
      </c>
      <c r="B8688" s="1" t="n">
        <v>44910</v>
      </c>
      <c r="C8688" s="1" t="n">
        <v>46145</v>
      </c>
      <c r="D8688" t="inlineStr">
        <is>
          <t>VÄSTERBOTTENS LÄN</t>
        </is>
      </c>
      <c r="E8688" t="inlineStr">
        <is>
          <t>VINDELN</t>
        </is>
      </c>
      <c r="F8688" t="inlineStr">
        <is>
          <t>Sveaskog</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40930-2023</t>
        </is>
      </c>
      <c r="B8689" s="1" t="n">
        <v>45173.4409375</v>
      </c>
      <c r="C8689" s="1" t="n">
        <v>46145</v>
      </c>
      <c r="D8689" t="inlineStr">
        <is>
          <t>VÄSTERBOTTENS LÄN</t>
        </is>
      </c>
      <c r="E8689" t="inlineStr">
        <is>
          <t>LYCKSELE</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10145-2025</t>
        </is>
      </c>
      <c r="B8690" s="1" t="n">
        <v>45719.63577546296</v>
      </c>
      <c r="C8690" s="1" t="n">
        <v>46145</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2772-2026</t>
        </is>
      </c>
      <c r="B8691" s="1" t="n">
        <v>46038.37417824074</v>
      </c>
      <c r="C8691" s="1" t="n">
        <v>46145</v>
      </c>
      <c r="D8691" t="inlineStr">
        <is>
          <t>VÄSTERBOTTENS LÄN</t>
        </is>
      </c>
      <c r="E8691" t="inlineStr">
        <is>
          <t>VÄNNÄS</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2727-2026</t>
        </is>
      </c>
      <c r="B8692" s="1" t="n">
        <v>46037.8174537037</v>
      </c>
      <c r="C8692" s="1" t="n">
        <v>46145</v>
      </c>
      <c r="D8692" t="inlineStr">
        <is>
          <t>VÄSTERBOTTENS LÄN</t>
        </is>
      </c>
      <c r="E8692" t="inlineStr">
        <is>
          <t>NORDMALING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54469-2023</t>
        </is>
      </c>
      <c r="B8693" s="1" t="n">
        <v>45226</v>
      </c>
      <c r="C8693" s="1" t="n">
        <v>46145</v>
      </c>
      <c r="D8693" t="inlineStr">
        <is>
          <t>VÄSTERBOTTENS LÄN</t>
        </is>
      </c>
      <c r="E8693" t="inlineStr">
        <is>
          <t>SKELLEFTEÅ</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43515-2022</t>
        </is>
      </c>
      <c r="B8694" s="1" t="n">
        <v>44837.3690162037</v>
      </c>
      <c r="C8694" s="1" t="n">
        <v>46145</v>
      </c>
      <c r="D8694" t="inlineStr">
        <is>
          <t>VÄSTERBOTTENS LÄN</t>
        </is>
      </c>
      <c r="E8694" t="inlineStr">
        <is>
          <t>SKELLEFTEÅ</t>
        </is>
      </c>
      <c r="F8694" t="inlineStr">
        <is>
          <t>Holmen skog AB</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2440-2026</t>
        </is>
      </c>
      <c r="B8695" s="1" t="n">
        <v>46037.26846064815</v>
      </c>
      <c r="C8695" s="1" t="n">
        <v>46145</v>
      </c>
      <c r="D8695" t="inlineStr">
        <is>
          <t>VÄSTERBOTTENS LÄN</t>
        </is>
      </c>
      <c r="E8695" t="inlineStr">
        <is>
          <t>SKELLEFTEÅ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64920-2023</t>
        </is>
      </c>
      <c r="B8696" s="1" t="n">
        <v>45282.68806712963</v>
      </c>
      <c r="C8696" s="1" t="n">
        <v>46145</v>
      </c>
      <c r="D8696" t="inlineStr">
        <is>
          <t>VÄSTERBOTTENS LÄN</t>
        </is>
      </c>
      <c r="E8696" t="inlineStr">
        <is>
          <t>SKELLEFTEÅ</t>
        </is>
      </c>
      <c r="F8696" t="inlineStr">
        <is>
          <t>Sveaskog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2456-2026</t>
        </is>
      </c>
      <c r="B8697" s="1" t="n">
        <v>46037.34474537037</v>
      </c>
      <c r="C8697" s="1" t="n">
        <v>46145</v>
      </c>
      <c r="D8697" t="inlineStr">
        <is>
          <t>VÄSTERBOTTENS LÄN</t>
        </is>
      </c>
      <c r="E8697" t="inlineStr">
        <is>
          <t>SKELLEFTEÅ</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2651-2026</t>
        </is>
      </c>
      <c r="B8698" s="1" t="n">
        <v>46037.62767361111</v>
      </c>
      <c r="C8698" s="1" t="n">
        <v>46145</v>
      </c>
      <c r="D8698" t="inlineStr">
        <is>
          <t>VÄSTERBOTTENS LÄN</t>
        </is>
      </c>
      <c r="E8698" t="inlineStr">
        <is>
          <t>ROBERTSFORS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60391-2024</t>
        </is>
      </c>
      <c r="B8699" s="1" t="n">
        <v>45643.49018518518</v>
      </c>
      <c r="C8699" s="1" t="n">
        <v>46145</v>
      </c>
      <c r="D8699" t="inlineStr">
        <is>
          <t>VÄSTERBOTTENS LÄN</t>
        </is>
      </c>
      <c r="E8699" t="inlineStr">
        <is>
          <t>VINDELN</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63390-2023</t>
        </is>
      </c>
      <c r="B8700" s="1" t="n">
        <v>45274</v>
      </c>
      <c r="C8700" s="1" t="n">
        <v>46145</v>
      </c>
      <c r="D8700" t="inlineStr">
        <is>
          <t>VÄSTERBOTTENS LÄN</t>
        </is>
      </c>
      <c r="E8700" t="inlineStr">
        <is>
          <t>ROBERTSFORS</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2947-2026</t>
        </is>
      </c>
      <c r="B8701" s="1" t="n">
        <v>46038.59554398148</v>
      </c>
      <c r="C8701" s="1" t="n">
        <v>46145</v>
      </c>
      <c r="D8701" t="inlineStr">
        <is>
          <t>VÄSTERBOTTENS LÄN</t>
        </is>
      </c>
      <c r="E8701" t="inlineStr">
        <is>
          <t>NORDMALING</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51709-2023</t>
        </is>
      </c>
      <c r="B8702" s="1" t="n">
        <v>45215</v>
      </c>
      <c r="C8702" s="1" t="n">
        <v>46145</v>
      </c>
      <c r="D8702" t="inlineStr">
        <is>
          <t>VÄSTERBOTTENS LÄN</t>
        </is>
      </c>
      <c r="E8702" t="inlineStr">
        <is>
          <t>UMEÅ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2725-2026</t>
        </is>
      </c>
      <c r="B8703" s="1" t="n">
        <v>46037.8172337963</v>
      </c>
      <c r="C8703" s="1" t="n">
        <v>46145</v>
      </c>
      <c r="D8703" t="inlineStr">
        <is>
          <t>VÄSTERBOTTENS LÄN</t>
        </is>
      </c>
      <c r="E8703" t="inlineStr">
        <is>
          <t>NORDMALING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2726-2026</t>
        </is>
      </c>
      <c r="B8704" s="1" t="n">
        <v>46037.81732638889</v>
      </c>
      <c r="C8704" s="1" t="n">
        <v>46145</v>
      </c>
      <c r="D8704" t="inlineStr">
        <is>
          <t>VÄSTERBOTTENS LÄN</t>
        </is>
      </c>
      <c r="E8704" t="inlineStr">
        <is>
          <t>NORDMALING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24759-2024</t>
        </is>
      </c>
      <c r="B8705" s="1" t="n">
        <v>45460.67993055555</v>
      </c>
      <c r="C8705" s="1" t="n">
        <v>46145</v>
      </c>
      <c r="D8705" t="inlineStr">
        <is>
          <t>VÄSTERBOTTENS LÄN</t>
        </is>
      </c>
      <c r="E8705" t="inlineStr">
        <is>
          <t>VINDELN</t>
        </is>
      </c>
      <c r="F8705" t="inlineStr">
        <is>
          <t>Holmen skog AB</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18034-2025</t>
        </is>
      </c>
      <c r="B8706" s="1" t="n">
        <v>45761</v>
      </c>
      <c r="C8706" s="1" t="n">
        <v>46145</v>
      </c>
      <c r="D8706" t="inlineStr">
        <is>
          <t>VÄSTERBOTTENS LÄN</t>
        </is>
      </c>
      <c r="E8706" t="inlineStr">
        <is>
          <t>ÅSELE</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2857-2026</t>
        </is>
      </c>
      <c r="B8707" s="1" t="n">
        <v>46038</v>
      </c>
      <c r="C8707" s="1" t="n">
        <v>46145</v>
      </c>
      <c r="D8707" t="inlineStr">
        <is>
          <t>VÄSTERBOTTENS LÄN</t>
        </is>
      </c>
      <c r="E8707" t="inlineStr">
        <is>
          <t>UMEÅ</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16542-2025</t>
        </is>
      </c>
      <c r="B8708" s="1" t="n">
        <v>45751.67792824074</v>
      </c>
      <c r="C8708" s="1" t="n">
        <v>46145</v>
      </c>
      <c r="D8708" t="inlineStr">
        <is>
          <t>VÄSTERBOTTENS LÄN</t>
        </is>
      </c>
      <c r="E8708" t="inlineStr">
        <is>
          <t>VINDELN</t>
        </is>
      </c>
      <c r="F8708" t="inlineStr">
        <is>
          <t>Holmen skog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56154-2025</t>
        </is>
      </c>
      <c r="B8709" s="1" t="n">
        <v>45974</v>
      </c>
      <c r="C8709" s="1" t="n">
        <v>46145</v>
      </c>
      <c r="D8709" t="inlineStr">
        <is>
          <t>VÄSTERBOTTENS LÄN</t>
        </is>
      </c>
      <c r="E8709" t="inlineStr">
        <is>
          <t>NORSJÖ</t>
        </is>
      </c>
      <c r="G8709" t="n">
        <v>12.1</v>
      </c>
      <c r="H8709" t="n">
        <v>0</v>
      </c>
      <c r="I8709" t="n">
        <v>0</v>
      </c>
      <c r="J8709" t="n">
        <v>0</v>
      </c>
      <c r="K8709" t="n">
        <v>0</v>
      </c>
      <c r="L8709" t="n">
        <v>0</v>
      </c>
      <c r="M8709" t="n">
        <v>0</v>
      </c>
      <c r="N8709" t="n">
        <v>0</v>
      </c>
      <c r="O8709" t="n">
        <v>0</v>
      </c>
      <c r="P8709" t="n">
        <v>0</v>
      </c>
      <c r="Q8709" t="n">
        <v>0</v>
      </c>
      <c r="R8709" s="2" t="inlineStr"/>
    </row>
    <row r="8710" ht="15" customHeight="1">
      <c r="A8710" t="inlineStr">
        <is>
          <t>A 53102-2024</t>
        </is>
      </c>
      <c r="B8710" s="1" t="n">
        <v>45611</v>
      </c>
      <c r="C8710" s="1" t="n">
        <v>46145</v>
      </c>
      <c r="D8710" t="inlineStr">
        <is>
          <t>VÄSTERBOTTENS LÄN</t>
        </is>
      </c>
      <c r="E8710" t="inlineStr">
        <is>
          <t>SORSELE</t>
        </is>
      </c>
      <c r="F8710" t="inlineStr">
        <is>
          <t>Sveaskog</t>
        </is>
      </c>
      <c r="G8710" t="n">
        <v>44.9</v>
      </c>
      <c r="H8710" t="n">
        <v>0</v>
      </c>
      <c r="I8710" t="n">
        <v>0</v>
      </c>
      <c r="J8710" t="n">
        <v>0</v>
      </c>
      <c r="K8710" t="n">
        <v>0</v>
      </c>
      <c r="L8710" t="n">
        <v>0</v>
      </c>
      <c r="M8710" t="n">
        <v>0</v>
      </c>
      <c r="N8710" t="n">
        <v>0</v>
      </c>
      <c r="O8710" t="n">
        <v>0</v>
      </c>
      <c r="P8710" t="n">
        <v>0</v>
      </c>
      <c r="Q8710" t="n">
        <v>0</v>
      </c>
      <c r="R8710" s="2" t="inlineStr"/>
    </row>
    <row r="8711" ht="15" customHeight="1">
      <c r="A8711" t="inlineStr">
        <is>
          <t>A 2946-2026</t>
        </is>
      </c>
      <c r="B8711" s="1" t="n">
        <v>46038.59427083333</v>
      </c>
      <c r="C8711" s="1" t="n">
        <v>46145</v>
      </c>
      <c r="D8711" t="inlineStr">
        <is>
          <t>VÄSTERBOTTENS LÄN</t>
        </is>
      </c>
      <c r="E8711" t="inlineStr">
        <is>
          <t>VILHELMINA</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26381-2024</t>
        </is>
      </c>
      <c r="B8712" s="1" t="n">
        <v>45469</v>
      </c>
      <c r="C8712" s="1" t="n">
        <v>46145</v>
      </c>
      <c r="D8712" t="inlineStr">
        <is>
          <t>VÄSTERBOTTENS LÄN</t>
        </is>
      </c>
      <c r="E8712" t="inlineStr">
        <is>
          <t>VILHELMINA</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26389-2024</t>
        </is>
      </c>
      <c r="B8713" s="1" t="n">
        <v>45469.43194444444</v>
      </c>
      <c r="C8713" s="1" t="n">
        <v>46145</v>
      </c>
      <c r="D8713" t="inlineStr">
        <is>
          <t>VÄSTERBOTTENS LÄN</t>
        </is>
      </c>
      <c r="E8713" t="inlineStr">
        <is>
          <t>SKELLEFTEÅ</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13569-2025</t>
        </is>
      </c>
      <c r="B8714" s="1" t="n">
        <v>45736.57212962963</v>
      </c>
      <c r="C8714" s="1" t="n">
        <v>46145</v>
      </c>
      <c r="D8714" t="inlineStr">
        <is>
          <t>VÄSTERBOTTENS LÄN</t>
        </is>
      </c>
      <c r="E8714" t="inlineStr">
        <is>
          <t>SKELLEFTEÅ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35809-2022</t>
        </is>
      </c>
      <c r="B8715" s="1" t="n">
        <v>44802</v>
      </c>
      <c r="C8715" s="1" t="n">
        <v>46145</v>
      </c>
      <c r="D8715" t="inlineStr">
        <is>
          <t>VÄSTERBOTTENS LÄN</t>
        </is>
      </c>
      <c r="E8715" t="inlineStr">
        <is>
          <t>SKELLEFTEÅ</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14325-2025</t>
        </is>
      </c>
      <c r="B8716" s="1" t="n">
        <v>45740.81103009259</v>
      </c>
      <c r="C8716" s="1" t="n">
        <v>46145</v>
      </c>
      <c r="D8716" t="inlineStr">
        <is>
          <t>VÄSTERBOTTENS LÄN</t>
        </is>
      </c>
      <c r="E8716" t="inlineStr">
        <is>
          <t>DOROTEA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55873-2023</t>
        </is>
      </c>
      <c r="B8717" s="1" t="n">
        <v>45239</v>
      </c>
      <c r="C8717" s="1" t="n">
        <v>46145</v>
      </c>
      <c r="D8717" t="inlineStr">
        <is>
          <t>VÄSTERBOTTENS LÄN</t>
        </is>
      </c>
      <c r="E8717" t="inlineStr">
        <is>
          <t>SKELLEFTEÅ</t>
        </is>
      </c>
      <c r="F8717" t="inlineStr">
        <is>
          <t>Sveaskog</t>
        </is>
      </c>
      <c r="G8717" t="n">
        <v>7.8</v>
      </c>
      <c r="H8717" t="n">
        <v>0</v>
      </c>
      <c r="I8717" t="n">
        <v>0</v>
      </c>
      <c r="J8717" t="n">
        <v>0</v>
      </c>
      <c r="K8717" t="n">
        <v>0</v>
      </c>
      <c r="L8717" t="n">
        <v>0</v>
      </c>
      <c r="M8717" t="n">
        <v>0</v>
      </c>
      <c r="N8717" t="n">
        <v>0</v>
      </c>
      <c r="O8717" t="n">
        <v>0</v>
      </c>
      <c r="P8717" t="n">
        <v>0</v>
      </c>
      <c r="Q8717" t="n">
        <v>0</v>
      </c>
      <c r="R8717" s="2" t="inlineStr"/>
    </row>
    <row r="8718" ht="15" customHeight="1">
      <c r="A8718" t="inlineStr">
        <is>
          <t>A 2992-2026</t>
        </is>
      </c>
      <c r="B8718" s="1" t="n">
        <v>46038.63686342593</v>
      </c>
      <c r="C8718" s="1" t="n">
        <v>46145</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47483-2023</t>
        </is>
      </c>
      <c r="B8719" s="1" t="n">
        <v>45202.9413425926</v>
      </c>
      <c r="C8719" s="1" t="n">
        <v>46145</v>
      </c>
      <c r="D8719" t="inlineStr">
        <is>
          <t>VÄSTERBOTTENS LÄN</t>
        </is>
      </c>
      <c r="E8719" t="inlineStr">
        <is>
          <t>VILHELMINA</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2876-2026</t>
        </is>
      </c>
      <c r="B8720" s="1" t="n">
        <v>46038.51819444444</v>
      </c>
      <c r="C8720" s="1" t="n">
        <v>46145</v>
      </c>
      <c r="D8720" t="inlineStr">
        <is>
          <t>VÄSTERBOTTENS LÄN</t>
        </is>
      </c>
      <c r="E8720" t="inlineStr">
        <is>
          <t>SKELLEFTEÅ</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41591-2023</t>
        </is>
      </c>
      <c r="B8721" s="1" t="n">
        <v>45173</v>
      </c>
      <c r="C8721" s="1" t="n">
        <v>46145</v>
      </c>
      <c r="D8721" t="inlineStr">
        <is>
          <t>VÄSTERBOTTENS LÄN</t>
        </is>
      </c>
      <c r="E8721" t="inlineStr">
        <is>
          <t>NORSJÖ</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46666-2025</t>
        </is>
      </c>
      <c r="B8722" s="1" t="n">
        <v>45926</v>
      </c>
      <c r="C8722" s="1" t="n">
        <v>46145</v>
      </c>
      <c r="D8722" t="inlineStr">
        <is>
          <t>VÄSTERBOTTENS LÄN</t>
        </is>
      </c>
      <c r="E8722" t="inlineStr">
        <is>
          <t>SORSELE</t>
        </is>
      </c>
      <c r="F8722" t="inlineStr">
        <is>
          <t>Sveaskog</t>
        </is>
      </c>
      <c r="G8722" t="n">
        <v>35.6</v>
      </c>
      <c r="H8722" t="n">
        <v>0</v>
      </c>
      <c r="I8722" t="n">
        <v>0</v>
      </c>
      <c r="J8722" t="n">
        <v>0</v>
      </c>
      <c r="K8722" t="n">
        <v>0</v>
      </c>
      <c r="L8722" t="n">
        <v>0</v>
      </c>
      <c r="M8722" t="n">
        <v>0</v>
      </c>
      <c r="N8722" t="n">
        <v>0</v>
      </c>
      <c r="O8722" t="n">
        <v>0</v>
      </c>
      <c r="P8722" t="n">
        <v>0</v>
      </c>
      <c r="Q8722" t="n">
        <v>0</v>
      </c>
      <c r="R8722" s="2" t="inlineStr"/>
    </row>
    <row r="8723" ht="15" customHeight="1">
      <c r="A8723" t="inlineStr">
        <is>
          <t>A 34098-2023</t>
        </is>
      </c>
      <c r="B8723" s="1" t="n">
        <v>45135.58939814815</v>
      </c>
      <c r="C8723" s="1" t="n">
        <v>46145</v>
      </c>
      <c r="D8723" t="inlineStr">
        <is>
          <t>VÄSTERBOTTENS LÄN</t>
        </is>
      </c>
      <c r="E8723" t="inlineStr">
        <is>
          <t>VINDELN</t>
        </is>
      </c>
      <c r="F8723" t="inlineStr">
        <is>
          <t>Holmen skog AB</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39989-2025</t>
        </is>
      </c>
      <c r="B8724" s="1" t="n">
        <v>45891</v>
      </c>
      <c r="C8724" s="1" t="n">
        <v>46145</v>
      </c>
      <c r="D8724" t="inlineStr">
        <is>
          <t>VÄSTERBOTTENS LÄN</t>
        </is>
      </c>
      <c r="E8724" t="inlineStr">
        <is>
          <t>NORSJÖ</t>
        </is>
      </c>
      <c r="G8724" t="n">
        <v>48.2</v>
      </c>
      <c r="H8724" t="n">
        <v>0</v>
      </c>
      <c r="I8724" t="n">
        <v>0</v>
      </c>
      <c r="J8724" t="n">
        <v>0</v>
      </c>
      <c r="K8724" t="n">
        <v>0</v>
      </c>
      <c r="L8724" t="n">
        <v>0</v>
      </c>
      <c r="M8724" t="n">
        <v>0</v>
      </c>
      <c r="N8724" t="n">
        <v>0</v>
      </c>
      <c r="O8724" t="n">
        <v>0</v>
      </c>
      <c r="P8724" t="n">
        <v>0</v>
      </c>
      <c r="Q8724" t="n">
        <v>0</v>
      </c>
      <c r="R8724" s="2" t="inlineStr"/>
    </row>
    <row r="8725" ht="15" customHeight="1">
      <c r="A8725" t="inlineStr">
        <is>
          <t>A 2842-2026</t>
        </is>
      </c>
      <c r="B8725" s="1" t="n">
        <v>46038.46935185185</v>
      </c>
      <c r="C8725" s="1" t="n">
        <v>46145</v>
      </c>
      <c r="D8725" t="inlineStr">
        <is>
          <t>VÄSTERBOTTENS LÄN</t>
        </is>
      </c>
      <c r="E8725" t="inlineStr">
        <is>
          <t>DOROTEA</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2603-2026</t>
        </is>
      </c>
      <c r="B8726" s="1" t="n">
        <v>46037</v>
      </c>
      <c r="C8726" s="1" t="n">
        <v>46145</v>
      </c>
      <c r="D8726" t="inlineStr">
        <is>
          <t>VÄSTERBOTTENS LÄN</t>
        </is>
      </c>
      <c r="E8726" t="inlineStr">
        <is>
          <t>UMEÅ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53183-2023</t>
        </is>
      </c>
      <c r="B8727" s="1" t="n">
        <v>45229.41625</v>
      </c>
      <c r="C8727" s="1" t="n">
        <v>46145</v>
      </c>
      <c r="D8727" t="inlineStr">
        <is>
          <t>VÄSTERBOTTENS LÄN</t>
        </is>
      </c>
      <c r="E8727" t="inlineStr">
        <is>
          <t>SKELLEFTEÅ</t>
        </is>
      </c>
      <c r="F8727" t="inlineStr">
        <is>
          <t>Sveaskog</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54449-2023</t>
        </is>
      </c>
      <c r="B8728" s="1" t="n">
        <v>45226</v>
      </c>
      <c r="C8728" s="1" t="n">
        <v>46145</v>
      </c>
      <c r="D8728" t="inlineStr">
        <is>
          <t>VÄSTERBOTTENS LÄN</t>
        </is>
      </c>
      <c r="E8728" t="inlineStr">
        <is>
          <t>SKELLEFTEÅ</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61749-2023</t>
        </is>
      </c>
      <c r="B8729" s="1" t="n">
        <v>45264</v>
      </c>
      <c r="C8729" s="1" t="n">
        <v>46145</v>
      </c>
      <c r="D8729" t="inlineStr">
        <is>
          <t>VÄSTERBOTTENS LÄN</t>
        </is>
      </c>
      <c r="E8729" t="inlineStr">
        <is>
          <t>UMEÅ</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30009-2022</t>
        </is>
      </c>
      <c r="B8730" s="1" t="n">
        <v>44756.94358796296</v>
      </c>
      <c r="C8730" s="1" t="n">
        <v>46145</v>
      </c>
      <c r="D8730" t="inlineStr">
        <is>
          <t>VÄSTERBOTTENS LÄN</t>
        </is>
      </c>
      <c r="E8730" t="inlineStr">
        <is>
          <t>NORDMALING</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23974-2022</t>
        </is>
      </c>
      <c r="B8731" s="1" t="n">
        <v>44722</v>
      </c>
      <c r="C8731" s="1" t="n">
        <v>46145</v>
      </c>
      <c r="D8731" t="inlineStr">
        <is>
          <t>VÄSTERBOTTENS LÄN</t>
        </is>
      </c>
      <c r="E8731" t="inlineStr">
        <is>
          <t>BJURHOLM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3559-2026</t>
        </is>
      </c>
      <c r="B8732" s="1" t="n">
        <v>46042.67120370371</v>
      </c>
      <c r="C8732" s="1" t="n">
        <v>46145</v>
      </c>
      <c r="D8732" t="inlineStr">
        <is>
          <t>VÄSTERBOTTENS LÄN</t>
        </is>
      </c>
      <c r="E8732" t="inlineStr">
        <is>
          <t>DOROTEA</t>
        </is>
      </c>
      <c r="F8732" t="inlineStr">
        <is>
          <t>SCA</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3212-2024</t>
        </is>
      </c>
      <c r="B8733" s="1" t="n">
        <v>45316</v>
      </c>
      <c r="C8733" s="1" t="n">
        <v>46145</v>
      </c>
      <c r="D8733" t="inlineStr">
        <is>
          <t>VÄSTERBOTTENS LÄN</t>
        </is>
      </c>
      <c r="E8733" t="inlineStr">
        <is>
          <t>VINDELN</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1875-2024</t>
        </is>
      </c>
      <c r="B8734" s="1" t="n">
        <v>45307.92592592593</v>
      </c>
      <c r="C8734" s="1" t="n">
        <v>46145</v>
      </c>
      <c r="D8734" t="inlineStr">
        <is>
          <t>VÄSTERBOTTENS LÄN</t>
        </is>
      </c>
      <c r="E8734" t="inlineStr">
        <is>
          <t>BJURHOLM</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62300-2023</t>
        </is>
      </c>
      <c r="B8735" s="1" t="n">
        <v>45266</v>
      </c>
      <c r="C8735" s="1" t="n">
        <v>46145</v>
      </c>
      <c r="D8735" t="inlineStr">
        <is>
          <t>VÄSTERBOTTENS LÄN</t>
        </is>
      </c>
      <c r="E8735" t="inlineStr">
        <is>
          <t>SKELLEFTEÅ</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3300-2026</t>
        </is>
      </c>
      <c r="B8736" s="1" t="n">
        <v>46041.65482638889</v>
      </c>
      <c r="C8736" s="1" t="n">
        <v>46145</v>
      </c>
      <c r="D8736" t="inlineStr">
        <is>
          <t>VÄSTERBOTTENS LÄN</t>
        </is>
      </c>
      <c r="E8736" t="inlineStr">
        <is>
          <t>VINDELN</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3310-2026</t>
        </is>
      </c>
      <c r="B8737" s="1" t="n">
        <v>46041.66850694444</v>
      </c>
      <c r="C8737" s="1" t="n">
        <v>46145</v>
      </c>
      <c r="D8737" t="inlineStr">
        <is>
          <t>VÄSTERBOTTENS LÄN</t>
        </is>
      </c>
      <c r="E8737" t="inlineStr">
        <is>
          <t>SKELLEFTEÅ</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54401-2023</t>
        </is>
      </c>
      <c r="B8738" s="1" t="n">
        <v>45226</v>
      </c>
      <c r="C8738" s="1" t="n">
        <v>46145</v>
      </c>
      <c r="D8738" t="inlineStr">
        <is>
          <t>VÄSTERBOTTENS LÄN</t>
        </is>
      </c>
      <c r="E8738" t="inlineStr">
        <is>
          <t>SKELLEFTEÅ</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3368-2026</t>
        </is>
      </c>
      <c r="B8739" s="1" t="n">
        <v>46042.34465277778</v>
      </c>
      <c r="C8739" s="1" t="n">
        <v>46145</v>
      </c>
      <c r="D8739" t="inlineStr">
        <is>
          <t>VÄSTERBOTTENS LÄN</t>
        </is>
      </c>
      <c r="E8739" t="inlineStr">
        <is>
          <t>DOROTEA</t>
        </is>
      </c>
      <c r="F8739" t="inlineStr">
        <is>
          <t>SCA</t>
        </is>
      </c>
      <c r="G8739" t="n">
        <v>11.9</v>
      </c>
      <c r="H8739" t="n">
        <v>0</v>
      </c>
      <c r="I8739" t="n">
        <v>0</v>
      </c>
      <c r="J8739" t="n">
        <v>0</v>
      </c>
      <c r="K8739" t="n">
        <v>0</v>
      </c>
      <c r="L8739" t="n">
        <v>0</v>
      </c>
      <c r="M8739" t="n">
        <v>0</v>
      </c>
      <c r="N8739" t="n">
        <v>0</v>
      </c>
      <c r="O8739" t="n">
        <v>0</v>
      </c>
      <c r="P8739" t="n">
        <v>0</v>
      </c>
      <c r="Q8739" t="n">
        <v>0</v>
      </c>
      <c r="R8739" s="2" t="inlineStr"/>
    </row>
    <row r="8740" ht="15" customHeight="1">
      <c r="A8740" t="inlineStr">
        <is>
          <t>A 61795-2023</t>
        </is>
      </c>
      <c r="B8740" s="1" t="n">
        <v>45265</v>
      </c>
      <c r="C8740" s="1" t="n">
        <v>46145</v>
      </c>
      <c r="D8740" t="inlineStr">
        <is>
          <t>VÄSTERBOTTENS LÄN</t>
        </is>
      </c>
      <c r="E8740" t="inlineStr">
        <is>
          <t>NORDMALING</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61801-2023</t>
        </is>
      </c>
      <c r="B8741" s="1" t="n">
        <v>45265.95881944444</v>
      </c>
      <c r="C8741" s="1" t="n">
        <v>46145</v>
      </c>
      <c r="D8741" t="inlineStr">
        <is>
          <t>VÄSTERBOTTENS LÄN</t>
        </is>
      </c>
      <c r="E8741" t="inlineStr">
        <is>
          <t>ÅSELE</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3371-2026</t>
        </is>
      </c>
      <c r="B8742" s="1" t="n">
        <v>46042.34534722222</v>
      </c>
      <c r="C8742" s="1" t="n">
        <v>46145</v>
      </c>
      <c r="D8742" t="inlineStr">
        <is>
          <t>VÄSTERBOTTENS LÄN</t>
        </is>
      </c>
      <c r="E8742" t="inlineStr">
        <is>
          <t>UMEÅ</t>
        </is>
      </c>
      <c r="F8742" t="inlineStr">
        <is>
          <t>Holmen skog AB</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44459-2023</t>
        </is>
      </c>
      <c r="B8743" s="1" t="n">
        <v>45189</v>
      </c>
      <c r="C8743" s="1" t="n">
        <v>46145</v>
      </c>
      <c r="D8743" t="inlineStr">
        <is>
          <t>VÄSTERBOTTENS LÄN</t>
        </is>
      </c>
      <c r="E8743" t="inlineStr">
        <is>
          <t>UMEÅ</t>
        </is>
      </c>
      <c r="F8743" t="inlineStr">
        <is>
          <t>Holmen skog AB</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3494-2026</t>
        </is>
      </c>
      <c r="B8744" s="1" t="n">
        <v>46042.57334490741</v>
      </c>
      <c r="C8744" s="1" t="n">
        <v>46145</v>
      </c>
      <c r="D8744" t="inlineStr">
        <is>
          <t>VÄSTERBOTTENS LÄN</t>
        </is>
      </c>
      <c r="E8744" t="inlineStr">
        <is>
          <t>NORDMALING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55427-2023</t>
        </is>
      </c>
      <c r="B8745" s="1" t="n">
        <v>45238.42410879629</v>
      </c>
      <c r="C8745" s="1" t="n">
        <v>46145</v>
      </c>
      <c r="D8745" t="inlineStr">
        <is>
          <t>VÄSTERBOTTENS LÄN</t>
        </is>
      </c>
      <c r="E8745" t="inlineStr">
        <is>
          <t>VINDELN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54813-2023</t>
        </is>
      </c>
      <c r="B8746" s="1" t="n">
        <v>45236</v>
      </c>
      <c r="C8746" s="1" t="n">
        <v>46145</v>
      </c>
      <c r="D8746" t="inlineStr">
        <is>
          <t>VÄSTERBOTTENS LÄN</t>
        </is>
      </c>
      <c r="E8746" t="inlineStr">
        <is>
          <t>SKELLEFTEÅ</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3503-2026</t>
        </is>
      </c>
      <c r="B8747" s="1" t="n">
        <v>46042.57971064815</v>
      </c>
      <c r="C8747" s="1" t="n">
        <v>46145</v>
      </c>
      <c r="D8747" t="inlineStr">
        <is>
          <t>VÄSTERBOTTENS LÄN</t>
        </is>
      </c>
      <c r="E8747" t="inlineStr">
        <is>
          <t>NORDMALING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8256-2025</t>
        </is>
      </c>
      <c r="B8748" s="1" t="n">
        <v>45708.49795138889</v>
      </c>
      <c r="C8748" s="1" t="n">
        <v>46145</v>
      </c>
      <c r="D8748" t="inlineStr">
        <is>
          <t>VÄSTERBOTTENS LÄN</t>
        </is>
      </c>
      <c r="E8748" t="inlineStr">
        <is>
          <t>ROBERTSFORS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1649-2026</t>
        </is>
      </c>
      <c r="B8749" s="1" t="n">
        <v>46034</v>
      </c>
      <c r="C8749" s="1" t="n">
        <v>46145</v>
      </c>
      <c r="D8749" t="inlineStr">
        <is>
          <t>VÄSTERBOTTENS LÄN</t>
        </is>
      </c>
      <c r="E8749" t="inlineStr">
        <is>
          <t>SKELLEFTEÅ</t>
        </is>
      </c>
      <c r="F8749" t="inlineStr">
        <is>
          <t>Holmen skog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14247-2025</t>
        </is>
      </c>
      <c r="B8750" s="1" t="n">
        <v>45740.61497685185</v>
      </c>
      <c r="C8750" s="1" t="n">
        <v>46145</v>
      </c>
      <c r="D8750" t="inlineStr">
        <is>
          <t>VÄSTERBOTTENS LÄN</t>
        </is>
      </c>
      <c r="E8750" t="inlineStr">
        <is>
          <t>VINDELN</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3558-2026</t>
        </is>
      </c>
      <c r="B8751" s="1" t="n">
        <v>46042.67096064815</v>
      </c>
      <c r="C8751" s="1" t="n">
        <v>46145</v>
      </c>
      <c r="D8751" t="inlineStr">
        <is>
          <t>VÄSTERBOTTENS LÄN</t>
        </is>
      </c>
      <c r="E8751" t="inlineStr">
        <is>
          <t>ÅSELE</t>
        </is>
      </c>
      <c r="F8751" t="inlineStr">
        <is>
          <t>SCA</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55923-2023</t>
        </is>
      </c>
      <c r="B8752" s="1" t="n">
        <v>45239</v>
      </c>
      <c r="C8752" s="1" t="n">
        <v>46145</v>
      </c>
      <c r="D8752" t="inlineStr">
        <is>
          <t>VÄSTERBOTTENS LÄN</t>
        </is>
      </c>
      <c r="E8752" t="inlineStr">
        <is>
          <t>LYCKSELE</t>
        </is>
      </c>
      <c r="F8752" t="inlineStr">
        <is>
          <t>SCA</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3517-2026</t>
        </is>
      </c>
      <c r="B8753" s="1" t="n">
        <v>46042.58849537037</v>
      </c>
      <c r="C8753" s="1" t="n">
        <v>46145</v>
      </c>
      <c r="D8753" t="inlineStr">
        <is>
          <t>VÄSTERBOTTENS LÄN</t>
        </is>
      </c>
      <c r="E8753" t="inlineStr">
        <is>
          <t>NORDMALING</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3576-2026</t>
        </is>
      </c>
      <c r="B8754" s="1" t="n">
        <v>46042.71438657407</v>
      </c>
      <c r="C8754" s="1" t="n">
        <v>46145</v>
      </c>
      <c r="D8754" t="inlineStr">
        <is>
          <t>VÄSTERBOTTENS LÄN</t>
        </is>
      </c>
      <c r="E8754" t="inlineStr">
        <is>
          <t>ROBERTSFORS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3471-2026</t>
        </is>
      </c>
      <c r="B8755" s="1" t="n">
        <v>46042.538125</v>
      </c>
      <c r="C8755" s="1" t="n">
        <v>46145</v>
      </c>
      <c r="D8755" t="inlineStr">
        <is>
          <t>VÄSTERBOTTENS LÄN</t>
        </is>
      </c>
      <c r="E8755" t="inlineStr">
        <is>
          <t>MALÅ</t>
        </is>
      </c>
      <c r="F8755" t="inlineStr">
        <is>
          <t>Sveaskog</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3442-2026</t>
        </is>
      </c>
      <c r="B8756" s="1" t="n">
        <v>46042.47619212963</v>
      </c>
      <c r="C8756" s="1" t="n">
        <v>46145</v>
      </c>
      <c r="D8756" t="inlineStr">
        <is>
          <t>VÄSTERBOTTENS LÄN</t>
        </is>
      </c>
      <c r="E8756" t="inlineStr">
        <is>
          <t>SKELLEFTEÅ</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17863-2025</t>
        </is>
      </c>
      <c r="B8757" s="1" t="n">
        <v>45758.6283912037</v>
      </c>
      <c r="C8757" s="1" t="n">
        <v>46145</v>
      </c>
      <c r="D8757" t="inlineStr">
        <is>
          <t>VÄSTERBOTTENS LÄN</t>
        </is>
      </c>
      <c r="E8757" t="inlineStr">
        <is>
          <t>SORSELE</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3540-2026</t>
        </is>
      </c>
      <c r="B8758" s="1" t="n">
        <v>46042.63204861111</v>
      </c>
      <c r="C8758" s="1" t="n">
        <v>46145</v>
      </c>
      <c r="D8758" t="inlineStr">
        <is>
          <t>VÄSTERBOTTENS LÄN</t>
        </is>
      </c>
      <c r="E8758" t="inlineStr">
        <is>
          <t>VÄNNÄS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3538-2026</t>
        </is>
      </c>
      <c r="B8759" s="1" t="n">
        <v>46042.6296412037</v>
      </c>
      <c r="C8759" s="1" t="n">
        <v>46145</v>
      </c>
      <c r="D8759" t="inlineStr">
        <is>
          <t>VÄSTERBOTTENS LÄN</t>
        </is>
      </c>
      <c r="E8759" t="inlineStr">
        <is>
          <t>VÄNNÄS</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53640-2023</t>
        </is>
      </c>
      <c r="B8760" s="1" t="n">
        <v>45230.59909722222</v>
      </c>
      <c r="C8760" s="1" t="n">
        <v>46145</v>
      </c>
      <c r="D8760" t="inlineStr">
        <is>
          <t>VÄSTERBOTTENS LÄN</t>
        </is>
      </c>
      <c r="E8760" t="inlineStr">
        <is>
          <t>VINDELN</t>
        </is>
      </c>
      <c r="F8760" t="inlineStr">
        <is>
          <t>Sveaskog</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53116-2024</t>
        </is>
      </c>
      <c r="B8761" s="1" t="n">
        <v>45611.58083333333</v>
      </c>
      <c r="C8761" s="1" t="n">
        <v>46145</v>
      </c>
      <c r="D8761" t="inlineStr">
        <is>
          <t>VÄSTERBOTTENS LÄN</t>
        </is>
      </c>
      <c r="E8761" t="inlineStr">
        <is>
          <t>LYCKSELE</t>
        </is>
      </c>
      <c r="F8761" t="inlineStr">
        <is>
          <t>Sveaskog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53117-2024</t>
        </is>
      </c>
      <c r="B8762" s="1" t="n">
        <v>45611.58105324074</v>
      </c>
      <c r="C8762" s="1" t="n">
        <v>46145</v>
      </c>
      <c r="D8762" t="inlineStr">
        <is>
          <t>VÄSTERBOTTENS LÄN</t>
        </is>
      </c>
      <c r="E8762" t="inlineStr">
        <is>
          <t>SKELLEFTEÅ</t>
        </is>
      </c>
      <c r="F8762" t="inlineStr">
        <is>
          <t>Kommuner</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3562-2026</t>
        </is>
      </c>
      <c r="B8763" s="1" t="n">
        <v>46042.67149305555</v>
      </c>
      <c r="C8763" s="1" t="n">
        <v>46145</v>
      </c>
      <c r="D8763" t="inlineStr">
        <is>
          <t>VÄSTERBOTTENS LÄN</t>
        </is>
      </c>
      <c r="E8763" t="inlineStr">
        <is>
          <t>STORUMAN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59945-2023</t>
        </is>
      </c>
      <c r="B8764" s="1" t="n">
        <v>45254</v>
      </c>
      <c r="C8764" s="1" t="n">
        <v>46145</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3404-2026</t>
        </is>
      </c>
      <c r="B8765" s="1" t="n">
        <v>46042.39696759259</v>
      </c>
      <c r="C8765" s="1" t="n">
        <v>46145</v>
      </c>
      <c r="D8765" t="inlineStr">
        <is>
          <t>VÄSTERBOTTENS LÄN</t>
        </is>
      </c>
      <c r="E8765" t="inlineStr">
        <is>
          <t>SKELLEFTEÅ</t>
        </is>
      </c>
      <c r="F8765" t="inlineStr">
        <is>
          <t>Sveaskog</t>
        </is>
      </c>
      <c r="G8765" t="n">
        <v>62.4</v>
      </c>
      <c r="H8765" t="n">
        <v>0</v>
      </c>
      <c r="I8765" t="n">
        <v>0</v>
      </c>
      <c r="J8765" t="n">
        <v>0</v>
      </c>
      <c r="K8765" t="n">
        <v>0</v>
      </c>
      <c r="L8765" t="n">
        <v>0</v>
      </c>
      <c r="M8765" t="n">
        <v>0</v>
      </c>
      <c r="N8765" t="n">
        <v>0</v>
      </c>
      <c r="O8765" t="n">
        <v>0</v>
      </c>
      <c r="P8765" t="n">
        <v>0</v>
      </c>
      <c r="Q8765" t="n">
        <v>0</v>
      </c>
      <c r="R8765" s="2" t="inlineStr"/>
    </row>
    <row r="8766" ht="15" customHeight="1">
      <c r="A8766" t="inlineStr">
        <is>
          <t>A 3104-2026</t>
        </is>
      </c>
      <c r="B8766" s="1" t="n">
        <v>46041.34425925926</v>
      </c>
      <c r="C8766" s="1" t="n">
        <v>46145</v>
      </c>
      <c r="D8766" t="inlineStr">
        <is>
          <t>VÄSTERBOTTENS LÄN</t>
        </is>
      </c>
      <c r="E8766" t="inlineStr">
        <is>
          <t>NORDMALING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3150-2026</t>
        </is>
      </c>
      <c r="B8767" s="1" t="n">
        <v>46041.42417824074</v>
      </c>
      <c r="C8767" s="1" t="n">
        <v>46145</v>
      </c>
      <c r="D8767" t="inlineStr">
        <is>
          <t>VÄSTERBOTTENS LÄN</t>
        </is>
      </c>
      <c r="E8767" t="inlineStr">
        <is>
          <t>UMEÅ</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3154-2026</t>
        </is>
      </c>
      <c r="B8768" s="1" t="n">
        <v>46041.42799768518</v>
      </c>
      <c r="C8768" s="1" t="n">
        <v>46145</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55775-2023</t>
        </is>
      </c>
      <c r="B8769" s="1" t="n">
        <v>45232</v>
      </c>
      <c r="C8769" s="1" t="n">
        <v>46145</v>
      </c>
      <c r="D8769" t="inlineStr">
        <is>
          <t>VÄSTERBOTTENS LÄN</t>
        </is>
      </c>
      <c r="E8769" t="inlineStr">
        <is>
          <t>SKELLEFTEÅ</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47771-2022</t>
        </is>
      </c>
      <c r="B8770" s="1" t="n">
        <v>44854</v>
      </c>
      <c r="C8770" s="1" t="n">
        <v>46145</v>
      </c>
      <c r="D8770" t="inlineStr">
        <is>
          <t>VÄSTERBOTTENS LÄN</t>
        </is>
      </c>
      <c r="E8770" t="inlineStr">
        <is>
          <t>VÄNNÄS</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3434-2026</t>
        </is>
      </c>
      <c r="B8771" s="1" t="n">
        <v>46042.46931712963</v>
      </c>
      <c r="C8771" s="1" t="n">
        <v>46145</v>
      </c>
      <c r="D8771" t="inlineStr">
        <is>
          <t>VÄSTERBOTTENS LÄN</t>
        </is>
      </c>
      <c r="E8771" t="inlineStr">
        <is>
          <t>DOROTEA</t>
        </is>
      </c>
      <c r="F8771" t="inlineStr">
        <is>
          <t>SCA</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55742-2025</t>
        </is>
      </c>
      <c r="B8772" s="1" t="n">
        <v>45972</v>
      </c>
      <c r="C8772" s="1" t="n">
        <v>46145</v>
      </c>
      <c r="D8772" t="inlineStr">
        <is>
          <t>VÄSTERBOTTENS LÄN</t>
        </is>
      </c>
      <c r="E8772" t="inlineStr">
        <is>
          <t>VILHELMINA</t>
        </is>
      </c>
      <c r="G8772" t="n">
        <v>36.2</v>
      </c>
      <c r="H8772" t="n">
        <v>0</v>
      </c>
      <c r="I8772" t="n">
        <v>0</v>
      </c>
      <c r="J8772" t="n">
        <v>0</v>
      </c>
      <c r="K8772" t="n">
        <v>0</v>
      </c>
      <c r="L8772" t="n">
        <v>0</v>
      </c>
      <c r="M8772" t="n">
        <v>0</v>
      </c>
      <c r="N8772" t="n">
        <v>0</v>
      </c>
      <c r="O8772" t="n">
        <v>0</v>
      </c>
      <c r="P8772" t="n">
        <v>0</v>
      </c>
      <c r="Q8772" t="n">
        <v>0</v>
      </c>
      <c r="R8772" s="2" t="inlineStr"/>
    </row>
    <row r="8773" ht="15" customHeight="1">
      <c r="A8773" t="inlineStr">
        <is>
          <t>A 3234-2026</t>
        </is>
      </c>
      <c r="B8773" s="1" t="n">
        <v>46041.56347222222</v>
      </c>
      <c r="C8773" s="1" t="n">
        <v>46145</v>
      </c>
      <c r="D8773" t="inlineStr">
        <is>
          <t>VÄSTERBOTTENS LÄN</t>
        </is>
      </c>
      <c r="E8773" t="inlineStr">
        <is>
          <t>UMEÅ</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17186-2025</t>
        </is>
      </c>
      <c r="B8774" s="1" t="n">
        <v>45756</v>
      </c>
      <c r="C8774" s="1" t="n">
        <v>46145</v>
      </c>
      <c r="D8774" t="inlineStr">
        <is>
          <t>VÄSTERBOTTENS LÄN</t>
        </is>
      </c>
      <c r="E8774" t="inlineStr">
        <is>
          <t>VILHELMINA</t>
        </is>
      </c>
      <c r="F8774" t="inlineStr">
        <is>
          <t>SCA</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15059-2025</t>
        </is>
      </c>
      <c r="B8775" s="1" t="n">
        <v>45743</v>
      </c>
      <c r="C8775" s="1" t="n">
        <v>46145</v>
      </c>
      <c r="D8775" t="inlineStr">
        <is>
          <t>VÄSTERBOTTENS LÄN</t>
        </is>
      </c>
      <c r="E8775" t="inlineStr">
        <is>
          <t>ÅSELE</t>
        </is>
      </c>
      <c r="F8775" t="inlineStr">
        <is>
          <t>Holmen skog AB</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17192-2025</t>
        </is>
      </c>
      <c r="B8776" s="1" t="n">
        <v>45756.39481481481</v>
      </c>
      <c r="C8776" s="1" t="n">
        <v>46145</v>
      </c>
      <c r="D8776" t="inlineStr">
        <is>
          <t>VÄSTERBOTTENS LÄN</t>
        </is>
      </c>
      <c r="E8776" t="inlineStr">
        <is>
          <t>LYCKSELE</t>
        </is>
      </c>
      <c r="F8776" t="inlineStr">
        <is>
          <t>Holmen skog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17210-2025</t>
        </is>
      </c>
      <c r="B8777" s="1" t="n">
        <v>45756.4359375</v>
      </c>
      <c r="C8777" s="1" t="n">
        <v>46145</v>
      </c>
      <c r="D8777" t="inlineStr">
        <is>
          <t>VÄSTERBOTTENS LÄN</t>
        </is>
      </c>
      <c r="E8777" t="inlineStr">
        <is>
          <t>ROBERTSFORS</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17237-2025</t>
        </is>
      </c>
      <c r="B8778" s="1" t="n">
        <v>45756.47723379629</v>
      </c>
      <c r="C8778" s="1" t="n">
        <v>46145</v>
      </c>
      <c r="D8778" t="inlineStr">
        <is>
          <t>VÄSTERBOTTENS LÄN</t>
        </is>
      </c>
      <c r="E8778" t="inlineStr">
        <is>
          <t>BJURHOLM</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17302-2025</t>
        </is>
      </c>
      <c r="B8779" s="1" t="n">
        <v>45756</v>
      </c>
      <c r="C8779" s="1" t="n">
        <v>46145</v>
      </c>
      <c r="D8779" t="inlineStr">
        <is>
          <t>VÄSTERBOTTENS LÄN</t>
        </is>
      </c>
      <c r="E8779" t="inlineStr">
        <is>
          <t>VILHELMINA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17314-2025</t>
        </is>
      </c>
      <c r="B8780" s="1" t="n">
        <v>45756</v>
      </c>
      <c r="C8780" s="1" t="n">
        <v>46145</v>
      </c>
      <c r="D8780" t="inlineStr">
        <is>
          <t>VÄSTERBOTTENS LÄN</t>
        </is>
      </c>
      <c r="E8780" t="inlineStr">
        <is>
          <t>VILHELMINA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995-2026</t>
        </is>
      </c>
      <c r="B8781" s="1" t="n">
        <v>46029</v>
      </c>
      <c r="C8781" s="1" t="n">
        <v>46145</v>
      </c>
      <c r="D8781" t="inlineStr">
        <is>
          <t>VÄSTERBOTTENS LÄN</t>
        </is>
      </c>
      <c r="E8781" t="inlineStr">
        <is>
          <t>DOROTEA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32581-2022</t>
        </is>
      </c>
      <c r="B8782" s="1" t="n">
        <v>44783</v>
      </c>
      <c r="C8782" s="1" t="n">
        <v>46145</v>
      </c>
      <c r="D8782" t="inlineStr">
        <is>
          <t>VÄSTERBOTTENS LÄN</t>
        </is>
      </c>
      <c r="E8782" t="inlineStr">
        <is>
          <t>ROBERTSFORS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9840-2025</t>
        </is>
      </c>
      <c r="B8783" s="1" t="n">
        <v>45716</v>
      </c>
      <c r="C8783" s="1" t="n">
        <v>46145</v>
      </c>
      <c r="D8783" t="inlineStr">
        <is>
          <t>VÄSTERBOTTENS LÄN</t>
        </is>
      </c>
      <c r="E8783" t="inlineStr">
        <is>
          <t>SKELLEFTEÅ</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3535-2026</t>
        </is>
      </c>
      <c r="B8784" s="1" t="n">
        <v>46042.62834490741</v>
      </c>
      <c r="C8784" s="1" t="n">
        <v>46145</v>
      </c>
      <c r="D8784" t="inlineStr">
        <is>
          <t>VÄSTERBOTTENS LÄN</t>
        </is>
      </c>
      <c r="E8784" t="inlineStr">
        <is>
          <t>NORSJÖ</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3370-2025</t>
        </is>
      </c>
      <c r="B8785" s="1" t="n">
        <v>45679</v>
      </c>
      <c r="C8785" s="1" t="n">
        <v>46145</v>
      </c>
      <c r="D8785" t="inlineStr">
        <is>
          <t>VÄSTERBOTTENS LÄN</t>
        </is>
      </c>
      <c r="E8785" t="inlineStr">
        <is>
          <t>SKELLEFTEÅ</t>
        </is>
      </c>
      <c r="G8785" t="n">
        <v>15.7</v>
      </c>
      <c r="H8785" t="n">
        <v>0</v>
      </c>
      <c r="I8785" t="n">
        <v>0</v>
      </c>
      <c r="J8785" t="n">
        <v>0</v>
      </c>
      <c r="K8785" t="n">
        <v>0</v>
      </c>
      <c r="L8785" t="n">
        <v>0</v>
      </c>
      <c r="M8785" t="n">
        <v>0</v>
      </c>
      <c r="N8785" t="n">
        <v>0</v>
      </c>
      <c r="O8785" t="n">
        <v>0</v>
      </c>
      <c r="P8785" t="n">
        <v>0</v>
      </c>
      <c r="Q8785" t="n">
        <v>0</v>
      </c>
      <c r="R8785" s="2" t="inlineStr"/>
    </row>
    <row r="8786" ht="15" customHeight="1">
      <c r="A8786" t="inlineStr">
        <is>
          <t>A 2955-2024</t>
        </is>
      </c>
      <c r="B8786" s="1" t="n">
        <v>45315.64509259259</v>
      </c>
      <c r="C8786" s="1" t="n">
        <v>46145</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3116-2026</t>
        </is>
      </c>
      <c r="B8787" s="1" t="n">
        <v>46041</v>
      </c>
      <c r="C8787" s="1" t="n">
        <v>46145</v>
      </c>
      <c r="D8787" t="inlineStr">
        <is>
          <t>VÄSTERBOTTENS LÄN</t>
        </is>
      </c>
      <c r="E8787" t="inlineStr">
        <is>
          <t>BJURHOLM</t>
        </is>
      </c>
      <c r="F8787" t="inlineStr">
        <is>
          <t>Holmen skog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58934-2024</t>
        </is>
      </c>
      <c r="B8788" s="1" t="n">
        <v>45636</v>
      </c>
      <c r="C8788" s="1" t="n">
        <v>46145</v>
      </c>
      <c r="D8788" t="inlineStr">
        <is>
          <t>VÄSTERBOTTENS LÄN</t>
        </is>
      </c>
      <c r="E8788" t="inlineStr">
        <is>
          <t>VILHELMINA</t>
        </is>
      </c>
      <c r="F8788" t="inlineStr">
        <is>
          <t>Allmännings- och besparingsskogar</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3215-2026</t>
        </is>
      </c>
      <c r="B8789" s="1" t="n">
        <v>46041.50340277778</v>
      </c>
      <c r="C8789" s="1" t="n">
        <v>46145</v>
      </c>
      <c r="D8789" t="inlineStr">
        <is>
          <t>VÄSTERBOTTENS LÄN</t>
        </is>
      </c>
      <c r="E8789" t="inlineStr">
        <is>
          <t>UMEÅ</t>
        </is>
      </c>
      <c r="F8789" t="inlineStr">
        <is>
          <t>Sveaskog</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3242-2026</t>
        </is>
      </c>
      <c r="B8790" s="1" t="n">
        <v>46041.56930555555</v>
      </c>
      <c r="C8790" s="1" t="n">
        <v>46145</v>
      </c>
      <c r="D8790" t="inlineStr">
        <is>
          <t>VÄSTERBOTTENS LÄN</t>
        </is>
      </c>
      <c r="E8790" t="inlineStr">
        <is>
          <t>VINDELN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57886-2023</t>
        </is>
      </c>
      <c r="B8791" s="1" t="n">
        <v>45247.47538194444</v>
      </c>
      <c r="C8791" s="1" t="n">
        <v>46145</v>
      </c>
      <c r="D8791" t="inlineStr">
        <is>
          <t>VÄSTERBOTTENS LÄN</t>
        </is>
      </c>
      <c r="E8791" t="inlineStr">
        <is>
          <t>BJURHOLM</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3369-2025</t>
        </is>
      </c>
      <c r="B8792" s="1" t="n">
        <v>45679</v>
      </c>
      <c r="C8792" s="1" t="n">
        <v>46145</v>
      </c>
      <c r="D8792" t="inlineStr">
        <is>
          <t>VÄSTERBOTTENS LÄN</t>
        </is>
      </c>
      <c r="E8792" t="inlineStr">
        <is>
          <t>SORSELE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8915-2025</t>
        </is>
      </c>
      <c r="B8793" s="1" t="n">
        <v>45713</v>
      </c>
      <c r="C8793" s="1" t="n">
        <v>46145</v>
      </c>
      <c r="D8793" t="inlineStr">
        <is>
          <t>VÄSTERBOTTENS LÄN</t>
        </is>
      </c>
      <c r="E8793" t="inlineStr">
        <is>
          <t>LYCKSELE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51544-2024</t>
        </is>
      </c>
      <c r="B8794" s="1" t="n">
        <v>45604</v>
      </c>
      <c r="C8794" s="1" t="n">
        <v>46145</v>
      </c>
      <c r="D8794" t="inlineStr">
        <is>
          <t>VÄSTERBOTTENS LÄN</t>
        </is>
      </c>
      <c r="E8794" t="inlineStr">
        <is>
          <t>ÅSELE</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10109-2025</t>
        </is>
      </c>
      <c r="B8795" s="1" t="n">
        <v>45719</v>
      </c>
      <c r="C8795" s="1" t="n">
        <v>46145</v>
      </c>
      <c r="D8795" t="inlineStr">
        <is>
          <t>VÄSTERBOTTENS LÄN</t>
        </is>
      </c>
      <c r="E8795" t="inlineStr">
        <is>
          <t>ÅSELE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17007-2024</t>
        </is>
      </c>
      <c r="B8796" s="1" t="n">
        <v>45411</v>
      </c>
      <c r="C8796" s="1" t="n">
        <v>46145</v>
      </c>
      <c r="D8796" t="inlineStr">
        <is>
          <t>VÄSTERBOTTENS LÄN</t>
        </is>
      </c>
      <c r="E8796" t="inlineStr">
        <is>
          <t>STORUMAN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13364-2025</t>
        </is>
      </c>
      <c r="B8797" s="1" t="n">
        <v>45735</v>
      </c>
      <c r="C8797" s="1" t="n">
        <v>46145</v>
      </c>
      <c r="D8797" t="inlineStr">
        <is>
          <t>VÄSTERBOTTENS LÄN</t>
        </is>
      </c>
      <c r="E8797" t="inlineStr">
        <is>
          <t>DOROTEA</t>
        </is>
      </c>
      <c r="F8797" t="inlineStr">
        <is>
          <t>SCA</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3964-2026</t>
        </is>
      </c>
      <c r="B8798" s="1" t="n">
        <v>46044.34483796296</v>
      </c>
      <c r="C8798" s="1" t="n">
        <v>46145</v>
      </c>
      <c r="D8798" t="inlineStr">
        <is>
          <t>VÄSTERBOTTENS LÄN</t>
        </is>
      </c>
      <c r="E8798" t="inlineStr">
        <is>
          <t>UMEÅ</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3966-2026</t>
        </is>
      </c>
      <c r="B8799" s="1" t="n">
        <v>46044.34902777777</v>
      </c>
      <c r="C8799" s="1" t="n">
        <v>46145</v>
      </c>
      <c r="D8799" t="inlineStr">
        <is>
          <t>VÄSTERBOTTENS LÄN</t>
        </is>
      </c>
      <c r="E8799" t="inlineStr">
        <is>
          <t>UMEÅ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3967-2026</t>
        </is>
      </c>
      <c r="B8800" s="1" t="n">
        <v>46044.35032407408</v>
      </c>
      <c r="C8800" s="1" t="n">
        <v>46145</v>
      </c>
      <c r="D8800" t="inlineStr">
        <is>
          <t>VÄSTERBOTTENS LÄN</t>
        </is>
      </c>
      <c r="E8800" t="inlineStr">
        <is>
          <t>LYCKSELE</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2608-2024</t>
        </is>
      </c>
      <c r="B8801" s="1" t="n">
        <v>45313.76722222222</v>
      </c>
      <c r="C8801" s="1" t="n">
        <v>46145</v>
      </c>
      <c r="D8801" t="inlineStr">
        <is>
          <t>VÄSTERBOTTENS LÄN</t>
        </is>
      </c>
      <c r="E8801" t="inlineStr">
        <is>
          <t>ÅSELE</t>
        </is>
      </c>
      <c r="F8801" t="inlineStr">
        <is>
          <t>Övriga Aktiebolag</t>
        </is>
      </c>
      <c r="G8801" t="n">
        <v>20.6</v>
      </c>
      <c r="H8801" t="n">
        <v>0</v>
      </c>
      <c r="I8801" t="n">
        <v>0</v>
      </c>
      <c r="J8801" t="n">
        <v>0</v>
      </c>
      <c r="K8801" t="n">
        <v>0</v>
      </c>
      <c r="L8801" t="n">
        <v>0</v>
      </c>
      <c r="M8801" t="n">
        <v>0</v>
      </c>
      <c r="N8801" t="n">
        <v>0</v>
      </c>
      <c r="O8801" t="n">
        <v>0</v>
      </c>
      <c r="P8801" t="n">
        <v>0</v>
      </c>
      <c r="Q8801" t="n">
        <v>0</v>
      </c>
      <c r="R8801" s="2" t="inlineStr"/>
    </row>
    <row r="8802" ht="15" customHeight="1">
      <c r="A8802" t="inlineStr">
        <is>
          <t>A 3972-2026</t>
        </is>
      </c>
      <c r="B8802" s="1" t="n">
        <v>46044.3530787037</v>
      </c>
      <c r="C8802" s="1" t="n">
        <v>46145</v>
      </c>
      <c r="D8802" t="inlineStr">
        <is>
          <t>VÄSTERBOTTENS LÄN</t>
        </is>
      </c>
      <c r="E8802" t="inlineStr">
        <is>
          <t>UMEÅ</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3973-2026</t>
        </is>
      </c>
      <c r="B8803" s="1" t="n">
        <v>46044</v>
      </c>
      <c r="C8803" s="1" t="n">
        <v>46145</v>
      </c>
      <c r="D8803" t="inlineStr">
        <is>
          <t>VÄSTERBOTTENS LÄN</t>
        </is>
      </c>
      <c r="E8803" t="inlineStr">
        <is>
          <t>LYCKSELE</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3977-2026</t>
        </is>
      </c>
      <c r="B8804" s="1" t="n">
        <v>46044</v>
      </c>
      <c r="C8804" s="1" t="n">
        <v>46145</v>
      </c>
      <c r="D8804" t="inlineStr">
        <is>
          <t>VÄSTERBOTTENS LÄN</t>
        </is>
      </c>
      <c r="E8804" t="inlineStr">
        <is>
          <t>LYCKSELE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59080-2022</t>
        </is>
      </c>
      <c r="B8805" s="1" t="n">
        <v>44904</v>
      </c>
      <c r="C8805" s="1" t="n">
        <v>46145</v>
      </c>
      <c r="D8805" t="inlineStr">
        <is>
          <t>VÄSTERBOTTENS LÄN</t>
        </is>
      </c>
      <c r="E8805" t="inlineStr">
        <is>
          <t>UMEÅ</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14461-2025</t>
        </is>
      </c>
      <c r="B8806" s="1" t="n">
        <v>45741.56851851852</v>
      </c>
      <c r="C8806" s="1" t="n">
        <v>46145</v>
      </c>
      <c r="D8806" t="inlineStr">
        <is>
          <t>VÄSTERBOTTENS LÄN</t>
        </is>
      </c>
      <c r="E8806" t="inlineStr">
        <is>
          <t>MALÅ</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25446-2024</t>
        </is>
      </c>
      <c r="B8807" s="1" t="n">
        <v>45463</v>
      </c>
      <c r="C8807" s="1" t="n">
        <v>46145</v>
      </c>
      <c r="D8807" t="inlineStr">
        <is>
          <t>VÄSTERBOTTENS LÄN</t>
        </is>
      </c>
      <c r="E8807" t="inlineStr">
        <is>
          <t>ROBERTSFORS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48209-2024</t>
        </is>
      </c>
      <c r="B8808" s="1" t="n">
        <v>45590</v>
      </c>
      <c r="C8808" s="1" t="n">
        <v>46145</v>
      </c>
      <c r="D8808" t="inlineStr">
        <is>
          <t>VÄSTERBOTTENS LÄN</t>
        </is>
      </c>
      <c r="E8808" t="inlineStr">
        <is>
          <t>ÅSELE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48206-2024</t>
        </is>
      </c>
      <c r="B8809" s="1" t="n">
        <v>45590</v>
      </c>
      <c r="C8809" s="1" t="n">
        <v>46145</v>
      </c>
      <c r="D8809" t="inlineStr">
        <is>
          <t>VÄSTERBOTTENS LÄN</t>
        </is>
      </c>
      <c r="E8809" t="inlineStr">
        <is>
          <t>ÅSELE</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4018-2026</t>
        </is>
      </c>
      <c r="B8810" s="1" t="n">
        <v>46044.42516203703</v>
      </c>
      <c r="C8810" s="1" t="n">
        <v>46145</v>
      </c>
      <c r="D8810" t="inlineStr">
        <is>
          <t>VÄSTERBOTTENS LÄN</t>
        </is>
      </c>
      <c r="E8810" t="inlineStr">
        <is>
          <t>BJURHOLM</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4084-2026</t>
        </is>
      </c>
      <c r="B8811" s="1" t="n">
        <v>46044.54697916667</v>
      </c>
      <c r="C8811" s="1" t="n">
        <v>46145</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3845-2026</t>
        </is>
      </c>
      <c r="B8812" s="1" t="n">
        <v>46043.6028125</v>
      </c>
      <c r="C8812" s="1" t="n">
        <v>46145</v>
      </c>
      <c r="D8812" t="inlineStr">
        <is>
          <t>VÄSTERBOTTENS LÄN</t>
        </is>
      </c>
      <c r="E8812" t="inlineStr">
        <is>
          <t>DOROTEA</t>
        </is>
      </c>
      <c r="F8812" t="inlineStr">
        <is>
          <t>SCA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3879-2026</t>
        </is>
      </c>
      <c r="B8813" s="1" t="n">
        <v>46043</v>
      </c>
      <c r="C8813" s="1" t="n">
        <v>46145</v>
      </c>
      <c r="D8813" t="inlineStr">
        <is>
          <t>VÄSTERBOTTENS LÄN</t>
        </is>
      </c>
      <c r="E8813" t="inlineStr">
        <is>
          <t>SORSELE</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14418-2025</t>
        </is>
      </c>
      <c r="B8814" s="1" t="n">
        <v>45741</v>
      </c>
      <c r="C8814" s="1" t="n">
        <v>46145</v>
      </c>
      <c r="D8814" t="inlineStr">
        <is>
          <t>VÄSTERBOTTENS LÄN</t>
        </is>
      </c>
      <c r="E8814" t="inlineStr">
        <is>
          <t>ROBERTSFORS</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4110-2026</t>
        </is>
      </c>
      <c r="B8815" s="1" t="n">
        <v>46043</v>
      </c>
      <c r="C8815" s="1" t="n">
        <v>46145</v>
      </c>
      <c r="D8815" t="inlineStr">
        <is>
          <t>VÄSTERBOTTENS LÄN</t>
        </is>
      </c>
      <c r="E8815" t="inlineStr">
        <is>
          <t>UMEÅ</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59648-2023</t>
        </is>
      </c>
      <c r="B8816" s="1" t="n">
        <v>45253</v>
      </c>
      <c r="C8816" s="1" t="n">
        <v>46145</v>
      </c>
      <c r="D8816" t="inlineStr">
        <is>
          <t>VÄSTERBOTTENS LÄN</t>
        </is>
      </c>
      <c r="E8816" t="inlineStr">
        <is>
          <t>SKELLEFTEÅ</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26626-2024</t>
        </is>
      </c>
      <c r="B8817" s="1" t="n">
        <v>45469.78458333333</v>
      </c>
      <c r="C8817" s="1" t="n">
        <v>46145</v>
      </c>
      <c r="D8817" t="inlineStr">
        <is>
          <t>VÄSTERBOTTENS LÄN</t>
        </is>
      </c>
      <c r="E8817" t="inlineStr">
        <is>
          <t>SKELLEFTEÅ</t>
        </is>
      </c>
      <c r="F8817" t="inlineStr">
        <is>
          <t>Sveaskog</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3590-2026</t>
        </is>
      </c>
      <c r="B8818" s="1" t="n">
        <v>46042.76789351852</v>
      </c>
      <c r="C8818" s="1" t="n">
        <v>46145</v>
      </c>
      <c r="D8818" t="inlineStr">
        <is>
          <t>VÄSTERBOTTENS LÄN</t>
        </is>
      </c>
      <c r="E8818" t="inlineStr">
        <is>
          <t>ROBERTSFORS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3601-2026</t>
        </is>
      </c>
      <c r="B8819" s="1" t="n">
        <v>46042.81972222222</v>
      </c>
      <c r="C8819" s="1" t="n">
        <v>46145</v>
      </c>
      <c r="D8819" t="inlineStr">
        <is>
          <t>VÄSTERBOTTENS LÄN</t>
        </is>
      </c>
      <c r="E8819" t="inlineStr">
        <is>
          <t>SORSELE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58012-2023</t>
        </is>
      </c>
      <c r="B8820" s="1" t="n">
        <v>45244</v>
      </c>
      <c r="C8820" s="1" t="n">
        <v>46145</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55456-2022</t>
        </is>
      </c>
      <c r="B8821" s="1" t="n">
        <v>44887</v>
      </c>
      <c r="C8821" s="1" t="n">
        <v>46145</v>
      </c>
      <c r="D8821" t="inlineStr">
        <is>
          <t>VÄSTERBOTTENS LÄN</t>
        </is>
      </c>
      <c r="E8821" t="inlineStr">
        <is>
          <t>LYCKSELE</t>
        </is>
      </c>
      <c r="F8821" t="inlineStr">
        <is>
          <t>Holmen skog AB</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64281-2023</t>
        </is>
      </c>
      <c r="B8822" s="1" t="n">
        <v>45279</v>
      </c>
      <c r="C8822" s="1" t="n">
        <v>46145</v>
      </c>
      <c r="D8822" t="inlineStr">
        <is>
          <t>VÄSTERBOTTENS LÄN</t>
        </is>
      </c>
      <c r="E8822" t="inlineStr">
        <is>
          <t>LYCKSELE</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4075-2026</t>
        </is>
      </c>
      <c r="B8823" s="1" t="n">
        <v>46044.533125</v>
      </c>
      <c r="C8823" s="1" t="n">
        <v>46145</v>
      </c>
      <c r="D8823" t="inlineStr">
        <is>
          <t>VÄSTERBOTTENS LÄN</t>
        </is>
      </c>
      <c r="E8823" t="inlineStr">
        <is>
          <t>SKELLEFTEÅ</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3858-2026</t>
        </is>
      </c>
      <c r="B8824" s="1" t="n">
        <v>46043.61787037037</v>
      </c>
      <c r="C8824" s="1" t="n">
        <v>46145</v>
      </c>
      <c r="D8824" t="inlineStr">
        <is>
          <t>VÄSTERBOTTENS LÄN</t>
        </is>
      </c>
      <c r="E8824" t="inlineStr">
        <is>
          <t>NORDMALING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35119-2022</t>
        </is>
      </c>
      <c r="B8825" s="1" t="n">
        <v>44797</v>
      </c>
      <c r="C8825" s="1" t="n">
        <v>46145</v>
      </c>
      <c r="D8825" t="inlineStr">
        <is>
          <t>VÄSTERBOTTENS LÄN</t>
        </is>
      </c>
      <c r="E8825" t="inlineStr">
        <is>
          <t>SKELLEFTEÅ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11314-2025</t>
        </is>
      </c>
      <c r="B8826" s="1" t="n">
        <v>45726.45561342593</v>
      </c>
      <c r="C8826" s="1" t="n">
        <v>46145</v>
      </c>
      <c r="D8826" t="inlineStr">
        <is>
          <t>VÄSTERBOTTENS LÄN</t>
        </is>
      </c>
      <c r="E8826" t="inlineStr">
        <is>
          <t>SKELLEFTEÅ</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3724-2026</t>
        </is>
      </c>
      <c r="B8827" s="1" t="n">
        <v>46043</v>
      </c>
      <c r="C8827" s="1" t="n">
        <v>46145</v>
      </c>
      <c r="D8827" t="inlineStr">
        <is>
          <t>VÄSTERBOTTENS LÄN</t>
        </is>
      </c>
      <c r="E8827" t="inlineStr">
        <is>
          <t>NORDMALING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4102-2026</t>
        </is>
      </c>
      <c r="B8828" s="1" t="n">
        <v>46044.57730324074</v>
      </c>
      <c r="C8828" s="1" t="n">
        <v>46145</v>
      </c>
      <c r="D8828" t="inlineStr">
        <is>
          <t>VÄSTERBOTTENS LÄN</t>
        </is>
      </c>
      <c r="E8828" t="inlineStr">
        <is>
          <t>LYCKSELE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4109-2026</t>
        </is>
      </c>
      <c r="B8829" s="1" t="n">
        <v>46044.59418981482</v>
      </c>
      <c r="C8829" s="1" t="n">
        <v>46145</v>
      </c>
      <c r="D8829" t="inlineStr">
        <is>
          <t>VÄSTERBOTTENS LÄN</t>
        </is>
      </c>
      <c r="E8829" t="inlineStr">
        <is>
          <t>VÄNNÄS</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4568-2024</t>
        </is>
      </c>
      <c r="B8830" s="1" t="n">
        <v>45327</v>
      </c>
      <c r="C8830" s="1" t="n">
        <v>46145</v>
      </c>
      <c r="D8830" t="inlineStr">
        <is>
          <t>VÄSTERBOTTENS LÄN</t>
        </is>
      </c>
      <c r="E8830" t="inlineStr">
        <is>
          <t>VINDELN</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38297-2024</t>
        </is>
      </c>
      <c r="B8831" s="1" t="n">
        <v>45545</v>
      </c>
      <c r="C8831" s="1" t="n">
        <v>46145</v>
      </c>
      <c r="D8831" t="inlineStr">
        <is>
          <t>VÄSTERBOTTENS LÄN</t>
        </is>
      </c>
      <c r="E8831" t="inlineStr">
        <is>
          <t>VILHELMINA</t>
        </is>
      </c>
      <c r="G8831" t="n">
        <v>139.8</v>
      </c>
      <c r="H8831" t="n">
        <v>0</v>
      </c>
      <c r="I8831" t="n">
        <v>0</v>
      </c>
      <c r="J8831" t="n">
        <v>0</v>
      </c>
      <c r="K8831" t="n">
        <v>0</v>
      </c>
      <c r="L8831" t="n">
        <v>0</v>
      </c>
      <c r="M8831" t="n">
        <v>0</v>
      </c>
      <c r="N8831" t="n">
        <v>0</v>
      </c>
      <c r="O8831" t="n">
        <v>0</v>
      </c>
      <c r="P8831" t="n">
        <v>0</v>
      </c>
      <c r="Q8831" t="n">
        <v>0</v>
      </c>
      <c r="R8831" s="2" t="inlineStr"/>
    </row>
    <row r="8832" ht="15" customHeight="1">
      <c r="A8832" t="inlineStr">
        <is>
          <t>A 8954-2023</t>
        </is>
      </c>
      <c r="B8832" s="1" t="n">
        <v>44974</v>
      </c>
      <c r="C8832" s="1" t="n">
        <v>46145</v>
      </c>
      <c r="D8832" t="inlineStr">
        <is>
          <t>VÄSTERBOTTENS LÄN</t>
        </is>
      </c>
      <c r="E8832" t="inlineStr">
        <is>
          <t>VINDELN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3746-2026</t>
        </is>
      </c>
      <c r="B8833" s="1" t="n">
        <v>46043.54019675926</v>
      </c>
      <c r="C8833" s="1" t="n">
        <v>46145</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62284-2023</t>
        </is>
      </c>
      <c r="B8834" s="1" t="n">
        <v>45267</v>
      </c>
      <c r="C8834" s="1" t="n">
        <v>46145</v>
      </c>
      <c r="D8834" t="inlineStr">
        <is>
          <t>VÄSTERBOTTENS LÄN</t>
        </is>
      </c>
      <c r="E8834" t="inlineStr">
        <is>
          <t>MALÅ</t>
        </is>
      </c>
      <c r="F8834" t="inlineStr">
        <is>
          <t>Sveaskog</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3953-2026</t>
        </is>
      </c>
      <c r="B8835" s="1" t="n">
        <v>46043</v>
      </c>
      <c r="C8835" s="1" t="n">
        <v>46145</v>
      </c>
      <c r="D8835" t="inlineStr">
        <is>
          <t>VÄSTERBOTTENS LÄN</t>
        </is>
      </c>
      <c r="E8835" t="inlineStr">
        <is>
          <t>SORSELE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3969-2026</t>
        </is>
      </c>
      <c r="B8836" s="1" t="n">
        <v>46044.35217592592</v>
      </c>
      <c r="C8836" s="1" t="n">
        <v>46145</v>
      </c>
      <c r="D8836" t="inlineStr">
        <is>
          <t>VÄSTERBOTTENS LÄN</t>
        </is>
      </c>
      <c r="E8836" t="inlineStr">
        <is>
          <t>UMEÅ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3982-2026</t>
        </is>
      </c>
      <c r="B8837" s="1" t="n">
        <v>46044</v>
      </c>
      <c r="C8837" s="1" t="n">
        <v>46145</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46072-2022</t>
        </is>
      </c>
      <c r="B8838" s="1" t="n">
        <v>44844</v>
      </c>
      <c r="C8838" s="1" t="n">
        <v>46145</v>
      </c>
      <c r="D8838" t="inlineStr">
        <is>
          <t>VÄSTERBOTTENS LÄN</t>
        </is>
      </c>
      <c r="E8838" t="inlineStr">
        <is>
          <t>STORUMAN</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46080-2022</t>
        </is>
      </c>
      <c r="B8839" s="1" t="n">
        <v>44845</v>
      </c>
      <c r="C8839" s="1" t="n">
        <v>46145</v>
      </c>
      <c r="D8839" t="inlineStr">
        <is>
          <t>VÄSTERBOTTENS LÄN</t>
        </is>
      </c>
      <c r="E8839" t="inlineStr">
        <is>
          <t>STORUMAN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4069-2026</t>
        </is>
      </c>
      <c r="B8840" s="1" t="n">
        <v>46044.52517361111</v>
      </c>
      <c r="C8840" s="1" t="n">
        <v>46145</v>
      </c>
      <c r="D8840" t="inlineStr">
        <is>
          <t>VÄSTERBOTTENS LÄN</t>
        </is>
      </c>
      <c r="E8840" t="inlineStr">
        <is>
          <t>SKELLEFTEÅ</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7837-2023</t>
        </is>
      </c>
      <c r="B8841" s="1" t="n">
        <v>44973.48649305556</v>
      </c>
      <c r="C8841" s="1" t="n">
        <v>46145</v>
      </c>
      <c r="D8841" t="inlineStr">
        <is>
          <t>VÄSTERBOTTENS LÄN</t>
        </is>
      </c>
      <c r="E8841" t="inlineStr">
        <is>
          <t>LYCKSELE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7129-2026</t>
        </is>
      </c>
      <c r="B8842" s="1" t="n">
        <v>46057</v>
      </c>
      <c r="C8842" s="1" t="n">
        <v>46145</v>
      </c>
      <c r="D8842" t="inlineStr">
        <is>
          <t>VÄSTERBOTTENS LÄN</t>
        </is>
      </c>
      <c r="E8842" t="inlineStr">
        <is>
          <t>STORUMAN</t>
        </is>
      </c>
      <c r="F8842" t="inlineStr">
        <is>
          <t>Sveaskog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61874-2023</t>
        </is>
      </c>
      <c r="B8843" s="1" t="n">
        <v>45266</v>
      </c>
      <c r="C8843" s="1" t="n">
        <v>46145</v>
      </c>
      <c r="D8843" t="inlineStr">
        <is>
          <t>VÄSTERBOTTENS LÄN</t>
        </is>
      </c>
      <c r="E8843" t="inlineStr">
        <is>
          <t>ÅSELE</t>
        </is>
      </c>
      <c r="F8843" t="inlineStr">
        <is>
          <t>Sveaskog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61876-2023</t>
        </is>
      </c>
      <c r="B8844" s="1" t="n">
        <v>45266</v>
      </c>
      <c r="C8844" s="1" t="n">
        <v>46145</v>
      </c>
      <c r="D8844" t="inlineStr">
        <is>
          <t>VÄSTERBOTTENS LÄN</t>
        </is>
      </c>
      <c r="E8844" t="inlineStr">
        <is>
          <t>ÅSELE</t>
        </is>
      </c>
      <c r="F8844" t="inlineStr">
        <is>
          <t>Sveaskog</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3827-2026</t>
        </is>
      </c>
      <c r="B8845" s="1" t="n">
        <v>46043.58608796296</v>
      </c>
      <c r="C8845" s="1" t="n">
        <v>46145</v>
      </c>
      <c r="D8845" t="inlineStr">
        <is>
          <t>VÄSTERBOTTENS LÄN</t>
        </is>
      </c>
      <c r="E8845" t="inlineStr">
        <is>
          <t>SKELLEFTEÅ</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3931-2026</t>
        </is>
      </c>
      <c r="B8846" s="1" t="n">
        <v>46043.78642361111</v>
      </c>
      <c r="C8846" s="1" t="n">
        <v>46145</v>
      </c>
      <c r="D8846" t="inlineStr">
        <is>
          <t>VÄSTERBOTTENS LÄN</t>
        </is>
      </c>
      <c r="E8846" t="inlineStr">
        <is>
          <t>NORDMALING</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3957-2026</t>
        </is>
      </c>
      <c r="B8847" s="1" t="n">
        <v>46044.33671296296</v>
      </c>
      <c r="C8847" s="1" t="n">
        <v>46145</v>
      </c>
      <c r="D8847" t="inlineStr">
        <is>
          <t>VÄSTERBOTTENS LÄN</t>
        </is>
      </c>
      <c r="E8847" t="inlineStr">
        <is>
          <t>UMEÅ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19778-2025</t>
        </is>
      </c>
      <c r="B8848" s="1" t="n">
        <v>45771.42734953704</v>
      </c>
      <c r="C8848" s="1" t="n">
        <v>46145</v>
      </c>
      <c r="D8848" t="inlineStr">
        <is>
          <t>VÄSTERBOTTENS LÄN</t>
        </is>
      </c>
      <c r="E8848" t="inlineStr">
        <is>
          <t>SKELLEFTEÅ</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3814-2026</t>
        </is>
      </c>
      <c r="B8849" s="1" t="n">
        <v>46043.58465277778</v>
      </c>
      <c r="C8849" s="1" t="n">
        <v>46145</v>
      </c>
      <c r="D8849" t="inlineStr">
        <is>
          <t>VÄSTERBOTTENS LÄN</t>
        </is>
      </c>
      <c r="E8849" t="inlineStr">
        <is>
          <t>SKELLEFTEÅ</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50420-2024</t>
        </is>
      </c>
      <c r="B8850" s="1" t="n">
        <v>45601</v>
      </c>
      <c r="C8850" s="1" t="n">
        <v>46145</v>
      </c>
      <c r="D8850" t="inlineStr">
        <is>
          <t>VÄSTERBOTTENS LÄN</t>
        </is>
      </c>
      <c r="E8850" t="inlineStr">
        <is>
          <t>ÅSELE</t>
        </is>
      </c>
      <c r="F8850" t="inlineStr">
        <is>
          <t>SCA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3829-2026</t>
        </is>
      </c>
      <c r="B8851" s="1" t="n">
        <v>46043.58797453704</v>
      </c>
      <c r="C8851" s="1" t="n">
        <v>46145</v>
      </c>
      <c r="D8851" t="inlineStr">
        <is>
          <t>VÄSTERBOTTENS LÄN</t>
        </is>
      </c>
      <c r="E8851" t="inlineStr">
        <is>
          <t>UMEÅ</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44187-2023</t>
        </is>
      </c>
      <c r="B8852" s="1" t="n">
        <v>45183</v>
      </c>
      <c r="C8852" s="1" t="n">
        <v>46145</v>
      </c>
      <c r="D8852" t="inlineStr">
        <is>
          <t>VÄSTERBOTTENS LÄN</t>
        </is>
      </c>
      <c r="E8852" t="inlineStr">
        <is>
          <t>BJURHOLM</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3993-2026</t>
        </is>
      </c>
      <c r="B8853" s="1" t="n">
        <v>46044.38584490741</v>
      </c>
      <c r="C8853" s="1" t="n">
        <v>46145</v>
      </c>
      <c r="D8853" t="inlineStr">
        <is>
          <t>VÄSTERBOTTENS LÄN</t>
        </is>
      </c>
      <c r="E8853" t="inlineStr">
        <is>
          <t>SKELLEFTEÅ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39042-2023</t>
        </is>
      </c>
      <c r="B8854" s="1" t="n">
        <v>45163.92680555556</v>
      </c>
      <c r="C8854" s="1" t="n">
        <v>46145</v>
      </c>
      <c r="D8854" t="inlineStr">
        <is>
          <t>VÄSTERBOTTENS LÄN</t>
        </is>
      </c>
      <c r="E8854" t="inlineStr">
        <is>
          <t>NORSJÖ</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4024-2026</t>
        </is>
      </c>
      <c r="B8855" s="1" t="n">
        <v>46044.43145833333</v>
      </c>
      <c r="C8855" s="1" t="n">
        <v>46145</v>
      </c>
      <c r="D8855" t="inlineStr">
        <is>
          <t>VÄSTERBOTTENS LÄN</t>
        </is>
      </c>
      <c r="E8855" t="inlineStr">
        <is>
          <t>SKELLEFTEÅ</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17561-2025</t>
        </is>
      </c>
      <c r="B8856" s="1" t="n">
        <v>45757.63712962963</v>
      </c>
      <c r="C8856" s="1" t="n">
        <v>46145</v>
      </c>
      <c r="D8856" t="inlineStr">
        <is>
          <t>VÄSTERBOTTENS LÄN</t>
        </is>
      </c>
      <c r="E8856" t="inlineStr">
        <is>
          <t>SKELLEFTEÅ</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4081-2026</t>
        </is>
      </c>
      <c r="B8857" s="1" t="n">
        <v>46044</v>
      </c>
      <c r="C8857" s="1" t="n">
        <v>46145</v>
      </c>
      <c r="D8857" t="inlineStr">
        <is>
          <t>VÄSTERBOTTENS LÄN</t>
        </is>
      </c>
      <c r="E8857" t="inlineStr">
        <is>
          <t>VÄNNÄS</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21035-2022</t>
        </is>
      </c>
      <c r="B8858" s="1" t="n">
        <v>44704</v>
      </c>
      <c r="C8858" s="1" t="n">
        <v>46145</v>
      </c>
      <c r="D8858" t="inlineStr">
        <is>
          <t>VÄSTERBOTTENS LÄN</t>
        </is>
      </c>
      <c r="E8858" t="inlineStr">
        <is>
          <t>SKELLEFTEÅ</t>
        </is>
      </c>
      <c r="G8858" t="n">
        <v>26.9</v>
      </c>
      <c r="H8858" t="n">
        <v>0</v>
      </c>
      <c r="I8858" t="n">
        <v>0</v>
      </c>
      <c r="J8858" t="n">
        <v>0</v>
      </c>
      <c r="K8858" t="n">
        <v>0</v>
      </c>
      <c r="L8858" t="n">
        <v>0</v>
      </c>
      <c r="M8858" t="n">
        <v>0</v>
      </c>
      <c r="N8858" t="n">
        <v>0</v>
      </c>
      <c r="O8858" t="n">
        <v>0</v>
      </c>
      <c r="P8858" t="n">
        <v>0</v>
      </c>
      <c r="Q8858" t="n">
        <v>0</v>
      </c>
      <c r="R8858" s="2" t="inlineStr"/>
    </row>
    <row r="8859" ht="15" customHeight="1">
      <c r="A8859" t="inlineStr">
        <is>
          <t>A 8993-2024</t>
        </is>
      </c>
      <c r="B8859" s="1" t="n">
        <v>45357.55085648148</v>
      </c>
      <c r="C8859" s="1" t="n">
        <v>46145</v>
      </c>
      <c r="D8859" t="inlineStr">
        <is>
          <t>VÄSTERBOTTENS LÄN</t>
        </is>
      </c>
      <c r="E8859" t="inlineStr">
        <is>
          <t>VÄNNÄS</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9688-2024</t>
        </is>
      </c>
      <c r="B8860" s="1" t="n">
        <v>45362</v>
      </c>
      <c r="C8860" s="1" t="n">
        <v>46145</v>
      </c>
      <c r="D8860" t="inlineStr">
        <is>
          <t>VÄSTERBOTTENS LÄN</t>
        </is>
      </c>
      <c r="E8860" t="inlineStr">
        <is>
          <t>BJURHOLM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4108-2026</t>
        </is>
      </c>
      <c r="B8861" s="1" t="n">
        <v>46044.59416666667</v>
      </c>
      <c r="C8861" s="1" t="n">
        <v>46145</v>
      </c>
      <c r="D8861" t="inlineStr">
        <is>
          <t>VÄSTERBOTTENS LÄN</t>
        </is>
      </c>
      <c r="E8861" t="inlineStr">
        <is>
          <t>VÄNNÄS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3726-2026</t>
        </is>
      </c>
      <c r="B8862" s="1" t="n">
        <v>46043.50471064815</v>
      </c>
      <c r="C8862" s="1" t="n">
        <v>46145</v>
      </c>
      <c r="D8862" t="inlineStr">
        <is>
          <t>VÄSTERBOTTENS LÄN</t>
        </is>
      </c>
      <c r="E8862" t="inlineStr">
        <is>
          <t>UMEÅ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2100-2024</t>
        </is>
      </c>
      <c r="B8863" s="1" t="n">
        <v>45309.44717592592</v>
      </c>
      <c r="C8863" s="1" t="n">
        <v>46145</v>
      </c>
      <c r="D8863" t="inlineStr">
        <is>
          <t>VÄSTERBOTTENS LÄN</t>
        </is>
      </c>
      <c r="E8863" t="inlineStr">
        <is>
          <t>VINDELN</t>
        </is>
      </c>
      <c r="F8863" t="inlineStr">
        <is>
          <t>Sveaskog</t>
        </is>
      </c>
      <c r="G8863" t="n">
        <v>9.5</v>
      </c>
      <c r="H8863" t="n">
        <v>0</v>
      </c>
      <c r="I8863" t="n">
        <v>0</v>
      </c>
      <c r="J8863" t="n">
        <v>0</v>
      </c>
      <c r="K8863" t="n">
        <v>0</v>
      </c>
      <c r="L8863" t="n">
        <v>0</v>
      </c>
      <c r="M8863" t="n">
        <v>0</v>
      </c>
      <c r="N8863" t="n">
        <v>0</v>
      </c>
      <c r="O8863" t="n">
        <v>0</v>
      </c>
      <c r="P8863" t="n">
        <v>0</v>
      </c>
      <c r="Q8863" t="n">
        <v>0</v>
      </c>
      <c r="R8863" s="2" t="inlineStr"/>
    </row>
    <row r="8864" ht="15" customHeight="1">
      <c r="A8864" t="inlineStr">
        <is>
          <t>A 4022-2026</t>
        </is>
      </c>
      <c r="B8864" s="1" t="n">
        <v>46044.42758101852</v>
      </c>
      <c r="C8864" s="1" t="n">
        <v>46145</v>
      </c>
      <c r="D8864" t="inlineStr">
        <is>
          <t>VÄSTERBOTTENS LÄN</t>
        </is>
      </c>
      <c r="E8864" t="inlineStr">
        <is>
          <t>SKELLEFTEÅ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4090-2026</t>
        </is>
      </c>
      <c r="B8865" s="1" t="n">
        <v>46044.55434027778</v>
      </c>
      <c r="C8865" s="1" t="n">
        <v>46145</v>
      </c>
      <c r="D8865" t="inlineStr">
        <is>
          <t>VÄSTERBOTTENS LÄN</t>
        </is>
      </c>
      <c r="E8865" t="inlineStr">
        <is>
          <t>VÄNNÄS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3644-2026</t>
        </is>
      </c>
      <c r="B8866" s="1" t="n">
        <v>46043.35940972222</v>
      </c>
      <c r="C8866" s="1" t="n">
        <v>46145</v>
      </c>
      <c r="D8866" t="inlineStr">
        <is>
          <t>VÄSTERBOTTENS LÄN</t>
        </is>
      </c>
      <c r="E8866" t="inlineStr">
        <is>
          <t>SKELLEFTEÅ</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6075-2024</t>
        </is>
      </c>
      <c r="B8867" s="1" t="n">
        <v>45336.93761574074</v>
      </c>
      <c r="C8867" s="1" t="n">
        <v>46145</v>
      </c>
      <c r="D8867" t="inlineStr">
        <is>
          <t>VÄSTERBOTTENS LÄN</t>
        </is>
      </c>
      <c r="E8867" t="inlineStr">
        <is>
          <t>NORSJÖ</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19726-2025</t>
        </is>
      </c>
      <c r="B8868" s="1" t="n">
        <v>45771.36527777778</v>
      </c>
      <c r="C8868" s="1" t="n">
        <v>46145</v>
      </c>
      <c r="D8868" t="inlineStr">
        <is>
          <t>VÄSTERBOTTENS LÄN</t>
        </is>
      </c>
      <c r="E8868" t="inlineStr">
        <is>
          <t>DOROTEA</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30470-2022</t>
        </is>
      </c>
      <c r="B8869" s="1" t="n">
        <v>44761</v>
      </c>
      <c r="C8869" s="1" t="n">
        <v>46145</v>
      </c>
      <c r="D8869" t="inlineStr">
        <is>
          <t>VÄSTERBOTTENS LÄN</t>
        </is>
      </c>
      <c r="E8869" t="inlineStr">
        <is>
          <t>LYCKSELE</t>
        </is>
      </c>
      <c r="G8869" t="n">
        <v>11.9</v>
      </c>
      <c r="H8869" t="n">
        <v>0</v>
      </c>
      <c r="I8869" t="n">
        <v>0</v>
      </c>
      <c r="J8869" t="n">
        <v>0</v>
      </c>
      <c r="K8869" t="n">
        <v>0</v>
      </c>
      <c r="L8869" t="n">
        <v>0</v>
      </c>
      <c r="M8869" t="n">
        <v>0</v>
      </c>
      <c r="N8869" t="n">
        <v>0</v>
      </c>
      <c r="O8869" t="n">
        <v>0</v>
      </c>
      <c r="P8869" t="n">
        <v>0</v>
      </c>
      <c r="Q8869" t="n">
        <v>0</v>
      </c>
      <c r="R8869" s="2" t="inlineStr"/>
    </row>
    <row r="8870" ht="15" customHeight="1">
      <c r="A8870" t="inlineStr">
        <is>
          <t>A 19734-2025</t>
        </is>
      </c>
      <c r="B8870" s="1" t="n">
        <v>45771.36695601852</v>
      </c>
      <c r="C8870" s="1" t="n">
        <v>46145</v>
      </c>
      <c r="D8870" t="inlineStr">
        <is>
          <t>VÄSTERBOTTENS LÄN</t>
        </is>
      </c>
      <c r="E8870" t="inlineStr">
        <is>
          <t>VÄNNÄS</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3465-2024</t>
        </is>
      </c>
      <c r="B8871" s="1" t="n">
        <v>45320.40229166667</v>
      </c>
      <c r="C8871" s="1" t="n">
        <v>46145</v>
      </c>
      <c r="D8871" t="inlineStr">
        <is>
          <t>VÄSTERBOTTENS LÄN</t>
        </is>
      </c>
      <c r="E8871" t="inlineStr">
        <is>
          <t>SKELLEFTEÅ</t>
        </is>
      </c>
      <c r="G8871" t="n">
        <v>17.4</v>
      </c>
      <c r="H8871" t="n">
        <v>0</v>
      </c>
      <c r="I8871" t="n">
        <v>0</v>
      </c>
      <c r="J8871" t="n">
        <v>0</v>
      </c>
      <c r="K8871" t="n">
        <v>0</v>
      </c>
      <c r="L8871" t="n">
        <v>0</v>
      </c>
      <c r="M8871" t="n">
        <v>0</v>
      </c>
      <c r="N8871" t="n">
        <v>0</v>
      </c>
      <c r="O8871" t="n">
        <v>0</v>
      </c>
      <c r="P8871" t="n">
        <v>0</v>
      </c>
      <c r="Q8871" t="n">
        <v>0</v>
      </c>
      <c r="R8871" s="2" t="inlineStr"/>
    </row>
    <row r="8872" ht="15" customHeight="1">
      <c r="A8872" t="inlineStr">
        <is>
          <t>A 38987-2023</t>
        </is>
      </c>
      <c r="B8872" s="1" t="n">
        <v>45163</v>
      </c>
      <c r="C8872" s="1" t="n">
        <v>46145</v>
      </c>
      <c r="D8872" t="inlineStr">
        <is>
          <t>VÄSTERBOTTENS LÄN</t>
        </is>
      </c>
      <c r="E8872" t="inlineStr">
        <is>
          <t>VINDELN</t>
        </is>
      </c>
      <c r="F8872" t="inlineStr">
        <is>
          <t>Holmen skog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4554-2026</t>
        </is>
      </c>
      <c r="B8873" s="1" t="n">
        <v>46047.59396990741</v>
      </c>
      <c r="C8873" s="1" t="n">
        <v>46145</v>
      </c>
      <c r="D8873" t="inlineStr">
        <is>
          <t>VÄSTERBOTTENS LÄN</t>
        </is>
      </c>
      <c r="E8873" t="inlineStr">
        <is>
          <t>DOROTEA</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50725-2023</t>
        </is>
      </c>
      <c r="B8874" s="1" t="n">
        <v>45217</v>
      </c>
      <c r="C8874" s="1" t="n">
        <v>46145</v>
      </c>
      <c r="D8874" t="inlineStr">
        <is>
          <t>VÄSTERBOTTENS LÄN</t>
        </is>
      </c>
      <c r="E8874" t="inlineStr">
        <is>
          <t>UMEÅ</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50726-2023</t>
        </is>
      </c>
      <c r="B8875" s="1" t="n">
        <v>45217</v>
      </c>
      <c r="C8875" s="1" t="n">
        <v>46145</v>
      </c>
      <c r="D8875" t="inlineStr">
        <is>
          <t>VÄSTERBOTTENS LÄN</t>
        </is>
      </c>
      <c r="E8875" t="inlineStr">
        <is>
          <t>UMEÅ</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49026-2025</t>
        </is>
      </c>
      <c r="B8876" s="1" t="n">
        <v>45936</v>
      </c>
      <c r="C8876" s="1" t="n">
        <v>46145</v>
      </c>
      <c r="D8876" t="inlineStr">
        <is>
          <t>VÄSTERBOTTENS LÄN</t>
        </is>
      </c>
      <c r="E8876" t="inlineStr">
        <is>
          <t>NORSJÖ</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4362-2026</t>
        </is>
      </c>
      <c r="B8877" s="1" t="n">
        <v>46045.54386574074</v>
      </c>
      <c r="C8877" s="1" t="n">
        <v>46145</v>
      </c>
      <c r="D8877" t="inlineStr">
        <is>
          <t>VÄSTERBOTTENS LÄN</t>
        </is>
      </c>
      <c r="E8877" t="inlineStr">
        <is>
          <t>UMEÅ</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4367-2026</t>
        </is>
      </c>
      <c r="B8878" s="1" t="n">
        <v>46045.54577546296</v>
      </c>
      <c r="C8878" s="1" t="n">
        <v>46145</v>
      </c>
      <c r="D8878" t="inlineStr">
        <is>
          <t>VÄSTERBOTTENS LÄN</t>
        </is>
      </c>
      <c r="E8878" t="inlineStr">
        <is>
          <t>SORSELE</t>
        </is>
      </c>
      <c r="F8878" t="inlineStr">
        <is>
          <t>Sveaskog</t>
        </is>
      </c>
      <c r="G8878" t="n">
        <v>24.9</v>
      </c>
      <c r="H8878" t="n">
        <v>0</v>
      </c>
      <c r="I8878" t="n">
        <v>0</v>
      </c>
      <c r="J8878" t="n">
        <v>0</v>
      </c>
      <c r="K8878" t="n">
        <v>0</v>
      </c>
      <c r="L8878" t="n">
        <v>0</v>
      </c>
      <c r="M8878" t="n">
        <v>0</v>
      </c>
      <c r="N8878" t="n">
        <v>0</v>
      </c>
      <c r="O8878" t="n">
        <v>0</v>
      </c>
      <c r="P8878" t="n">
        <v>0</v>
      </c>
      <c r="Q8878" t="n">
        <v>0</v>
      </c>
      <c r="R8878" s="2" t="inlineStr"/>
    </row>
    <row r="8879" ht="15" customHeight="1">
      <c r="A8879" t="inlineStr">
        <is>
          <t>A 4689-2026</t>
        </is>
      </c>
      <c r="B8879" s="1" t="n">
        <v>46048.43972222223</v>
      </c>
      <c r="C8879" s="1" t="n">
        <v>46145</v>
      </c>
      <c r="D8879" t="inlineStr">
        <is>
          <t>VÄSTERBOTTENS LÄN</t>
        </is>
      </c>
      <c r="E8879" t="inlineStr">
        <is>
          <t>VILHELMINA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912-2023</t>
        </is>
      </c>
      <c r="B8880" s="1" t="n">
        <v>44931.92638888889</v>
      </c>
      <c r="C8880" s="1" t="n">
        <v>46145</v>
      </c>
      <c r="D8880" t="inlineStr">
        <is>
          <t>VÄSTERBOTTENS LÄN</t>
        </is>
      </c>
      <c r="E8880" t="inlineStr">
        <is>
          <t>DOROTEA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4796-2026</t>
        </is>
      </c>
      <c r="B8881" s="1" t="n">
        <v>46048.5734375</v>
      </c>
      <c r="C8881" s="1" t="n">
        <v>46145</v>
      </c>
      <c r="D8881" t="inlineStr">
        <is>
          <t>VÄSTERBOTTENS LÄN</t>
        </is>
      </c>
      <c r="E8881" t="inlineStr">
        <is>
          <t>VILHELMINA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10843-2024</t>
        </is>
      </c>
      <c r="B8882" s="1" t="n">
        <v>45369</v>
      </c>
      <c r="C8882" s="1" t="n">
        <v>46145</v>
      </c>
      <c r="D8882" t="inlineStr">
        <is>
          <t>VÄSTERBOTTENS LÄN</t>
        </is>
      </c>
      <c r="E8882" t="inlineStr">
        <is>
          <t>MALÅ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5474-2026</t>
        </is>
      </c>
      <c r="B8883" s="1" t="n">
        <v>46048</v>
      </c>
      <c r="C8883" s="1" t="n">
        <v>46145</v>
      </c>
      <c r="D8883" t="inlineStr">
        <is>
          <t>VÄSTERBOTTENS LÄN</t>
        </is>
      </c>
      <c r="E8883" t="inlineStr">
        <is>
          <t>ROBERTSFORS</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4898-2026</t>
        </is>
      </c>
      <c r="B8884" s="1" t="n">
        <v>46048.67756944444</v>
      </c>
      <c r="C8884" s="1" t="n">
        <v>46145</v>
      </c>
      <c r="D8884" t="inlineStr">
        <is>
          <t>VÄSTERBOTTENS LÄN</t>
        </is>
      </c>
      <c r="E8884" t="inlineStr">
        <is>
          <t>NORDMALING</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36816-2022</t>
        </is>
      </c>
      <c r="B8885" s="1" t="n">
        <v>44805.5507175926</v>
      </c>
      <c r="C8885" s="1" t="n">
        <v>46145</v>
      </c>
      <c r="D8885" t="inlineStr">
        <is>
          <t>VÄSTERBOTTENS LÄN</t>
        </is>
      </c>
      <c r="E8885" t="inlineStr">
        <is>
          <t>UMEÅ</t>
        </is>
      </c>
      <c r="F8885" t="inlineStr">
        <is>
          <t>Holmen skog AB</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4332-2026</t>
        </is>
      </c>
      <c r="B8886" s="1" t="n">
        <v>46045.48094907407</v>
      </c>
      <c r="C8886" s="1" t="n">
        <v>46145</v>
      </c>
      <c r="D8886" t="inlineStr">
        <is>
          <t>VÄSTERBOTTENS LÄN</t>
        </is>
      </c>
      <c r="E8886" t="inlineStr">
        <is>
          <t>NORDMALING</t>
        </is>
      </c>
      <c r="G8886" t="n">
        <v>22.4</v>
      </c>
      <c r="H8886" t="n">
        <v>0</v>
      </c>
      <c r="I8886" t="n">
        <v>0</v>
      </c>
      <c r="J8886" t="n">
        <v>0</v>
      </c>
      <c r="K8886" t="n">
        <v>0</v>
      </c>
      <c r="L8886" t="n">
        <v>0</v>
      </c>
      <c r="M8886" t="n">
        <v>0</v>
      </c>
      <c r="N8886" t="n">
        <v>0</v>
      </c>
      <c r="O8886" t="n">
        <v>0</v>
      </c>
      <c r="P8886" t="n">
        <v>0</v>
      </c>
      <c r="Q8886" t="n">
        <v>0</v>
      </c>
      <c r="R8886" s="2" t="inlineStr"/>
    </row>
    <row r="8887" ht="15" customHeight="1">
      <c r="A8887" t="inlineStr">
        <is>
          <t>A 4870-2026</t>
        </is>
      </c>
      <c r="B8887" s="1" t="n">
        <v>46048.6465625</v>
      </c>
      <c r="C8887" s="1" t="n">
        <v>46145</v>
      </c>
      <c r="D8887" t="inlineStr">
        <is>
          <t>VÄSTERBOTTENS LÄN</t>
        </is>
      </c>
      <c r="E8887" t="inlineStr">
        <is>
          <t>VÄNNÄS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59609-2023</t>
        </is>
      </c>
      <c r="B8888" s="1" t="n">
        <v>45254.6369675926</v>
      </c>
      <c r="C8888" s="1" t="n">
        <v>46145</v>
      </c>
      <c r="D8888" t="inlineStr">
        <is>
          <t>VÄSTERBOTTENS LÄN</t>
        </is>
      </c>
      <c r="E8888" t="inlineStr">
        <is>
          <t>VINDELN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4341-2026</t>
        </is>
      </c>
      <c r="B8889" s="1" t="n">
        <v>46045.50896990741</v>
      </c>
      <c r="C8889" s="1" t="n">
        <v>46145</v>
      </c>
      <c r="D8889" t="inlineStr">
        <is>
          <t>VÄSTERBOTTENS LÄN</t>
        </is>
      </c>
      <c r="E8889" t="inlineStr">
        <is>
          <t>SKELLEFTEÅ</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4364-2026</t>
        </is>
      </c>
      <c r="B8890" s="1" t="n">
        <v>46045.54497685185</v>
      </c>
      <c r="C8890" s="1" t="n">
        <v>46145</v>
      </c>
      <c r="D8890" t="inlineStr">
        <is>
          <t>VÄSTERBOTTENS LÄN</t>
        </is>
      </c>
      <c r="E8890" t="inlineStr">
        <is>
          <t>SORSELE</t>
        </is>
      </c>
      <c r="F8890" t="inlineStr">
        <is>
          <t>Sveaskog</t>
        </is>
      </c>
      <c r="G8890" t="n">
        <v>59.7</v>
      </c>
      <c r="H8890" t="n">
        <v>0</v>
      </c>
      <c r="I8890" t="n">
        <v>0</v>
      </c>
      <c r="J8890" t="n">
        <v>0</v>
      </c>
      <c r="K8890" t="n">
        <v>0</v>
      </c>
      <c r="L8890" t="n">
        <v>0</v>
      </c>
      <c r="M8890" t="n">
        <v>0</v>
      </c>
      <c r="N8890" t="n">
        <v>0</v>
      </c>
      <c r="O8890" t="n">
        <v>0</v>
      </c>
      <c r="P8890" t="n">
        <v>0</v>
      </c>
      <c r="Q8890" t="n">
        <v>0</v>
      </c>
      <c r="R8890" s="2" t="inlineStr"/>
    </row>
    <row r="8891" ht="15" customHeight="1">
      <c r="A8891" t="inlineStr">
        <is>
          <t>A 35266-2024</t>
        </is>
      </c>
      <c r="B8891" s="1" t="n">
        <v>45530</v>
      </c>
      <c r="C8891" s="1" t="n">
        <v>46145</v>
      </c>
      <c r="D8891" t="inlineStr">
        <is>
          <t>VÄSTERBOTTENS LÄN</t>
        </is>
      </c>
      <c r="E8891" t="inlineStr">
        <is>
          <t>LYCKSELE</t>
        </is>
      </c>
      <c r="F8891" t="inlineStr">
        <is>
          <t>Holmen skog AB</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4388-2026</t>
        </is>
      </c>
      <c r="B8892" s="1" t="n">
        <v>46045.56986111111</v>
      </c>
      <c r="C8892" s="1" t="n">
        <v>46145</v>
      </c>
      <c r="D8892" t="inlineStr">
        <is>
          <t>VÄSTERBOTTENS LÄN</t>
        </is>
      </c>
      <c r="E8892" t="inlineStr">
        <is>
          <t>LYCKSELE</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35273-2024</t>
        </is>
      </c>
      <c r="B8893" s="1" t="n">
        <v>45530</v>
      </c>
      <c r="C8893" s="1" t="n">
        <v>46145</v>
      </c>
      <c r="D8893" t="inlineStr">
        <is>
          <t>VÄSTERBOTTENS LÄN</t>
        </is>
      </c>
      <c r="E8893" t="inlineStr">
        <is>
          <t>LYCKSELE</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991-2024</t>
        </is>
      </c>
      <c r="B8894" s="1" t="n">
        <v>45301</v>
      </c>
      <c r="C8894" s="1" t="n">
        <v>46145</v>
      </c>
      <c r="D8894" t="inlineStr">
        <is>
          <t>VÄSTERBOTTENS LÄN</t>
        </is>
      </c>
      <c r="E8894" t="inlineStr">
        <is>
          <t>ROBERTSFORS</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19616-2025</t>
        </is>
      </c>
      <c r="B8895" s="1" t="n">
        <v>45770.61537037037</v>
      </c>
      <c r="C8895" s="1" t="n">
        <v>46145</v>
      </c>
      <c r="D8895" t="inlineStr">
        <is>
          <t>VÄSTERBOTTENS LÄN</t>
        </is>
      </c>
      <c r="E8895" t="inlineStr">
        <is>
          <t>DOROTEA</t>
        </is>
      </c>
      <c r="F8895" t="inlineStr">
        <is>
          <t>SCA</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8215-2023</t>
        </is>
      </c>
      <c r="B8896" s="1" t="n">
        <v>44971</v>
      </c>
      <c r="C8896" s="1" t="n">
        <v>46145</v>
      </c>
      <c r="D8896" t="inlineStr">
        <is>
          <t>VÄSTERBOTTENS LÄN</t>
        </is>
      </c>
      <c r="E8896" t="inlineStr">
        <is>
          <t>VILHELMINA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5467-2026</t>
        </is>
      </c>
      <c r="B8897" s="1" t="n">
        <v>46048</v>
      </c>
      <c r="C8897" s="1" t="n">
        <v>46145</v>
      </c>
      <c r="D8897" t="inlineStr">
        <is>
          <t>VÄSTERBOTTENS LÄN</t>
        </is>
      </c>
      <c r="E8897" t="inlineStr">
        <is>
          <t>UMEÅ</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1802-2024</t>
        </is>
      </c>
      <c r="B8898" s="1" t="n">
        <v>45307</v>
      </c>
      <c r="C8898" s="1" t="n">
        <v>46145</v>
      </c>
      <c r="D8898" t="inlineStr">
        <is>
          <t>VÄSTERBOTTENS LÄN</t>
        </is>
      </c>
      <c r="E8898" t="inlineStr">
        <is>
          <t>VINDELN</t>
        </is>
      </c>
      <c r="F8898" t="inlineStr">
        <is>
          <t>Sveaskog</t>
        </is>
      </c>
      <c r="G8898" t="n">
        <v>35.5</v>
      </c>
      <c r="H8898" t="n">
        <v>0</v>
      </c>
      <c r="I8898" t="n">
        <v>0</v>
      </c>
      <c r="J8898" t="n">
        <v>0</v>
      </c>
      <c r="K8898" t="n">
        <v>0</v>
      </c>
      <c r="L8898" t="n">
        <v>0</v>
      </c>
      <c r="M8898" t="n">
        <v>0</v>
      </c>
      <c r="N8898" t="n">
        <v>0</v>
      </c>
      <c r="O8898" t="n">
        <v>0</v>
      </c>
      <c r="P8898" t="n">
        <v>0</v>
      </c>
      <c r="Q8898" t="n">
        <v>0</v>
      </c>
      <c r="R8898" s="2" t="inlineStr"/>
    </row>
    <row r="8899" ht="15" customHeight="1">
      <c r="A8899" t="inlineStr">
        <is>
          <t>A 48754-2021</t>
        </is>
      </c>
      <c r="B8899" s="1" t="n">
        <v>44452</v>
      </c>
      <c r="C8899" s="1" t="n">
        <v>46145</v>
      </c>
      <c r="D8899" t="inlineStr">
        <is>
          <t>VÄSTERBOTTENS LÄN</t>
        </is>
      </c>
      <c r="E8899" t="inlineStr">
        <is>
          <t>VILHELMINA</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48756-2021</t>
        </is>
      </c>
      <c r="B8900" s="1" t="n">
        <v>44452</v>
      </c>
      <c r="C8900" s="1" t="n">
        <v>46145</v>
      </c>
      <c r="D8900" t="inlineStr">
        <is>
          <t>VÄSTERBOTTENS LÄN</t>
        </is>
      </c>
      <c r="E8900" t="inlineStr">
        <is>
          <t>VILHELMINA</t>
        </is>
      </c>
      <c r="G8900" t="n">
        <v>13.3</v>
      </c>
      <c r="H8900" t="n">
        <v>0</v>
      </c>
      <c r="I8900" t="n">
        <v>0</v>
      </c>
      <c r="J8900" t="n">
        <v>0</v>
      </c>
      <c r="K8900" t="n">
        <v>0</v>
      </c>
      <c r="L8900" t="n">
        <v>0</v>
      </c>
      <c r="M8900" t="n">
        <v>0</v>
      </c>
      <c r="N8900" t="n">
        <v>0</v>
      </c>
      <c r="O8900" t="n">
        <v>0</v>
      </c>
      <c r="P8900" t="n">
        <v>0</v>
      </c>
      <c r="Q8900" t="n">
        <v>0</v>
      </c>
      <c r="R8900" s="2" t="inlineStr"/>
    </row>
    <row r="8901" ht="15" customHeight="1">
      <c r="A8901" t="inlineStr">
        <is>
          <t>A 5145-2026</t>
        </is>
      </c>
      <c r="B8901" s="1" t="n">
        <v>46048</v>
      </c>
      <c r="C8901" s="1" t="n">
        <v>46145</v>
      </c>
      <c r="D8901" t="inlineStr">
        <is>
          <t>VÄSTERBOTTENS LÄN</t>
        </is>
      </c>
      <c r="E8901" t="inlineStr">
        <is>
          <t>ÅSELE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6998-2024</t>
        </is>
      </c>
      <c r="B8902" s="1" t="n">
        <v>45343</v>
      </c>
      <c r="C8902" s="1" t="n">
        <v>46145</v>
      </c>
      <c r="D8902" t="inlineStr">
        <is>
          <t>VÄSTERBOTTENS LÄN</t>
        </is>
      </c>
      <c r="E8902" t="inlineStr">
        <is>
          <t>UMEÅ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19119-2025</t>
        </is>
      </c>
      <c r="B8903" s="1" t="n">
        <v>45768.82230324074</v>
      </c>
      <c r="C8903" s="1" t="n">
        <v>46145</v>
      </c>
      <c r="D8903" t="inlineStr">
        <is>
          <t>VÄSTERBOTTENS LÄN</t>
        </is>
      </c>
      <c r="E8903" t="inlineStr">
        <is>
          <t>SKELLEFTEÅ</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27307-2022</t>
        </is>
      </c>
      <c r="B8904" s="1" t="n">
        <v>44742.3241550926</v>
      </c>
      <c r="C8904" s="1" t="n">
        <v>46145</v>
      </c>
      <c r="D8904" t="inlineStr">
        <is>
          <t>VÄSTERBOTTENS LÄN</t>
        </is>
      </c>
      <c r="E8904" t="inlineStr">
        <is>
          <t>UMEÅ</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18975-2023</t>
        </is>
      </c>
      <c r="B8905" s="1" t="n">
        <v>45044</v>
      </c>
      <c r="C8905" s="1" t="n">
        <v>46145</v>
      </c>
      <c r="D8905" t="inlineStr">
        <is>
          <t>VÄSTERBOTTENS LÄN</t>
        </is>
      </c>
      <c r="E8905" t="inlineStr">
        <is>
          <t>SKELLEFTEÅ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28367-2022</t>
        </is>
      </c>
      <c r="B8906" s="1" t="n">
        <v>44747</v>
      </c>
      <c r="C8906" s="1" t="n">
        <v>46145</v>
      </c>
      <c r="D8906" t="inlineStr">
        <is>
          <t>VÄSTERBOTTENS LÄN</t>
        </is>
      </c>
      <c r="E8906" t="inlineStr">
        <is>
          <t>VÄNNÄS</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17060-2025</t>
        </is>
      </c>
      <c r="B8907" s="1" t="n">
        <v>45755.60756944444</v>
      </c>
      <c r="C8907" s="1" t="n">
        <v>46145</v>
      </c>
      <c r="D8907" t="inlineStr">
        <is>
          <t>VÄSTERBOTTENS LÄN</t>
        </is>
      </c>
      <c r="E8907" t="inlineStr">
        <is>
          <t>BJURHOLM</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17073-2025</t>
        </is>
      </c>
      <c r="B8908" s="1" t="n">
        <v>45754</v>
      </c>
      <c r="C8908" s="1" t="n">
        <v>46145</v>
      </c>
      <c r="D8908" t="inlineStr">
        <is>
          <t>VÄSTERBOTTENS LÄN</t>
        </is>
      </c>
      <c r="E8908" t="inlineStr">
        <is>
          <t>VÄNNÄS</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17081-2025</t>
        </is>
      </c>
      <c r="B8909" s="1" t="n">
        <v>45755</v>
      </c>
      <c r="C8909" s="1" t="n">
        <v>46145</v>
      </c>
      <c r="D8909" t="inlineStr">
        <is>
          <t>VÄSTERBOTTENS LÄN</t>
        </is>
      </c>
      <c r="E8909" t="inlineStr">
        <is>
          <t>UMEÅ</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14013-2025</t>
        </is>
      </c>
      <c r="B8910" s="1" t="n">
        <v>45740.31539351852</v>
      </c>
      <c r="C8910" s="1" t="n">
        <v>46145</v>
      </c>
      <c r="D8910" t="inlineStr">
        <is>
          <t>VÄSTERBOTTENS LÄN</t>
        </is>
      </c>
      <c r="E8910" t="inlineStr">
        <is>
          <t>SKELLEFTEÅ</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5252-2024</t>
        </is>
      </c>
      <c r="B8911" s="1" t="n">
        <v>45330.93219907407</v>
      </c>
      <c r="C8911" s="1" t="n">
        <v>46145</v>
      </c>
      <c r="D8911" t="inlineStr">
        <is>
          <t>VÄSTERBOTTENS LÄN</t>
        </is>
      </c>
      <c r="E8911" t="inlineStr">
        <is>
          <t>SKELLEFTEÅ</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28347-2022</t>
        </is>
      </c>
      <c r="B8912" s="1" t="n">
        <v>44747.45532407407</v>
      </c>
      <c r="C8912" s="1" t="n">
        <v>46145</v>
      </c>
      <c r="D8912" t="inlineStr">
        <is>
          <t>VÄSTERBOTTENS LÄN</t>
        </is>
      </c>
      <c r="E8912" t="inlineStr">
        <is>
          <t>VÄNNÄS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11651-2025</t>
        </is>
      </c>
      <c r="B8913" s="1" t="n">
        <v>45727.4807175926</v>
      </c>
      <c r="C8913" s="1" t="n">
        <v>46145</v>
      </c>
      <c r="D8913" t="inlineStr">
        <is>
          <t>VÄSTERBOTTENS LÄN</t>
        </is>
      </c>
      <c r="E8913" t="inlineStr">
        <is>
          <t>NORDMALING</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4608-2026</t>
        </is>
      </c>
      <c r="B8914" s="1" t="n">
        <v>46048.35949074074</v>
      </c>
      <c r="C8914" s="1" t="n">
        <v>46145</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4633-2026</t>
        </is>
      </c>
      <c r="B8915" s="1" t="n">
        <v>46048.3909375</v>
      </c>
      <c r="C8915" s="1" t="n">
        <v>46145</v>
      </c>
      <c r="D8915" t="inlineStr">
        <is>
          <t>VÄSTERBOTTENS LÄN</t>
        </is>
      </c>
      <c r="E8915" t="inlineStr">
        <is>
          <t>UMEÅ</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4685-2026</t>
        </is>
      </c>
      <c r="B8916" s="1" t="n">
        <v>46048.43700231481</v>
      </c>
      <c r="C8916" s="1" t="n">
        <v>46145</v>
      </c>
      <c r="D8916" t="inlineStr">
        <is>
          <t>VÄSTERBOTTENS LÄN</t>
        </is>
      </c>
      <c r="E8916" t="inlineStr">
        <is>
          <t>VÄNNÄS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58350-2023</t>
        </is>
      </c>
      <c r="B8917" s="1" t="n">
        <v>45250.62596064815</v>
      </c>
      <c r="C8917" s="1" t="n">
        <v>46145</v>
      </c>
      <c r="D8917" t="inlineStr">
        <is>
          <t>VÄSTERBOTTENS LÄN</t>
        </is>
      </c>
      <c r="E8917" t="inlineStr">
        <is>
          <t>VINDELN</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19706-2025</t>
        </is>
      </c>
      <c r="B8918" s="1" t="n">
        <v>45771.34158564815</v>
      </c>
      <c r="C8918" s="1" t="n">
        <v>46145</v>
      </c>
      <c r="D8918" t="inlineStr">
        <is>
          <t>VÄSTERBOTTENS LÄN</t>
        </is>
      </c>
      <c r="E8918" t="inlineStr">
        <is>
          <t>VINDELN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4602-2026</t>
        </is>
      </c>
      <c r="B8919" s="1" t="n">
        <v>46048.35572916667</v>
      </c>
      <c r="C8919" s="1" t="n">
        <v>46145</v>
      </c>
      <c r="D8919" t="inlineStr">
        <is>
          <t>VÄSTERBOTTENS LÄN</t>
        </is>
      </c>
      <c r="E8919" t="inlineStr">
        <is>
          <t>NORDMALING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2170-2024</t>
        </is>
      </c>
      <c r="B8920" s="1" t="n">
        <v>45309.62446759259</v>
      </c>
      <c r="C8920" s="1" t="n">
        <v>46145</v>
      </c>
      <c r="D8920" t="inlineStr">
        <is>
          <t>VÄSTERBOTTENS LÄN</t>
        </is>
      </c>
      <c r="E8920" t="inlineStr">
        <is>
          <t>SKELLEFTEÅ</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8878-2024</t>
        </is>
      </c>
      <c r="B8921" s="1" t="n">
        <v>45357</v>
      </c>
      <c r="C8921" s="1" t="n">
        <v>46145</v>
      </c>
      <c r="D8921" t="inlineStr">
        <is>
          <t>VÄSTERBOTTENS LÄN</t>
        </is>
      </c>
      <c r="E8921" t="inlineStr">
        <is>
          <t>ÅSELE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7979-2022</t>
        </is>
      </c>
      <c r="B8922" s="1" t="n">
        <v>44608</v>
      </c>
      <c r="C8922" s="1" t="n">
        <v>46145</v>
      </c>
      <c r="D8922" t="inlineStr">
        <is>
          <t>VÄSTERBOTTENS LÄN</t>
        </is>
      </c>
      <c r="E8922" t="inlineStr">
        <is>
          <t>NORSJÖ</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5454-2026</t>
        </is>
      </c>
      <c r="B8923" s="1" t="n">
        <v>46048</v>
      </c>
      <c r="C8923" s="1" t="n">
        <v>46145</v>
      </c>
      <c r="D8923" t="inlineStr">
        <is>
          <t>VÄSTERBOTTENS LÄN</t>
        </is>
      </c>
      <c r="E8923" t="inlineStr">
        <is>
          <t>UMEÅ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24041-2023</t>
        </is>
      </c>
      <c r="B8924" s="1" t="n">
        <v>45078</v>
      </c>
      <c r="C8924" s="1" t="n">
        <v>46145</v>
      </c>
      <c r="D8924" t="inlineStr">
        <is>
          <t>VÄSTERBOTTENS LÄN</t>
        </is>
      </c>
      <c r="E8924" t="inlineStr">
        <is>
          <t>LYCKSELE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12437-2022</t>
        </is>
      </c>
      <c r="B8925" s="1" t="n">
        <v>44638</v>
      </c>
      <c r="C8925" s="1" t="n">
        <v>46145</v>
      </c>
      <c r="D8925" t="inlineStr">
        <is>
          <t>VÄSTERBOTTENS LÄN</t>
        </is>
      </c>
      <c r="E8925" t="inlineStr">
        <is>
          <t>SORSELE</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34712-2023</t>
        </is>
      </c>
      <c r="B8926" s="1" t="n">
        <v>45139</v>
      </c>
      <c r="C8926" s="1" t="n">
        <v>46145</v>
      </c>
      <c r="D8926" t="inlineStr">
        <is>
          <t>VÄSTERBOTTENS LÄN</t>
        </is>
      </c>
      <c r="E8926" t="inlineStr">
        <is>
          <t>BJURHOLM</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4254-2026</t>
        </is>
      </c>
      <c r="B8927" s="1" t="n">
        <v>46045.3296875</v>
      </c>
      <c r="C8927" s="1" t="n">
        <v>46145</v>
      </c>
      <c r="D8927" t="inlineStr">
        <is>
          <t>VÄSTERBOTTENS LÄN</t>
        </is>
      </c>
      <c r="E8927" t="inlineStr">
        <is>
          <t>LYCKSELE</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20510-2024</t>
        </is>
      </c>
      <c r="B8928" s="1" t="n">
        <v>45435.94324074074</v>
      </c>
      <c r="C8928" s="1" t="n">
        <v>46145</v>
      </c>
      <c r="D8928" t="inlineStr">
        <is>
          <t>VÄSTERBOTTENS LÄN</t>
        </is>
      </c>
      <c r="E8928" t="inlineStr">
        <is>
          <t>VILHELMINA</t>
        </is>
      </c>
      <c r="F8928" t="inlineStr">
        <is>
          <t>SCA</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80-2024</t>
        </is>
      </c>
      <c r="B8929" s="1" t="n">
        <v>45293</v>
      </c>
      <c r="C8929" s="1" t="n">
        <v>46145</v>
      </c>
      <c r="D8929" t="inlineStr">
        <is>
          <t>VÄSTERBOTTENS LÄN</t>
        </is>
      </c>
      <c r="E8929" t="inlineStr">
        <is>
          <t>BJURHOLM</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20523-2024</t>
        </is>
      </c>
      <c r="B8930" s="1" t="n">
        <v>45435.94553240741</v>
      </c>
      <c r="C8930" s="1" t="n">
        <v>46145</v>
      </c>
      <c r="D8930" t="inlineStr">
        <is>
          <t>VÄSTERBOTTENS LÄN</t>
        </is>
      </c>
      <c r="E8930" t="inlineStr">
        <is>
          <t>VILHELMINA</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29619-2024</t>
        </is>
      </c>
      <c r="B8931" s="1" t="n">
        <v>45484.6541087963</v>
      </c>
      <c r="C8931" s="1" t="n">
        <v>46145</v>
      </c>
      <c r="D8931" t="inlineStr">
        <is>
          <t>VÄSTERBOTTENS LÄN</t>
        </is>
      </c>
      <c r="E8931" t="inlineStr">
        <is>
          <t>ÅSELE</t>
        </is>
      </c>
      <c r="F8931" t="inlineStr">
        <is>
          <t>Sveaskog</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63885-2025</t>
        </is>
      </c>
      <c r="B8932" s="1" t="n">
        <v>46010</v>
      </c>
      <c r="C8932" s="1" t="n">
        <v>46145</v>
      </c>
      <c r="D8932" t="inlineStr">
        <is>
          <t>VÄSTERBOTTENS LÄN</t>
        </is>
      </c>
      <c r="E8932" t="inlineStr">
        <is>
          <t>DOROTEA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4334-2026</t>
        </is>
      </c>
      <c r="B8933" s="1" t="n">
        <v>46045.49011574074</v>
      </c>
      <c r="C8933" s="1" t="n">
        <v>46145</v>
      </c>
      <c r="D8933" t="inlineStr">
        <is>
          <t>VÄSTERBOTTENS LÄN</t>
        </is>
      </c>
      <c r="E8933" t="inlineStr">
        <is>
          <t>VILHELMINA</t>
        </is>
      </c>
      <c r="F8933" t="inlineStr">
        <is>
          <t>SCA</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38953-2023</t>
        </is>
      </c>
      <c r="B8934" s="1" t="n">
        <v>45163.61561342593</v>
      </c>
      <c r="C8934" s="1" t="n">
        <v>46145</v>
      </c>
      <c r="D8934" t="inlineStr">
        <is>
          <t>VÄSTERBOTTENS LÄN</t>
        </is>
      </c>
      <c r="E8934" t="inlineStr">
        <is>
          <t>VINDELN</t>
        </is>
      </c>
      <c r="F8934" t="inlineStr">
        <is>
          <t>Holmen skog AB</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4914-2026</t>
        </is>
      </c>
      <c r="B8935" s="1" t="n">
        <v>46048.73274305555</v>
      </c>
      <c r="C8935" s="1" t="n">
        <v>46145</v>
      </c>
      <c r="D8935" t="inlineStr">
        <is>
          <t>VÄSTERBOTTENS LÄN</t>
        </is>
      </c>
      <c r="E8935" t="inlineStr">
        <is>
          <t>UMEÅ</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32455-2024</t>
        </is>
      </c>
      <c r="B8936" s="1" t="n">
        <v>45512.95870370371</v>
      </c>
      <c r="C8936" s="1" t="n">
        <v>46145</v>
      </c>
      <c r="D8936" t="inlineStr">
        <is>
          <t>VÄSTERBOTTENS LÄN</t>
        </is>
      </c>
      <c r="E8936" t="inlineStr">
        <is>
          <t>VILHELMINA</t>
        </is>
      </c>
      <c r="F8936" t="inlineStr">
        <is>
          <t>SCA</t>
        </is>
      </c>
      <c r="G8936" t="n">
        <v>9.800000000000001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28987-2022</t>
        </is>
      </c>
      <c r="B8937" s="1" t="n">
        <v>44749</v>
      </c>
      <c r="C8937" s="1" t="n">
        <v>46145</v>
      </c>
      <c r="D8937" t="inlineStr">
        <is>
          <t>VÄSTERBOTTENS LÄN</t>
        </is>
      </c>
      <c r="E8937" t="inlineStr">
        <is>
          <t>VINDELN</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2769-2026</t>
        </is>
      </c>
      <c r="B8938" s="1" t="n">
        <v>46036</v>
      </c>
      <c r="C8938" s="1" t="n">
        <v>46145</v>
      </c>
      <c r="D8938" t="inlineStr">
        <is>
          <t>VÄSTERBOTTENS LÄN</t>
        </is>
      </c>
      <c r="E8938" t="inlineStr">
        <is>
          <t>DOROTEA</t>
        </is>
      </c>
      <c r="G8938" t="n">
        <v>11.8</v>
      </c>
      <c r="H8938" t="n">
        <v>0</v>
      </c>
      <c r="I8938" t="n">
        <v>0</v>
      </c>
      <c r="J8938" t="n">
        <v>0</v>
      </c>
      <c r="K8938" t="n">
        <v>0</v>
      </c>
      <c r="L8938" t="n">
        <v>0</v>
      </c>
      <c r="M8938" t="n">
        <v>0</v>
      </c>
      <c r="N8938" t="n">
        <v>0</v>
      </c>
      <c r="O8938" t="n">
        <v>0</v>
      </c>
      <c r="P8938" t="n">
        <v>0</v>
      </c>
      <c r="Q8938" t="n">
        <v>0</v>
      </c>
      <c r="R8938" s="2" t="inlineStr"/>
    </row>
    <row r="8939" ht="15" customHeight="1">
      <c r="A8939" t="inlineStr">
        <is>
          <t>A 32475-2024</t>
        </is>
      </c>
      <c r="B8939" s="1" t="n">
        <v>45513.33157407407</v>
      </c>
      <c r="C8939" s="1" t="n">
        <v>46145</v>
      </c>
      <c r="D8939" t="inlineStr">
        <is>
          <t>VÄSTERBOTTENS LÄN</t>
        </is>
      </c>
      <c r="E8939" t="inlineStr">
        <is>
          <t>LYCKSELE</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10176-2024</t>
        </is>
      </c>
      <c r="B8940" s="1" t="n">
        <v>45364</v>
      </c>
      <c r="C8940" s="1" t="n">
        <v>46145</v>
      </c>
      <c r="D8940" t="inlineStr">
        <is>
          <t>VÄSTERBOTTENS LÄN</t>
        </is>
      </c>
      <c r="E8940" t="inlineStr">
        <is>
          <t>ÅSELE</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45535-2022</t>
        </is>
      </c>
      <c r="B8941" s="1" t="n">
        <v>44841</v>
      </c>
      <c r="C8941" s="1" t="n">
        <v>46145</v>
      </c>
      <c r="D8941" t="inlineStr">
        <is>
          <t>VÄSTERBOTTENS LÄN</t>
        </is>
      </c>
      <c r="E8941" t="inlineStr">
        <is>
          <t>SORSELE</t>
        </is>
      </c>
      <c r="G8941" t="n">
        <v>82.3</v>
      </c>
      <c r="H8941" t="n">
        <v>0</v>
      </c>
      <c r="I8941" t="n">
        <v>0</v>
      </c>
      <c r="J8941" t="n">
        <v>0</v>
      </c>
      <c r="K8941" t="n">
        <v>0</v>
      </c>
      <c r="L8941" t="n">
        <v>0</v>
      </c>
      <c r="M8941" t="n">
        <v>0</v>
      </c>
      <c r="N8941" t="n">
        <v>0</v>
      </c>
      <c r="O8941" t="n">
        <v>0</v>
      </c>
      <c r="P8941" t="n">
        <v>0</v>
      </c>
      <c r="Q8941" t="n">
        <v>0</v>
      </c>
      <c r="R8941" s="2" t="inlineStr"/>
    </row>
    <row r="8942" ht="15" customHeight="1">
      <c r="A8942" t="inlineStr">
        <is>
          <t>A 62648-2021</t>
        </is>
      </c>
      <c r="B8942" s="1" t="n">
        <v>44503</v>
      </c>
      <c r="C8942" s="1" t="n">
        <v>46145</v>
      </c>
      <c r="D8942" t="inlineStr">
        <is>
          <t>VÄSTERBOTTENS LÄN</t>
        </is>
      </c>
      <c r="E8942" t="inlineStr">
        <is>
          <t>UMEÅ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4292-2026</t>
        </is>
      </c>
      <c r="B8943" s="1" t="n">
        <v>46045.41581018519</v>
      </c>
      <c r="C8943" s="1" t="n">
        <v>46145</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58542-2023</t>
        </is>
      </c>
      <c r="B8944" s="1" t="n">
        <v>45246</v>
      </c>
      <c r="C8944" s="1" t="n">
        <v>46145</v>
      </c>
      <c r="D8944" t="inlineStr">
        <is>
          <t>VÄSTERBOTTENS LÄN</t>
        </is>
      </c>
      <c r="E8944" t="inlineStr">
        <is>
          <t>ROBERTSFORS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4311-2026</t>
        </is>
      </c>
      <c r="B8945" s="1" t="n">
        <v>46045.44380787037</v>
      </c>
      <c r="C8945" s="1" t="n">
        <v>46145</v>
      </c>
      <c r="D8945" t="inlineStr">
        <is>
          <t>VÄSTERBOTTENS LÄN</t>
        </is>
      </c>
      <c r="E8945" t="inlineStr">
        <is>
          <t>ÅSELE</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57224-2023</t>
        </is>
      </c>
      <c r="B8946" s="1" t="n">
        <v>45239</v>
      </c>
      <c r="C8946" s="1" t="n">
        <v>46145</v>
      </c>
      <c r="D8946" t="inlineStr">
        <is>
          <t>VÄSTERBOTTENS LÄN</t>
        </is>
      </c>
      <c r="E8946" t="inlineStr">
        <is>
          <t>LYCKSELE</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28713-2022</t>
        </is>
      </c>
      <c r="B8947" s="1" t="n">
        <v>44748</v>
      </c>
      <c r="C8947" s="1" t="n">
        <v>46145</v>
      </c>
      <c r="D8947" t="inlineStr">
        <is>
          <t>VÄSTERBOTTENS LÄN</t>
        </is>
      </c>
      <c r="E8947" t="inlineStr">
        <is>
          <t>STORUMAN</t>
        </is>
      </c>
      <c r="G8947" t="n">
        <v>14.9</v>
      </c>
      <c r="H8947" t="n">
        <v>0</v>
      </c>
      <c r="I8947" t="n">
        <v>0</v>
      </c>
      <c r="J8947" t="n">
        <v>0</v>
      </c>
      <c r="K8947" t="n">
        <v>0</v>
      </c>
      <c r="L8947" t="n">
        <v>0</v>
      </c>
      <c r="M8947" t="n">
        <v>0</v>
      </c>
      <c r="N8947" t="n">
        <v>0</v>
      </c>
      <c r="O8947" t="n">
        <v>0</v>
      </c>
      <c r="P8947" t="n">
        <v>0</v>
      </c>
      <c r="Q8947" t="n">
        <v>0</v>
      </c>
      <c r="R8947" s="2" t="inlineStr"/>
    </row>
    <row r="8948" ht="15" customHeight="1">
      <c r="A8948" t="inlineStr">
        <is>
          <t>A 17359-2023</t>
        </is>
      </c>
      <c r="B8948" s="1" t="n">
        <v>45033</v>
      </c>
      <c r="C8948" s="1" t="n">
        <v>46145</v>
      </c>
      <c r="D8948" t="inlineStr">
        <is>
          <t>VÄSTERBOTTENS LÄN</t>
        </is>
      </c>
      <c r="E8948" t="inlineStr">
        <is>
          <t>UMEÅ</t>
        </is>
      </c>
      <c r="F8948" t="inlineStr">
        <is>
          <t>Kommuner</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5014-2026</t>
        </is>
      </c>
      <c r="B8949" s="1" t="n">
        <v>46049.43175925926</v>
      </c>
      <c r="C8949" s="1" t="n">
        <v>46145</v>
      </c>
      <c r="D8949" t="inlineStr">
        <is>
          <t>VÄSTERBOTTENS LÄN</t>
        </is>
      </c>
      <c r="E8949" t="inlineStr">
        <is>
          <t>NORDMALING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28717-2022</t>
        </is>
      </c>
      <c r="B8950" s="1" t="n">
        <v>44748.94555555555</v>
      </c>
      <c r="C8950" s="1" t="n">
        <v>46145</v>
      </c>
      <c r="D8950" t="inlineStr">
        <is>
          <t>VÄSTERBOTTENS LÄN</t>
        </is>
      </c>
      <c r="E8950" t="inlineStr">
        <is>
          <t>DOROTEA</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61351-2024</t>
        </is>
      </c>
      <c r="B8951" s="1" t="n">
        <v>45646</v>
      </c>
      <c r="C8951" s="1" t="n">
        <v>46145</v>
      </c>
      <c r="D8951" t="inlineStr">
        <is>
          <t>VÄSTERBOTTENS LÄN</t>
        </is>
      </c>
      <c r="E8951" t="inlineStr">
        <is>
          <t>ÅSELE</t>
        </is>
      </c>
      <c r="G8951" t="n">
        <v>9.6</v>
      </c>
      <c r="H8951" t="n">
        <v>0</v>
      </c>
      <c r="I8951" t="n">
        <v>0</v>
      </c>
      <c r="J8951" t="n">
        <v>0</v>
      </c>
      <c r="K8951" t="n">
        <v>0</v>
      </c>
      <c r="L8951" t="n">
        <v>0</v>
      </c>
      <c r="M8951" t="n">
        <v>0</v>
      </c>
      <c r="N8951" t="n">
        <v>0</v>
      </c>
      <c r="O8951" t="n">
        <v>0</v>
      </c>
      <c r="P8951" t="n">
        <v>0</v>
      </c>
      <c r="Q8951" t="n">
        <v>0</v>
      </c>
      <c r="R8951" s="2" t="inlineStr"/>
    </row>
    <row r="8952" ht="15" customHeight="1">
      <c r="A8952" t="inlineStr">
        <is>
          <t>A 12990-2025</t>
        </is>
      </c>
      <c r="B8952" s="1" t="n">
        <v>45734</v>
      </c>
      <c r="C8952" s="1" t="n">
        <v>46145</v>
      </c>
      <c r="D8952" t="inlineStr">
        <is>
          <t>VÄSTERBOTTENS LÄN</t>
        </is>
      </c>
      <c r="E8952" t="inlineStr">
        <is>
          <t>VILHELMINA</t>
        </is>
      </c>
      <c r="G8952" t="n">
        <v>11.2</v>
      </c>
      <c r="H8952" t="n">
        <v>0</v>
      </c>
      <c r="I8952" t="n">
        <v>0</v>
      </c>
      <c r="J8952" t="n">
        <v>0</v>
      </c>
      <c r="K8952" t="n">
        <v>0</v>
      </c>
      <c r="L8952" t="n">
        <v>0</v>
      </c>
      <c r="M8952" t="n">
        <v>0</v>
      </c>
      <c r="N8952" t="n">
        <v>0</v>
      </c>
      <c r="O8952" t="n">
        <v>0</v>
      </c>
      <c r="P8952" t="n">
        <v>0</v>
      </c>
      <c r="Q8952" t="n">
        <v>0</v>
      </c>
      <c r="R8952" s="2" t="inlineStr"/>
    </row>
    <row r="8953" ht="15" customHeight="1">
      <c r="A8953" t="inlineStr">
        <is>
          <t>A 67092-2021</t>
        </is>
      </c>
      <c r="B8953" s="1" t="n">
        <v>44522</v>
      </c>
      <c r="C8953" s="1" t="n">
        <v>46145</v>
      </c>
      <c r="D8953" t="inlineStr">
        <is>
          <t>VÄSTERBOTTENS LÄN</t>
        </is>
      </c>
      <c r="E8953" t="inlineStr">
        <is>
          <t>LYCKSELE</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5336-2026</t>
        </is>
      </c>
      <c r="B8954" s="1" t="n">
        <v>46050.40957175926</v>
      </c>
      <c r="C8954" s="1" t="n">
        <v>46145</v>
      </c>
      <c r="D8954" t="inlineStr">
        <is>
          <t>VÄSTERBOTTENS LÄN</t>
        </is>
      </c>
      <c r="E8954" t="inlineStr">
        <is>
          <t>VINDELN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60659-2023</t>
        </is>
      </c>
      <c r="B8955" s="1" t="n">
        <v>45259</v>
      </c>
      <c r="C8955" s="1" t="n">
        <v>46145</v>
      </c>
      <c r="D8955" t="inlineStr">
        <is>
          <t>VÄSTERBOTTENS LÄN</t>
        </is>
      </c>
      <c r="E8955" t="inlineStr">
        <is>
          <t>BJURHOLM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5291-2026</t>
        </is>
      </c>
      <c r="B8956" s="1" t="n">
        <v>46050.3446412037</v>
      </c>
      <c r="C8956" s="1" t="n">
        <v>46145</v>
      </c>
      <c r="D8956" t="inlineStr">
        <is>
          <t>VÄSTERBOTTENS LÄN</t>
        </is>
      </c>
      <c r="E8956" t="inlineStr">
        <is>
          <t>UMEÅ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53035-2023</t>
        </is>
      </c>
      <c r="B8957" s="1" t="n">
        <v>45226.96270833333</v>
      </c>
      <c r="C8957" s="1" t="n">
        <v>46145</v>
      </c>
      <c r="D8957" t="inlineStr">
        <is>
          <t>VÄSTERBOTTENS LÄN</t>
        </is>
      </c>
      <c r="E8957" t="inlineStr">
        <is>
          <t>LYCKSELE</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5293-2026</t>
        </is>
      </c>
      <c r="B8958" s="1" t="n">
        <v>46050.34474537037</v>
      </c>
      <c r="C8958" s="1" t="n">
        <v>46145</v>
      </c>
      <c r="D8958" t="inlineStr">
        <is>
          <t>VÄSTERBOTTENS LÄN</t>
        </is>
      </c>
      <c r="E8958" t="inlineStr">
        <is>
          <t>UMEÅ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47494-2023</t>
        </is>
      </c>
      <c r="B8959" s="1" t="n">
        <v>45202.9420949074</v>
      </c>
      <c r="C8959" s="1" t="n">
        <v>46145</v>
      </c>
      <c r="D8959" t="inlineStr">
        <is>
          <t>VÄSTERBOTTENS LÄN</t>
        </is>
      </c>
      <c r="E8959" t="inlineStr">
        <is>
          <t>DOROTEA</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1565-2024</t>
        </is>
      </c>
      <c r="B8960" s="1" t="n">
        <v>45306.52886574074</v>
      </c>
      <c r="C8960" s="1" t="n">
        <v>46145</v>
      </c>
      <c r="D8960" t="inlineStr">
        <is>
          <t>VÄSTERBOTTENS LÄN</t>
        </is>
      </c>
      <c r="E8960" t="inlineStr">
        <is>
          <t>NORSJÖ</t>
        </is>
      </c>
      <c r="F8960" t="inlineStr">
        <is>
          <t>Holmen skog AB</t>
        </is>
      </c>
      <c r="G8960" t="n">
        <v>23.6</v>
      </c>
      <c r="H8960" t="n">
        <v>0</v>
      </c>
      <c r="I8960" t="n">
        <v>0</v>
      </c>
      <c r="J8960" t="n">
        <v>0</v>
      </c>
      <c r="K8960" t="n">
        <v>0</v>
      </c>
      <c r="L8960" t="n">
        <v>0</v>
      </c>
      <c r="M8960" t="n">
        <v>0</v>
      </c>
      <c r="N8960" t="n">
        <v>0</v>
      </c>
      <c r="O8960" t="n">
        <v>0</v>
      </c>
      <c r="P8960" t="n">
        <v>0</v>
      </c>
      <c r="Q8960" t="n">
        <v>0</v>
      </c>
      <c r="R8960" s="2" t="inlineStr"/>
    </row>
    <row r="8961" ht="15" customHeight="1">
      <c r="A8961" t="inlineStr">
        <is>
          <t>A 5008-2026</t>
        </is>
      </c>
      <c r="B8961" s="1" t="n">
        <v>46049.42824074074</v>
      </c>
      <c r="C8961" s="1" t="n">
        <v>46145</v>
      </c>
      <c r="D8961" t="inlineStr">
        <is>
          <t>VÄSTERBOTTENS LÄN</t>
        </is>
      </c>
      <c r="E8961" t="inlineStr">
        <is>
          <t>ÅSELE</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21811-2024</t>
        </is>
      </c>
      <c r="B8962" s="1" t="n">
        <v>45442</v>
      </c>
      <c r="C8962" s="1" t="n">
        <v>46145</v>
      </c>
      <c r="D8962" t="inlineStr">
        <is>
          <t>VÄSTERBOTTENS LÄN</t>
        </is>
      </c>
      <c r="E8962" t="inlineStr">
        <is>
          <t>ROBERTSFORS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4731-2026</t>
        </is>
      </c>
      <c r="B8963" s="1" t="n">
        <v>46045</v>
      </c>
      <c r="C8963" s="1" t="n">
        <v>46145</v>
      </c>
      <c r="D8963" t="inlineStr">
        <is>
          <t>VÄSTERBOTTENS LÄN</t>
        </is>
      </c>
      <c r="E8963" t="inlineStr">
        <is>
          <t>DOROTEA</t>
        </is>
      </c>
      <c r="G8963" t="n">
        <v>21.5</v>
      </c>
      <c r="H8963" t="n">
        <v>0</v>
      </c>
      <c r="I8963" t="n">
        <v>0</v>
      </c>
      <c r="J8963" t="n">
        <v>0</v>
      </c>
      <c r="K8963" t="n">
        <v>0</v>
      </c>
      <c r="L8963" t="n">
        <v>0</v>
      </c>
      <c r="M8963" t="n">
        <v>0</v>
      </c>
      <c r="N8963" t="n">
        <v>0</v>
      </c>
      <c r="O8963" t="n">
        <v>0</v>
      </c>
      <c r="P8963" t="n">
        <v>0</v>
      </c>
      <c r="Q8963" t="n">
        <v>0</v>
      </c>
      <c r="R8963" s="2" t="inlineStr"/>
    </row>
    <row r="8964" ht="15" customHeight="1">
      <c r="A8964" t="inlineStr">
        <is>
          <t>A 41752-2023</t>
        </is>
      </c>
      <c r="B8964" s="1" t="n">
        <v>45176</v>
      </c>
      <c r="C8964" s="1" t="n">
        <v>46145</v>
      </c>
      <c r="D8964" t="inlineStr">
        <is>
          <t>VÄSTERBOTTENS LÄN</t>
        </is>
      </c>
      <c r="E8964" t="inlineStr">
        <is>
          <t>ROBERTSFORS</t>
        </is>
      </c>
      <c r="F8964" t="inlineStr">
        <is>
          <t>Holmen skog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65009-2023</t>
        </is>
      </c>
      <c r="B8965" s="1" t="n">
        <v>45287.37836805556</v>
      </c>
      <c r="C8965" s="1" t="n">
        <v>46145</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5495-2026</t>
        </is>
      </c>
      <c r="B8966" s="1" t="n">
        <v>46050.61736111111</v>
      </c>
      <c r="C8966" s="1" t="n">
        <v>46145</v>
      </c>
      <c r="D8966" t="inlineStr">
        <is>
          <t>VÄSTERBOTTENS LÄN</t>
        </is>
      </c>
      <c r="E8966" t="inlineStr">
        <is>
          <t>NORDMALING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65040-2023</t>
        </is>
      </c>
      <c r="B8967" s="1" t="n">
        <v>45282</v>
      </c>
      <c r="C8967" s="1" t="n">
        <v>46145</v>
      </c>
      <c r="D8967" t="inlineStr">
        <is>
          <t>VÄSTERBOTTENS LÄN</t>
        </is>
      </c>
      <c r="E8967" t="inlineStr">
        <is>
          <t>ÅSELE</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17736-2025</t>
        </is>
      </c>
      <c r="B8968" s="1" t="n">
        <v>45758.46924768519</v>
      </c>
      <c r="C8968" s="1" t="n">
        <v>46145</v>
      </c>
      <c r="D8968" t="inlineStr">
        <is>
          <t>VÄSTERBOTTENS LÄN</t>
        </is>
      </c>
      <c r="E8968" t="inlineStr">
        <is>
          <t>LYCKSELE</t>
        </is>
      </c>
      <c r="F8968" t="inlineStr">
        <is>
          <t>SCA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5285-2026</t>
        </is>
      </c>
      <c r="B8969" s="1" t="n">
        <v>46050</v>
      </c>
      <c r="C8969" s="1" t="n">
        <v>46145</v>
      </c>
      <c r="D8969" t="inlineStr">
        <is>
          <t>VÄSTERBOTTENS LÄN</t>
        </is>
      </c>
      <c r="E8969" t="inlineStr">
        <is>
          <t>ROBERTSFORS</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5288-2026</t>
        </is>
      </c>
      <c r="B8970" s="1" t="n">
        <v>46050</v>
      </c>
      <c r="C8970" s="1" t="n">
        <v>46145</v>
      </c>
      <c r="D8970" t="inlineStr">
        <is>
          <t>VÄSTERBOTTENS LÄN</t>
        </is>
      </c>
      <c r="E8970" t="inlineStr">
        <is>
          <t>ROBERTSFORS</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57848-2022</t>
        </is>
      </c>
      <c r="B8971" s="1" t="n">
        <v>44898.00032407408</v>
      </c>
      <c r="C8971" s="1" t="n">
        <v>46145</v>
      </c>
      <c r="D8971" t="inlineStr">
        <is>
          <t>VÄSTERBOTTENS LÄN</t>
        </is>
      </c>
      <c r="E8971" t="inlineStr">
        <is>
          <t>SKELLEFTEÅ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5507-2026</t>
        </is>
      </c>
      <c r="B8972" s="1" t="n">
        <v>46050.62748842593</v>
      </c>
      <c r="C8972" s="1" t="n">
        <v>46145</v>
      </c>
      <c r="D8972" t="inlineStr">
        <is>
          <t>VÄSTERBOTTENS LÄN</t>
        </is>
      </c>
      <c r="E8972" t="inlineStr">
        <is>
          <t>NORDMALING</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5439-2026</t>
        </is>
      </c>
      <c r="B8973" s="1" t="n">
        <v>46050.5652662037</v>
      </c>
      <c r="C8973" s="1" t="n">
        <v>46145</v>
      </c>
      <c r="D8973" t="inlineStr">
        <is>
          <t>VÄSTERBOTTENS LÄN</t>
        </is>
      </c>
      <c r="E8973" t="inlineStr">
        <is>
          <t>LYCKSELE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16202-2025</t>
        </is>
      </c>
      <c r="B8974" s="1" t="n">
        <v>45750.61587962963</v>
      </c>
      <c r="C8974" s="1" t="n">
        <v>46145</v>
      </c>
      <c r="D8974" t="inlineStr">
        <is>
          <t>VÄSTERBOTTENS LÄN</t>
        </is>
      </c>
      <c r="E8974" t="inlineStr">
        <is>
          <t>SKELLEFTEÅ</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16219-2025</t>
        </is>
      </c>
      <c r="B8975" s="1" t="n">
        <v>45750</v>
      </c>
      <c r="C8975" s="1" t="n">
        <v>46145</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23169-2024</t>
        </is>
      </c>
      <c r="B8976" s="1" t="n">
        <v>45450</v>
      </c>
      <c r="C8976" s="1" t="n">
        <v>46145</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23171-2024</t>
        </is>
      </c>
      <c r="B8977" s="1" t="n">
        <v>45450</v>
      </c>
      <c r="C8977" s="1" t="n">
        <v>46145</v>
      </c>
      <c r="D8977" t="inlineStr">
        <is>
          <t>VÄSTERBOTTENS LÄN</t>
        </is>
      </c>
      <c r="E8977" t="inlineStr">
        <is>
          <t>NORSJÖ</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23183-2024</t>
        </is>
      </c>
      <c r="B8978" s="1" t="n">
        <v>45450.94471064815</v>
      </c>
      <c r="C8978" s="1" t="n">
        <v>46145</v>
      </c>
      <c r="D8978" t="inlineStr">
        <is>
          <t>VÄSTERBOTTENS LÄN</t>
        </is>
      </c>
      <c r="E8978" t="inlineStr">
        <is>
          <t>BJURHOLM</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32214-2022</t>
        </is>
      </c>
      <c r="B8979" s="1" t="n">
        <v>44781</v>
      </c>
      <c r="C8979" s="1" t="n">
        <v>46145</v>
      </c>
      <c r="D8979" t="inlineStr">
        <is>
          <t>VÄSTERBOTTENS LÄN</t>
        </is>
      </c>
      <c r="E8979" t="inlineStr">
        <is>
          <t>ÅSELE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23206-2024</t>
        </is>
      </c>
      <c r="B8980" s="1" t="n">
        <v>45451</v>
      </c>
      <c r="C8980" s="1" t="n">
        <v>46145</v>
      </c>
      <c r="D8980" t="inlineStr">
        <is>
          <t>VÄSTERBOTTENS LÄN</t>
        </is>
      </c>
      <c r="E8980" t="inlineStr">
        <is>
          <t>BJURHOLM</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1220-2024</t>
        </is>
      </c>
      <c r="B8981" s="1" t="n">
        <v>45302</v>
      </c>
      <c r="C8981" s="1" t="n">
        <v>46145</v>
      </c>
      <c r="D8981" t="inlineStr">
        <is>
          <t>VÄSTERBOTTENS LÄN</t>
        </is>
      </c>
      <c r="E8981" t="inlineStr">
        <is>
          <t>STORUMAN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26646-2024</t>
        </is>
      </c>
      <c r="B8982" s="1" t="n">
        <v>45469</v>
      </c>
      <c r="C8982" s="1" t="n">
        <v>46145</v>
      </c>
      <c r="D8982" t="inlineStr">
        <is>
          <t>VÄSTERBOTTENS LÄN</t>
        </is>
      </c>
      <c r="E8982" t="inlineStr">
        <is>
          <t>BJURHOLM</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5013-2026</t>
        </is>
      </c>
      <c r="B8983" s="1" t="n">
        <v>46049.43133101852</v>
      </c>
      <c r="C8983" s="1" t="n">
        <v>46145</v>
      </c>
      <c r="D8983" t="inlineStr">
        <is>
          <t>VÄSTERBOTTENS LÄN</t>
        </is>
      </c>
      <c r="E8983" t="inlineStr">
        <is>
          <t>UMEÅ</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56640-2023</t>
        </is>
      </c>
      <c r="B8984" s="1" t="n">
        <v>45243.72438657407</v>
      </c>
      <c r="C8984" s="1" t="n">
        <v>46145</v>
      </c>
      <c r="D8984" t="inlineStr">
        <is>
          <t>VÄSTERBOTTENS LÄN</t>
        </is>
      </c>
      <c r="E8984" t="inlineStr">
        <is>
          <t>VINDELN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2909-2023</t>
        </is>
      </c>
      <c r="B8985" s="1" t="n">
        <v>44945</v>
      </c>
      <c r="C8985" s="1" t="n">
        <v>46145</v>
      </c>
      <c r="D8985" t="inlineStr">
        <is>
          <t>VÄSTERBOTTENS LÄN</t>
        </is>
      </c>
      <c r="E8985" t="inlineStr">
        <is>
          <t>NORSJÖ</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58247-2022</t>
        </is>
      </c>
      <c r="B8986" s="1" t="n">
        <v>44893</v>
      </c>
      <c r="C8986" s="1" t="n">
        <v>46145</v>
      </c>
      <c r="D8986" t="inlineStr">
        <is>
          <t>VÄSTERBOTTENS LÄN</t>
        </is>
      </c>
      <c r="E8986" t="inlineStr">
        <is>
          <t>SORSELE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58250-2022</t>
        </is>
      </c>
      <c r="B8987" s="1" t="n">
        <v>44894</v>
      </c>
      <c r="C8987" s="1" t="n">
        <v>46145</v>
      </c>
      <c r="D8987" t="inlineStr">
        <is>
          <t>VÄSTERBOTTENS LÄN</t>
        </is>
      </c>
      <c r="E8987" t="inlineStr">
        <is>
          <t>SKELLEFTEÅ</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4022-2024</t>
        </is>
      </c>
      <c r="B8988" s="1" t="n">
        <v>45323</v>
      </c>
      <c r="C8988" s="1" t="n">
        <v>46145</v>
      </c>
      <c r="D8988" t="inlineStr">
        <is>
          <t>VÄSTERBOTTENS LÄN</t>
        </is>
      </c>
      <c r="E8988" t="inlineStr">
        <is>
          <t>SKELLEFTEÅ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12773-2026</t>
        </is>
      </c>
      <c r="B8989" s="1" t="n">
        <v>46091.69846064815</v>
      </c>
      <c r="C8989" s="1" t="n">
        <v>46145</v>
      </c>
      <c r="D8989" t="inlineStr">
        <is>
          <t>VÄSTERBOTTENS LÄN</t>
        </is>
      </c>
      <c r="E8989" t="inlineStr">
        <is>
          <t>DOROTEA</t>
        </is>
      </c>
      <c r="F8989" t="inlineStr">
        <is>
          <t>SCA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5502-2026</t>
        </is>
      </c>
      <c r="B8990" s="1" t="n">
        <v>46049</v>
      </c>
      <c r="C8990" s="1" t="n">
        <v>46145</v>
      </c>
      <c r="D8990" t="inlineStr">
        <is>
          <t>VÄSTERBOTTENS LÄN</t>
        </is>
      </c>
      <c r="E8990" t="inlineStr">
        <is>
          <t>SKELLEFTEÅ</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5544-2026</t>
        </is>
      </c>
      <c r="B8991" s="1" t="n">
        <v>46050.68443287037</v>
      </c>
      <c r="C8991" s="1" t="n">
        <v>46145</v>
      </c>
      <c r="D8991" t="inlineStr">
        <is>
          <t>VÄSTERBOTTENS LÄN</t>
        </is>
      </c>
      <c r="E8991" t="inlineStr">
        <is>
          <t>NORDMALING</t>
        </is>
      </c>
      <c r="G8991" t="n">
        <v>16.1</v>
      </c>
      <c r="H8991" t="n">
        <v>0</v>
      </c>
      <c r="I8991" t="n">
        <v>0</v>
      </c>
      <c r="J8991" t="n">
        <v>0</v>
      </c>
      <c r="K8991" t="n">
        <v>0</v>
      </c>
      <c r="L8991" t="n">
        <v>0</v>
      </c>
      <c r="M8991" t="n">
        <v>0</v>
      </c>
      <c r="N8991" t="n">
        <v>0</v>
      </c>
      <c r="O8991" t="n">
        <v>0</v>
      </c>
      <c r="P8991" t="n">
        <v>0</v>
      </c>
      <c r="Q8991" t="n">
        <v>0</v>
      </c>
      <c r="R8991" s="2" t="inlineStr"/>
    </row>
    <row r="8992" ht="15" customHeight="1">
      <c r="A8992" t="inlineStr">
        <is>
          <t>A 2370-2024</t>
        </is>
      </c>
      <c r="B8992" s="1" t="n">
        <v>45310</v>
      </c>
      <c r="C8992" s="1" t="n">
        <v>46145</v>
      </c>
      <c r="D8992" t="inlineStr">
        <is>
          <t>VÄSTERBOTTENS LÄN</t>
        </is>
      </c>
      <c r="E8992" t="inlineStr">
        <is>
          <t>NORSJÖ</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5517-2026</t>
        </is>
      </c>
      <c r="B8993" s="1" t="n">
        <v>46050.6424537037</v>
      </c>
      <c r="C8993" s="1" t="n">
        <v>46145</v>
      </c>
      <c r="D8993" t="inlineStr">
        <is>
          <t>VÄSTERBOTTENS LÄN</t>
        </is>
      </c>
      <c r="E8993" t="inlineStr">
        <is>
          <t>NORDMALING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5533-2026</t>
        </is>
      </c>
      <c r="B8994" s="1" t="n">
        <v>46050.65700231482</v>
      </c>
      <c r="C8994" s="1" t="n">
        <v>46145</v>
      </c>
      <c r="D8994" t="inlineStr">
        <is>
          <t>VÄSTERBOTTENS LÄN</t>
        </is>
      </c>
      <c r="E8994" t="inlineStr">
        <is>
          <t>SKELLEFTEÅ</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5026-2026</t>
        </is>
      </c>
      <c r="B8995" s="1" t="n">
        <v>46049.44804398148</v>
      </c>
      <c r="C8995" s="1" t="n">
        <v>46145</v>
      </c>
      <c r="D8995" t="inlineStr">
        <is>
          <t>VÄSTERBOTTENS LÄN</t>
        </is>
      </c>
      <c r="E8995" t="inlineStr">
        <is>
          <t>LYCKSELE</t>
        </is>
      </c>
      <c r="F8995" t="inlineStr">
        <is>
          <t>Sveaskog</t>
        </is>
      </c>
      <c r="G8995" t="n">
        <v>24.6</v>
      </c>
      <c r="H8995" t="n">
        <v>0</v>
      </c>
      <c r="I8995" t="n">
        <v>0</v>
      </c>
      <c r="J8995" t="n">
        <v>0</v>
      </c>
      <c r="K8995" t="n">
        <v>0</v>
      </c>
      <c r="L8995" t="n">
        <v>0</v>
      </c>
      <c r="M8995" t="n">
        <v>0</v>
      </c>
      <c r="N8995" t="n">
        <v>0</v>
      </c>
      <c r="O8995" t="n">
        <v>0</v>
      </c>
      <c r="P8995" t="n">
        <v>0</v>
      </c>
      <c r="Q8995" t="n">
        <v>0</v>
      </c>
      <c r="R8995" s="2" t="inlineStr"/>
    </row>
    <row r="8996" ht="15" customHeight="1">
      <c r="A8996" t="inlineStr">
        <is>
          <t>A 22904-2024</t>
        </is>
      </c>
      <c r="B8996" s="1" t="n">
        <v>45448.70927083334</v>
      </c>
      <c r="C8996" s="1" t="n">
        <v>46145</v>
      </c>
      <c r="D8996" t="inlineStr">
        <is>
          <t>VÄSTERBOTTENS LÄN</t>
        </is>
      </c>
      <c r="E8996" t="inlineStr">
        <is>
          <t>VINDELN</t>
        </is>
      </c>
      <c r="F8996" t="inlineStr">
        <is>
          <t>Holmen skog AB</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5361-2026</t>
        </is>
      </c>
      <c r="B8997" s="1" t="n">
        <v>46050.44866898148</v>
      </c>
      <c r="C8997" s="1" t="n">
        <v>46145</v>
      </c>
      <c r="D8997" t="inlineStr">
        <is>
          <t>VÄSTERBOTTENS LÄN</t>
        </is>
      </c>
      <c r="E8997" t="inlineStr">
        <is>
          <t>SKELLEFTEÅ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5322-2026</t>
        </is>
      </c>
      <c r="B8998" s="1" t="n">
        <v>46050.38971064815</v>
      </c>
      <c r="C8998" s="1" t="n">
        <v>46145</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35970-2024</t>
        </is>
      </c>
      <c r="B8999" s="1" t="n">
        <v>45533.48732638889</v>
      </c>
      <c r="C8999" s="1" t="n">
        <v>46145</v>
      </c>
      <c r="D8999" t="inlineStr">
        <is>
          <t>VÄSTERBOTTENS LÄN</t>
        </is>
      </c>
      <c r="E8999" t="inlineStr">
        <is>
          <t>LYCKSELE</t>
        </is>
      </c>
      <c r="F8999" t="inlineStr">
        <is>
          <t>Sveaskog</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25387-2024</t>
        </is>
      </c>
      <c r="B9000" s="1" t="n">
        <v>45462.96380787037</v>
      </c>
      <c r="C9000" s="1" t="n">
        <v>46145</v>
      </c>
      <c r="D9000" t="inlineStr">
        <is>
          <t>VÄSTERBOTTENS LÄN</t>
        </is>
      </c>
      <c r="E9000" t="inlineStr">
        <is>
          <t>VINDELN</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62259-2022</t>
        </is>
      </c>
      <c r="B9001" s="1" t="n">
        <v>44922.94351851852</v>
      </c>
      <c r="C9001" s="1" t="n">
        <v>46145</v>
      </c>
      <c r="D9001" t="inlineStr">
        <is>
          <t>VÄSTERBOTTENS LÄN</t>
        </is>
      </c>
      <c r="E9001" t="inlineStr">
        <is>
          <t>ÅSELE</t>
        </is>
      </c>
      <c r="F9001" t="inlineStr">
        <is>
          <t>SCA</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4973-2026</t>
        </is>
      </c>
      <c r="B9002" s="1" t="n">
        <v>46049</v>
      </c>
      <c r="C9002" s="1" t="n">
        <v>46145</v>
      </c>
      <c r="D9002" t="inlineStr">
        <is>
          <t>VÄSTERBOTTENS LÄN</t>
        </is>
      </c>
      <c r="E9002" t="inlineStr">
        <is>
          <t>ROBERTSFORS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31197-2024</t>
        </is>
      </c>
      <c r="B9003" s="1" t="n">
        <v>45503.51806712963</v>
      </c>
      <c r="C9003" s="1" t="n">
        <v>46145</v>
      </c>
      <c r="D9003" t="inlineStr">
        <is>
          <t>VÄSTERBOTTENS LÄN</t>
        </is>
      </c>
      <c r="E9003" t="inlineStr">
        <is>
          <t>SKELLEFTEÅ</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8095-2023</t>
        </is>
      </c>
      <c r="B9004" s="1" t="n">
        <v>44974.38841435185</v>
      </c>
      <c r="C9004" s="1" t="n">
        <v>46145</v>
      </c>
      <c r="D9004" t="inlineStr">
        <is>
          <t>VÄSTERBOTTENS LÄN</t>
        </is>
      </c>
      <c r="E9004" t="inlineStr">
        <is>
          <t>DOROTEA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14956-2023</t>
        </is>
      </c>
      <c r="B9005" s="1" t="n">
        <v>45014</v>
      </c>
      <c r="C9005" s="1" t="n">
        <v>46145</v>
      </c>
      <c r="D9005" t="inlineStr">
        <is>
          <t>VÄSTERBOTTENS LÄN</t>
        </is>
      </c>
      <c r="E9005" t="inlineStr">
        <is>
          <t>STORUMAN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5483-2026</t>
        </is>
      </c>
      <c r="B9006" s="1" t="n">
        <v>46050.60630787037</v>
      </c>
      <c r="C9006" s="1" t="n">
        <v>46145</v>
      </c>
      <c r="D9006" t="inlineStr">
        <is>
          <t>VÄSTERBOTTENS LÄN</t>
        </is>
      </c>
      <c r="E9006" t="inlineStr">
        <is>
          <t>NORDMALING</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5508-2026</t>
        </is>
      </c>
      <c r="B9007" s="1" t="n">
        <v>46050.62871527778</v>
      </c>
      <c r="C9007" s="1" t="n">
        <v>46145</v>
      </c>
      <c r="D9007" t="inlineStr">
        <is>
          <t>VÄSTERBOTTENS LÄN</t>
        </is>
      </c>
      <c r="E9007" t="inlineStr">
        <is>
          <t>LYCKSELE</t>
        </is>
      </c>
      <c r="F9007" t="inlineStr">
        <is>
          <t>Sveaskog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62586-2022</t>
        </is>
      </c>
      <c r="B9008" s="1" t="n">
        <v>44924.94077546296</v>
      </c>
      <c r="C9008" s="1" t="n">
        <v>46145</v>
      </c>
      <c r="D9008" t="inlineStr">
        <is>
          <t>VÄSTERBOTTENS LÄN</t>
        </is>
      </c>
      <c r="E9008" t="inlineStr">
        <is>
          <t>LYCKSELE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5006-2026</t>
        </is>
      </c>
      <c r="B9009" s="1" t="n">
        <v>46049.42791666667</v>
      </c>
      <c r="C9009" s="1" t="n">
        <v>46145</v>
      </c>
      <c r="D9009" t="inlineStr">
        <is>
          <t>VÄSTERBOTTENS LÄN</t>
        </is>
      </c>
      <c r="E9009" t="inlineStr">
        <is>
          <t>VILHELMINA</t>
        </is>
      </c>
      <c r="F9009" t="inlineStr">
        <is>
          <t>SCA</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5329-2026</t>
        </is>
      </c>
      <c r="B9010" s="1" t="n">
        <v>46050</v>
      </c>
      <c r="C9010" s="1" t="n">
        <v>46145</v>
      </c>
      <c r="D9010" t="inlineStr">
        <is>
          <t>VÄSTERBOTTENS LÄN</t>
        </is>
      </c>
      <c r="E9010" t="inlineStr">
        <is>
          <t>UMEÅ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5003-2026</t>
        </is>
      </c>
      <c r="B9011" s="1" t="n">
        <v>46049.42774305555</v>
      </c>
      <c r="C9011" s="1" t="n">
        <v>46145</v>
      </c>
      <c r="D9011" t="inlineStr">
        <is>
          <t>VÄSTERBOTTENS LÄN</t>
        </is>
      </c>
      <c r="E9011" t="inlineStr">
        <is>
          <t>ÅSELE</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5011-2026</t>
        </is>
      </c>
      <c r="B9012" s="1" t="n">
        <v>46049.43063657408</v>
      </c>
      <c r="C9012" s="1" t="n">
        <v>46145</v>
      </c>
      <c r="D9012" t="inlineStr">
        <is>
          <t>VÄSTERBOTTENS LÄN</t>
        </is>
      </c>
      <c r="E9012" t="inlineStr">
        <is>
          <t>UMEÅ</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5016-2026</t>
        </is>
      </c>
      <c r="B9013" s="1" t="n">
        <v>46049</v>
      </c>
      <c r="C9013" s="1" t="n">
        <v>46145</v>
      </c>
      <c r="D9013" t="inlineStr">
        <is>
          <t>VÄSTERBOTTENS LÄN</t>
        </is>
      </c>
      <c r="E9013" t="inlineStr">
        <is>
          <t>UMEÅ</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5281-2026</t>
        </is>
      </c>
      <c r="B9014" s="1" t="n">
        <v>46050.34427083333</v>
      </c>
      <c r="C9014" s="1" t="n">
        <v>46145</v>
      </c>
      <c r="D9014" t="inlineStr">
        <is>
          <t>VÄSTERBOTTENS LÄN</t>
        </is>
      </c>
      <c r="E9014" t="inlineStr">
        <is>
          <t>ROBERTSFORS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5282-2026</t>
        </is>
      </c>
      <c r="B9015" s="1" t="n">
        <v>46050.34429398148</v>
      </c>
      <c r="C9015" s="1" t="n">
        <v>46145</v>
      </c>
      <c r="D9015" t="inlineStr">
        <is>
          <t>VÄSTERBOTTENS LÄN</t>
        </is>
      </c>
      <c r="E9015" t="inlineStr">
        <is>
          <t>ROBERTSFORS</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5284-2026</t>
        </is>
      </c>
      <c r="B9016" s="1" t="n">
        <v>46050.34435185185</v>
      </c>
      <c r="C9016" s="1" t="n">
        <v>46145</v>
      </c>
      <c r="D9016" t="inlineStr">
        <is>
          <t>VÄSTERBOTTENS LÄN</t>
        </is>
      </c>
      <c r="E9016" t="inlineStr">
        <is>
          <t>ROBERTSFORS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5289-2026</t>
        </is>
      </c>
      <c r="B9017" s="1" t="n">
        <v>46050.34459490741</v>
      </c>
      <c r="C9017" s="1" t="n">
        <v>46145</v>
      </c>
      <c r="D9017" t="inlineStr">
        <is>
          <t>VÄSTERBOTTENS LÄN</t>
        </is>
      </c>
      <c r="E9017" t="inlineStr">
        <is>
          <t>ROBERTSFORS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5061-2026</t>
        </is>
      </c>
      <c r="B9018" s="1" t="n">
        <v>46049.48510416667</v>
      </c>
      <c r="C9018" s="1" t="n">
        <v>46145</v>
      </c>
      <c r="D9018" t="inlineStr">
        <is>
          <t>VÄSTERBOTTENS LÄN</t>
        </is>
      </c>
      <c r="E9018" t="inlineStr">
        <is>
          <t>VINDELN</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36208-2022</t>
        </is>
      </c>
      <c r="B9019" s="1" t="n">
        <v>44803</v>
      </c>
      <c r="C9019" s="1" t="n">
        <v>46145</v>
      </c>
      <c r="D9019" t="inlineStr">
        <is>
          <t>VÄSTERBOTTENS LÄN</t>
        </is>
      </c>
      <c r="E9019" t="inlineStr">
        <is>
          <t>SKELLEFTEÅ</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52621-2022</t>
        </is>
      </c>
      <c r="B9020" s="1" t="n">
        <v>44869</v>
      </c>
      <c r="C9020" s="1" t="n">
        <v>46145</v>
      </c>
      <c r="D9020" t="inlineStr">
        <is>
          <t>VÄSTERBOTTENS LÄN</t>
        </is>
      </c>
      <c r="E9020" t="inlineStr">
        <is>
          <t>SORSELE</t>
        </is>
      </c>
      <c r="F9020" t="inlineStr">
        <is>
          <t>Allmännings- och besparingsskogar</t>
        </is>
      </c>
      <c r="G9020" t="n">
        <v>17.3</v>
      </c>
      <c r="H9020" t="n">
        <v>0</v>
      </c>
      <c r="I9020" t="n">
        <v>0</v>
      </c>
      <c r="J9020" t="n">
        <v>0</v>
      </c>
      <c r="K9020" t="n">
        <v>0</v>
      </c>
      <c r="L9020" t="n">
        <v>0</v>
      </c>
      <c r="M9020" t="n">
        <v>0</v>
      </c>
      <c r="N9020" t="n">
        <v>0</v>
      </c>
      <c r="O9020" t="n">
        <v>0</v>
      </c>
      <c r="P9020" t="n">
        <v>0</v>
      </c>
      <c r="Q9020" t="n">
        <v>0</v>
      </c>
      <c r="R9020" s="2" t="inlineStr"/>
    </row>
    <row r="9021" ht="15" customHeight="1">
      <c r="A9021" t="inlineStr">
        <is>
          <t>A 18688-2025</t>
        </is>
      </c>
      <c r="B9021" s="1" t="n">
        <v>45763.61390046297</v>
      </c>
      <c r="C9021" s="1" t="n">
        <v>46145</v>
      </c>
      <c r="D9021" t="inlineStr">
        <is>
          <t>VÄSTERBOTTENS LÄN</t>
        </is>
      </c>
      <c r="E9021" t="inlineStr">
        <is>
          <t>LYCKSELE</t>
        </is>
      </c>
      <c r="G9021" t="n">
        <v>9.9</v>
      </c>
      <c r="H9021" t="n">
        <v>0</v>
      </c>
      <c r="I9021" t="n">
        <v>0</v>
      </c>
      <c r="J9021" t="n">
        <v>0</v>
      </c>
      <c r="K9021" t="n">
        <v>0</v>
      </c>
      <c r="L9021" t="n">
        <v>0</v>
      </c>
      <c r="M9021" t="n">
        <v>0</v>
      </c>
      <c r="N9021" t="n">
        <v>0</v>
      </c>
      <c r="O9021" t="n">
        <v>0</v>
      </c>
      <c r="P9021" t="n">
        <v>0</v>
      </c>
      <c r="Q9021" t="n">
        <v>0</v>
      </c>
      <c r="R9021" s="2" t="inlineStr"/>
    </row>
    <row r="9022" ht="15" customHeight="1">
      <c r="A9022" t="inlineStr">
        <is>
          <t>A 18693-2025</t>
        </is>
      </c>
      <c r="B9022" s="1" t="n">
        <v>45763</v>
      </c>
      <c r="C9022" s="1" t="n">
        <v>46145</v>
      </c>
      <c r="D9022" t="inlineStr">
        <is>
          <t>VÄSTERBOTTENS LÄN</t>
        </is>
      </c>
      <c r="E9022" t="inlineStr">
        <is>
          <t>ÅSELE</t>
        </is>
      </c>
      <c r="F9022" t="inlineStr">
        <is>
          <t>SCA</t>
        </is>
      </c>
      <c r="G9022" t="n">
        <v>10.3</v>
      </c>
      <c r="H9022" t="n">
        <v>0</v>
      </c>
      <c r="I9022" t="n">
        <v>0</v>
      </c>
      <c r="J9022" t="n">
        <v>0</v>
      </c>
      <c r="K9022" t="n">
        <v>0</v>
      </c>
      <c r="L9022" t="n">
        <v>0</v>
      </c>
      <c r="M9022" t="n">
        <v>0</v>
      </c>
      <c r="N9022" t="n">
        <v>0</v>
      </c>
      <c r="O9022" t="n">
        <v>0</v>
      </c>
      <c r="P9022" t="n">
        <v>0</v>
      </c>
      <c r="Q9022" t="n">
        <v>0</v>
      </c>
      <c r="R9022" s="2" t="inlineStr"/>
    </row>
    <row r="9023" ht="15" customHeight="1">
      <c r="A9023" t="inlineStr">
        <is>
          <t>A 14671-2023</t>
        </is>
      </c>
      <c r="B9023" s="1" t="n">
        <v>45013</v>
      </c>
      <c r="C9023" s="1" t="n">
        <v>46145</v>
      </c>
      <c r="D9023" t="inlineStr">
        <is>
          <t>VÄSTERBOTTENS LÄN</t>
        </is>
      </c>
      <c r="E9023" t="inlineStr">
        <is>
          <t>ROBERTSFORS</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17885-2023</t>
        </is>
      </c>
      <c r="B9024" s="1" t="n">
        <v>45037</v>
      </c>
      <c r="C9024" s="1" t="n">
        <v>46145</v>
      </c>
      <c r="D9024" t="inlineStr">
        <is>
          <t>VÄSTERBOTTENS LÄN</t>
        </is>
      </c>
      <c r="E9024" t="inlineStr">
        <is>
          <t>ÅSELE</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6045-2026</t>
        </is>
      </c>
      <c r="B9025" s="1" t="n">
        <v>46052.62574074074</v>
      </c>
      <c r="C9025" s="1" t="n">
        <v>46145</v>
      </c>
      <c r="D9025" t="inlineStr">
        <is>
          <t>VÄSTERBOTTENS LÄN</t>
        </is>
      </c>
      <c r="E9025" t="inlineStr">
        <is>
          <t>NORDMALING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39198-2022</t>
        </is>
      </c>
      <c r="B9026" s="1" t="n">
        <v>44816</v>
      </c>
      <c r="C9026" s="1" t="n">
        <v>46145</v>
      </c>
      <c r="D9026" t="inlineStr">
        <is>
          <t>VÄSTERBOTTENS LÄN</t>
        </is>
      </c>
      <c r="E9026" t="inlineStr">
        <is>
          <t>NORDMALING</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57769-2023</t>
        </is>
      </c>
      <c r="B9027" s="1" t="n">
        <v>45246.9253587963</v>
      </c>
      <c r="C9027" s="1" t="n">
        <v>46145</v>
      </c>
      <c r="D9027" t="inlineStr">
        <is>
          <t>VÄSTERBOTTENS LÄN</t>
        </is>
      </c>
      <c r="E9027" t="inlineStr">
        <is>
          <t>STORUMAN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50706-2022</t>
        </is>
      </c>
      <c r="B9028" s="1" t="n">
        <v>44867</v>
      </c>
      <c r="C9028" s="1" t="n">
        <v>46145</v>
      </c>
      <c r="D9028" t="inlineStr">
        <is>
          <t>VÄSTERBOTTENS LÄN</t>
        </is>
      </c>
      <c r="E9028" t="inlineStr">
        <is>
          <t>NORSJÖ</t>
        </is>
      </c>
      <c r="F9028" t="inlineStr">
        <is>
          <t>Holmen skog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50084-2021</t>
        </is>
      </c>
      <c r="B9029" s="1" t="n">
        <v>44456.59263888889</v>
      </c>
      <c r="C9029" s="1" t="n">
        <v>46145</v>
      </c>
      <c r="D9029" t="inlineStr">
        <is>
          <t>VÄSTERBOTTENS LÄN</t>
        </is>
      </c>
      <c r="E9029" t="inlineStr">
        <is>
          <t>UMEÅ</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58613-2022</t>
        </is>
      </c>
      <c r="B9030" s="1" t="n">
        <v>44902.58502314815</v>
      </c>
      <c r="C9030" s="1" t="n">
        <v>46145</v>
      </c>
      <c r="D9030" t="inlineStr">
        <is>
          <t>VÄSTERBOTTENS LÄN</t>
        </is>
      </c>
      <c r="E9030" t="inlineStr">
        <is>
          <t>NORDMALING</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57023-2025</t>
        </is>
      </c>
      <c r="B9031" s="1" t="n">
        <v>45979.25059027778</v>
      </c>
      <c r="C9031" s="1" t="n">
        <v>46145</v>
      </c>
      <c r="D9031" t="inlineStr">
        <is>
          <t>VÄSTERBOTTENS LÄN</t>
        </is>
      </c>
      <c r="E9031" t="inlineStr">
        <is>
          <t>VILHELMINA</t>
        </is>
      </c>
      <c r="G9031" t="n">
        <v>37.7</v>
      </c>
      <c r="H9031" t="n">
        <v>0</v>
      </c>
      <c r="I9031" t="n">
        <v>0</v>
      </c>
      <c r="J9031" t="n">
        <v>0</v>
      </c>
      <c r="K9031" t="n">
        <v>0</v>
      </c>
      <c r="L9031" t="n">
        <v>0</v>
      </c>
      <c r="M9031" t="n">
        <v>0</v>
      </c>
      <c r="N9031" t="n">
        <v>0</v>
      </c>
      <c r="O9031" t="n">
        <v>0</v>
      </c>
      <c r="P9031" t="n">
        <v>0</v>
      </c>
      <c r="Q9031" t="n">
        <v>0</v>
      </c>
      <c r="R9031" s="2" t="inlineStr"/>
    </row>
    <row r="9032" ht="15" customHeight="1">
      <c r="A9032" t="inlineStr">
        <is>
          <t>A 25636-2024</t>
        </is>
      </c>
      <c r="B9032" s="1" t="n">
        <v>45463</v>
      </c>
      <c r="C9032" s="1" t="n">
        <v>46145</v>
      </c>
      <c r="D9032" t="inlineStr">
        <is>
          <t>VÄSTERBOTTENS LÄN</t>
        </is>
      </c>
      <c r="E9032" t="inlineStr">
        <is>
          <t>ÅSELE</t>
        </is>
      </c>
      <c r="F9032" t="inlineStr">
        <is>
          <t>Sveaskog</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5604-2026</t>
        </is>
      </c>
      <c r="B9033" s="1" t="n">
        <v>46051.3494212963</v>
      </c>
      <c r="C9033" s="1" t="n">
        <v>46145</v>
      </c>
      <c r="D9033" t="inlineStr">
        <is>
          <t>VÄSTERBOTTENS LÄN</t>
        </is>
      </c>
      <c r="E9033" t="inlineStr">
        <is>
          <t>ÅSELE</t>
        </is>
      </c>
      <c r="F9033" t="inlineStr">
        <is>
          <t>Sveaskog</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3366-2024</t>
        </is>
      </c>
      <c r="B9034" s="1" t="n">
        <v>45317</v>
      </c>
      <c r="C9034" s="1" t="n">
        <v>46145</v>
      </c>
      <c r="D9034" t="inlineStr">
        <is>
          <t>VÄSTERBOTTENS LÄN</t>
        </is>
      </c>
      <c r="E9034" t="inlineStr">
        <is>
          <t>UMEÅ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5613-2026</t>
        </is>
      </c>
      <c r="B9035" s="1" t="n">
        <v>46051.36532407408</v>
      </c>
      <c r="C9035" s="1" t="n">
        <v>46145</v>
      </c>
      <c r="D9035" t="inlineStr">
        <is>
          <t>VÄSTERBOTTENS LÄN</t>
        </is>
      </c>
      <c r="E9035" t="inlineStr">
        <is>
          <t>ÅSELE</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5614-2026</t>
        </is>
      </c>
      <c r="B9036" s="1" t="n">
        <v>46051.36545138889</v>
      </c>
      <c r="C9036" s="1" t="n">
        <v>46145</v>
      </c>
      <c r="D9036" t="inlineStr">
        <is>
          <t>VÄSTERBOTTENS LÄN</t>
        </is>
      </c>
      <c r="E9036" t="inlineStr">
        <is>
          <t>ÅSELE</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25557-2024</t>
        </is>
      </c>
      <c r="B9037" s="1" t="n">
        <v>45463.58333333334</v>
      </c>
      <c r="C9037" s="1" t="n">
        <v>46145</v>
      </c>
      <c r="D9037" t="inlineStr">
        <is>
          <t>VÄSTERBOTTENS LÄN</t>
        </is>
      </c>
      <c r="E9037" t="inlineStr">
        <is>
          <t>ÅSELE</t>
        </is>
      </c>
      <c r="F9037" t="inlineStr">
        <is>
          <t>Sveaskog</t>
        </is>
      </c>
      <c r="G9037" t="n">
        <v>11.2</v>
      </c>
      <c r="H9037" t="n">
        <v>0</v>
      </c>
      <c r="I9037" t="n">
        <v>0</v>
      </c>
      <c r="J9037" t="n">
        <v>0</v>
      </c>
      <c r="K9037" t="n">
        <v>0</v>
      </c>
      <c r="L9037" t="n">
        <v>0</v>
      </c>
      <c r="M9037" t="n">
        <v>0</v>
      </c>
      <c r="N9037" t="n">
        <v>0</v>
      </c>
      <c r="O9037" t="n">
        <v>0</v>
      </c>
      <c r="P9037" t="n">
        <v>0</v>
      </c>
      <c r="Q9037" t="n">
        <v>0</v>
      </c>
      <c r="R9037" s="2" t="inlineStr"/>
    </row>
    <row r="9038" ht="15" customHeight="1">
      <c r="A9038" t="inlineStr">
        <is>
          <t>A 5795-2026</t>
        </is>
      </c>
      <c r="B9038" s="1" t="n">
        <v>46051.70982638889</v>
      </c>
      <c r="C9038" s="1" t="n">
        <v>46145</v>
      </c>
      <c r="D9038" t="inlineStr">
        <is>
          <t>VÄSTERBOTTENS LÄN</t>
        </is>
      </c>
      <c r="E9038" t="inlineStr">
        <is>
          <t>ROBERTSFORS</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62729-2022</t>
        </is>
      </c>
      <c r="B9039" s="1" t="n">
        <v>44925</v>
      </c>
      <c r="C9039" s="1" t="n">
        <v>46145</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26553-2023</t>
        </is>
      </c>
      <c r="B9040" s="1" t="n">
        <v>45089</v>
      </c>
      <c r="C9040" s="1" t="n">
        <v>46145</v>
      </c>
      <c r="D9040" t="inlineStr">
        <is>
          <t>VÄSTERBOTTENS LÄN</t>
        </is>
      </c>
      <c r="E9040" t="inlineStr">
        <is>
          <t>VILHELMINA</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19491-2023</t>
        </is>
      </c>
      <c r="B9041" s="1" t="n">
        <v>45049</v>
      </c>
      <c r="C9041" s="1" t="n">
        <v>46145</v>
      </c>
      <c r="D9041" t="inlineStr">
        <is>
          <t>VÄSTERBOTTENS LÄN</t>
        </is>
      </c>
      <c r="E9041" t="inlineStr">
        <is>
          <t>SKELLEFTEÅ</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5664-2026</t>
        </is>
      </c>
      <c r="B9042" s="1" t="n">
        <v>46051.46328703704</v>
      </c>
      <c r="C9042" s="1" t="n">
        <v>46145</v>
      </c>
      <c r="D9042" t="inlineStr">
        <is>
          <t>VÄSTERBOTTENS LÄN</t>
        </is>
      </c>
      <c r="E9042" t="inlineStr">
        <is>
          <t>NORDMALING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20778-2024</t>
        </is>
      </c>
      <c r="B9043" s="1" t="n">
        <v>45436.94701388889</v>
      </c>
      <c r="C9043" s="1" t="n">
        <v>46145</v>
      </c>
      <c r="D9043" t="inlineStr">
        <is>
          <t>VÄSTERBOTTENS LÄN</t>
        </is>
      </c>
      <c r="E9043" t="inlineStr">
        <is>
          <t>BJURHOLM</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5744-2026</t>
        </is>
      </c>
      <c r="B9044" s="1" t="n">
        <v>46051.59449074074</v>
      </c>
      <c r="C9044" s="1" t="n">
        <v>46145</v>
      </c>
      <c r="D9044" t="inlineStr">
        <is>
          <t>VÄSTERBOTTENS LÄN</t>
        </is>
      </c>
      <c r="E9044" t="inlineStr">
        <is>
          <t>DOROTEA</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5794-2025</t>
        </is>
      </c>
      <c r="B9045" s="1" t="n">
        <v>45694.65726851852</v>
      </c>
      <c r="C9045" s="1" t="n">
        <v>46145</v>
      </c>
      <c r="D9045" t="inlineStr">
        <is>
          <t>VÄSTERBOTTENS LÄN</t>
        </is>
      </c>
      <c r="E9045" t="inlineStr">
        <is>
          <t>MALÅ</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5652-2026</t>
        </is>
      </c>
      <c r="B9046" s="1" t="n">
        <v>46051.4339699074</v>
      </c>
      <c r="C9046" s="1" t="n">
        <v>46145</v>
      </c>
      <c r="D9046" t="inlineStr">
        <is>
          <t>VÄSTERBOTTENS LÄN</t>
        </is>
      </c>
      <c r="E9046" t="inlineStr">
        <is>
          <t>SKELLEFTEÅ</t>
        </is>
      </c>
      <c r="F9046" t="inlineStr">
        <is>
          <t>Holmen skog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5787-2026</t>
        </is>
      </c>
      <c r="B9047" s="1" t="n">
        <v>46051.67016203704</v>
      </c>
      <c r="C9047" s="1" t="n">
        <v>46145</v>
      </c>
      <c r="D9047" t="inlineStr">
        <is>
          <t>VÄSTERBOTTENS LÄN</t>
        </is>
      </c>
      <c r="E9047" t="inlineStr">
        <is>
          <t>SKELLEFTEÅ</t>
        </is>
      </c>
      <c r="G9047" t="n">
        <v>14.6</v>
      </c>
      <c r="H9047" t="n">
        <v>0</v>
      </c>
      <c r="I9047" t="n">
        <v>0</v>
      </c>
      <c r="J9047" t="n">
        <v>0</v>
      </c>
      <c r="K9047" t="n">
        <v>0</v>
      </c>
      <c r="L9047" t="n">
        <v>0</v>
      </c>
      <c r="M9047" t="n">
        <v>0</v>
      </c>
      <c r="N9047" t="n">
        <v>0</v>
      </c>
      <c r="O9047" t="n">
        <v>0</v>
      </c>
      <c r="P9047" t="n">
        <v>0</v>
      </c>
      <c r="Q9047" t="n">
        <v>0</v>
      </c>
      <c r="R9047" s="2" t="inlineStr"/>
    </row>
    <row r="9048" ht="15" customHeight="1">
      <c r="A9048" t="inlineStr">
        <is>
          <t>A 46860-2022</t>
        </is>
      </c>
      <c r="B9048" s="1" t="n">
        <v>44848</v>
      </c>
      <c r="C9048" s="1" t="n">
        <v>46145</v>
      </c>
      <c r="D9048" t="inlineStr">
        <is>
          <t>VÄSTERBOTTENS LÄN</t>
        </is>
      </c>
      <c r="E9048" t="inlineStr">
        <is>
          <t>NORSJÖ</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6070-2026</t>
        </is>
      </c>
      <c r="B9049" s="1" t="n">
        <v>46052</v>
      </c>
      <c r="C9049" s="1" t="n">
        <v>46145</v>
      </c>
      <c r="D9049" t="inlineStr">
        <is>
          <t>VÄSTERBOTTENS LÄN</t>
        </is>
      </c>
      <c r="E9049" t="inlineStr">
        <is>
          <t>UMEÅ</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55736-2025</t>
        </is>
      </c>
      <c r="B9050" s="1" t="n">
        <v>45972</v>
      </c>
      <c r="C9050" s="1" t="n">
        <v>46145</v>
      </c>
      <c r="D9050" t="inlineStr">
        <is>
          <t>VÄSTERBOTTENS LÄN</t>
        </is>
      </c>
      <c r="E9050" t="inlineStr">
        <is>
          <t>VILHELMINA</t>
        </is>
      </c>
      <c r="G9050" t="n">
        <v>22.9</v>
      </c>
      <c r="H9050" t="n">
        <v>0</v>
      </c>
      <c r="I9050" t="n">
        <v>0</v>
      </c>
      <c r="J9050" t="n">
        <v>0</v>
      </c>
      <c r="K9050" t="n">
        <v>0</v>
      </c>
      <c r="L9050" t="n">
        <v>0</v>
      </c>
      <c r="M9050" t="n">
        <v>0</v>
      </c>
      <c r="N9050" t="n">
        <v>0</v>
      </c>
      <c r="O9050" t="n">
        <v>0</v>
      </c>
      <c r="P9050" t="n">
        <v>0</v>
      </c>
      <c r="Q9050" t="n">
        <v>0</v>
      </c>
      <c r="R9050" s="2" t="inlineStr"/>
    </row>
    <row r="9051" ht="15" customHeight="1">
      <c r="A9051" t="inlineStr">
        <is>
          <t>A 42357-2022</t>
        </is>
      </c>
      <c r="B9051" s="1" t="n">
        <v>44827</v>
      </c>
      <c r="C9051" s="1" t="n">
        <v>46145</v>
      </c>
      <c r="D9051" t="inlineStr">
        <is>
          <t>VÄSTERBOTTENS LÄN</t>
        </is>
      </c>
      <c r="E9051" t="inlineStr">
        <is>
          <t>SKELLEFTEÅ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54786-2023</t>
        </is>
      </c>
      <c r="B9052" s="1" t="n">
        <v>45229</v>
      </c>
      <c r="C9052" s="1" t="n">
        <v>46145</v>
      </c>
      <c r="D9052" t="inlineStr">
        <is>
          <t>VÄSTERBOTTENS LÄN</t>
        </is>
      </c>
      <c r="E9052" t="inlineStr">
        <is>
          <t>VINDELN</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40785-2024</t>
        </is>
      </c>
      <c r="B9053" s="1" t="n">
        <v>45558.49664351852</v>
      </c>
      <c r="C9053" s="1" t="n">
        <v>46145</v>
      </c>
      <c r="D9053" t="inlineStr">
        <is>
          <t>VÄSTERBOTTENS LÄN</t>
        </is>
      </c>
      <c r="E9053" t="inlineStr">
        <is>
          <t>VINDELN</t>
        </is>
      </c>
      <c r="F9053" t="inlineStr">
        <is>
          <t>Holmen skog AB</t>
        </is>
      </c>
      <c r="G9053" t="n">
        <v>1.7</v>
      </c>
      <c r="H9053" t="n">
        <v>0</v>
      </c>
      <c r="I9053" t="n">
        <v>0</v>
      </c>
      <c r="J9053" t="n">
        <v>0</v>
      </c>
      <c r="K9053" t="n">
        <v>0</v>
      </c>
      <c r="L9053" t="n">
        <v>0</v>
      </c>
      <c r="M9053" t="n">
        <v>0</v>
      </c>
      <c r="N9053" t="n">
        <v>0</v>
      </c>
      <c r="O9053" t="n">
        <v>0</v>
      </c>
      <c r="P9053" t="n">
        <v>0</v>
      </c>
      <c r="Q9053" t="n">
        <v>0</v>
      </c>
      <c r="R9053" s="2" t="inlineStr"/>
      <c r="U9053">
        <f>HYPERLINK("https://klasma.github.io/Logging_2404/knärot/A 40785-2024 karta knärot.png", "A 40785-2024")</f>
        <v/>
      </c>
      <c r="V9053">
        <f>HYPERLINK("https://klasma.github.io/Logging_2404/klagomål/A 40785-2024 FSC-klagomål.docx", "A 40785-2024")</f>
        <v/>
      </c>
      <c r="W9053">
        <f>HYPERLINK("https://klasma.github.io/Logging_2404/klagomålsmail/A 40785-2024 FSC-klagomål mail.docx", "A 40785-2024")</f>
        <v/>
      </c>
      <c r="X9053">
        <f>HYPERLINK("https://klasma.github.io/Logging_2404/tillsyn/A 40785-2024 tillsynsbegäran.docx", "A 40785-2024")</f>
        <v/>
      </c>
      <c r="Y9053">
        <f>HYPERLINK("https://klasma.github.io/Logging_2404/tillsynsmail/A 40785-2024 tillsynsbegäran mail.docx", "A 40785-2024")</f>
        <v/>
      </c>
    </row>
    <row r="9054" ht="15" customHeight="1">
      <c r="A9054" t="inlineStr">
        <is>
          <t>A 41965-2024</t>
        </is>
      </c>
      <c r="B9054" s="1" t="n">
        <v>45561</v>
      </c>
      <c r="C9054" s="1" t="n">
        <v>46145</v>
      </c>
      <c r="D9054" t="inlineStr">
        <is>
          <t>VÄSTERBOTTENS LÄN</t>
        </is>
      </c>
      <c r="E9054" t="inlineStr">
        <is>
          <t>NORSJÖ</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5739-2026</t>
        </is>
      </c>
      <c r="B9055" s="1" t="n">
        <v>46051.57848379629</v>
      </c>
      <c r="C9055" s="1" t="n">
        <v>46145</v>
      </c>
      <c r="D9055" t="inlineStr">
        <is>
          <t>VÄSTERBOTTENS LÄN</t>
        </is>
      </c>
      <c r="E9055" t="inlineStr">
        <is>
          <t>SKELLEFTEÅ</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5743-2026</t>
        </is>
      </c>
      <c r="B9056" s="1" t="n">
        <v>46051.59429398148</v>
      </c>
      <c r="C9056" s="1" t="n">
        <v>46145</v>
      </c>
      <c r="D9056" t="inlineStr">
        <is>
          <t>VÄSTERBOTTENS LÄN</t>
        </is>
      </c>
      <c r="E9056" t="inlineStr">
        <is>
          <t>DOROTEA</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5758-2026</t>
        </is>
      </c>
      <c r="B9057" s="1" t="n">
        <v>46051</v>
      </c>
      <c r="C9057" s="1" t="n">
        <v>46145</v>
      </c>
      <c r="D9057" t="inlineStr">
        <is>
          <t>VÄSTERBOTTENS LÄN</t>
        </is>
      </c>
      <c r="E9057" t="inlineStr">
        <is>
          <t>DOROTEA</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5790-2026</t>
        </is>
      </c>
      <c r="B9058" s="1" t="n">
        <v>46051.68773148148</v>
      </c>
      <c r="C9058" s="1" t="n">
        <v>46145</v>
      </c>
      <c r="D9058" t="inlineStr">
        <is>
          <t>VÄSTERBOTTENS LÄN</t>
        </is>
      </c>
      <c r="E9058" t="inlineStr">
        <is>
          <t>SKELLEFTEÅ</t>
        </is>
      </c>
      <c r="G9058" t="n">
        <v>19.5</v>
      </c>
      <c r="H9058" t="n">
        <v>0</v>
      </c>
      <c r="I9058" t="n">
        <v>0</v>
      </c>
      <c r="J9058" t="n">
        <v>0</v>
      </c>
      <c r="K9058" t="n">
        <v>0</v>
      </c>
      <c r="L9058" t="n">
        <v>0</v>
      </c>
      <c r="M9058" t="n">
        <v>0</v>
      </c>
      <c r="N9058" t="n">
        <v>0</v>
      </c>
      <c r="O9058" t="n">
        <v>0</v>
      </c>
      <c r="P9058" t="n">
        <v>0</v>
      </c>
      <c r="Q9058" t="n">
        <v>0</v>
      </c>
      <c r="R9058" s="2" t="inlineStr"/>
    </row>
    <row r="9059" ht="15" customHeight="1">
      <c r="A9059" t="inlineStr">
        <is>
          <t>A 59181-2023</t>
        </is>
      </c>
      <c r="B9059" s="1" t="n">
        <v>45251</v>
      </c>
      <c r="C9059" s="1" t="n">
        <v>46145</v>
      </c>
      <c r="D9059" t="inlineStr">
        <is>
          <t>VÄSTERBOTTENS LÄN</t>
        </is>
      </c>
      <c r="E9059" t="inlineStr">
        <is>
          <t>BJURHOLM</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5631-2026</t>
        </is>
      </c>
      <c r="B9060" s="1" t="n">
        <v>46051</v>
      </c>
      <c r="C9060" s="1" t="n">
        <v>46145</v>
      </c>
      <c r="D9060" t="inlineStr">
        <is>
          <t>VÄSTERBOTTENS LÄN</t>
        </is>
      </c>
      <c r="E9060" t="inlineStr">
        <is>
          <t>SKELLEFTEÅ</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22859-2024</t>
        </is>
      </c>
      <c r="B9061" s="1" t="n">
        <v>45448</v>
      </c>
      <c r="C9061" s="1" t="n">
        <v>46145</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2090-2024</t>
        </is>
      </c>
      <c r="B9062" s="1" t="n">
        <v>45309.434375</v>
      </c>
      <c r="C9062" s="1" t="n">
        <v>46145</v>
      </c>
      <c r="D9062" t="inlineStr">
        <is>
          <t>VÄSTERBOTTENS LÄN</t>
        </is>
      </c>
      <c r="E9062" t="inlineStr">
        <is>
          <t>SKELLEFTEÅ</t>
        </is>
      </c>
      <c r="F9062" t="inlineStr">
        <is>
          <t>Sveaskog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41484-2022</t>
        </is>
      </c>
      <c r="B9063" s="1" t="n">
        <v>44826</v>
      </c>
      <c r="C9063" s="1" t="n">
        <v>46145</v>
      </c>
      <c r="D9063" t="inlineStr">
        <is>
          <t>VÄSTERBOTTENS LÄN</t>
        </is>
      </c>
      <c r="E9063" t="inlineStr">
        <is>
          <t>VILHELMINA</t>
        </is>
      </c>
      <c r="F9063" t="inlineStr">
        <is>
          <t>SCA</t>
        </is>
      </c>
      <c r="G9063" t="n">
        <v>18.1</v>
      </c>
      <c r="H9063" t="n">
        <v>0</v>
      </c>
      <c r="I9063" t="n">
        <v>0</v>
      </c>
      <c r="J9063" t="n">
        <v>0</v>
      </c>
      <c r="K9063" t="n">
        <v>0</v>
      </c>
      <c r="L9063" t="n">
        <v>0</v>
      </c>
      <c r="M9063" t="n">
        <v>0</v>
      </c>
      <c r="N9063" t="n">
        <v>0</v>
      </c>
      <c r="O9063" t="n">
        <v>0</v>
      </c>
      <c r="P9063" t="n">
        <v>0</v>
      </c>
      <c r="Q9063" t="n">
        <v>0</v>
      </c>
      <c r="R9063" s="2" t="inlineStr"/>
    </row>
    <row r="9064" ht="15" customHeight="1">
      <c r="A9064" t="inlineStr">
        <is>
          <t>A 47253-2022</t>
        </is>
      </c>
      <c r="B9064" s="1" t="n">
        <v>44852</v>
      </c>
      <c r="C9064" s="1" t="n">
        <v>46145</v>
      </c>
      <c r="D9064" t="inlineStr">
        <is>
          <t>VÄSTERBOTTENS LÄN</t>
        </is>
      </c>
      <c r="E9064" t="inlineStr">
        <is>
          <t>VILHELMINA</t>
        </is>
      </c>
      <c r="F9064" t="inlineStr">
        <is>
          <t>SCA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6203-2026</t>
        </is>
      </c>
      <c r="B9065" s="1" t="n">
        <v>46055.40695601852</v>
      </c>
      <c r="C9065" s="1" t="n">
        <v>46145</v>
      </c>
      <c r="D9065" t="inlineStr">
        <is>
          <t>VÄSTERBOTTENS LÄN</t>
        </is>
      </c>
      <c r="E9065" t="inlineStr">
        <is>
          <t>VILHELMINA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6215-2026</t>
        </is>
      </c>
      <c r="B9066" s="1" t="n">
        <v>46055.42748842593</v>
      </c>
      <c r="C9066" s="1" t="n">
        <v>46145</v>
      </c>
      <c r="D9066" t="inlineStr">
        <is>
          <t>VÄSTERBOTTENS LÄN</t>
        </is>
      </c>
      <c r="E9066" t="inlineStr">
        <is>
          <t>NORSJÖ</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8860-2024</t>
        </is>
      </c>
      <c r="B9067" s="1" t="n">
        <v>45356</v>
      </c>
      <c r="C9067" s="1" t="n">
        <v>46145</v>
      </c>
      <c r="D9067" t="inlineStr">
        <is>
          <t>VÄSTERBOTTENS LÄN</t>
        </is>
      </c>
      <c r="E9067" t="inlineStr">
        <is>
          <t>STORUMAN</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6335-2026</t>
        </is>
      </c>
      <c r="B9068" s="1" t="n">
        <v>46055.59488425926</v>
      </c>
      <c r="C9068" s="1" t="n">
        <v>46145</v>
      </c>
      <c r="D9068" t="inlineStr">
        <is>
          <t>VÄSTERBOTTENS LÄN</t>
        </is>
      </c>
      <c r="E9068" t="inlineStr">
        <is>
          <t>ÅSELE</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6342-2026</t>
        </is>
      </c>
      <c r="B9069" s="1" t="n">
        <v>46055.60136574074</v>
      </c>
      <c r="C9069" s="1" t="n">
        <v>46145</v>
      </c>
      <c r="D9069" t="inlineStr">
        <is>
          <t>VÄSTERBOTTENS LÄN</t>
        </is>
      </c>
      <c r="E9069" t="inlineStr">
        <is>
          <t>NORDMALING</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5876-2025</t>
        </is>
      </c>
      <c r="B9070" s="1" t="n">
        <v>45694</v>
      </c>
      <c r="C9070" s="1" t="n">
        <v>46145</v>
      </c>
      <c r="D9070" t="inlineStr">
        <is>
          <t>VÄSTERBOTTENS LÄN</t>
        </is>
      </c>
      <c r="E9070" t="inlineStr">
        <is>
          <t>SKELLEFTEÅ</t>
        </is>
      </c>
      <c r="G9070" t="n">
        <v>60.7</v>
      </c>
      <c r="H9070" t="n">
        <v>0</v>
      </c>
      <c r="I9070" t="n">
        <v>0</v>
      </c>
      <c r="J9070" t="n">
        <v>0</v>
      </c>
      <c r="K9070" t="n">
        <v>0</v>
      </c>
      <c r="L9070" t="n">
        <v>0</v>
      </c>
      <c r="M9070" t="n">
        <v>0</v>
      </c>
      <c r="N9070" t="n">
        <v>0</v>
      </c>
      <c r="O9070" t="n">
        <v>0</v>
      </c>
      <c r="P9070" t="n">
        <v>0</v>
      </c>
      <c r="Q9070" t="n">
        <v>0</v>
      </c>
      <c r="R9070" s="2" t="inlineStr"/>
    </row>
    <row r="9071" ht="15" customHeight="1">
      <c r="A9071" t="inlineStr">
        <is>
          <t>A 13007-2025</t>
        </is>
      </c>
      <c r="B9071" s="1" t="n">
        <v>45734.51712962963</v>
      </c>
      <c r="C9071" s="1" t="n">
        <v>46145</v>
      </c>
      <c r="D9071" t="inlineStr">
        <is>
          <t>VÄSTERBOTTENS LÄN</t>
        </is>
      </c>
      <c r="E9071" t="inlineStr">
        <is>
          <t>MALÅ</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6381-2026</t>
        </is>
      </c>
      <c r="B9072" s="1" t="n">
        <v>46055.63590277778</v>
      </c>
      <c r="C9072" s="1" t="n">
        <v>46145</v>
      </c>
      <c r="D9072" t="inlineStr">
        <is>
          <t>VÄSTERBOTTENS LÄN</t>
        </is>
      </c>
      <c r="E9072" t="inlineStr">
        <is>
          <t>DOROTEA</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6503-2026</t>
        </is>
      </c>
      <c r="B9073" s="1" t="n">
        <v>46056.3709837963</v>
      </c>
      <c r="C9073" s="1" t="n">
        <v>46145</v>
      </c>
      <c r="D9073" t="inlineStr">
        <is>
          <t>VÄSTERBOTTENS LÄN</t>
        </is>
      </c>
      <c r="E9073" t="inlineStr">
        <is>
          <t>NORDMALING</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8360-2024</t>
        </is>
      </c>
      <c r="B9074" s="1" t="n">
        <v>45352.58462962963</v>
      </c>
      <c r="C9074" s="1" t="n">
        <v>46145</v>
      </c>
      <c r="D9074" t="inlineStr">
        <is>
          <t>VÄSTERBOTTENS LÄN</t>
        </is>
      </c>
      <c r="E9074" t="inlineStr">
        <is>
          <t>LYCKSELE</t>
        </is>
      </c>
      <c r="F9074" t="inlineStr">
        <is>
          <t>Sveaskog</t>
        </is>
      </c>
      <c r="G9074" t="n">
        <v>31.5</v>
      </c>
      <c r="H9074" t="n">
        <v>0</v>
      </c>
      <c r="I9074" t="n">
        <v>0</v>
      </c>
      <c r="J9074" t="n">
        <v>0</v>
      </c>
      <c r="K9074" t="n">
        <v>0</v>
      </c>
      <c r="L9074" t="n">
        <v>0</v>
      </c>
      <c r="M9074" t="n">
        <v>0</v>
      </c>
      <c r="N9074" t="n">
        <v>0</v>
      </c>
      <c r="O9074" t="n">
        <v>0</v>
      </c>
      <c r="P9074" t="n">
        <v>0</v>
      </c>
      <c r="Q9074" t="n">
        <v>0</v>
      </c>
      <c r="R9074" s="2" t="inlineStr"/>
    </row>
    <row r="9075" ht="15" customHeight="1">
      <c r="A9075" t="inlineStr">
        <is>
          <t>A 8363-2024</t>
        </is>
      </c>
      <c r="B9075" s="1" t="n">
        <v>45352</v>
      </c>
      <c r="C9075" s="1" t="n">
        <v>46145</v>
      </c>
      <c r="D9075" t="inlineStr">
        <is>
          <t>VÄSTERBOTTENS LÄN</t>
        </is>
      </c>
      <c r="E9075" t="inlineStr">
        <is>
          <t>ROBERTSFORS</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6519-2026</t>
        </is>
      </c>
      <c r="B9076" s="1" t="n">
        <v>46056.40042824074</v>
      </c>
      <c r="C9076" s="1" t="n">
        <v>46145</v>
      </c>
      <c r="D9076" t="inlineStr">
        <is>
          <t>VÄSTERBOTTENS LÄN</t>
        </is>
      </c>
      <c r="E9076" t="inlineStr">
        <is>
          <t>UMEÅ</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14286-2025</t>
        </is>
      </c>
      <c r="B9077" s="1" t="n">
        <v>45740.66287037037</v>
      </c>
      <c r="C9077" s="1" t="n">
        <v>46145</v>
      </c>
      <c r="D9077" t="inlineStr">
        <is>
          <t>VÄSTERBOTTENS LÄN</t>
        </is>
      </c>
      <c r="E9077" t="inlineStr">
        <is>
          <t>UMEÅ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6610-2026</t>
        </is>
      </c>
      <c r="B9078" s="1" t="n">
        <v>46056.48768518519</v>
      </c>
      <c r="C9078" s="1" t="n">
        <v>46145</v>
      </c>
      <c r="D9078" t="inlineStr">
        <is>
          <t>VÄSTERBOTTENS LÄN</t>
        </is>
      </c>
      <c r="E9078" t="inlineStr">
        <is>
          <t>BJURHOLM</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6581-2026</t>
        </is>
      </c>
      <c r="B9079" s="1" t="n">
        <v>46056.45396990741</v>
      </c>
      <c r="C9079" s="1" t="n">
        <v>46145</v>
      </c>
      <c r="D9079" t="inlineStr">
        <is>
          <t>VÄSTERBOTTENS LÄN</t>
        </is>
      </c>
      <c r="E9079" t="inlineStr">
        <is>
          <t>VILHELMINA</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57440-2023</t>
        </is>
      </c>
      <c r="B9080" s="1" t="n">
        <v>45240</v>
      </c>
      <c r="C9080" s="1" t="n">
        <v>46145</v>
      </c>
      <c r="D9080" t="inlineStr">
        <is>
          <t>VÄSTERBOTTENS LÄN</t>
        </is>
      </c>
      <c r="E9080" t="inlineStr">
        <is>
          <t>SKELLEFTEÅ</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6553-2026</t>
        </is>
      </c>
      <c r="B9081" s="1" t="n">
        <v>46056.42962962963</v>
      </c>
      <c r="C9081" s="1" t="n">
        <v>46145</v>
      </c>
      <c r="D9081" t="inlineStr">
        <is>
          <t>VÄSTERBOTTENS LÄN</t>
        </is>
      </c>
      <c r="E9081" t="inlineStr">
        <is>
          <t>ÅSELE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46181-2022</t>
        </is>
      </c>
      <c r="B9082" s="1" t="n">
        <v>44845</v>
      </c>
      <c r="C9082" s="1" t="n">
        <v>46145</v>
      </c>
      <c r="D9082" t="inlineStr">
        <is>
          <t>VÄSTERBOTTENS LÄN</t>
        </is>
      </c>
      <c r="E9082" t="inlineStr">
        <is>
          <t>SKELLEFTEÅ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6106-2026</t>
        </is>
      </c>
      <c r="B9083" s="1" t="n">
        <v>46052.97040509259</v>
      </c>
      <c r="C9083" s="1" t="n">
        <v>46145</v>
      </c>
      <c r="D9083" t="inlineStr">
        <is>
          <t>VÄSTERBOTTENS LÄN</t>
        </is>
      </c>
      <c r="E9083" t="inlineStr">
        <is>
          <t>SKELLEFTEÅ</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6178-2026</t>
        </is>
      </c>
      <c r="B9084" s="1" t="n">
        <v>46055</v>
      </c>
      <c r="C9084" s="1" t="n">
        <v>46145</v>
      </c>
      <c r="D9084" t="inlineStr">
        <is>
          <t>VÄSTERBOTTENS LÄN</t>
        </is>
      </c>
      <c r="E9084" t="inlineStr">
        <is>
          <t>UMEÅ</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64370-2023</t>
        </is>
      </c>
      <c r="B9085" s="1" t="n">
        <v>45280</v>
      </c>
      <c r="C9085" s="1" t="n">
        <v>46145</v>
      </c>
      <c r="D9085" t="inlineStr">
        <is>
          <t>VÄSTERBOTTENS LÄN</t>
        </is>
      </c>
      <c r="E9085" t="inlineStr">
        <is>
          <t>SKELLEFTEÅ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6105-2026</t>
        </is>
      </c>
      <c r="B9086" s="1" t="n">
        <v>46052.96436342593</v>
      </c>
      <c r="C9086" s="1" t="n">
        <v>46145</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6134-2026</t>
        </is>
      </c>
      <c r="B9087" s="1" t="n">
        <v>46054.53177083333</v>
      </c>
      <c r="C9087" s="1" t="n">
        <v>46145</v>
      </c>
      <c r="D9087" t="inlineStr">
        <is>
          <t>VÄSTERBOTTENS LÄN</t>
        </is>
      </c>
      <c r="E9087" t="inlineStr">
        <is>
          <t>DOROTEA</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6099-2026</t>
        </is>
      </c>
      <c r="B9088" s="1" t="n">
        <v>46052.77422453704</v>
      </c>
      <c r="C9088" s="1" t="n">
        <v>46145</v>
      </c>
      <c r="D9088" t="inlineStr">
        <is>
          <t>VÄSTERBOTTENS LÄN</t>
        </is>
      </c>
      <c r="E9088" t="inlineStr">
        <is>
          <t>NORDMALING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62980-2023</t>
        </is>
      </c>
      <c r="B9089" s="1" t="n">
        <v>45272</v>
      </c>
      <c r="C9089" s="1" t="n">
        <v>46145</v>
      </c>
      <c r="D9089" t="inlineStr">
        <is>
          <t>VÄSTERBOTTENS LÄN</t>
        </is>
      </c>
      <c r="E9089" t="inlineStr">
        <is>
          <t>ROBERTSFORS</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34-2024</t>
        </is>
      </c>
      <c r="B9090" s="1" t="n">
        <v>45293</v>
      </c>
      <c r="C9090" s="1" t="n">
        <v>46145</v>
      </c>
      <c r="D9090" t="inlineStr">
        <is>
          <t>VÄSTERBOTTENS LÄN</t>
        </is>
      </c>
      <c r="E9090" t="inlineStr">
        <is>
          <t>VINDELN</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52141-2022</t>
        </is>
      </c>
      <c r="B9091" s="1" t="n">
        <v>44868</v>
      </c>
      <c r="C9091" s="1" t="n">
        <v>46145</v>
      </c>
      <c r="D9091" t="inlineStr">
        <is>
          <t>VÄSTERBOTTENS LÄN</t>
        </is>
      </c>
      <c r="E9091" t="inlineStr">
        <is>
          <t>SKELLEFTEÅ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6624-2026</t>
        </is>
      </c>
      <c r="B9092" s="1" t="n">
        <v>46056.51085648148</v>
      </c>
      <c r="C9092" s="1" t="n">
        <v>46145</v>
      </c>
      <c r="D9092" t="inlineStr">
        <is>
          <t>VÄSTERBOTTENS LÄN</t>
        </is>
      </c>
      <c r="E9092" t="inlineStr">
        <is>
          <t>NORDMALING</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14994-2025</t>
        </is>
      </c>
      <c r="B9093" s="1" t="n">
        <v>45743</v>
      </c>
      <c r="C9093" s="1" t="n">
        <v>46145</v>
      </c>
      <c r="D9093" t="inlineStr">
        <is>
          <t>VÄSTERBOTTENS LÄN</t>
        </is>
      </c>
      <c r="E9093" t="inlineStr">
        <is>
          <t>VINDELN</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1856-2023</t>
        </is>
      </c>
      <c r="B9094" s="1" t="n">
        <v>44938</v>
      </c>
      <c r="C9094" s="1" t="n">
        <v>46145</v>
      </c>
      <c r="D9094" t="inlineStr">
        <is>
          <t>VÄSTERBOTTENS LÄN</t>
        </is>
      </c>
      <c r="E9094" t="inlineStr">
        <is>
          <t>NORDMALING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1859-2023</t>
        </is>
      </c>
      <c r="B9095" s="1" t="n">
        <v>44938.92320601852</v>
      </c>
      <c r="C9095" s="1" t="n">
        <v>46145</v>
      </c>
      <c r="D9095" t="inlineStr">
        <is>
          <t>VÄSTERBOTTENS LÄN</t>
        </is>
      </c>
      <c r="E9095" t="inlineStr">
        <is>
          <t>SKELLEFTEÅ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40024-2022</t>
        </is>
      </c>
      <c r="B9096" s="1" t="n">
        <v>44820.41207175926</v>
      </c>
      <c r="C9096" s="1" t="n">
        <v>46145</v>
      </c>
      <c r="D9096" t="inlineStr">
        <is>
          <t>VÄSTERBOTTENS LÄN</t>
        </is>
      </c>
      <c r="E9096" t="inlineStr">
        <is>
          <t>UMEÅ</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15108-2025</t>
        </is>
      </c>
      <c r="B9097" s="1" t="n">
        <v>45744</v>
      </c>
      <c r="C9097" s="1" t="n">
        <v>46145</v>
      </c>
      <c r="D9097" t="inlineStr">
        <is>
          <t>VÄSTERBOTTENS LÄN</t>
        </is>
      </c>
      <c r="E9097" t="inlineStr">
        <is>
          <t>ROBERTSFORS</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6563-2026</t>
        </is>
      </c>
      <c r="B9098" s="1" t="n">
        <v>46056.43702546296</v>
      </c>
      <c r="C9098" s="1" t="n">
        <v>46145</v>
      </c>
      <c r="D9098" t="inlineStr">
        <is>
          <t>VÄSTERBOTTENS LÄN</t>
        </is>
      </c>
      <c r="E9098" t="inlineStr">
        <is>
          <t>UMEÅ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60061-2023</t>
        </is>
      </c>
      <c r="B9099" s="1" t="n">
        <v>45258.38234953704</v>
      </c>
      <c r="C9099" s="1" t="n">
        <v>46145</v>
      </c>
      <c r="D9099" t="inlineStr">
        <is>
          <t>VÄSTERBOTTENS LÄN</t>
        </is>
      </c>
      <c r="E9099" t="inlineStr">
        <is>
          <t>LYCKSELE</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6185-2026</t>
        </is>
      </c>
      <c r="B9100" s="1" t="n">
        <v>46055.36503472222</v>
      </c>
      <c r="C9100" s="1" t="n">
        <v>46145</v>
      </c>
      <c r="D9100" t="inlineStr">
        <is>
          <t>VÄSTERBOTTENS LÄN</t>
        </is>
      </c>
      <c r="E9100" t="inlineStr">
        <is>
          <t>ÅSELE</t>
        </is>
      </c>
      <c r="F9100" t="inlineStr">
        <is>
          <t>SCA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51926-2022</t>
        </is>
      </c>
      <c r="B9101" s="1" t="n">
        <v>44872</v>
      </c>
      <c r="C9101" s="1" t="n">
        <v>46145</v>
      </c>
      <c r="D9101" t="inlineStr">
        <is>
          <t>VÄSTERBOTTENS LÄN</t>
        </is>
      </c>
      <c r="E9101" t="inlineStr">
        <is>
          <t>NORSJÖ</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6508-2026</t>
        </is>
      </c>
      <c r="B9102" s="1" t="n">
        <v>46056.38537037037</v>
      </c>
      <c r="C9102" s="1" t="n">
        <v>46145</v>
      </c>
      <c r="D9102" t="inlineStr">
        <is>
          <t>VÄSTERBOTTENS LÄN</t>
        </is>
      </c>
      <c r="E9102" t="inlineStr">
        <is>
          <t>NORDMALING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13506-2025</t>
        </is>
      </c>
      <c r="B9103" s="1" t="n">
        <v>45736.46910879629</v>
      </c>
      <c r="C9103" s="1" t="n">
        <v>46145</v>
      </c>
      <c r="D9103" t="inlineStr">
        <is>
          <t>VÄSTERBOTTENS LÄN</t>
        </is>
      </c>
      <c r="E9103" t="inlineStr">
        <is>
          <t>NORDMALING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36477-2024</t>
        </is>
      </c>
      <c r="B9104" s="1" t="n">
        <v>45537.36497685185</v>
      </c>
      <c r="C9104" s="1" t="n">
        <v>46145</v>
      </c>
      <c r="D9104" t="inlineStr">
        <is>
          <t>VÄSTERBOTTENS LÄN</t>
        </is>
      </c>
      <c r="E9104" t="inlineStr">
        <is>
          <t>ROBERTSFORS</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36480-2024</t>
        </is>
      </c>
      <c r="B9105" s="1" t="n">
        <v>45537</v>
      </c>
      <c r="C9105" s="1" t="n">
        <v>46145</v>
      </c>
      <c r="D9105" t="inlineStr">
        <is>
          <t>VÄSTERBOTTENS LÄN</t>
        </is>
      </c>
      <c r="E9105" t="inlineStr">
        <is>
          <t>BJURHOLM</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7683-2024</t>
        </is>
      </c>
      <c r="B9106" s="1" t="n">
        <v>45348</v>
      </c>
      <c r="C9106" s="1" t="n">
        <v>46145</v>
      </c>
      <c r="D9106" t="inlineStr">
        <is>
          <t>VÄSTERBOTTENS LÄN</t>
        </is>
      </c>
      <c r="E9106" t="inlineStr">
        <is>
          <t>BJURHOLM</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6265-2026</t>
        </is>
      </c>
      <c r="B9107" s="1" t="n">
        <v>46055.48990740741</v>
      </c>
      <c r="C9107" s="1" t="n">
        <v>46145</v>
      </c>
      <c r="D9107" t="inlineStr">
        <is>
          <t>VÄSTERBOTTENS LÄN</t>
        </is>
      </c>
      <c r="E9107" t="inlineStr">
        <is>
          <t>VILHELMINA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6201-2026</t>
        </is>
      </c>
      <c r="B9108" s="1" t="n">
        <v>46055.40685185185</v>
      </c>
      <c r="C9108" s="1" t="n">
        <v>46145</v>
      </c>
      <c r="D9108" t="inlineStr">
        <is>
          <t>VÄSTERBOTTENS LÄN</t>
        </is>
      </c>
      <c r="E9108" t="inlineStr">
        <is>
          <t>VILHELMINA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7728-2024</t>
        </is>
      </c>
      <c r="B9109" s="1" t="n">
        <v>45348</v>
      </c>
      <c r="C9109" s="1" t="n">
        <v>46145</v>
      </c>
      <c r="D9109" t="inlineStr">
        <is>
          <t>VÄSTERBOTTENS LÄN</t>
        </is>
      </c>
      <c r="E9109" t="inlineStr">
        <is>
          <t>BJURHOLM</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6533-2026</t>
        </is>
      </c>
      <c r="B9110" s="1" t="n">
        <v>46056.41567129629</v>
      </c>
      <c r="C9110" s="1" t="n">
        <v>46145</v>
      </c>
      <c r="D9110" t="inlineStr">
        <is>
          <t>VÄSTERBOTTENS LÄN</t>
        </is>
      </c>
      <c r="E9110" t="inlineStr">
        <is>
          <t>BJURHOLM</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6540-2026</t>
        </is>
      </c>
      <c r="B9111" s="1" t="n">
        <v>46056.42645833334</v>
      </c>
      <c r="C9111" s="1" t="n">
        <v>46145</v>
      </c>
      <c r="D9111" t="inlineStr">
        <is>
          <t>VÄSTERBOTTENS LÄN</t>
        </is>
      </c>
      <c r="E9111" t="inlineStr">
        <is>
          <t>BJURHOLM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47007-2024</t>
        </is>
      </c>
      <c r="B9112" s="1" t="n">
        <v>45586.38399305556</v>
      </c>
      <c r="C9112" s="1" t="n">
        <v>46145</v>
      </c>
      <c r="D9112" t="inlineStr">
        <is>
          <t>VÄSTERBOTTENS LÄN</t>
        </is>
      </c>
      <c r="E9112" t="inlineStr">
        <is>
          <t>SKELLEFTEÅ</t>
        </is>
      </c>
      <c r="G9112" t="n">
        <v>22.2</v>
      </c>
      <c r="H9112" t="n">
        <v>0</v>
      </c>
      <c r="I9112" t="n">
        <v>0</v>
      </c>
      <c r="J9112" t="n">
        <v>0</v>
      </c>
      <c r="K9112" t="n">
        <v>0</v>
      </c>
      <c r="L9112" t="n">
        <v>0</v>
      </c>
      <c r="M9112" t="n">
        <v>0</v>
      </c>
      <c r="N9112" t="n">
        <v>0</v>
      </c>
      <c r="O9112" t="n">
        <v>0</v>
      </c>
      <c r="P9112" t="n">
        <v>0</v>
      </c>
      <c r="Q9112" t="n">
        <v>0</v>
      </c>
      <c r="R9112" s="2" t="inlineStr"/>
    </row>
    <row r="9113" ht="15" customHeight="1">
      <c r="A9113" t="inlineStr">
        <is>
          <t>A 36800-2024</t>
        </is>
      </c>
      <c r="B9113" s="1" t="n">
        <v>45538.45694444444</v>
      </c>
      <c r="C9113" s="1" t="n">
        <v>46145</v>
      </c>
      <c r="D9113" t="inlineStr">
        <is>
          <t>VÄSTERBOTTENS LÄN</t>
        </is>
      </c>
      <c r="E9113" t="inlineStr">
        <is>
          <t>SKELLEFTEÅ</t>
        </is>
      </c>
      <c r="F9113" t="inlineStr">
        <is>
          <t>Sveaskog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6811-2026</t>
        </is>
      </c>
      <c r="B9114" s="1" t="n">
        <v>46055</v>
      </c>
      <c r="C9114" s="1" t="n">
        <v>46145</v>
      </c>
      <c r="D9114" t="inlineStr">
        <is>
          <t>VÄSTERBOTTENS LÄN</t>
        </is>
      </c>
      <c r="E9114" t="inlineStr">
        <is>
          <t>BJURHOLM</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13704-2026</t>
        </is>
      </c>
      <c r="B9115" s="1" t="n">
        <v>46097</v>
      </c>
      <c r="C9115" s="1" t="n">
        <v>46145</v>
      </c>
      <c r="D9115" t="inlineStr">
        <is>
          <t>VÄSTERBOTTENS LÄN</t>
        </is>
      </c>
      <c r="E9115" t="inlineStr">
        <is>
          <t>VILHELMINA</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6191-2026</t>
        </is>
      </c>
      <c r="B9116" s="1" t="n">
        <v>46055.38575231482</v>
      </c>
      <c r="C9116" s="1" t="n">
        <v>46145</v>
      </c>
      <c r="D9116" t="inlineStr">
        <is>
          <t>VÄSTERBOTTENS LÄN</t>
        </is>
      </c>
      <c r="E9116" t="inlineStr">
        <is>
          <t>BJURHOLM</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1947-2022</t>
        </is>
      </c>
      <c r="B9117" s="1" t="n">
        <v>44575</v>
      </c>
      <c r="C9117" s="1" t="n">
        <v>46145</v>
      </c>
      <c r="D9117" t="inlineStr">
        <is>
          <t>VÄSTERBOTTENS LÄN</t>
        </is>
      </c>
      <c r="E9117" t="inlineStr">
        <is>
          <t>MALÅ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6202-2026</t>
        </is>
      </c>
      <c r="B9118" s="1" t="n">
        <v>46055.40693287037</v>
      </c>
      <c r="C9118" s="1" t="n">
        <v>46145</v>
      </c>
      <c r="D9118" t="inlineStr">
        <is>
          <t>VÄSTERBOTTENS LÄN</t>
        </is>
      </c>
      <c r="E9118" t="inlineStr">
        <is>
          <t>VILHELMINA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6275-2026</t>
        </is>
      </c>
      <c r="B9119" s="1" t="n">
        <v>46055.5090625</v>
      </c>
      <c r="C9119" s="1" t="n">
        <v>46145</v>
      </c>
      <c r="D9119" t="inlineStr">
        <is>
          <t>VÄSTERBOTTENS LÄN</t>
        </is>
      </c>
      <c r="E9119" t="inlineStr">
        <is>
          <t>SKELLEFTEÅ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1922-2023</t>
        </is>
      </c>
      <c r="B9120" s="1" t="n">
        <v>44938</v>
      </c>
      <c r="C9120" s="1" t="n">
        <v>46145</v>
      </c>
      <c r="D9120" t="inlineStr">
        <is>
          <t>VÄSTERBOTTENS LÄN</t>
        </is>
      </c>
      <c r="E9120" t="inlineStr">
        <is>
          <t>ROBERTSFORS</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29651-2024</t>
        </is>
      </c>
      <c r="B9121" s="1" t="n">
        <v>45484.85026620371</v>
      </c>
      <c r="C9121" s="1" t="n">
        <v>46145</v>
      </c>
      <c r="D9121" t="inlineStr">
        <is>
          <t>VÄSTERBOTTENS LÄN</t>
        </is>
      </c>
      <c r="E9121" t="inlineStr">
        <is>
          <t>VINDELN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5563-2025</t>
        </is>
      </c>
      <c r="B9122" s="1" t="n">
        <v>45693</v>
      </c>
      <c r="C9122" s="1" t="n">
        <v>46145</v>
      </c>
      <c r="D9122" t="inlineStr">
        <is>
          <t>VÄSTERBOTTENS LÄN</t>
        </is>
      </c>
      <c r="E9122" t="inlineStr">
        <is>
          <t>SKELLEFTEÅ</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7418-2024</t>
        </is>
      </c>
      <c r="B9123" s="1" t="n">
        <v>45345</v>
      </c>
      <c r="C9123" s="1" t="n">
        <v>46145</v>
      </c>
      <c r="D9123" t="inlineStr">
        <is>
          <t>VÄSTERBOTTENS LÄN</t>
        </is>
      </c>
      <c r="E9123" t="inlineStr">
        <is>
          <t>BJURHOLM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55888-2022</t>
        </is>
      </c>
      <c r="B9124" s="1" t="n">
        <v>44888</v>
      </c>
      <c r="C9124" s="1" t="n">
        <v>46145</v>
      </c>
      <c r="D9124" t="inlineStr">
        <is>
          <t>VÄSTERBOTTENS LÄN</t>
        </is>
      </c>
      <c r="E9124" t="inlineStr">
        <is>
          <t>DOROTEA</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7440-2024</t>
        </is>
      </c>
      <c r="B9125" s="1" t="n">
        <v>45345</v>
      </c>
      <c r="C9125" s="1" t="n">
        <v>46145</v>
      </c>
      <c r="D9125" t="inlineStr">
        <is>
          <t>VÄSTERBOTTENS LÄN</t>
        </is>
      </c>
      <c r="E9125" t="inlineStr">
        <is>
          <t>UMEÅ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6565-2026</t>
        </is>
      </c>
      <c r="B9126" s="1" t="n">
        <v>46056.4393287037</v>
      </c>
      <c r="C9126" s="1" t="n">
        <v>46145</v>
      </c>
      <c r="D9126" t="inlineStr">
        <is>
          <t>VÄSTERBOTTENS LÄN</t>
        </is>
      </c>
      <c r="E9126" t="inlineStr">
        <is>
          <t>ÅSELE</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58008-2024</t>
        </is>
      </c>
      <c r="B9127" s="1" t="n">
        <v>45631.65482638889</v>
      </c>
      <c r="C9127" s="1" t="n">
        <v>46145</v>
      </c>
      <c r="D9127" t="inlineStr">
        <is>
          <t>VÄSTERBOTTENS LÄN</t>
        </is>
      </c>
      <c r="E9127" t="inlineStr">
        <is>
          <t>SKELLEFTEÅ</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35412-2024</t>
        </is>
      </c>
      <c r="B9128" s="1" t="n">
        <v>45531.4075</v>
      </c>
      <c r="C9128" s="1" t="n">
        <v>46145</v>
      </c>
      <c r="D9128" t="inlineStr">
        <is>
          <t>VÄSTERBOTTENS LÄN</t>
        </is>
      </c>
      <c r="E9128" t="inlineStr">
        <is>
          <t>VILHELMINA</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11971-2025</t>
        </is>
      </c>
      <c r="B9129" s="1" t="n">
        <v>45728</v>
      </c>
      <c r="C9129" s="1" t="n">
        <v>46145</v>
      </c>
      <c r="D9129" t="inlineStr">
        <is>
          <t>VÄSTERBOTTENS LÄN</t>
        </is>
      </c>
      <c r="E9129" t="inlineStr">
        <is>
          <t>SKELLEFTEÅ</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51418-2023</t>
        </is>
      </c>
      <c r="B9130" s="1" t="n">
        <v>45219</v>
      </c>
      <c r="C9130" s="1" t="n">
        <v>46145</v>
      </c>
      <c r="D9130" t="inlineStr">
        <is>
          <t>VÄSTERBOTTENS LÄN</t>
        </is>
      </c>
      <c r="E9130" t="inlineStr">
        <is>
          <t>SKELLEFTEÅ</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12855-2025</t>
        </is>
      </c>
      <c r="B9131" s="1" t="n">
        <v>45733.66163194444</v>
      </c>
      <c r="C9131" s="1" t="n">
        <v>46145</v>
      </c>
      <c r="D9131" t="inlineStr">
        <is>
          <t>VÄSTERBOTTENS LÄN</t>
        </is>
      </c>
      <c r="E9131" t="inlineStr">
        <is>
          <t>SKELLEFTEÅ</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52209-2024</t>
        </is>
      </c>
      <c r="B9132" s="1" t="n">
        <v>45607</v>
      </c>
      <c r="C9132" s="1" t="n">
        <v>46145</v>
      </c>
      <c r="D9132" t="inlineStr">
        <is>
          <t>VÄSTERBOTTENS LÄN</t>
        </is>
      </c>
      <c r="E9132" t="inlineStr">
        <is>
          <t>STORUMAN</t>
        </is>
      </c>
      <c r="F9132" t="inlineStr">
        <is>
          <t>Allmännings- och besparingsskogar</t>
        </is>
      </c>
      <c r="G9132" t="n">
        <v>16.8</v>
      </c>
      <c r="H9132" t="n">
        <v>0</v>
      </c>
      <c r="I9132" t="n">
        <v>0</v>
      </c>
      <c r="J9132" t="n">
        <v>0</v>
      </c>
      <c r="K9132" t="n">
        <v>0</v>
      </c>
      <c r="L9132" t="n">
        <v>0</v>
      </c>
      <c r="M9132" t="n">
        <v>0</v>
      </c>
      <c r="N9132" t="n">
        <v>0</v>
      </c>
      <c r="O9132" t="n">
        <v>0</v>
      </c>
      <c r="P9132" t="n">
        <v>0</v>
      </c>
      <c r="Q9132" t="n">
        <v>0</v>
      </c>
      <c r="R9132" s="2" t="inlineStr"/>
    </row>
    <row r="9133" ht="15" customHeight="1">
      <c r="A9133" t="inlineStr">
        <is>
          <t>A 14961-2022</t>
        </is>
      </c>
      <c r="B9133" s="1" t="n">
        <v>44657</v>
      </c>
      <c r="C9133" s="1" t="n">
        <v>46145</v>
      </c>
      <c r="D9133" t="inlineStr">
        <is>
          <t>VÄSTERBOTTENS LÄN</t>
        </is>
      </c>
      <c r="E9133" t="inlineStr">
        <is>
          <t>VILHELMINA</t>
        </is>
      </c>
      <c r="G9133" t="n">
        <v>19.9</v>
      </c>
      <c r="H9133" t="n">
        <v>0</v>
      </c>
      <c r="I9133" t="n">
        <v>0</v>
      </c>
      <c r="J9133" t="n">
        <v>0</v>
      </c>
      <c r="K9133" t="n">
        <v>0</v>
      </c>
      <c r="L9133" t="n">
        <v>0</v>
      </c>
      <c r="M9133" t="n">
        <v>0</v>
      </c>
      <c r="N9133" t="n">
        <v>0</v>
      </c>
      <c r="O9133" t="n">
        <v>0</v>
      </c>
      <c r="P9133" t="n">
        <v>0</v>
      </c>
      <c r="Q9133" t="n">
        <v>0</v>
      </c>
      <c r="R9133" s="2" t="inlineStr"/>
    </row>
    <row r="9134" ht="15" customHeight="1">
      <c r="A9134" t="inlineStr">
        <is>
          <t>A 60557-2023</t>
        </is>
      </c>
      <c r="B9134" s="1" t="n">
        <v>45259</v>
      </c>
      <c r="C9134" s="1" t="n">
        <v>46145</v>
      </c>
      <c r="D9134" t="inlineStr">
        <is>
          <t>VÄSTERBOTTENS LÄN</t>
        </is>
      </c>
      <c r="E9134" t="inlineStr">
        <is>
          <t>VÄNNÄS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6911-2026</t>
        </is>
      </c>
      <c r="B9135" s="1" t="n">
        <v>46057.51104166666</v>
      </c>
      <c r="C9135" s="1" t="n">
        <v>46145</v>
      </c>
      <c r="D9135" t="inlineStr">
        <is>
          <t>VÄSTERBOTTENS LÄN</t>
        </is>
      </c>
      <c r="E9135" t="inlineStr">
        <is>
          <t>ÅSELE</t>
        </is>
      </c>
      <c r="F9135" t="inlineStr">
        <is>
          <t>SCA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6919-2026</t>
        </is>
      </c>
      <c r="B9136" s="1" t="n">
        <v>46057.53539351852</v>
      </c>
      <c r="C9136" s="1" t="n">
        <v>46145</v>
      </c>
      <c r="D9136" t="inlineStr">
        <is>
          <t>VÄSTERBOTTENS LÄN</t>
        </is>
      </c>
      <c r="E9136" t="inlineStr">
        <is>
          <t>UMEÅ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36588-2024</t>
        </is>
      </c>
      <c r="B9137" s="1" t="n">
        <v>45537</v>
      </c>
      <c r="C9137" s="1" t="n">
        <v>46145</v>
      </c>
      <c r="D9137" t="inlineStr">
        <is>
          <t>VÄSTERBOTTENS LÄN</t>
        </is>
      </c>
      <c r="E9137" t="inlineStr">
        <is>
          <t>VINDELN</t>
        </is>
      </c>
      <c r="F9137" t="inlineStr">
        <is>
          <t>Sveaskog</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36594-2024</t>
        </is>
      </c>
      <c r="B9138" s="1" t="n">
        <v>45537</v>
      </c>
      <c r="C9138" s="1" t="n">
        <v>46145</v>
      </c>
      <c r="D9138" t="inlineStr">
        <is>
          <t>VÄSTERBOTTENS LÄN</t>
        </is>
      </c>
      <c r="E9138" t="inlineStr">
        <is>
          <t>BJURHOLM</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6966-2026</t>
        </is>
      </c>
      <c r="B9139" s="1" t="n">
        <v>46057.58739583333</v>
      </c>
      <c r="C9139" s="1" t="n">
        <v>46145</v>
      </c>
      <c r="D9139" t="inlineStr">
        <is>
          <t>VÄSTERBOTTENS LÄN</t>
        </is>
      </c>
      <c r="E9139" t="inlineStr">
        <is>
          <t>BJURHOLM</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7224-2026</t>
        </is>
      </c>
      <c r="B9140" s="1" t="n">
        <v>46058.56734953704</v>
      </c>
      <c r="C9140" s="1" t="n">
        <v>46145</v>
      </c>
      <c r="D9140" t="inlineStr">
        <is>
          <t>VÄSTERBOTTENS LÄN</t>
        </is>
      </c>
      <c r="E9140" t="inlineStr">
        <is>
          <t>STORUMAN</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61553-2023</t>
        </is>
      </c>
      <c r="B9141" s="1" t="n">
        <v>45261</v>
      </c>
      <c r="C9141" s="1" t="n">
        <v>46145</v>
      </c>
      <c r="D9141" t="inlineStr">
        <is>
          <t>VÄSTERBOTTENS LÄN</t>
        </is>
      </c>
      <c r="E9141" t="inlineStr">
        <is>
          <t>ROBERTSFORS</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6888-2026</t>
        </is>
      </c>
      <c r="B9142" s="1" t="n">
        <v>46057.46924768519</v>
      </c>
      <c r="C9142" s="1" t="n">
        <v>46145</v>
      </c>
      <c r="D9142" t="inlineStr">
        <is>
          <t>VÄSTERBOTTENS LÄN</t>
        </is>
      </c>
      <c r="E9142" t="inlineStr">
        <is>
          <t>ÅSELE</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62877-2023</t>
        </is>
      </c>
      <c r="B9143" s="1" t="n">
        <v>45271</v>
      </c>
      <c r="C9143" s="1" t="n">
        <v>46145</v>
      </c>
      <c r="D9143" t="inlineStr">
        <is>
          <t>VÄSTERBOTTENS LÄN</t>
        </is>
      </c>
      <c r="E9143" t="inlineStr">
        <is>
          <t>LYCKSELE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7285-2026</t>
        </is>
      </c>
      <c r="B9144" s="1" t="n">
        <v>46058.6363425926</v>
      </c>
      <c r="C9144" s="1" t="n">
        <v>46145</v>
      </c>
      <c r="D9144" t="inlineStr">
        <is>
          <t>VÄSTERBOTTENS LÄN</t>
        </is>
      </c>
      <c r="E9144" t="inlineStr">
        <is>
          <t>UMEÅ</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44634-2024</t>
        </is>
      </c>
      <c r="B9145" s="1" t="n">
        <v>45574</v>
      </c>
      <c r="C9145" s="1" t="n">
        <v>46145</v>
      </c>
      <c r="D9145" t="inlineStr">
        <is>
          <t>VÄSTERBOTTENS LÄN</t>
        </is>
      </c>
      <c r="E9145" t="inlineStr">
        <is>
          <t>VILHELMINA</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58776-2025</t>
        </is>
      </c>
      <c r="B9146" s="1" t="n">
        <v>45986</v>
      </c>
      <c r="C9146" s="1" t="n">
        <v>46145</v>
      </c>
      <c r="D9146" t="inlineStr">
        <is>
          <t>VÄSTERBOTTENS LÄN</t>
        </is>
      </c>
      <c r="E9146" t="inlineStr">
        <is>
          <t>LYCKSELE</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42823-2024</t>
        </is>
      </c>
      <c r="B9147" s="1" t="n">
        <v>45566</v>
      </c>
      <c r="C9147" s="1" t="n">
        <v>46145</v>
      </c>
      <c r="D9147" t="inlineStr">
        <is>
          <t>VÄSTERBOTTENS LÄN</t>
        </is>
      </c>
      <c r="E9147" t="inlineStr">
        <is>
          <t>NORDMALING</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7435-2026</t>
        </is>
      </c>
      <c r="B9148" s="1" t="n">
        <v>46058</v>
      </c>
      <c r="C9148" s="1" t="n">
        <v>46145</v>
      </c>
      <c r="D9148" t="inlineStr">
        <is>
          <t>VÄSTERBOTTENS LÄN</t>
        </is>
      </c>
      <c r="E9148" t="inlineStr">
        <is>
          <t>SKELLEFTEÅ</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7317-2026</t>
        </is>
      </c>
      <c r="B9149" s="1" t="n">
        <v>46058.67178240741</v>
      </c>
      <c r="C9149" s="1" t="n">
        <v>46145</v>
      </c>
      <c r="D9149" t="inlineStr">
        <is>
          <t>VÄSTERBOTTENS LÄN</t>
        </is>
      </c>
      <c r="E9149" t="inlineStr">
        <is>
          <t>SKELLEFTEÅ</t>
        </is>
      </c>
      <c r="F9149" t="inlineStr">
        <is>
          <t>Sveaskog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15613-2025</t>
        </is>
      </c>
      <c r="B9150" s="1" t="n">
        <v>45748.35021990741</v>
      </c>
      <c r="C9150" s="1" t="n">
        <v>46145</v>
      </c>
      <c r="D9150" t="inlineStr">
        <is>
          <t>VÄSTERBOTTENS LÄN</t>
        </is>
      </c>
      <c r="E9150" t="inlineStr">
        <is>
          <t>VINDELN</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37023-2024</t>
        </is>
      </c>
      <c r="B9151" s="1" t="n">
        <v>45539</v>
      </c>
      <c r="C9151" s="1" t="n">
        <v>46145</v>
      </c>
      <c r="D9151" t="inlineStr">
        <is>
          <t>VÄSTERBOTTENS LÄN</t>
        </is>
      </c>
      <c r="E9151" t="inlineStr">
        <is>
          <t>UMEÅ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39220-2024</t>
        </is>
      </c>
      <c r="B9152" s="1" t="n">
        <v>45549</v>
      </c>
      <c r="C9152" s="1" t="n">
        <v>46145</v>
      </c>
      <c r="D9152" t="inlineStr">
        <is>
          <t>VÄSTERBOTTENS LÄN</t>
        </is>
      </c>
      <c r="E9152" t="inlineStr">
        <is>
          <t>VÄNNÄS</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22548-2023</t>
        </is>
      </c>
      <c r="B9153" s="1" t="n">
        <v>45069</v>
      </c>
      <c r="C9153" s="1" t="n">
        <v>46145</v>
      </c>
      <c r="D9153" t="inlineStr">
        <is>
          <t>VÄSTERBOTTENS LÄN</t>
        </is>
      </c>
      <c r="E9153" t="inlineStr">
        <is>
          <t>SKELLEFTEÅ</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7432-2026</t>
        </is>
      </c>
      <c r="B9154" s="1" t="n">
        <v>46058</v>
      </c>
      <c r="C9154" s="1" t="n">
        <v>46145</v>
      </c>
      <c r="D9154" t="inlineStr">
        <is>
          <t>VÄSTERBOTTENS LÄN</t>
        </is>
      </c>
      <c r="E9154" t="inlineStr">
        <is>
          <t>SKELLEFTEÅ</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6995-2026</t>
        </is>
      </c>
      <c r="B9155" s="1" t="n">
        <v>46057.61146990741</v>
      </c>
      <c r="C9155" s="1" t="n">
        <v>46145</v>
      </c>
      <c r="D9155" t="inlineStr">
        <is>
          <t>VÄSTERBOTTENS LÄN</t>
        </is>
      </c>
      <c r="E9155" t="inlineStr">
        <is>
          <t>NORDMALING</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58775-2025</t>
        </is>
      </c>
      <c r="B9156" s="1" t="n">
        <v>45986</v>
      </c>
      <c r="C9156" s="1" t="n">
        <v>46145</v>
      </c>
      <c r="D9156" t="inlineStr">
        <is>
          <t>VÄSTERBOTTENS LÄN</t>
        </is>
      </c>
      <c r="E9156" t="inlineStr">
        <is>
          <t>LYCKSELE</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54729-2024</t>
        </is>
      </c>
      <c r="B9157" s="1" t="n">
        <v>45618.43826388889</v>
      </c>
      <c r="C9157" s="1" t="n">
        <v>46145</v>
      </c>
      <c r="D9157" t="inlineStr">
        <is>
          <t>VÄSTERBOTTENS LÄN</t>
        </is>
      </c>
      <c r="E9157" t="inlineStr">
        <is>
          <t>ÅSELE</t>
        </is>
      </c>
      <c r="F9157" t="inlineStr">
        <is>
          <t>SCA</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36308-2025</t>
        </is>
      </c>
      <c r="B9158" s="1" t="n">
        <v>45868</v>
      </c>
      <c r="C9158" s="1" t="n">
        <v>46145</v>
      </c>
      <c r="D9158" t="inlineStr">
        <is>
          <t>VÄSTERBOTTENS LÄN</t>
        </is>
      </c>
      <c r="E9158" t="inlineStr">
        <is>
          <t>STORUMAN</t>
        </is>
      </c>
      <c r="G9158" t="n">
        <v>25.3</v>
      </c>
      <c r="H9158" t="n">
        <v>0</v>
      </c>
      <c r="I9158" t="n">
        <v>0</v>
      </c>
      <c r="J9158" t="n">
        <v>0</v>
      </c>
      <c r="K9158" t="n">
        <v>0</v>
      </c>
      <c r="L9158" t="n">
        <v>0</v>
      </c>
      <c r="M9158" t="n">
        <v>0</v>
      </c>
      <c r="N9158" t="n">
        <v>0</v>
      </c>
      <c r="O9158" t="n">
        <v>0</v>
      </c>
      <c r="P9158" t="n">
        <v>0</v>
      </c>
      <c r="Q9158" t="n">
        <v>0</v>
      </c>
      <c r="R9158" s="2" t="inlineStr"/>
    </row>
    <row r="9159" ht="15" customHeight="1">
      <c r="A9159" t="inlineStr">
        <is>
          <t>A 54730-2024</t>
        </is>
      </c>
      <c r="B9159" s="1" t="n">
        <v>45618.4383912037</v>
      </c>
      <c r="C9159" s="1" t="n">
        <v>46145</v>
      </c>
      <c r="D9159" t="inlineStr">
        <is>
          <t>VÄSTERBOTTENS LÄN</t>
        </is>
      </c>
      <c r="E9159" t="inlineStr">
        <is>
          <t>NORDMALING</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35732-2023</t>
        </is>
      </c>
      <c r="B9160" s="1" t="n">
        <v>45147</v>
      </c>
      <c r="C9160" s="1" t="n">
        <v>46145</v>
      </c>
      <c r="D9160" t="inlineStr">
        <is>
          <t>VÄSTERBOTTENS LÄN</t>
        </is>
      </c>
      <c r="E9160" t="inlineStr">
        <is>
          <t>SKELLEFTEÅ</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6902-2026</t>
        </is>
      </c>
      <c r="B9161" s="1" t="n">
        <v>46057.49060185185</v>
      </c>
      <c r="C9161" s="1" t="n">
        <v>46145</v>
      </c>
      <c r="D9161" t="inlineStr">
        <is>
          <t>VÄSTERBOTTENS LÄN</t>
        </is>
      </c>
      <c r="E9161" t="inlineStr">
        <is>
          <t>ÅSELE</t>
        </is>
      </c>
      <c r="F9161" t="inlineStr">
        <is>
          <t>SCA</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7123-2026</t>
        </is>
      </c>
      <c r="B9162" s="1" t="n">
        <v>46058.38614583333</v>
      </c>
      <c r="C9162" s="1" t="n">
        <v>46145</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7157-2026</t>
        </is>
      </c>
      <c r="B9163" s="1" t="n">
        <v>46058.43872685185</v>
      </c>
      <c r="C9163" s="1" t="n">
        <v>46145</v>
      </c>
      <c r="D9163" t="inlineStr">
        <is>
          <t>VÄSTERBOTTENS LÄN</t>
        </is>
      </c>
      <c r="E9163" t="inlineStr">
        <is>
          <t>LYCKSELE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7237-2026</t>
        </is>
      </c>
      <c r="B9164" s="1" t="n">
        <v>46058.58234953704</v>
      </c>
      <c r="C9164" s="1" t="n">
        <v>46145</v>
      </c>
      <c r="D9164" t="inlineStr">
        <is>
          <t>VÄSTERBOTTENS LÄN</t>
        </is>
      </c>
      <c r="E9164" t="inlineStr">
        <is>
          <t>SKELLEFTEÅ</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52693-2024</t>
        </is>
      </c>
      <c r="B9165" s="1" t="n">
        <v>45610.39756944445</v>
      </c>
      <c r="C9165" s="1" t="n">
        <v>46145</v>
      </c>
      <c r="D9165" t="inlineStr">
        <is>
          <t>VÄSTERBOTTENS LÄN</t>
        </is>
      </c>
      <c r="E9165" t="inlineStr">
        <is>
          <t>SKELLEFTEÅ</t>
        </is>
      </c>
      <c r="F9165" t="inlineStr">
        <is>
          <t>Holmen skog AB</t>
        </is>
      </c>
      <c r="G9165" t="n">
        <v>8.4</v>
      </c>
      <c r="H9165" t="n">
        <v>0</v>
      </c>
      <c r="I9165" t="n">
        <v>0</v>
      </c>
      <c r="J9165" t="n">
        <v>0</v>
      </c>
      <c r="K9165" t="n">
        <v>0</v>
      </c>
      <c r="L9165" t="n">
        <v>0</v>
      </c>
      <c r="M9165" t="n">
        <v>0</v>
      </c>
      <c r="N9165" t="n">
        <v>0</v>
      </c>
      <c r="O9165" t="n">
        <v>0</v>
      </c>
      <c r="P9165" t="n">
        <v>0</v>
      </c>
      <c r="Q9165" t="n">
        <v>0</v>
      </c>
      <c r="R9165" s="2" t="inlineStr"/>
    </row>
    <row r="9166" ht="15" customHeight="1">
      <c r="A9166" t="inlineStr">
        <is>
          <t>A 7029-2026</t>
        </is>
      </c>
      <c r="B9166" s="1" t="n">
        <v>46057.67790509259</v>
      </c>
      <c r="C9166" s="1" t="n">
        <v>46145</v>
      </c>
      <c r="D9166" t="inlineStr">
        <is>
          <t>VÄSTERBOTTENS LÄN</t>
        </is>
      </c>
      <c r="E9166" t="inlineStr">
        <is>
          <t>ÅSELE</t>
        </is>
      </c>
      <c r="F9166" t="inlineStr">
        <is>
          <t>SCA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48379-2024</t>
        </is>
      </c>
      <c r="B9167" s="1" t="n">
        <v>45590.58554398148</v>
      </c>
      <c r="C9167" s="1" t="n">
        <v>46145</v>
      </c>
      <c r="D9167" t="inlineStr">
        <is>
          <t>VÄSTERBOTTENS LÄN</t>
        </is>
      </c>
      <c r="E9167" t="inlineStr">
        <is>
          <t>LYCKSELE</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3021-2026</t>
        </is>
      </c>
      <c r="B9168" s="1" t="n">
        <v>46038</v>
      </c>
      <c r="C9168" s="1" t="n">
        <v>46145</v>
      </c>
      <c r="D9168" t="inlineStr">
        <is>
          <t>VÄSTERBOTTENS LÄN</t>
        </is>
      </c>
      <c r="E9168" t="inlineStr">
        <is>
          <t>LYCKSELE</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39804-2023</t>
        </is>
      </c>
      <c r="B9169" s="1" t="n">
        <v>45167</v>
      </c>
      <c r="C9169" s="1" t="n">
        <v>46145</v>
      </c>
      <c r="D9169" t="inlineStr">
        <is>
          <t>VÄSTERBOTTENS LÄN</t>
        </is>
      </c>
      <c r="E9169" t="inlineStr">
        <is>
          <t>NORSJÖ</t>
        </is>
      </c>
      <c r="F9169" t="inlineStr">
        <is>
          <t>Övriga Aktiebolag</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7159-2026</t>
        </is>
      </c>
      <c r="B9170" s="1" t="n">
        <v>46058.44041666666</v>
      </c>
      <c r="C9170" s="1" t="n">
        <v>46145</v>
      </c>
      <c r="D9170" t="inlineStr">
        <is>
          <t>VÄSTERBOTTENS LÄN</t>
        </is>
      </c>
      <c r="E9170" t="inlineStr">
        <is>
          <t>NORDMALING</t>
        </is>
      </c>
      <c r="G9170" t="n">
        <v>19.1</v>
      </c>
      <c r="H9170" t="n">
        <v>0</v>
      </c>
      <c r="I9170" t="n">
        <v>0</v>
      </c>
      <c r="J9170" t="n">
        <v>0</v>
      </c>
      <c r="K9170" t="n">
        <v>0</v>
      </c>
      <c r="L9170" t="n">
        <v>0</v>
      </c>
      <c r="M9170" t="n">
        <v>0</v>
      </c>
      <c r="N9170" t="n">
        <v>0</v>
      </c>
      <c r="O9170" t="n">
        <v>0</v>
      </c>
      <c r="P9170" t="n">
        <v>0</v>
      </c>
      <c r="Q9170" t="n">
        <v>0</v>
      </c>
      <c r="R9170" s="2" t="inlineStr"/>
    </row>
    <row r="9171" ht="15" customHeight="1">
      <c r="A9171" t="inlineStr">
        <is>
          <t>A 6900-2026</t>
        </is>
      </c>
      <c r="B9171" s="1" t="n">
        <v>46057.49017361111</v>
      </c>
      <c r="C9171" s="1" t="n">
        <v>46145</v>
      </c>
      <c r="D9171" t="inlineStr">
        <is>
          <t>VÄSTERBOTTENS LÄN</t>
        </is>
      </c>
      <c r="E9171" t="inlineStr">
        <is>
          <t>ÅSELE</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6903-2026</t>
        </is>
      </c>
      <c r="B9172" s="1" t="n">
        <v>46057.490625</v>
      </c>
      <c r="C9172" s="1" t="n">
        <v>46145</v>
      </c>
      <c r="D9172" t="inlineStr">
        <is>
          <t>VÄSTERBOTTENS LÄN</t>
        </is>
      </c>
      <c r="E9172" t="inlineStr">
        <is>
          <t>ÅSELE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6910-2026</t>
        </is>
      </c>
      <c r="B9173" s="1" t="n">
        <v>46057.51086805556</v>
      </c>
      <c r="C9173" s="1" t="n">
        <v>46145</v>
      </c>
      <c r="D9173" t="inlineStr">
        <is>
          <t>VÄSTERBOTTENS LÄN</t>
        </is>
      </c>
      <c r="E9173" t="inlineStr">
        <is>
          <t>ÅSELE</t>
        </is>
      </c>
      <c r="F9173" t="inlineStr">
        <is>
          <t>SCA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58777-2025</t>
        </is>
      </c>
      <c r="B9174" s="1" t="n">
        <v>45986</v>
      </c>
      <c r="C9174" s="1" t="n">
        <v>46145</v>
      </c>
      <c r="D9174" t="inlineStr">
        <is>
          <t>VÄSTERBOTTENS LÄN</t>
        </is>
      </c>
      <c r="E9174" t="inlineStr">
        <is>
          <t>LYCKSELE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7122-2026</t>
        </is>
      </c>
      <c r="B9175" s="1" t="n">
        <v>46058.38587962963</v>
      </c>
      <c r="C9175" s="1" t="n">
        <v>46145</v>
      </c>
      <c r="D9175" t="inlineStr">
        <is>
          <t>VÄSTERBOTTENS LÄN</t>
        </is>
      </c>
      <c r="E9175" t="inlineStr">
        <is>
          <t>NORDMALING</t>
        </is>
      </c>
      <c r="F9175" t="inlineStr">
        <is>
          <t>SCA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5541-2025</t>
        </is>
      </c>
      <c r="B9176" s="1" t="n">
        <v>45693.45158564814</v>
      </c>
      <c r="C9176" s="1" t="n">
        <v>46145</v>
      </c>
      <c r="D9176" t="inlineStr">
        <is>
          <t>VÄSTERBOTTENS LÄN</t>
        </is>
      </c>
      <c r="E9176" t="inlineStr">
        <is>
          <t>BJURHOLM</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18392-2022</t>
        </is>
      </c>
      <c r="B9177" s="1" t="n">
        <v>44685</v>
      </c>
      <c r="C9177" s="1" t="n">
        <v>46145</v>
      </c>
      <c r="D9177" t="inlineStr">
        <is>
          <t>VÄSTERBOTTENS LÄN</t>
        </is>
      </c>
      <c r="E9177" t="inlineStr">
        <is>
          <t>VINDELN</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66952-2021</t>
        </is>
      </c>
      <c r="B9178" s="1" t="n">
        <v>44522</v>
      </c>
      <c r="C9178" s="1" t="n">
        <v>46145</v>
      </c>
      <c r="D9178" t="inlineStr">
        <is>
          <t>VÄSTERBOTTENS LÄN</t>
        </is>
      </c>
      <c r="E9178" t="inlineStr">
        <is>
          <t>VILHELMINA</t>
        </is>
      </c>
      <c r="F9178" t="inlineStr">
        <is>
          <t>Allmännings- och besparingsskogar</t>
        </is>
      </c>
      <c r="G9178" t="n">
        <v>70</v>
      </c>
      <c r="H9178" t="n">
        <v>0</v>
      </c>
      <c r="I9178" t="n">
        <v>0</v>
      </c>
      <c r="J9178" t="n">
        <v>0</v>
      </c>
      <c r="K9178" t="n">
        <v>0</v>
      </c>
      <c r="L9178" t="n">
        <v>0</v>
      </c>
      <c r="M9178" t="n">
        <v>0</v>
      </c>
      <c r="N9178" t="n">
        <v>0</v>
      </c>
      <c r="O9178" t="n">
        <v>0</v>
      </c>
      <c r="P9178" t="n">
        <v>0</v>
      </c>
      <c r="Q9178" t="n">
        <v>0</v>
      </c>
      <c r="R9178" s="2" t="inlineStr"/>
    </row>
    <row r="9179" ht="15" customHeight="1">
      <c r="A9179" t="inlineStr">
        <is>
          <t>A 46065-2022</t>
        </is>
      </c>
      <c r="B9179" s="1" t="n">
        <v>44844</v>
      </c>
      <c r="C9179" s="1" t="n">
        <v>46145</v>
      </c>
      <c r="D9179" t="inlineStr">
        <is>
          <t>VÄSTERBOTTENS LÄN</t>
        </is>
      </c>
      <c r="E9179" t="inlineStr">
        <is>
          <t>STORUMAN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6958-2026</t>
        </is>
      </c>
      <c r="B9180" s="1" t="n">
        <v>46057.58056712963</v>
      </c>
      <c r="C9180" s="1" t="n">
        <v>46145</v>
      </c>
      <c r="D9180" t="inlineStr">
        <is>
          <t>VÄSTERBOTTENS LÄN</t>
        </is>
      </c>
      <c r="E9180" t="inlineStr">
        <is>
          <t>BJURHOLM</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6776-2026</t>
        </is>
      </c>
      <c r="B9181" s="1" t="n">
        <v>46057.29667824074</v>
      </c>
      <c r="C9181" s="1" t="n">
        <v>46145</v>
      </c>
      <c r="D9181" t="inlineStr">
        <is>
          <t>VÄSTERBOTTENS LÄN</t>
        </is>
      </c>
      <c r="E9181" t="inlineStr">
        <is>
          <t>BJURHOLM</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6778-2026</t>
        </is>
      </c>
      <c r="B9182" s="1" t="n">
        <v>46057.2996412037</v>
      </c>
      <c r="C9182" s="1" t="n">
        <v>46145</v>
      </c>
      <c r="D9182" t="inlineStr">
        <is>
          <t>VÄSTERBOTTENS LÄN</t>
        </is>
      </c>
      <c r="E9182" t="inlineStr">
        <is>
          <t>BJURHOLM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43875-2023</t>
        </is>
      </c>
      <c r="B9183" s="1" t="n">
        <v>45187.64328703703</v>
      </c>
      <c r="C9183" s="1" t="n">
        <v>46145</v>
      </c>
      <c r="D9183" t="inlineStr">
        <is>
          <t>VÄSTERBOTTENS LÄN</t>
        </is>
      </c>
      <c r="E9183" t="inlineStr">
        <is>
          <t>LYCKSELE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7173-2026</t>
        </is>
      </c>
      <c r="B9184" s="1" t="n">
        <v>46058.46115740741</v>
      </c>
      <c r="C9184" s="1" t="n">
        <v>46145</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47482-2024</t>
        </is>
      </c>
      <c r="B9185" s="1" t="n">
        <v>45587.5822337963</v>
      </c>
      <c r="C9185" s="1" t="n">
        <v>46145</v>
      </c>
      <c r="D9185" t="inlineStr">
        <is>
          <t>VÄSTERBOTTENS LÄN</t>
        </is>
      </c>
      <c r="E9185" t="inlineStr">
        <is>
          <t>NORDMALING</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42410-2023</t>
        </is>
      </c>
      <c r="B9186" s="1" t="n">
        <v>45180</v>
      </c>
      <c r="C9186" s="1" t="n">
        <v>46145</v>
      </c>
      <c r="D9186" t="inlineStr">
        <is>
          <t>VÄSTERBOTTENS LÄN</t>
        </is>
      </c>
      <c r="E9186" t="inlineStr">
        <is>
          <t>MALÅ</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26000-2023</t>
        </is>
      </c>
      <c r="B9187" s="1" t="n">
        <v>45090</v>
      </c>
      <c r="C9187" s="1" t="n">
        <v>46145</v>
      </c>
      <c r="D9187" t="inlineStr">
        <is>
          <t>VÄSTERBOTTENS LÄN</t>
        </is>
      </c>
      <c r="E9187" t="inlineStr">
        <is>
          <t>VILHELMINA</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7414-2026</t>
        </is>
      </c>
      <c r="B9188" s="1" t="n">
        <v>46058</v>
      </c>
      <c r="C9188" s="1" t="n">
        <v>46145</v>
      </c>
      <c r="D9188" t="inlineStr">
        <is>
          <t>VÄSTERBOTTENS LÄN</t>
        </is>
      </c>
      <c r="E9188" t="inlineStr">
        <is>
          <t>SKELLEFTEÅ</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7240-2026</t>
        </is>
      </c>
      <c r="B9189" s="1" t="n">
        <v>46058.58349537037</v>
      </c>
      <c r="C9189" s="1" t="n">
        <v>46145</v>
      </c>
      <c r="D9189" t="inlineStr">
        <is>
          <t>VÄSTERBOTTENS LÄN</t>
        </is>
      </c>
      <c r="E9189" t="inlineStr">
        <is>
          <t>SKELLEFTEÅ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7258-2026</t>
        </is>
      </c>
      <c r="B9190" s="1" t="n">
        <v>46058.59902777777</v>
      </c>
      <c r="C9190" s="1" t="n">
        <v>46145</v>
      </c>
      <c r="D9190" t="inlineStr">
        <is>
          <t>VÄSTERBOTTENS LÄN</t>
        </is>
      </c>
      <c r="E9190" t="inlineStr">
        <is>
          <t>SKELLEFTEÅ</t>
        </is>
      </c>
      <c r="G9190" t="n">
        <v>12.9</v>
      </c>
      <c r="H9190" t="n">
        <v>0</v>
      </c>
      <c r="I9190" t="n">
        <v>0</v>
      </c>
      <c r="J9190" t="n">
        <v>0</v>
      </c>
      <c r="K9190" t="n">
        <v>0</v>
      </c>
      <c r="L9190" t="n">
        <v>0</v>
      </c>
      <c r="M9190" t="n">
        <v>0</v>
      </c>
      <c r="N9190" t="n">
        <v>0</v>
      </c>
      <c r="O9190" t="n">
        <v>0</v>
      </c>
      <c r="P9190" t="n">
        <v>0</v>
      </c>
      <c r="Q9190" t="n">
        <v>0</v>
      </c>
      <c r="R9190" s="2" t="inlineStr"/>
    </row>
    <row r="9191" ht="15" customHeight="1">
      <c r="A9191" t="inlineStr">
        <is>
          <t>A 6788-2026</t>
        </is>
      </c>
      <c r="B9191" s="1" t="n">
        <v>46057.33616898148</v>
      </c>
      <c r="C9191" s="1" t="n">
        <v>46145</v>
      </c>
      <c r="D9191" t="inlineStr">
        <is>
          <t>VÄSTERBOTTENS LÄN</t>
        </is>
      </c>
      <c r="E9191" t="inlineStr">
        <is>
          <t>NORDMALING</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23840-2024</t>
        </is>
      </c>
      <c r="B9192" s="1" t="n">
        <v>45455</v>
      </c>
      <c r="C9192" s="1" t="n">
        <v>46145</v>
      </c>
      <c r="D9192" t="inlineStr">
        <is>
          <t>VÄSTERBOTTENS LÄN</t>
        </is>
      </c>
      <c r="E9192" t="inlineStr">
        <is>
          <t>UMEÅ</t>
        </is>
      </c>
      <c r="G9192" t="n">
        <v>10.8</v>
      </c>
      <c r="H9192" t="n">
        <v>0</v>
      </c>
      <c r="I9192" t="n">
        <v>0</v>
      </c>
      <c r="J9192" t="n">
        <v>0</v>
      </c>
      <c r="K9192" t="n">
        <v>0</v>
      </c>
      <c r="L9192" t="n">
        <v>0</v>
      </c>
      <c r="M9192" t="n">
        <v>0</v>
      </c>
      <c r="N9192" t="n">
        <v>0</v>
      </c>
      <c r="O9192" t="n">
        <v>0</v>
      </c>
      <c r="P9192" t="n">
        <v>0</v>
      </c>
      <c r="Q9192" t="n">
        <v>0</v>
      </c>
      <c r="R9192" s="2" t="inlineStr"/>
    </row>
    <row r="9193" ht="15" customHeight="1">
      <c r="A9193" t="inlineStr">
        <is>
          <t>A 51222-2022</t>
        </is>
      </c>
      <c r="B9193" s="1" t="n">
        <v>44868.63834490741</v>
      </c>
      <c r="C9193" s="1" t="n">
        <v>46145</v>
      </c>
      <c r="D9193" t="inlineStr">
        <is>
          <t>VÄSTERBOTTENS LÄN</t>
        </is>
      </c>
      <c r="E9193" t="inlineStr">
        <is>
          <t>SKELLEFTEÅ</t>
        </is>
      </c>
      <c r="F9193" t="inlineStr">
        <is>
          <t>Holmen skog AB</t>
        </is>
      </c>
      <c r="G9193" t="n">
        <v>16.4</v>
      </c>
      <c r="H9193" t="n">
        <v>0</v>
      </c>
      <c r="I9193" t="n">
        <v>0</v>
      </c>
      <c r="J9193" t="n">
        <v>0</v>
      </c>
      <c r="K9193" t="n">
        <v>0</v>
      </c>
      <c r="L9193" t="n">
        <v>0</v>
      </c>
      <c r="M9193" t="n">
        <v>0</v>
      </c>
      <c r="N9193" t="n">
        <v>0</v>
      </c>
      <c r="O9193" t="n">
        <v>0</v>
      </c>
      <c r="P9193" t="n">
        <v>0</v>
      </c>
      <c r="Q9193" t="n">
        <v>0</v>
      </c>
      <c r="R9193" s="2" t="inlineStr"/>
    </row>
    <row r="9194" ht="15" customHeight="1">
      <c r="A9194" t="inlineStr">
        <is>
          <t>A 7170-2026</t>
        </is>
      </c>
      <c r="B9194" s="1" t="n">
        <v>46058.45982638889</v>
      </c>
      <c r="C9194" s="1" t="n">
        <v>46145</v>
      </c>
      <c r="D9194" t="inlineStr">
        <is>
          <t>VÄSTERBOTTENS LÄN</t>
        </is>
      </c>
      <c r="E9194" t="inlineStr">
        <is>
          <t>ROBERTSFORS</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7315-2026</t>
        </is>
      </c>
      <c r="B9195" s="1" t="n">
        <v>46058.66857638889</v>
      </c>
      <c r="C9195" s="1" t="n">
        <v>46145</v>
      </c>
      <c r="D9195" t="inlineStr">
        <is>
          <t>VÄSTERBOTTENS LÄN</t>
        </is>
      </c>
      <c r="E9195" t="inlineStr">
        <is>
          <t>SKELLEFTEÅ</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54974-2024</t>
        </is>
      </c>
      <c r="B9196" s="1" t="n">
        <v>45620.67599537037</v>
      </c>
      <c r="C9196" s="1" t="n">
        <v>46145</v>
      </c>
      <c r="D9196" t="inlineStr">
        <is>
          <t>VÄSTERBOTTENS LÄN</t>
        </is>
      </c>
      <c r="E9196" t="inlineStr">
        <is>
          <t>SKELLEFTEÅ</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7371-2026</t>
        </is>
      </c>
      <c r="B9197" s="1" t="n">
        <v>46059.34295138889</v>
      </c>
      <c r="C9197" s="1" t="n">
        <v>46145</v>
      </c>
      <c r="D9197" t="inlineStr">
        <is>
          <t>VÄSTERBOTTENS LÄN</t>
        </is>
      </c>
      <c r="E9197" t="inlineStr">
        <is>
          <t>UMEÅ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41667-2024</t>
        </is>
      </c>
      <c r="B9198" s="1" t="n">
        <v>45560</v>
      </c>
      <c r="C9198" s="1" t="n">
        <v>46145</v>
      </c>
      <c r="D9198" t="inlineStr">
        <is>
          <t>VÄSTERBOTTENS LÄN</t>
        </is>
      </c>
      <c r="E9198" t="inlineStr">
        <is>
          <t>VINDELN</t>
        </is>
      </c>
      <c r="F9198" t="inlineStr">
        <is>
          <t>Holmen skog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7389-2026</t>
        </is>
      </c>
      <c r="B9199" s="1" t="n">
        <v>46059.36795138889</v>
      </c>
      <c r="C9199" s="1" t="n">
        <v>46145</v>
      </c>
      <c r="D9199" t="inlineStr">
        <is>
          <t>VÄSTERBOTTENS LÄN</t>
        </is>
      </c>
      <c r="E9199" t="inlineStr">
        <is>
          <t>UMEÅ</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34714-2023</t>
        </is>
      </c>
      <c r="B9200" s="1" t="n">
        <v>45141.32886574074</v>
      </c>
      <c r="C9200" s="1" t="n">
        <v>46145</v>
      </c>
      <c r="D9200" t="inlineStr">
        <is>
          <t>VÄSTERBOTTENS LÄN</t>
        </is>
      </c>
      <c r="E9200" t="inlineStr">
        <is>
          <t>BJURHOLM</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30743-2023</t>
        </is>
      </c>
      <c r="B9201" s="1" t="n">
        <v>45112.6362037037</v>
      </c>
      <c r="C9201" s="1" t="n">
        <v>46145</v>
      </c>
      <c r="D9201" t="inlineStr">
        <is>
          <t>VÄSTERBOTTENS LÄN</t>
        </is>
      </c>
      <c r="E9201" t="inlineStr">
        <is>
          <t>SKELLEFTEÅ</t>
        </is>
      </c>
      <c r="F9201" t="inlineStr">
        <is>
          <t>Sveaskog</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20340-2025</t>
        </is>
      </c>
      <c r="B9202" s="1" t="n">
        <v>45775.36581018518</v>
      </c>
      <c r="C9202" s="1" t="n">
        <v>46145</v>
      </c>
      <c r="D9202" t="inlineStr">
        <is>
          <t>VÄSTERBOTTENS LÄN</t>
        </is>
      </c>
      <c r="E9202" t="inlineStr">
        <is>
          <t>SKELLEFTEÅ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1233-2025</t>
        </is>
      </c>
      <c r="B9203" s="1" t="n">
        <v>45667.44528935185</v>
      </c>
      <c r="C9203" s="1" t="n">
        <v>46145</v>
      </c>
      <c r="D9203" t="inlineStr">
        <is>
          <t>VÄSTERBOTTENS LÄN</t>
        </is>
      </c>
      <c r="E9203" t="inlineStr">
        <is>
          <t>SKELLEFTEÅ</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7366-2026</t>
        </is>
      </c>
      <c r="B9204" s="1" t="n">
        <v>46059.32621527778</v>
      </c>
      <c r="C9204" s="1" t="n">
        <v>46145</v>
      </c>
      <c r="D9204" t="inlineStr">
        <is>
          <t>VÄSTERBOTTENS LÄN</t>
        </is>
      </c>
      <c r="E9204" t="inlineStr">
        <is>
          <t>SKELLEFTEÅ</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54169-2024</t>
        </is>
      </c>
      <c r="B9205" s="1" t="n">
        <v>45616.625</v>
      </c>
      <c r="C9205" s="1" t="n">
        <v>46145</v>
      </c>
      <c r="D9205" t="inlineStr">
        <is>
          <t>VÄSTERBOTTENS LÄN</t>
        </is>
      </c>
      <c r="E9205" t="inlineStr">
        <is>
          <t>NORDMALING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54439-2021</t>
        </is>
      </c>
      <c r="B9206" s="1" t="n">
        <v>44473</v>
      </c>
      <c r="C9206" s="1" t="n">
        <v>46145</v>
      </c>
      <c r="D9206" t="inlineStr">
        <is>
          <t>VÄSTERBOTTENS LÄN</t>
        </is>
      </c>
      <c r="E9206" t="inlineStr">
        <is>
          <t>UMEÅ</t>
        </is>
      </c>
      <c r="F9206" t="inlineStr">
        <is>
          <t>Holmen skog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48062-2024</t>
        </is>
      </c>
      <c r="B9207" s="1" t="n">
        <v>45589</v>
      </c>
      <c r="C9207" s="1" t="n">
        <v>46145</v>
      </c>
      <c r="D9207" t="inlineStr">
        <is>
          <t>VÄSTERBOTTENS LÄN</t>
        </is>
      </c>
      <c r="E9207" t="inlineStr">
        <is>
          <t>VILHELMINA</t>
        </is>
      </c>
      <c r="F9207" t="inlineStr">
        <is>
          <t>SCA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57788-2023</t>
        </is>
      </c>
      <c r="B9208" s="1" t="n">
        <v>45246</v>
      </c>
      <c r="C9208" s="1" t="n">
        <v>46145</v>
      </c>
      <c r="D9208" t="inlineStr">
        <is>
          <t>VÄSTERBOTTENS LÄN</t>
        </is>
      </c>
      <c r="E9208" t="inlineStr">
        <is>
          <t>ÅSELE</t>
        </is>
      </c>
      <c r="F9208" t="inlineStr">
        <is>
          <t>SCA</t>
        </is>
      </c>
      <c r="G9208" t="n">
        <v>7.7</v>
      </c>
      <c r="H9208" t="n">
        <v>0</v>
      </c>
      <c r="I9208" t="n">
        <v>0</v>
      </c>
      <c r="J9208" t="n">
        <v>0</v>
      </c>
      <c r="K9208" t="n">
        <v>0</v>
      </c>
      <c r="L9208" t="n">
        <v>0</v>
      </c>
      <c r="M9208" t="n">
        <v>0</v>
      </c>
      <c r="N9208" t="n">
        <v>0</v>
      </c>
      <c r="O9208" t="n">
        <v>0</v>
      </c>
      <c r="P9208" t="n">
        <v>0</v>
      </c>
      <c r="Q9208" t="n">
        <v>0</v>
      </c>
      <c r="R9208" s="2" t="inlineStr"/>
    </row>
    <row r="9209" ht="15" customHeight="1">
      <c r="A9209" t="inlineStr">
        <is>
          <t>A 57794-2023</t>
        </is>
      </c>
      <c r="B9209" s="1" t="n">
        <v>45246.96853009259</v>
      </c>
      <c r="C9209" s="1" t="n">
        <v>46145</v>
      </c>
      <c r="D9209" t="inlineStr">
        <is>
          <t>VÄSTERBOTTENS LÄN</t>
        </is>
      </c>
      <c r="E9209" t="inlineStr">
        <is>
          <t>DOROTEA</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48088-2024</t>
        </is>
      </c>
      <c r="B9210" s="1" t="n">
        <v>45589</v>
      </c>
      <c r="C9210" s="1" t="n">
        <v>46145</v>
      </c>
      <c r="D9210" t="inlineStr">
        <is>
          <t>VÄSTERBOTTENS LÄN</t>
        </is>
      </c>
      <c r="E9210" t="inlineStr">
        <is>
          <t>VILHELMINA</t>
        </is>
      </c>
      <c r="F9210" t="inlineStr">
        <is>
          <t>SCA</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7499-2026</t>
        </is>
      </c>
      <c r="B9211" s="1" t="n">
        <v>46059.55626157407</v>
      </c>
      <c r="C9211" s="1" t="n">
        <v>46145</v>
      </c>
      <c r="D9211" t="inlineStr">
        <is>
          <t>VÄSTERBOTTENS LÄN</t>
        </is>
      </c>
      <c r="E9211" t="inlineStr">
        <is>
          <t>ROBERTSFORS</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9879-2022</t>
        </is>
      </c>
      <c r="B9212" s="1" t="n">
        <v>44620</v>
      </c>
      <c r="C9212" s="1" t="n">
        <v>46145</v>
      </c>
      <c r="D9212" t="inlineStr">
        <is>
          <t>VÄSTERBOTTENS LÄN</t>
        </is>
      </c>
      <c r="E9212" t="inlineStr">
        <is>
          <t>LYCKSELE</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41525-2023</t>
        </is>
      </c>
      <c r="B9213" s="1" t="n">
        <v>45173</v>
      </c>
      <c r="C9213" s="1" t="n">
        <v>46145</v>
      </c>
      <c r="D9213" t="inlineStr">
        <is>
          <t>VÄSTERBOTTENS LÄN</t>
        </is>
      </c>
      <c r="E9213" t="inlineStr">
        <is>
          <t>UMEÅ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21726-2021</t>
        </is>
      </c>
      <c r="B9214" s="1" t="n">
        <v>44322</v>
      </c>
      <c r="C9214" s="1" t="n">
        <v>46145</v>
      </c>
      <c r="D9214" t="inlineStr">
        <is>
          <t>VÄSTERBOTTENS LÄN</t>
        </is>
      </c>
      <c r="E9214" t="inlineStr">
        <is>
          <t>VILHELMINA</t>
        </is>
      </c>
      <c r="G9214" t="n">
        <v>19.6</v>
      </c>
      <c r="H9214" t="n">
        <v>0</v>
      </c>
      <c r="I9214" t="n">
        <v>0</v>
      </c>
      <c r="J9214" t="n">
        <v>0</v>
      </c>
      <c r="K9214" t="n">
        <v>0</v>
      </c>
      <c r="L9214" t="n">
        <v>0</v>
      </c>
      <c r="M9214" t="n">
        <v>0</v>
      </c>
      <c r="N9214" t="n">
        <v>0</v>
      </c>
      <c r="O9214" t="n">
        <v>0</v>
      </c>
      <c r="P9214" t="n">
        <v>0</v>
      </c>
      <c r="Q9214" t="n">
        <v>0</v>
      </c>
      <c r="R9214" s="2" t="inlineStr"/>
    </row>
    <row r="9215" ht="15" customHeight="1">
      <c r="A9215" t="inlineStr">
        <is>
          <t>A 7482-2026</t>
        </is>
      </c>
      <c r="B9215" s="1" t="n">
        <v>46059.51925925926</v>
      </c>
      <c r="C9215" s="1" t="n">
        <v>46145</v>
      </c>
      <c r="D9215" t="inlineStr">
        <is>
          <t>VÄSTERBOTTENS LÄN</t>
        </is>
      </c>
      <c r="E9215" t="inlineStr">
        <is>
          <t>ROBERTSFORS</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7485-2026</t>
        </is>
      </c>
      <c r="B9216" s="1" t="n">
        <v>46059.5268287037</v>
      </c>
      <c r="C9216" s="1" t="n">
        <v>46145</v>
      </c>
      <c r="D9216" t="inlineStr">
        <is>
          <t>VÄSTERBOTTENS LÄN</t>
        </is>
      </c>
      <c r="E9216" t="inlineStr">
        <is>
          <t>SKELLEFTEÅ</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5738-2026</t>
        </is>
      </c>
      <c r="B9217" s="1" t="n">
        <v>46049</v>
      </c>
      <c r="C9217" s="1" t="n">
        <v>46145</v>
      </c>
      <c r="D9217" t="inlineStr">
        <is>
          <t>VÄSTERBOTTENS LÄN</t>
        </is>
      </c>
      <c r="E9217" t="inlineStr">
        <is>
          <t>VILHELMINA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36546-2024</t>
        </is>
      </c>
      <c r="B9218" s="1" t="n">
        <v>45537</v>
      </c>
      <c r="C9218" s="1" t="n">
        <v>46145</v>
      </c>
      <c r="D9218" t="inlineStr">
        <is>
          <t>VÄSTERBOTTENS LÄN</t>
        </is>
      </c>
      <c r="E9218" t="inlineStr">
        <is>
          <t>SKELLEFTEÅ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15015-2026</t>
        </is>
      </c>
      <c r="B9219" s="1" t="n">
        <v>46104.6215625</v>
      </c>
      <c r="C9219" s="1" t="n">
        <v>46145</v>
      </c>
      <c r="D9219" t="inlineStr">
        <is>
          <t>VÄSTERBOTTENS LÄN</t>
        </is>
      </c>
      <c r="E9219" t="inlineStr">
        <is>
          <t>ROBERTSFORS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12004-2024</t>
        </is>
      </c>
      <c r="B9220" s="1" t="n">
        <v>45377.31299768519</v>
      </c>
      <c r="C9220" s="1" t="n">
        <v>46145</v>
      </c>
      <c r="D9220" t="inlineStr">
        <is>
          <t>VÄSTERBOTTENS LÄN</t>
        </is>
      </c>
      <c r="E9220" t="inlineStr">
        <is>
          <t>SKELLEFTEÅ</t>
        </is>
      </c>
      <c r="G9220" t="n">
        <v>8.4</v>
      </c>
      <c r="H9220" t="n">
        <v>0</v>
      </c>
      <c r="I9220" t="n">
        <v>0</v>
      </c>
      <c r="J9220" t="n">
        <v>0</v>
      </c>
      <c r="K9220" t="n">
        <v>0</v>
      </c>
      <c r="L9220" t="n">
        <v>0</v>
      </c>
      <c r="M9220" t="n">
        <v>0</v>
      </c>
      <c r="N9220" t="n">
        <v>0</v>
      </c>
      <c r="O9220" t="n">
        <v>0</v>
      </c>
      <c r="P9220" t="n">
        <v>0</v>
      </c>
      <c r="Q9220" t="n">
        <v>0</v>
      </c>
      <c r="R9220" s="2" t="inlineStr"/>
    </row>
    <row r="9221" ht="15" customHeight="1">
      <c r="A9221" t="inlineStr">
        <is>
          <t>A 7007-2023</t>
        </is>
      </c>
      <c r="B9221" s="1" t="n">
        <v>44967</v>
      </c>
      <c r="C9221" s="1" t="n">
        <v>46145</v>
      </c>
      <c r="D9221" t="inlineStr">
        <is>
          <t>VÄSTERBOTTENS LÄN</t>
        </is>
      </c>
      <c r="E9221" t="inlineStr">
        <is>
          <t>MALÅ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26368-2024</t>
        </is>
      </c>
      <c r="B9222" s="1" t="n">
        <v>45468</v>
      </c>
      <c r="C9222" s="1" t="n">
        <v>46145</v>
      </c>
      <c r="D9222" t="inlineStr">
        <is>
          <t>VÄSTERBOTTENS LÄN</t>
        </is>
      </c>
      <c r="E9222" t="inlineStr">
        <is>
          <t>ROBERTSFORS</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7666-2026</t>
        </is>
      </c>
      <c r="B9223" s="1" t="n">
        <v>46062.40667824074</v>
      </c>
      <c r="C9223" s="1" t="n">
        <v>46145</v>
      </c>
      <c r="D9223" t="inlineStr">
        <is>
          <t>VÄSTERBOTTENS LÄN</t>
        </is>
      </c>
      <c r="E9223" t="inlineStr">
        <is>
          <t>NORSJÖ</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14919-2026</t>
        </is>
      </c>
      <c r="B9224" s="1" t="n">
        <v>46104.47582175926</v>
      </c>
      <c r="C9224" s="1" t="n">
        <v>46145</v>
      </c>
      <c r="D9224" t="inlineStr">
        <is>
          <t>VÄSTERBOTTENS LÄN</t>
        </is>
      </c>
      <c r="E9224" t="inlineStr">
        <is>
          <t>SKELLEFTEÅ</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7426-2026</t>
        </is>
      </c>
      <c r="B9225" s="1" t="n">
        <v>46059.4309375</v>
      </c>
      <c r="C9225" s="1" t="n">
        <v>46145</v>
      </c>
      <c r="D9225" t="inlineStr">
        <is>
          <t>VÄSTERBOTTENS LÄN</t>
        </is>
      </c>
      <c r="E9225" t="inlineStr">
        <is>
          <t>VÄNNÄS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7842-2026</t>
        </is>
      </c>
      <c r="B9226" s="1" t="n">
        <v>46062.65269675926</v>
      </c>
      <c r="C9226" s="1" t="n">
        <v>46145</v>
      </c>
      <c r="D9226" t="inlineStr">
        <is>
          <t>VÄSTERBOTTENS LÄN</t>
        </is>
      </c>
      <c r="E9226" t="inlineStr">
        <is>
          <t>LYCKSELE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72057-2021</t>
        </is>
      </c>
      <c r="B9227" s="1" t="n">
        <v>44540</v>
      </c>
      <c r="C9227" s="1" t="n">
        <v>46145</v>
      </c>
      <c r="D9227" t="inlineStr">
        <is>
          <t>VÄSTERBOTTENS LÄN</t>
        </is>
      </c>
      <c r="E9227" t="inlineStr">
        <is>
          <t>VILHELMINA</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33731-2024</t>
        </is>
      </c>
      <c r="B9228" s="1" t="n">
        <v>45520.54680555555</v>
      </c>
      <c r="C9228" s="1" t="n">
        <v>46145</v>
      </c>
      <c r="D9228" t="inlineStr">
        <is>
          <t>VÄSTERBOTTENS LÄN</t>
        </is>
      </c>
      <c r="E9228" t="inlineStr">
        <is>
          <t>STORUMAN</t>
        </is>
      </c>
      <c r="F9228" t="inlineStr">
        <is>
          <t>Sveaskog</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56973-2022</t>
        </is>
      </c>
      <c r="B9229" s="1" t="n">
        <v>44894</v>
      </c>
      <c r="C9229" s="1" t="n">
        <v>46145</v>
      </c>
      <c r="D9229" t="inlineStr">
        <is>
          <t>VÄSTERBOTTENS LÄN</t>
        </is>
      </c>
      <c r="E9229" t="inlineStr">
        <is>
          <t>LYCKSELE</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54354-2021</t>
        </is>
      </c>
      <c r="B9230" s="1" t="n">
        <v>44473</v>
      </c>
      <c r="C9230" s="1" t="n">
        <v>46145</v>
      </c>
      <c r="D9230" t="inlineStr">
        <is>
          <t>VÄSTERBOTTENS LÄN</t>
        </is>
      </c>
      <c r="E9230" t="inlineStr">
        <is>
          <t>UMEÅ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5220-2024</t>
        </is>
      </c>
      <c r="B9231" s="1" t="n">
        <v>45330</v>
      </c>
      <c r="C9231" s="1" t="n">
        <v>46145</v>
      </c>
      <c r="D9231" t="inlineStr">
        <is>
          <t>VÄSTERBOTTENS LÄN</t>
        </is>
      </c>
      <c r="E9231" t="inlineStr">
        <is>
          <t>SKELLEFTEÅ</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64949-2023</t>
        </is>
      </c>
      <c r="B9232" s="1" t="n">
        <v>45282.94709490741</v>
      </c>
      <c r="C9232" s="1" t="n">
        <v>46145</v>
      </c>
      <c r="D9232" t="inlineStr">
        <is>
          <t>VÄSTERBOTTENS LÄN</t>
        </is>
      </c>
      <c r="E9232" t="inlineStr">
        <is>
          <t>ÅSELE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33879-2024</t>
        </is>
      </c>
      <c r="B9233" s="1" t="n">
        <v>45522.50731481481</v>
      </c>
      <c r="C9233" s="1" t="n">
        <v>46145</v>
      </c>
      <c r="D9233" t="inlineStr">
        <is>
          <t>VÄSTERBOTTENS LÄN</t>
        </is>
      </c>
      <c r="E9233" t="inlineStr">
        <is>
          <t>STORUMAN</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14935-2024</t>
        </is>
      </c>
      <c r="B9234" s="1" t="n">
        <v>45399</v>
      </c>
      <c r="C9234" s="1" t="n">
        <v>46145</v>
      </c>
      <c r="D9234" t="inlineStr">
        <is>
          <t>VÄSTERBOTTENS LÄN</t>
        </is>
      </c>
      <c r="E9234" t="inlineStr">
        <is>
          <t>DOROTEA</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15020-2026</t>
        </is>
      </c>
      <c r="B9235" s="1" t="n">
        <v>46104.63194444445</v>
      </c>
      <c r="C9235" s="1" t="n">
        <v>46145</v>
      </c>
      <c r="D9235" t="inlineStr">
        <is>
          <t>VÄSTERBOTTENS LÄN</t>
        </is>
      </c>
      <c r="E9235" t="inlineStr">
        <is>
          <t>DOROTEA</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7381-2026</t>
        </is>
      </c>
      <c r="B9236" s="1" t="n">
        <v>46059</v>
      </c>
      <c r="C9236" s="1" t="n">
        <v>46145</v>
      </c>
      <c r="D9236" t="inlineStr">
        <is>
          <t>VÄSTERBOTTENS LÄN</t>
        </is>
      </c>
      <c r="E9236" t="inlineStr">
        <is>
          <t>UMEÅ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50200-2023</t>
        </is>
      </c>
      <c r="B9237" s="1" t="n">
        <v>45215.87696759259</v>
      </c>
      <c r="C9237" s="1" t="n">
        <v>46145</v>
      </c>
      <c r="D9237" t="inlineStr">
        <is>
          <t>VÄSTERBOTTENS LÄN</t>
        </is>
      </c>
      <c r="E9237" t="inlineStr">
        <is>
          <t>ÅSELE</t>
        </is>
      </c>
      <c r="F9237" t="inlineStr">
        <is>
          <t>Holmen skog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39022-2023</t>
        </is>
      </c>
      <c r="B9238" s="1" t="n">
        <v>45163.80377314815</v>
      </c>
      <c r="C9238" s="1" t="n">
        <v>46145</v>
      </c>
      <c r="D9238" t="inlineStr">
        <is>
          <t>VÄSTERBOTTENS LÄN</t>
        </is>
      </c>
      <c r="E9238" t="inlineStr">
        <is>
          <t>VINDELN</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59583-2025</t>
        </is>
      </c>
      <c r="B9239" s="1" t="n">
        <v>45992</v>
      </c>
      <c r="C9239" s="1" t="n">
        <v>46145</v>
      </c>
      <c r="D9239" t="inlineStr">
        <is>
          <t>VÄSTERBOTTENS LÄN</t>
        </is>
      </c>
      <c r="E9239" t="inlineStr">
        <is>
          <t>STORUMAN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10080-2023</t>
        </is>
      </c>
      <c r="B9240" s="1" t="n">
        <v>44985.94431712963</v>
      </c>
      <c r="C9240" s="1" t="n">
        <v>46145</v>
      </c>
      <c r="D9240" t="inlineStr">
        <is>
          <t>VÄSTERBOTTENS LÄN</t>
        </is>
      </c>
      <c r="E9240" t="inlineStr">
        <is>
          <t>ÅSELE</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7732-2026</t>
        </is>
      </c>
      <c r="B9241" s="1" t="n">
        <v>46062.52329861111</v>
      </c>
      <c r="C9241" s="1" t="n">
        <v>46145</v>
      </c>
      <c r="D9241" t="inlineStr">
        <is>
          <t>VÄSTERBOTTENS LÄN</t>
        </is>
      </c>
      <c r="E9241" t="inlineStr">
        <is>
          <t>NORDMALING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40008-2023</t>
        </is>
      </c>
      <c r="B9242" s="1" t="n">
        <v>45167</v>
      </c>
      <c r="C9242" s="1" t="n">
        <v>46145</v>
      </c>
      <c r="D9242" t="inlineStr">
        <is>
          <t>VÄSTERBOTTENS LÄN</t>
        </is>
      </c>
      <c r="E9242" t="inlineStr">
        <is>
          <t>NORDMALING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26027-2025</t>
        </is>
      </c>
      <c r="B9243" s="1" t="n">
        <v>45804</v>
      </c>
      <c r="C9243" s="1" t="n">
        <v>46145</v>
      </c>
      <c r="D9243" t="inlineStr">
        <is>
          <t>VÄSTERBOTTENS LÄN</t>
        </is>
      </c>
      <c r="E9243" t="inlineStr">
        <is>
          <t>SORSELE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40019-2023</t>
        </is>
      </c>
      <c r="B9244" s="1" t="n">
        <v>45167</v>
      </c>
      <c r="C9244" s="1" t="n">
        <v>46145</v>
      </c>
      <c r="D9244" t="inlineStr">
        <is>
          <t>VÄSTERBOTTENS LÄN</t>
        </is>
      </c>
      <c r="E9244" t="inlineStr">
        <is>
          <t>MALÅ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40032-2023</t>
        </is>
      </c>
      <c r="B9245" s="1" t="n">
        <v>45167</v>
      </c>
      <c r="C9245" s="1" t="n">
        <v>46145</v>
      </c>
      <c r="D9245" t="inlineStr">
        <is>
          <t>VÄSTERBOTTENS LÄN</t>
        </is>
      </c>
      <c r="E9245" t="inlineStr">
        <is>
          <t>UMEÅ</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37922-2023</t>
        </is>
      </c>
      <c r="B9246" s="1" t="n">
        <v>45159</v>
      </c>
      <c r="C9246" s="1" t="n">
        <v>46145</v>
      </c>
      <c r="D9246" t="inlineStr">
        <is>
          <t>VÄSTERBOTTENS LÄN</t>
        </is>
      </c>
      <c r="E9246" t="inlineStr">
        <is>
          <t>MALÅ</t>
        </is>
      </c>
      <c r="G9246" t="n">
        <v>9.699999999999999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50287-2023</t>
        </is>
      </c>
      <c r="B9247" s="1" t="n">
        <v>45216</v>
      </c>
      <c r="C9247" s="1" t="n">
        <v>46145</v>
      </c>
      <c r="D9247" t="inlineStr">
        <is>
          <t>VÄSTERBOTTENS LÄN</t>
        </is>
      </c>
      <c r="E9247" t="inlineStr">
        <is>
          <t>UMEÅ</t>
        </is>
      </c>
      <c r="F9247" t="inlineStr">
        <is>
          <t>Holmen skog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19589-2024</t>
        </is>
      </c>
      <c r="B9248" s="1" t="n">
        <v>45429.9359375</v>
      </c>
      <c r="C9248" s="1" t="n">
        <v>46145</v>
      </c>
      <c r="D9248" t="inlineStr">
        <is>
          <t>VÄSTERBOTTENS LÄN</t>
        </is>
      </c>
      <c r="E9248" t="inlineStr">
        <is>
          <t>DOROTEA</t>
        </is>
      </c>
      <c r="F9248" t="inlineStr">
        <is>
          <t>SCA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14898-2026</t>
        </is>
      </c>
      <c r="B9249" s="1" t="n">
        <v>46104.45359953704</v>
      </c>
      <c r="C9249" s="1" t="n">
        <v>46145</v>
      </c>
      <c r="D9249" t="inlineStr">
        <is>
          <t>VÄSTERBOTTENS LÄN</t>
        </is>
      </c>
      <c r="E9249" t="inlineStr">
        <is>
          <t>SKELLEFTEÅ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54193-2021</t>
        </is>
      </c>
      <c r="B9250" s="1" t="n">
        <v>44470</v>
      </c>
      <c r="C9250" s="1" t="n">
        <v>46145</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2892-2025</t>
        </is>
      </c>
      <c r="B9251" s="1" t="n">
        <v>45677</v>
      </c>
      <c r="C9251" s="1" t="n">
        <v>46145</v>
      </c>
      <c r="D9251" t="inlineStr">
        <is>
          <t>VÄSTERBOTTENS LÄN</t>
        </is>
      </c>
      <c r="E9251" t="inlineStr">
        <is>
          <t>ÅSELE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573-2025</t>
        </is>
      </c>
      <c r="B9252" s="1" t="n">
        <v>45660</v>
      </c>
      <c r="C9252" s="1" t="n">
        <v>46145</v>
      </c>
      <c r="D9252" t="inlineStr">
        <is>
          <t>VÄSTERBOTTENS LÄN</t>
        </is>
      </c>
      <c r="E9252" t="inlineStr">
        <is>
          <t>SKELLEFTEÅ</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14996-2026</t>
        </is>
      </c>
      <c r="B9253" s="1" t="n">
        <v>46104.59431712963</v>
      </c>
      <c r="C9253" s="1" t="n">
        <v>46145</v>
      </c>
      <c r="D9253" t="inlineStr">
        <is>
          <t>VÄSTERBOTTENS LÄN</t>
        </is>
      </c>
      <c r="E9253" t="inlineStr">
        <is>
          <t>BJURHOLM</t>
        </is>
      </c>
      <c r="F9253" t="inlineStr">
        <is>
          <t>SCA</t>
        </is>
      </c>
      <c r="G9253" t="n">
        <v>25.4</v>
      </c>
      <c r="H9253" t="n">
        <v>0</v>
      </c>
      <c r="I9253" t="n">
        <v>0</v>
      </c>
      <c r="J9253" t="n">
        <v>0</v>
      </c>
      <c r="K9253" t="n">
        <v>0</v>
      </c>
      <c r="L9253" t="n">
        <v>0</v>
      </c>
      <c r="M9253" t="n">
        <v>0</v>
      </c>
      <c r="N9253" t="n">
        <v>0</v>
      </c>
      <c r="O9253" t="n">
        <v>0</v>
      </c>
      <c r="P9253" t="n">
        <v>0</v>
      </c>
      <c r="Q9253" t="n">
        <v>0</v>
      </c>
      <c r="R9253" s="2" t="inlineStr"/>
    </row>
    <row r="9254" ht="15" customHeight="1">
      <c r="A9254" t="inlineStr">
        <is>
          <t>A 7630-2026</t>
        </is>
      </c>
      <c r="B9254" s="1" t="n">
        <v>46062.36101851852</v>
      </c>
      <c r="C9254" s="1" t="n">
        <v>46145</v>
      </c>
      <c r="D9254" t="inlineStr">
        <is>
          <t>VÄSTERBOTTENS LÄN</t>
        </is>
      </c>
      <c r="E9254" t="inlineStr">
        <is>
          <t>SKELLEFTEÅ</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5959-2023</t>
        </is>
      </c>
      <c r="B9255" s="1" t="n">
        <v>44963.95042824074</v>
      </c>
      <c r="C9255" s="1" t="n">
        <v>46145</v>
      </c>
      <c r="D9255" t="inlineStr">
        <is>
          <t>VÄSTERBOTTENS LÄN</t>
        </is>
      </c>
      <c r="E9255" t="inlineStr">
        <is>
          <t>SKELLEFTEÅ</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580-2025</t>
        </is>
      </c>
      <c r="B9256" s="1" t="n">
        <v>45660</v>
      </c>
      <c r="C9256" s="1" t="n">
        <v>46145</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15051-2026</t>
        </is>
      </c>
      <c r="B9257" s="1" t="n">
        <v>46104.67607638889</v>
      </c>
      <c r="C9257" s="1" t="n">
        <v>46145</v>
      </c>
      <c r="D9257" t="inlineStr">
        <is>
          <t>VÄSTERBOTTENS LÄN</t>
        </is>
      </c>
      <c r="E9257" t="inlineStr">
        <is>
          <t>ÅSELE</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2921-2025</t>
        </is>
      </c>
      <c r="B9258" s="1" t="n">
        <v>45678.321875</v>
      </c>
      <c r="C9258" s="1" t="n">
        <v>46145</v>
      </c>
      <c r="D9258" t="inlineStr">
        <is>
          <t>VÄSTERBOTTENS LÄN</t>
        </is>
      </c>
      <c r="E9258" t="inlineStr">
        <is>
          <t>NORDMALING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8103-2025</t>
        </is>
      </c>
      <c r="B9259" s="1" t="n">
        <v>45707</v>
      </c>
      <c r="C9259" s="1" t="n">
        <v>46145</v>
      </c>
      <c r="D9259" t="inlineStr">
        <is>
          <t>VÄSTERBOTTENS LÄN</t>
        </is>
      </c>
      <c r="E9259" t="inlineStr">
        <is>
          <t>NORDMALING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7363-2026</t>
        </is>
      </c>
      <c r="B9260" s="1" t="n">
        <v>46059.3128125</v>
      </c>
      <c r="C9260" s="1" t="n">
        <v>46145</v>
      </c>
      <c r="D9260" t="inlineStr">
        <is>
          <t>VÄSTERBOTTENS LÄN</t>
        </is>
      </c>
      <c r="E9260" t="inlineStr">
        <is>
          <t>SKELLEFTEÅ</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57926-2023</t>
        </is>
      </c>
      <c r="B9261" s="1" t="n">
        <v>45247.54817129629</v>
      </c>
      <c r="C9261" s="1" t="n">
        <v>46145</v>
      </c>
      <c r="D9261" t="inlineStr">
        <is>
          <t>VÄSTERBOTTENS LÄN</t>
        </is>
      </c>
      <c r="E9261" t="inlineStr">
        <is>
          <t>SKELLEFTEÅ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8282-2023</t>
        </is>
      </c>
      <c r="B9262" s="1" t="n">
        <v>44974</v>
      </c>
      <c r="C9262" s="1" t="n">
        <v>46145</v>
      </c>
      <c r="D9262" t="inlineStr">
        <is>
          <t>VÄSTERBOTTENS LÄN</t>
        </is>
      </c>
      <c r="E9262" t="inlineStr">
        <is>
          <t>SORSELE</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61777-2023</t>
        </is>
      </c>
      <c r="B9263" s="1" t="n">
        <v>45265</v>
      </c>
      <c r="C9263" s="1" t="n">
        <v>46145</v>
      </c>
      <c r="D9263" t="inlineStr">
        <is>
          <t>VÄSTERBOTTENS LÄN</t>
        </is>
      </c>
      <c r="E9263" t="inlineStr">
        <is>
          <t>VILHELMINA</t>
        </is>
      </c>
      <c r="F9263" t="inlineStr">
        <is>
          <t>SCA</t>
        </is>
      </c>
      <c r="G9263" t="n">
        <v>20.6</v>
      </c>
      <c r="H9263" t="n">
        <v>0</v>
      </c>
      <c r="I9263" t="n">
        <v>0</v>
      </c>
      <c r="J9263" t="n">
        <v>0</v>
      </c>
      <c r="K9263" t="n">
        <v>0</v>
      </c>
      <c r="L9263" t="n">
        <v>0</v>
      </c>
      <c r="M9263" t="n">
        <v>0</v>
      </c>
      <c r="N9263" t="n">
        <v>0</v>
      </c>
      <c r="O9263" t="n">
        <v>0</v>
      </c>
      <c r="P9263" t="n">
        <v>0</v>
      </c>
      <c r="Q9263" t="n">
        <v>0</v>
      </c>
      <c r="R9263" s="2" t="inlineStr"/>
    </row>
    <row r="9264" ht="15" customHeight="1">
      <c r="A9264" t="inlineStr">
        <is>
          <t>A 7398-2026</t>
        </is>
      </c>
      <c r="B9264" s="1" t="n">
        <v>46059.3803125</v>
      </c>
      <c r="C9264" s="1" t="n">
        <v>46145</v>
      </c>
      <c r="D9264" t="inlineStr">
        <is>
          <t>VÄSTERBOTTENS LÄN</t>
        </is>
      </c>
      <c r="E9264" t="inlineStr">
        <is>
          <t>VINDELN</t>
        </is>
      </c>
      <c r="F9264" t="inlineStr">
        <is>
          <t>Holmen skog AB</t>
        </is>
      </c>
      <c r="G9264" t="n">
        <v>21.9</v>
      </c>
      <c r="H9264" t="n">
        <v>0</v>
      </c>
      <c r="I9264" t="n">
        <v>0</v>
      </c>
      <c r="J9264" t="n">
        <v>0</v>
      </c>
      <c r="K9264" t="n">
        <v>0</v>
      </c>
      <c r="L9264" t="n">
        <v>0</v>
      </c>
      <c r="M9264" t="n">
        <v>0</v>
      </c>
      <c r="N9264" t="n">
        <v>0</v>
      </c>
      <c r="O9264" t="n">
        <v>0</v>
      </c>
      <c r="P9264" t="n">
        <v>0</v>
      </c>
      <c r="Q9264" t="n">
        <v>0</v>
      </c>
      <c r="R9264" s="2" t="inlineStr"/>
    </row>
    <row r="9265" ht="15" customHeight="1">
      <c r="A9265" t="inlineStr">
        <is>
          <t>A 30182-2023</t>
        </is>
      </c>
      <c r="B9265" s="1" t="n">
        <v>45099</v>
      </c>
      <c r="C9265" s="1" t="n">
        <v>46145</v>
      </c>
      <c r="D9265" t="inlineStr">
        <is>
          <t>VÄSTERBOTTENS LÄN</t>
        </is>
      </c>
      <c r="E9265" t="inlineStr">
        <is>
          <t>BJURHOLM</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26232-2024</t>
        </is>
      </c>
      <c r="B9266" s="1" t="n">
        <v>45468</v>
      </c>
      <c r="C9266" s="1" t="n">
        <v>46145</v>
      </c>
      <c r="D9266" t="inlineStr">
        <is>
          <t>VÄSTERBOTTENS LÄN</t>
        </is>
      </c>
      <c r="E9266" t="inlineStr">
        <is>
          <t>VINDELN</t>
        </is>
      </c>
      <c r="F9266" t="inlineStr">
        <is>
          <t>Holmen skog AB</t>
        </is>
      </c>
      <c r="G9266" t="n">
        <v>16.5</v>
      </c>
      <c r="H9266" t="n">
        <v>0</v>
      </c>
      <c r="I9266" t="n">
        <v>0</v>
      </c>
      <c r="J9266" t="n">
        <v>0</v>
      </c>
      <c r="K9266" t="n">
        <v>0</v>
      </c>
      <c r="L9266" t="n">
        <v>0</v>
      </c>
      <c r="M9266" t="n">
        <v>0</v>
      </c>
      <c r="N9266" t="n">
        <v>0</v>
      </c>
      <c r="O9266" t="n">
        <v>0</v>
      </c>
      <c r="P9266" t="n">
        <v>0</v>
      </c>
      <c r="Q9266" t="n">
        <v>0</v>
      </c>
      <c r="R9266" s="2" t="inlineStr"/>
    </row>
    <row r="9267" ht="15" customHeight="1">
      <c r="A9267" t="inlineStr">
        <is>
          <t>A 14403-2025</t>
        </is>
      </c>
      <c r="B9267" s="1" t="n">
        <v>45741.46083333333</v>
      </c>
      <c r="C9267" s="1" t="n">
        <v>46145</v>
      </c>
      <c r="D9267" t="inlineStr">
        <is>
          <t>VÄSTERBOTTENS LÄN</t>
        </is>
      </c>
      <c r="E9267" t="inlineStr">
        <is>
          <t>UMEÅ</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34331-2024</t>
        </is>
      </c>
      <c r="B9268" s="1" t="n">
        <v>45524</v>
      </c>
      <c r="C9268" s="1" t="n">
        <v>46145</v>
      </c>
      <c r="D9268" t="inlineStr">
        <is>
          <t>VÄSTERBOTTENS LÄN</t>
        </is>
      </c>
      <c r="E9268" t="inlineStr">
        <is>
          <t>UMEÅ</t>
        </is>
      </c>
      <c r="F9268" t="inlineStr">
        <is>
          <t>Holmen skog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26037-2025</t>
        </is>
      </c>
      <c r="B9269" s="1" t="n">
        <v>45804</v>
      </c>
      <c r="C9269" s="1" t="n">
        <v>46145</v>
      </c>
      <c r="D9269" t="inlineStr">
        <is>
          <t>VÄSTERBOTTENS LÄN</t>
        </is>
      </c>
      <c r="E9269" t="inlineStr">
        <is>
          <t>SORSELE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12723-2025</t>
        </is>
      </c>
      <c r="B9270" s="1" t="n">
        <v>45733.49011574074</v>
      </c>
      <c r="C9270" s="1" t="n">
        <v>46145</v>
      </c>
      <c r="D9270" t="inlineStr">
        <is>
          <t>VÄSTERBOTTENS LÄN</t>
        </is>
      </c>
      <c r="E9270" t="inlineStr">
        <is>
          <t>UMEÅ</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9466-2024</t>
        </is>
      </c>
      <c r="B9271" s="1" t="n">
        <v>45359</v>
      </c>
      <c r="C9271" s="1" t="n">
        <v>46145</v>
      </c>
      <c r="D9271" t="inlineStr">
        <is>
          <t>VÄSTERBOTTENS LÄN</t>
        </is>
      </c>
      <c r="E9271" t="inlineStr">
        <is>
          <t>SKELLEFTEÅ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56624-2024</t>
        </is>
      </c>
      <c r="B9272" s="1" t="n">
        <v>45625</v>
      </c>
      <c r="C9272" s="1" t="n">
        <v>46145</v>
      </c>
      <c r="D9272" t="inlineStr">
        <is>
          <t>VÄSTERBOTTENS LÄN</t>
        </is>
      </c>
      <c r="E9272" t="inlineStr">
        <is>
          <t>VILHELMINA</t>
        </is>
      </c>
      <c r="F9272" t="inlineStr">
        <is>
          <t>Allmännings- och besparingsskogar</t>
        </is>
      </c>
      <c r="G9272" t="n">
        <v>17.8</v>
      </c>
      <c r="H9272" t="n">
        <v>0</v>
      </c>
      <c r="I9272" t="n">
        <v>0</v>
      </c>
      <c r="J9272" t="n">
        <v>0</v>
      </c>
      <c r="K9272" t="n">
        <v>0</v>
      </c>
      <c r="L9272" t="n">
        <v>0</v>
      </c>
      <c r="M9272" t="n">
        <v>0</v>
      </c>
      <c r="N9272" t="n">
        <v>0</v>
      </c>
      <c r="O9272" t="n">
        <v>0</v>
      </c>
      <c r="P9272" t="n">
        <v>0</v>
      </c>
      <c r="Q9272" t="n">
        <v>0</v>
      </c>
      <c r="R9272" s="2" t="inlineStr"/>
    </row>
    <row r="9273" ht="15" customHeight="1">
      <c r="A9273" t="inlineStr">
        <is>
          <t>A 49525-2023</t>
        </is>
      </c>
      <c r="B9273" s="1" t="n">
        <v>45205</v>
      </c>
      <c r="C9273" s="1" t="n">
        <v>46145</v>
      </c>
      <c r="D9273" t="inlineStr">
        <is>
          <t>VÄSTERBOTTENS LÄN</t>
        </is>
      </c>
      <c r="E9273" t="inlineStr">
        <is>
          <t>UMEÅ</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49514-2022</t>
        </is>
      </c>
      <c r="B9274" s="1" t="n">
        <v>44861</v>
      </c>
      <c r="C9274" s="1" t="n">
        <v>46145</v>
      </c>
      <c r="D9274" t="inlineStr">
        <is>
          <t>VÄSTERBOTTENS LÄN</t>
        </is>
      </c>
      <c r="E9274" t="inlineStr">
        <is>
          <t>LYCKSELE</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53638-2022</t>
        </is>
      </c>
      <c r="B9275" s="1" t="n">
        <v>44879</v>
      </c>
      <c r="C9275" s="1" t="n">
        <v>46145</v>
      </c>
      <c r="D9275" t="inlineStr">
        <is>
          <t>VÄSTERBOTTENS LÄN</t>
        </is>
      </c>
      <c r="E9275" t="inlineStr">
        <is>
          <t>ÅSELE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26257-2024</t>
        </is>
      </c>
      <c r="B9276" s="1" t="n">
        <v>45468</v>
      </c>
      <c r="C9276" s="1" t="n">
        <v>46145</v>
      </c>
      <c r="D9276" t="inlineStr">
        <is>
          <t>VÄSTERBOTTENS LÄN</t>
        </is>
      </c>
      <c r="E9276" t="inlineStr">
        <is>
          <t>SKELLEFTEÅ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27582-2024</t>
        </is>
      </c>
      <c r="B9277" s="1" t="n">
        <v>45474</v>
      </c>
      <c r="C9277" s="1" t="n">
        <v>46145</v>
      </c>
      <c r="D9277" t="inlineStr">
        <is>
          <t>VÄSTERBOTTENS LÄN</t>
        </is>
      </c>
      <c r="E9277" t="inlineStr">
        <is>
          <t>VINDELN</t>
        </is>
      </c>
      <c r="F9277" t="inlineStr">
        <is>
          <t>Holmen skog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29738-2024</t>
        </is>
      </c>
      <c r="B9278" s="1" t="n">
        <v>45485.39127314815</v>
      </c>
      <c r="C9278" s="1" t="n">
        <v>46145</v>
      </c>
      <c r="D9278" t="inlineStr">
        <is>
          <t>VÄSTERBOTTENS LÄN</t>
        </is>
      </c>
      <c r="E9278" t="inlineStr">
        <is>
          <t>ÅSELE</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11729-2025</t>
        </is>
      </c>
      <c r="B9279" s="1" t="n">
        <v>45727.61769675926</v>
      </c>
      <c r="C9279" s="1" t="n">
        <v>46145</v>
      </c>
      <c r="D9279" t="inlineStr">
        <is>
          <t>VÄSTERBOTTENS LÄN</t>
        </is>
      </c>
      <c r="E9279" t="inlineStr">
        <is>
          <t>BJURHOLM</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60882-2024</t>
        </is>
      </c>
      <c r="B9280" s="1" t="n">
        <v>45644</v>
      </c>
      <c r="C9280" s="1" t="n">
        <v>46145</v>
      </c>
      <c r="D9280" t="inlineStr">
        <is>
          <t>VÄSTERBOTTENS LÄN</t>
        </is>
      </c>
      <c r="E9280" t="inlineStr">
        <is>
          <t>ROBERTSFORS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61542-2024</t>
        </is>
      </c>
      <c r="B9281" s="1" t="n">
        <v>45645</v>
      </c>
      <c r="C9281" s="1" t="n">
        <v>46145</v>
      </c>
      <c r="D9281" t="inlineStr">
        <is>
          <t>VÄSTERBOTTENS LÄN</t>
        </is>
      </c>
      <c r="E9281" t="inlineStr">
        <is>
          <t>ÅSELE</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47440-2024</t>
        </is>
      </c>
      <c r="B9282" s="1" t="n">
        <v>45587</v>
      </c>
      <c r="C9282" s="1" t="n">
        <v>46145</v>
      </c>
      <c r="D9282" t="inlineStr">
        <is>
          <t>VÄSTERBOTTENS LÄN</t>
        </is>
      </c>
      <c r="E9282" t="inlineStr">
        <is>
          <t>VILHELMINA</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35925-2023</t>
        </is>
      </c>
      <c r="B9283" s="1" t="n">
        <v>45148</v>
      </c>
      <c r="C9283" s="1" t="n">
        <v>46145</v>
      </c>
      <c r="D9283" t="inlineStr">
        <is>
          <t>VÄSTERBOTTENS LÄN</t>
        </is>
      </c>
      <c r="E9283" t="inlineStr">
        <is>
          <t>VINDELN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7829-2026</t>
        </is>
      </c>
      <c r="B9284" s="1" t="n">
        <v>46062.64269675926</v>
      </c>
      <c r="C9284" s="1" t="n">
        <v>46145</v>
      </c>
      <c r="D9284" t="inlineStr">
        <is>
          <t>VÄSTERBOTTENS LÄN</t>
        </is>
      </c>
      <c r="E9284" t="inlineStr">
        <is>
          <t>LYCKSELE</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29789-2025</t>
        </is>
      </c>
      <c r="B9285" s="1" t="n">
        <v>45825</v>
      </c>
      <c r="C9285" s="1" t="n">
        <v>46145</v>
      </c>
      <c r="D9285" t="inlineStr">
        <is>
          <t>VÄSTERBOTTENS LÄN</t>
        </is>
      </c>
      <c r="E9285" t="inlineStr">
        <is>
          <t>SORSELE</t>
        </is>
      </c>
      <c r="F9285" t="inlineStr">
        <is>
          <t>Allmännings- och besparingsskogar</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7677-2026</t>
        </is>
      </c>
      <c r="B9286" s="1" t="n">
        <v>46062.42768518518</v>
      </c>
      <c r="C9286" s="1" t="n">
        <v>46145</v>
      </c>
      <c r="D9286" t="inlineStr">
        <is>
          <t>VÄSTERBOTTENS LÄN</t>
        </is>
      </c>
      <c r="E9286" t="inlineStr">
        <is>
          <t>SKELLEFTEÅ</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2323-2025</t>
        </is>
      </c>
      <c r="B9287" s="1" t="n">
        <v>45673.62765046296</v>
      </c>
      <c r="C9287" s="1" t="n">
        <v>46145</v>
      </c>
      <c r="D9287" t="inlineStr">
        <is>
          <t>VÄSTERBOTTENS LÄN</t>
        </is>
      </c>
      <c r="E9287" t="inlineStr">
        <is>
          <t>LYCKSELE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7792-2026</t>
        </is>
      </c>
      <c r="B9288" s="1" t="n">
        <v>46062.594375</v>
      </c>
      <c r="C9288" s="1" t="n">
        <v>46145</v>
      </c>
      <c r="D9288" t="inlineStr">
        <is>
          <t>VÄSTERBOTTENS LÄN</t>
        </is>
      </c>
      <c r="E9288" t="inlineStr">
        <is>
          <t>SORSELE</t>
        </is>
      </c>
      <c r="F9288" t="inlineStr">
        <is>
          <t>SCA</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19032-2025</t>
        </is>
      </c>
      <c r="B9289" s="1" t="n">
        <v>45764</v>
      </c>
      <c r="C9289" s="1" t="n">
        <v>46145</v>
      </c>
      <c r="D9289" t="inlineStr">
        <is>
          <t>VÄSTERBOTTENS LÄN</t>
        </is>
      </c>
      <c r="E9289" t="inlineStr">
        <is>
          <t>DOROTEA</t>
        </is>
      </c>
      <c r="F9289" t="inlineStr">
        <is>
          <t>SCA</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7713-2026</t>
        </is>
      </c>
      <c r="B9290" s="1" t="n">
        <v>46059</v>
      </c>
      <c r="C9290" s="1" t="n">
        <v>46145</v>
      </c>
      <c r="D9290" t="inlineStr">
        <is>
          <t>VÄSTERBOTTENS LÄN</t>
        </is>
      </c>
      <c r="E9290" t="inlineStr">
        <is>
          <t>DOROTEA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7716-2026</t>
        </is>
      </c>
      <c r="B9291" s="1" t="n">
        <v>46059</v>
      </c>
      <c r="C9291" s="1" t="n">
        <v>46145</v>
      </c>
      <c r="D9291" t="inlineStr">
        <is>
          <t>VÄSTERBOTTENS LÄN</t>
        </is>
      </c>
      <c r="E9291" t="inlineStr">
        <is>
          <t>DOROTEA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29922-2024</t>
        </is>
      </c>
      <c r="B9292" s="1" t="n">
        <v>45487.9563425926</v>
      </c>
      <c r="C9292" s="1" t="n">
        <v>46145</v>
      </c>
      <c r="D9292" t="inlineStr">
        <is>
          <t>VÄSTERBOTTENS LÄN</t>
        </is>
      </c>
      <c r="E9292" t="inlineStr">
        <is>
          <t>VILHELMINA</t>
        </is>
      </c>
      <c r="F9292" t="inlineStr">
        <is>
          <t>SCA</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7637-2026</t>
        </is>
      </c>
      <c r="B9293" s="1" t="n">
        <v>46062.36770833333</v>
      </c>
      <c r="C9293" s="1" t="n">
        <v>46145</v>
      </c>
      <c r="D9293" t="inlineStr">
        <is>
          <t>VÄSTERBOTTENS LÄN</t>
        </is>
      </c>
      <c r="E9293" t="inlineStr">
        <is>
          <t>SKELLEFTEÅ</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14239-2025</t>
        </is>
      </c>
      <c r="B9294" s="1" t="n">
        <v>45740.61157407407</v>
      </c>
      <c r="C9294" s="1" t="n">
        <v>46145</v>
      </c>
      <c r="D9294" t="inlineStr">
        <is>
          <t>VÄSTERBOTTENS LÄN</t>
        </is>
      </c>
      <c r="E9294" t="inlineStr">
        <is>
          <t>VINDELN</t>
        </is>
      </c>
      <c r="G9294" t="n">
        <v>12.2</v>
      </c>
      <c r="H9294" t="n">
        <v>0</v>
      </c>
      <c r="I9294" t="n">
        <v>0</v>
      </c>
      <c r="J9294" t="n">
        <v>0</v>
      </c>
      <c r="K9294" t="n">
        <v>0</v>
      </c>
      <c r="L9294" t="n">
        <v>0</v>
      </c>
      <c r="M9294" t="n">
        <v>0</v>
      </c>
      <c r="N9294" t="n">
        <v>0</v>
      </c>
      <c r="O9294" t="n">
        <v>0</v>
      </c>
      <c r="P9294" t="n">
        <v>0</v>
      </c>
      <c r="Q9294" t="n">
        <v>0</v>
      </c>
      <c r="R9294" s="2" t="inlineStr"/>
    </row>
    <row r="9295" ht="15" customHeight="1">
      <c r="A9295" t="inlineStr">
        <is>
          <t>A 14249-2025</t>
        </is>
      </c>
      <c r="B9295" s="1" t="n">
        <v>45740</v>
      </c>
      <c r="C9295" s="1" t="n">
        <v>46145</v>
      </c>
      <c r="D9295" t="inlineStr">
        <is>
          <t>VÄSTERBOTTENS LÄN</t>
        </is>
      </c>
      <c r="E9295" t="inlineStr">
        <is>
          <t>LYCKSELE</t>
        </is>
      </c>
      <c r="F9295" t="inlineStr">
        <is>
          <t>SCA</t>
        </is>
      </c>
      <c r="G9295" t="n">
        <v>8</v>
      </c>
      <c r="H9295" t="n">
        <v>0</v>
      </c>
      <c r="I9295" t="n">
        <v>0</v>
      </c>
      <c r="J9295" t="n">
        <v>0</v>
      </c>
      <c r="K9295" t="n">
        <v>0</v>
      </c>
      <c r="L9295" t="n">
        <v>0</v>
      </c>
      <c r="M9295" t="n">
        <v>0</v>
      </c>
      <c r="N9295" t="n">
        <v>0</v>
      </c>
      <c r="O9295" t="n">
        <v>0</v>
      </c>
      <c r="P9295" t="n">
        <v>0</v>
      </c>
      <c r="Q9295" t="n">
        <v>0</v>
      </c>
      <c r="R9295" s="2" t="inlineStr"/>
    </row>
    <row r="9296" ht="15" customHeight="1">
      <c r="A9296" t="inlineStr">
        <is>
          <t>A 7407-2026</t>
        </is>
      </c>
      <c r="B9296" s="1" t="n">
        <v>46059.40054398148</v>
      </c>
      <c r="C9296" s="1" t="n">
        <v>46145</v>
      </c>
      <c r="D9296" t="inlineStr">
        <is>
          <t>VÄSTERBOTTENS LÄN</t>
        </is>
      </c>
      <c r="E9296" t="inlineStr">
        <is>
          <t>VINDELN</t>
        </is>
      </c>
      <c r="F9296" t="inlineStr">
        <is>
          <t>Holmen skog AB</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29733-2024</t>
        </is>
      </c>
      <c r="B9297" s="1" t="n">
        <v>45485.37736111111</v>
      </c>
      <c r="C9297" s="1" t="n">
        <v>46145</v>
      </c>
      <c r="D9297" t="inlineStr">
        <is>
          <t>VÄSTERBOTTENS LÄN</t>
        </is>
      </c>
      <c r="E9297" t="inlineStr">
        <is>
          <t>NORSJÖ</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54821-2023</t>
        </is>
      </c>
      <c r="B9298" s="1" t="n">
        <v>45236</v>
      </c>
      <c r="C9298" s="1" t="n">
        <v>46145</v>
      </c>
      <c r="D9298" t="inlineStr">
        <is>
          <t>VÄSTERBOTTENS LÄN</t>
        </is>
      </c>
      <c r="E9298" t="inlineStr">
        <is>
          <t>SKELLEFTEÅ</t>
        </is>
      </c>
      <c r="F9298" t="inlineStr">
        <is>
          <t>Kommuner</t>
        </is>
      </c>
      <c r="G9298" t="n">
        <v>8.9</v>
      </c>
      <c r="H9298" t="n">
        <v>0</v>
      </c>
      <c r="I9298" t="n">
        <v>0</v>
      </c>
      <c r="J9298" t="n">
        <v>0</v>
      </c>
      <c r="K9298" t="n">
        <v>0</v>
      </c>
      <c r="L9298" t="n">
        <v>0</v>
      </c>
      <c r="M9298" t="n">
        <v>0</v>
      </c>
      <c r="N9298" t="n">
        <v>0</v>
      </c>
      <c r="O9298" t="n">
        <v>0</v>
      </c>
      <c r="P9298" t="n">
        <v>0</v>
      </c>
      <c r="Q9298" t="n">
        <v>0</v>
      </c>
      <c r="R9298" s="2" t="inlineStr"/>
    </row>
    <row r="9299" ht="15" customHeight="1">
      <c r="A9299" t="inlineStr">
        <is>
          <t>A 3143-2024</t>
        </is>
      </c>
      <c r="B9299" s="1" t="n">
        <v>45316.58484953704</v>
      </c>
      <c r="C9299" s="1" t="n">
        <v>46145</v>
      </c>
      <c r="D9299" t="inlineStr">
        <is>
          <t>VÄSTERBOTTENS LÄN</t>
        </is>
      </c>
      <c r="E9299" t="inlineStr">
        <is>
          <t>SKELLEFTEÅ</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12365-2025</t>
        </is>
      </c>
      <c r="B9300" s="1" t="n">
        <v>45730.37549768519</v>
      </c>
      <c r="C9300" s="1" t="n">
        <v>46145</v>
      </c>
      <c r="D9300" t="inlineStr">
        <is>
          <t>VÄSTERBOTTENS LÄN</t>
        </is>
      </c>
      <c r="E9300" t="inlineStr">
        <is>
          <t>VILHELMINA</t>
        </is>
      </c>
      <c r="F9300" t="inlineStr">
        <is>
          <t>Övriga statliga verk och myndigheter</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12370-2025</t>
        </is>
      </c>
      <c r="B9301" s="1" t="n">
        <v>45730.37681712963</v>
      </c>
      <c r="C9301" s="1" t="n">
        <v>46145</v>
      </c>
      <c r="D9301" t="inlineStr">
        <is>
          <t>VÄSTERBOTTENS LÄN</t>
        </is>
      </c>
      <c r="E9301" t="inlineStr">
        <is>
          <t>VILHELMINA</t>
        </is>
      </c>
      <c r="F9301" t="inlineStr">
        <is>
          <t>Övriga statliga verk och myndigheter</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2811-2025</t>
        </is>
      </c>
      <c r="B9302" s="1" t="n">
        <v>45677.59689814815</v>
      </c>
      <c r="C9302" s="1" t="n">
        <v>46145</v>
      </c>
      <c r="D9302" t="inlineStr">
        <is>
          <t>VÄSTERBOTTENS LÄN</t>
        </is>
      </c>
      <c r="E9302" t="inlineStr">
        <is>
          <t>SKELLEFTEÅ</t>
        </is>
      </c>
      <c r="F9302" t="inlineStr">
        <is>
          <t>Holmen skog AB</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51874-2022</t>
        </is>
      </c>
      <c r="B9303" s="1" t="n">
        <v>44872.59645833333</v>
      </c>
      <c r="C9303" s="1" t="n">
        <v>46145</v>
      </c>
      <c r="D9303" t="inlineStr">
        <is>
          <t>VÄSTERBOTTENS LÄN</t>
        </is>
      </c>
      <c r="E9303" t="inlineStr">
        <is>
          <t>SKELLEFTEÅ</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5726-2024</t>
        </is>
      </c>
      <c r="B9304" s="1" t="n">
        <v>45334.9250925926</v>
      </c>
      <c r="C9304" s="1" t="n">
        <v>46145</v>
      </c>
      <c r="D9304" t="inlineStr">
        <is>
          <t>VÄSTERBOTTENS LÄN</t>
        </is>
      </c>
      <c r="E9304" t="inlineStr">
        <is>
          <t>ÅSELE</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26861-2024</t>
        </is>
      </c>
      <c r="B9305" s="1" t="n">
        <v>45470</v>
      </c>
      <c r="C9305" s="1" t="n">
        <v>46145</v>
      </c>
      <c r="D9305" t="inlineStr">
        <is>
          <t>VÄSTERBOTTENS LÄN</t>
        </is>
      </c>
      <c r="E9305" t="inlineStr">
        <is>
          <t>UMEÅ</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33638-2024</t>
        </is>
      </c>
      <c r="B9306" s="1" t="n">
        <v>45520.44297453704</v>
      </c>
      <c r="C9306" s="1" t="n">
        <v>46145</v>
      </c>
      <c r="D9306" t="inlineStr">
        <is>
          <t>VÄSTERBOTTENS LÄN</t>
        </is>
      </c>
      <c r="E9306" t="inlineStr">
        <is>
          <t>SORSELE</t>
        </is>
      </c>
      <c r="F9306" t="inlineStr">
        <is>
          <t>Sveaskog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3088-2024</t>
        </is>
      </c>
      <c r="B9307" s="1" t="n">
        <v>45316</v>
      </c>
      <c r="C9307" s="1" t="n">
        <v>46145</v>
      </c>
      <c r="D9307" t="inlineStr">
        <is>
          <t>VÄSTERBOTTENS LÄN</t>
        </is>
      </c>
      <c r="E9307" t="inlineStr">
        <is>
          <t>ÅSELE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3111-2024</t>
        </is>
      </c>
      <c r="B9308" s="1" t="n">
        <v>45316</v>
      </c>
      <c r="C9308" s="1" t="n">
        <v>46145</v>
      </c>
      <c r="D9308" t="inlineStr">
        <is>
          <t>VÄSTERBOTTENS LÄN</t>
        </is>
      </c>
      <c r="E9308" t="inlineStr">
        <is>
          <t>ÅSELE</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8272-2026</t>
        </is>
      </c>
      <c r="B9309" s="1" t="n">
        <v>46064.55263888889</v>
      </c>
      <c r="C9309" s="1" t="n">
        <v>46145</v>
      </c>
      <c r="D9309" t="inlineStr">
        <is>
          <t>VÄSTERBOTTENS LÄN</t>
        </is>
      </c>
      <c r="E9309" t="inlineStr">
        <is>
          <t>LYCKSELE</t>
        </is>
      </c>
      <c r="F9309" t="inlineStr">
        <is>
          <t>Naturvårdsverket</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33682-2024</t>
        </is>
      </c>
      <c r="B9310" s="1" t="n">
        <v>45520.50972222222</v>
      </c>
      <c r="C9310" s="1" t="n">
        <v>46145</v>
      </c>
      <c r="D9310" t="inlineStr">
        <is>
          <t>VÄSTERBOTTENS LÄN</t>
        </is>
      </c>
      <c r="E9310" t="inlineStr">
        <is>
          <t>SORSELE</t>
        </is>
      </c>
      <c r="F9310" t="inlineStr">
        <is>
          <t>Sveaskog</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33692-2024</t>
        </is>
      </c>
      <c r="B9311" s="1" t="n">
        <v>45520.51524305555</v>
      </c>
      <c r="C9311" s="1" t="n">
        <v>46145</v>
      </c>
      <c r="D9311" t="inlineStr">
        <is>
          <t>VÄSTERBOTTENS LÄN</t>
        </is>
      </c>
      <c r="E9311" t="inlineStr">
        <is>
          <t>MALÅ</t>
        </is>
      </c>
      <c r="F9311" t="inlineStr">
        <is>
          <t>Sveaskog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65178-2023</t>
        </is>
      </c>
      <c r="B9312" s="1" t="n">
        <v>45288.93209490741</v>
      </c>
      <c r="C9312" s="1" t="n">
        <v>46145</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52956-2022</t>
        </is>
      </c>
      <c r="B9313" s="1" t="n">
        <v>44875</v>
      </c>
      <c r="C9313" s="1" t="n">
        <v>46145</v>
      </c>
      <c r="D9313" t="inlineStr">
        <is>
          <t>VÄSTERBOTTENS LÄN</t>
        </is>
      </c>
      <c r="E9313" t="inlineStr">
        <is>
          <t>LYCKSELE</t>
        </is>
      </c>
      <c r="F9313" t="inlineStr">
        <is>
          <t>Holmen skog AB</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8352-2026</t>
        </is>
      </c>
      <c r="B9314" s="1" t="n">
        <v>46064.64462962963</v>
      </c>
      <c r="C9314" s="1" t="n">
        <v>46145</v>
      </c>
      <c r="D9314" t="inlineStr">
        <is>
          <t>VÄSTERBOTTENS LÄN</t>
        </is>
      </c>
      <c r="E9314" t="inlineStr">
        <is>
          <t>SKELLEFTEÅ</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33699-2024</t>
        </is>
      </c>
      <c r="B9315" s="1" t="n">
        <v>45520.52138888889</v>
      </c>
      <c r="C9315" s="1" t="n">
        <v>46145</v>
      </c>
      <c r="D9315" t="inlineStr">
        <is>
          <t>VÄSTERBOTTENS LÄN</t>
        </is>
      </c>
      <c r="E9315" t="inlineStr">
        <is>
          <t>LYCKSELE</t>
        </is>
      </c>
      <c r="F9315" t="inlineStr">
        <is>
          <t>Sveaskog</t>
        </is>
      </c>
      <c r="G9315" t="n">
        <v>16.3</v>
      </c>
      <c r="H9315" t="n">
        <v>0</v>
      </c>
      <c r="I9315" t="n">
        <v>0</v>
      </c>
      <c r="J9315" t="n">
        <v>0</v>
      </c>
      <c r="K9315" t="n">
        <v>0</v>
      </c>
      <c r="L9315" t="n">
        <v>0</v>
      </c>
      <c r="M9315" t="n">
        <v>0</v>
      </c>
      <c r="N9315" t="n">
        <v>0</v>
      </c>
      <c r="O9315" t="n">
        <v>0</v>
      </c>
      <c r="P9315" t="n">
        <v>0</v>
      </c>
      <c r="Q9315" t="n">
        <v>0</v>
      </c>
      <c r="R9315" s="2" t="inlineStr"/>
    </row>
    <row r="9316" ht="15" customHeight="1">
      <c r="A9316" t="inlineStr">
        <is>
          <t>A 33716-2024</t>
        </is>
      </c>
      <c r="B9316" s="1" t="n">
        <v>45520.53516203703</v>
      </c>
      <c r="C9316" s="1" t="n">
        <v>46145</v>
      </c>
      <c r="D9316" t="inlineStr">
        <is>
          <t>VÄSTERBOTTENS LÄN</t>
        </is>
      </c>
      <c r="E9316" t="inlineStr">
        <is>
          <t>LYCKSELE</t>
        </is>
      </c>
      <c r="F9316" t="inlineStr">
        <is>
          <t>Sveaskog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33717-2024</t>
        </is>
      </c>
      <c r="B9317" s="1" t="n">
        <v>45520.53523148148</v>
      </c>
      <c r="C9317" s="1" t="n">
        <v>46145</v>
      </c>
      <c r="D9317" t="inlineStr">
        <is>
          <t>VÄSTERBOTTENS LÄN</t>
        </is>
      </c>
      <c r="E9317" t="inlineStr">
        <is>
          <t>LYCKSELE</t>
        </is>
      </c>
      <c r="F9317" t="inlineStr">
        <is>
          <t>Sveaskog</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2022-2024</t>
        </is>
      </c>
      <c r="B9318" s="1" t="n">
        <v>45308</v>
      </c>
      <c r="C9318" s="1" t="n">
        <v>46145</v>
      </c>
      <c r="D9318" t="inlineStr">
        <is>
          <t>VÄSTERBOTTENS LÄN</t>
        </is>
      </c>
      <c r="E9318" t="inlineStr">
        <is>
          <t>VILHELMINA</t>
        </is>
      </c>
      <c r="G9318" t="n">
        <v>8.5</v>
      </c>
      <c r="H9318" t="n">
        <v>0</v>
      </c>
      <c r="I9318" t="n">
        <v>0</v>
      </c>
      <c r="J9318" t="n">
        <v>0</v>
      </c>
      <c r="K9318" t="n">
        <v>0</v>
      </c>
      <c r="L9318" t="n">
        <v>0</v>
      </c>
      <c r="M9318" t="n">
        <v>0</v>
      </c>
      <c r="N9318" t="n">
        <v>0</v>
      </c>
      <c r="O9318" t="n">
        <v>0</v>
      </c>
      <c r="P9318" t="n">
        <v>0</v>
      </c>
      <c r="Q9318" t="n">
        <v>0</v>
      </c>
      <c r="R9318" s="2" t="inlineStr"/>
    </row>
    <row r="9319" ht="15" customHeight="1">
      <c r="A9319" t="inlineStr">
        <is>
          <t>A 56807-2021</t>
        </is>
      </c>
      <c r="B9319" s="1" t="n">
        <v>44481</v>
      </c>
      <c r="C9319" s="1" t="n">
        <v>46145</v>
      </c>
      <c r="D9319" t="inlineStr">
        <is>
          <t>VÄSTERBOTTENS LÄN</t>
        </is>
      </c>
      <c r="E9319" t="inlineStr">
        <is>
          <t>DOROTEA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17732-2024</t>
        </is>
      </c>
      <c r="B9320" s="1" t="n">
        <v>45415</v>
      </c>
      <c r="C9320" s="1" t="n">
        <v>46145</v>
      </c>
      <c r="D9320" t="inlineStr">
        <is>
          <t>VÄSTERBOTTENS LÄN</t>
        </is>
      </c>
      <c r="E9320" t="inlineStr">
        <is>
          <t>VILHELMINA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44622-2024</t>
        </is>
      </c>
      <c r="B9321" s="1" t="n">
        <v>45574.51344907407</v>
      </c>
      <c r="C9321" s="1" t="n">
        <v>46145</v>
      </c>
      <c r="D9321" t="inlineStr">
        <is>
          <t>VÄSTERBOTTENS LÄN</t>
        </is>
      </c>
      <c r="E9321" t="inlineStr">
        <is>
          <t>ÅSELE</t>
        </is>
      </c>
      <c r="F9321" t="inlineStr">
        <is>
          <t>SCA</t>
        </is>
      </c>
      <c r="G9321" t="n">
        <v>14.9</v>
      </c>
      <c r="H9321" t="n">
        <v>0</v>
      </c>
      <c r="I9321" t="n">
        <v>0</v>
      </c>
      <c r="J9321" t="n">
        <v>0</v>
      </c>
      <c r="K9321" t="n">
        <v>0</v>
      </c>
      <c r="L9321" t="n">
        <v>0</v>
      </c>
      <c r="M9321" t="n">
        <v>0</v>
      </c>
      <c r="N9321" t="n">
        <v>0</v>
      </c>
      <c r="O9321" t="n">
        <v>0</v>
      </c>
      <c r="P9321" t="n">
        <v>0</v>
      </c>
      <c r="Q9321" t="n">
        <v>0</v>
      </c>
      <c r="R9321" s="2" t="inlineStr"/>
    </row>
    <row r="9322" ht="15" customHeight="1">
      <c r="A9322" t="inlineStr">
        <is>
          <t>A 44672-2024</t>
        </is>
      </c>
      <c r="B9322" s="1" t="n">
        <v>45574.53748842593</v>
      </c>
      <c r="C9322" s="1" t="n">
        <v>46145</v>
      </c>
      <c r="D9322" t="inlineStr">
        <is>
          <t>VÄSTERBOTTENS LÄN</t>
        </is>
      </c>
      <c r="E9322" t="inlineStr">
        <is>
          <t>LYCKSELE</t>
        </is>
      </c>
      <c r="F9322" t="inlineStr">
        <is>
          <t>Sveaskog</t>
        </is>
      </c>
      <c r="G9322" t="n">
        <v>11.6</v>
      </c>
      <c r="H9322" t="n">
        <v>0</v>
      </c>
      <c r="I9322" t="n">
        <v>0</v>
      </c>
      <c r="J9322" t="n">
        <v>0</v>
      </c>
      <c r="K9322" t="n">
        <v>0</v>
      </c>
      <c r="L9322" t="n">
        <v>0</v>
      </c>
      <c r="M9322" t="n">
        <v>0</v>
      </c>
      <c r="N9322" t="n">
        <v>0</v>
      </c>
      <c r="O9322" t="n">
        <v>0</v>
      </c>
      <c r="P9322" t="n">
        <v>0</v>
      </c>
      <c r="Q9322" t="n">
        <v>0</v>
      </c>
      <c r="R9322" s="2" t="inlineStr"/>
    </row>
    <row r="9323" ht="15" customHeight="1">
      <c r="A9323" t="inlineStr">
        <is>
          <t>A 36792-2024</t>
        </is>
      </c>
      <c r="B9323" s="1" t="n">
        <v>45538.44001157407</v>
      </c>
      <c r="C9323" s="1" t="n">
        <v>46145</v>
      </c>
      <c r="D9323" t="inlineStr">
        <is>
          <t>VÄSTERBOTTENS LÄN</t>
        </is>
      </c>
      <c r="E9323" t="inlineStr">
        <is>
          <t>SKELLEFTEÅ</t>
        </is>
      </c>
      <c r="F9323" t="inlineStr">
        <is>
          <t>Sveaskog</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36794-2024</t>
        </is>
      </c>
      <c r="B9324" s="1" t="n">
        <v>45538.44354166667</v>
      </c>
      <c r="C9324" s="1" t="n">
        <v>46145</v>
      </c>
      <c r="D9324" t="inlineStr">
        <is>
          <t>VÄSTERBOTTENS LÄN</t>
        </is>
      </c>
      <c r="E9324" t="inlineStr">
        <is>
          <t>SKELLEFTEÅ</t>
        </is>
      </c>
      <c r="F9324" t="inlineStr">
        <is>
          <t>Sveaskog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28808-2024</t>
        </is>
      </c>
      <c r="B9325" s="1" t="n">
        <v>45478</v>
      </c>
      <c r="C9325" s="1" t="n">
        <v>46145</v>
      </c>
      <c r="D9325" t="inlineStr">
        <is>
          <t>VÄSTERBOTTENS LÄN</t>
        </is>
      </c>
      <c r="E9325" t="inlineStr">
        <is>
          <t>NORSJÖ</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8090-2026</t>
        </is>
      </c>
      <c r="B9326" s="1" t="n">
        <v>46063.7046412037</v>
      </c>
      <c r="C9326" s="1" t="n">
        <v>46145</v>
      </c>
      <c r="D9326" t="inlineStr">
        <is>
          <t>VÄSTERBOTTENS LÄN</t>
        </is>
      </c>
      <c r="E9326" t="inlineStr">
        <is>
          <t>ROBERTSFORS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14970-2026</t>
        </is>
      </c>
      <c r="B9327" s="1" t="n">
        <v>46104</v>
      </c>
      <c r="C9327" s="1" t="n">
        <v>46145</v>
      </c>
      <c r="D9327" t="inlineStr">
        <is>
          <t>VÄSTERBOTTENS LÄN</t>
        </is>
      </c>
      <c r="E9327" t="inlineStr">
        <is>
          <t>UMEÅ</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15439-2026</t>
        </is>
      </c>
      <c r="B9328" s="1" t="n">
        <v>46106.39612268518</v>
      </c>
      <c r="C9328" s="1" t="n">
        <v>46145</v>
      </c>
      <c r="D9328" t="inlineStr">
        <is>
          <t>VÄSTERBOTTENS LÄN</t>
        </is>
      </c>
      <c r="E9328" t="inlineStr">
        <is>
          <t>SKELLEFTEÅ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41980-2024</t>
        </is>
      </c>
      <c r="B9329" s="1" t="n">
        <v>45561.63130787037</v>
      </c>
      <c r="C9329" s="1" t="n">
        <v>46145</v>
      </c>
      <c r="D9329" t="inlineStr">
        <is>
          <t>VÄSTERBOTTENS LÄN</t>
        </is>
      </c>
      <c r="E9329" t="inlineStr">
        <is>
          <t>LYCKSELE</t>
        </is>
      </c>
      <c r="F9329" t="inlineStr">
        <is>
          <t>Sveaskog</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8208-2026</t>
        </is>
      </c>
      <c r="B9330" s="1" t="n">
        <v>46064.4488425926</v>
      </c>
      <c r="C9330" s="1" t="n">
        <v>46145</v>
      </c>
      <c r="D9330" t="inlineStr">
        <is>
          <t>VÄSTERBOTTENS LÄN</t>
        </is>
      </c>
      <c r="E9330" t="inlineStr">
        <is>
          <t>UMEÅ</t>
        </is>
      </c>
      <c r="G9330" t="n">
        <v>19.9</v>
      </c>
      <c r="H9330" t="n">
        <v>0</v>
      </c>
      <c r="I9330" t="n">
        <v>0</v>
      </c>
      <c r="J9330" t="n">
        <v>0</v>
      </c>
      <c r="K9330" t="n">
        <v>0</v>
      </c>
      <c r="L9330" t="n">
        <v>0</v>
      </c>
      <c r="M9330" t="n">
        <v>0</v>
      </c>
      <c r="N9330" t="n">
        <v>0</v>
      </c>
      <c r="O9330" t="n">
        <v>0</v>
      </c>
      <c r="P9330" t="n">
        <v>0</v>
      </c>
      <c r="Q9330" t="n">
        <v>0</v>
      </c>
      <c r="R9330" s="2" t="inlineStr"/>
    </row>
    <row r="9331" ht="15" customHeight="1">
      <c r="A9331" t="inlineStr">
        <is>
          <t>A 10696-2023</t>
        </is>
      </c>
      <c r="B9331" s="1" t="n">
        <v>44984</v>
      </c>
      <c r="C9331" s="1" t="n">
        <v>46145</v>
      </c>
      <c r="D9331" t="inlineStr">
        <is>
          <t>VÄSTERBOTTENS LÄN</t>
        </is>
      </c>
      <c r="E9331" t="inlineStr">
        <is>
          <t>SKELLEFTEÅ</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15655-2026</t>
        </is>
      </c>
      <c r="B9332" s="1" t="n">
        <v>46106.65778935186</v>
      </c>
      <c r="C9332" s="1" t="n">
        <v>46145</v>
      </c>
      <c r="D9332" t="inlineStr">
        <is>
          <t>VÄSTERBOTTENS LÄN</t>
        </is>
      </c>
      <c r="E9332" t="inlineStr">
        <is>
          <t>LYCKSELE</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31486-2024</t>
        </is>
      </c>
      <c r="B9333" s="1" t="n">
        <v>45505.95335648148</v>
      </c>
      <c r="C9333" s="1" t="n">
        <v>46145</v>
      </c>
      <c r="D9333" t="inlineStr">
        <is>
          <t>VÄSTERBOTTENS LÄN</t>
        </is>
      </c>
      <c r="E9333" t="inlineStr">
        <is>
          <t>NORDMALING</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15235-2026</t>
        </is>
      </c>
      <c r="B9334" s="1" t="n">
        <v>46105.55800925926</v>
      </c>
      <c r="C9334" s="1" t="n">
        <v>46145</v>
      </c>
      <c r="D9334" t="inlineStr">
        <is>
          <t>VÄSTERBOTTENS LÄN</t>
        </is>
      </c>
      <c r="E9334" t="inlineStr">
        <is>
          <t>UMEÅ</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34130-2024</t>
        </is>
      </c>
      <c r="B9335" s="1" t="n">
        <v>45524.34668981482</v>
      </c>
      <c r="C9335" s="1" t="n">
        <v>46145</v>
      </c>
      <c r="D9335" t="inlineStr">
        <is>
          <t>VÄSTERBOTTENS LÄN</t>
        </is>
      </c>
      <c r="E9335" t="inlineStr">
        <is>
          <t>VILHELMINA</t>
        </is>
      </c>
      <c r="F9335" t="inlineStr">
        <is>
          <t>Sveaskog</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31872-2024</t>
        </is>
      </c>
      <c r="B9336" s="1" t="n">
        <v>45509.9290625</v>
      </c>
      <c r="C9336" s="1" t="n">
        <v>46145</v>
      </c>
      <c r="D9336" t="inlineStr">
        <is>
          <t>VÄSTERBOTTENS LÄN</t>
        </is>
      </c>
      <c r="E9336" t="inlineStr">
        <is>
          <t>SKELLEFTEÅ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31903-2024</t>
        </is>
      </c>
      <c r="B9337" s="1" t="n">
        <v>45510.32447916667</v>
      </c>
      <c r="C9337" s="1" t="n">
        <v>46145</v>
      </c>
      <c r="D9337" t="inlineStr">
        <is>
          <t>VÄSTERBOTTENS LÄN</t>
        </is>
      </c>
      <c r="E9337" t="inlineStr">
        <is>
          <t>UMEÅ</t>
        </is>
      </c>
      <c r="F9337" t="inlineStr">
        <is>
          <t>Holmen skog AB</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31905-2024</t>
        </is>
      </c>
      <c r="B9338" s="1" t="n">
        <v>45510.34210648148</v>
      </c>
      <c r="C9338" s="1" t="n">
        <v>46145</v>
      </c>
      <c r="D9338" t="inlineStr">
        <is>
          <t>VÄSTERBOTTENS LÄN</t>
        </is>
      </c>
      <c r="E9338" t="inlineStr">
        <is>
          <t>ROBERTSFORS</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33704-2024</t>
        </is>
      </c>
      <c r="B9339" s="1" t="n">
        <v>45520.52381944445</v>
      </c>
      <c r="C9339" s="1" t="n">
        <v>46145</v>
      </c>
      <c r="D9339" t="inlineStr">
        <is>
          <t>VÄSTERBOTTENS LÄN</t>
        </is>
      </c>
      <c r="E9339" t="inlineStr">
        <is>
          <t>LYCKSELE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45708-2024</t>
        </is>
      </c>
      <c r="B9340" s="1" t="n">
        <v>45579.5771875</v>
      </c>
      <c r="C9340" s="1" t="n">
        <v>46145</v>
      </c>
      <c r="D9340" t="inlineStr">
        <is>
          <t>VÄSTERBOTTENS LÄN</t>
        </is>
      </c>
      <c r="E9340" t="inlineStr">
        <is>
          <t>LYCKSELE</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55066-2024</t>
        </is>
      </c>
      <c r="B9341" s="1" t="n">
        <v>45621.41215277778</v>
      </c>
      <c r="C9341" s="1" t="n">
        <v>46145</v>
      </c>
      <c r="D9341" t="inlineStr">
        <is>
          <t>VÄSTERBOTTENS LÄN</t>
        </is>
      </c>
      <c r="E9341" t="inlineStr">
        <is>
          <t>MALÅ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49275-2024</t>
        </is>
      </c>
      <c r="B9342" s="1" t="n">
        <v>45595.50810185185</v>
      </c>
      <c r="C9342" s="1" t="n">
        <v>46145</v>
      </c>
      <c r="D9342" t="inlineStr">
        <is>
          <t>VÄSTERBOTTENS LÄN</t>
        </is>
      </c>
      <c r="E9342" t="inlineStr">
        <is>
          <t>MALÅ</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49279-2024</t>
        </is>
      </c>
      <c r="B9343" s="1" t="n">
        <v>45595.50831018519</v>
      </c>
      <c r="C9343" s="1" t="n">
        <v>46145</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15434-2026</t>
        </is>
      </c>
      <c r="B9344" s="1" t="n">
        <v>46106.38990740741</v>
      </c>
      <c r="C9344" s="1" t="n">
        <v>46145</v>
      </c>
      <c r="D9344" t="inlineStr">
        <is>
          <t>VÄSTERBOTTENS LÄN</t>
        </is>
      </c>
      <c r="E9344" t="inlineStr">
        <is>
          <t>SKELLEFTEÅ</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44616-2022</t>
        </is>
      </c>
      <c r="B9345" s="1" t="n">
        <v>44839</v>
      </c>
      <c r="C9345" s="1" t="n">
        <v>46145</v>
      </c>
      <c r="D9345" t="inlineStr">
        <is>
          <t>VÄSTERBOTTENS LÄN</t>
        </is>
      </c>
      <c r="E9345" t="inlineStr">
        <is>
          <t>SKELLEFTEÅ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46541-2022</t>
        </is>
      </c>
      <c r="B9346" s="1" t="n">
        <v>44847</v>
      </c>
      <c r="C9346" s="1" t="n">
        <v>46145</v>
      </c>
      <c r="D9346" t="inlineStr">
        <is>
          <t>VÄSTERBOTTENS LÄN</t>
        </is>
      </c>
      <c r="E9346" t="inlineStr">
        <is>
          <t>LYCKSELE</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50944-2024</t>
        </is>
      </c>
      <c r="B9347" s="1" t="n">
        <v>45602</v>
      </c>
      <c r="C9347" s="1" t="n">
        <v>46145</v>
      </c>
      <c r="D9347" t="inlineStr">
        <is>
          <t>VÄSTERBOTTENS LÄN</t>
        </is>
      </c>
      <c r="E9347" t="inlineStr">
        <is>
          <t>SORSELE</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23022-2021</t>
        </is>
      </c>
      <c r="B9348" s="1" t="n">
        <v>44328</v>
      </c>
      <c r="C9348" s="1" t="n">
        <v>46145</v>
      </c>
      <c r="D9348" t="inlineStr">
        <is>
          <t>VÄSTERBOTTENS LÄN</t>
        </is>
      </c>
      <c r="E9348" t="inlineStr">
        <is>
          <t>ÅSELE</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15302-2026</t>
        </is>
      </c>
      <c r="B9349" s="1" t="n">
        <v>46105.6370949074</v>
      </c>
      <c r="C9349" s="1" t="n">
        <v>46145</v>
      </c>
      <c r="D9349" t="inlineStr">
        <is>
          <t>VÄSTERBOTTENS LÄN</t>
        </is>
      </c>
      <c r="E9349" t="inlineStr">
        <is>
          <t>ROBERTSFORS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55717-2024</t>
        </is>
      </c>
      <c r="B9350" s="1" t="n">
        <v>45622</v>
      </c>
      <c r="C9350" s="1" t="n">
        <v>46145</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23205-2024</t>
        </is>
      </c>
      <c r="B9351" s="1" t="n">
        <v>45451</v>
      </c>
      <c r="C9351" s="1" t="n">
        <v>46145</v>
      </c>
      <c r="D9351" t="inlineStr">
        <is>
          <t>VÄSTERBOTTENS LÄN</t>
        </is>
      </c>
      <c r="E9351" t="inlineStr">
        <is>
          <t>BJURHOLM</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14954-2026</t>
        </is>
      </c>
      <c r="B9352" s="1" t="n">
        <v>46104</v>
      </c>
      <c r="C9352" s="1" t="n">
        <v>46145</v>
      </c>
      <c r="D9352" t="inlineStr">
        <is>
          <t>VÄSTERBOTTENS LÄN</t>
        </is>
      </c>
      <c r="E9352" t="inlineStr">
        <is>
          <t>UMEÅ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1859-2025</t>
        </is>
      </c>
      <c r="B9353" s="1" t="n">
        <v>45671</v>
      </c>
      <c r="C9353" s="1" t="n">
        <v>46145</v>
      </c>
      <c r="D9353" t="inlineStr">
        <is>
          <t>VÄSTERBOTTENS LÄN</t>
        </is>
      </c>
      <c r="E9353" t="inlineStr">
        <is>
          <t>ROBERTSFORS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48138-2024</t>
        </is>
      </c>
      <c r="B9354" s="1" t="n">
        <v>45589.6599074074</v>
      </c>
      <c r="C9354" s="1" t="n">
        <v>46145</v>
      </c>
      <c r="D9354" t="inlineStr">
        <is>
          <t>VÄSTERBOTTENS LÄN</t>
        </is>
      </c>
      <c r="E9354" t="inlineStr">
        <is>
          <t>VINDELN</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36357-2024</t>
        </is>
      </c>
      <c r="B9355" s="1" t="n">
        <v>45534.64569444444</v>
      </c>
      <c r="C9355" s="1" t="n">
        <v>46145</v>
      </c>
      <c r="D9355" t="inlineStr">
        <is>
          <t>VÄSTERBOTTENS LÄN</t>
        </is>
      </c>
      <c r="E9355" t="inlineStr">
        <is>
          <t>LYCKSELE</t>
        </is>
      </c>
      <c r="F9355" t="inlineStr">
        <is>
          <t>SCA</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7874-2026</t>
        </is>
      </c>
      <c r="B9356" s="1" t="n">
        <v>46063.11611111111</v>
      </c>
      <c r="C9356" s="1" t="n">
        <v>46145</v>
      </c>
      <c r="D9356" t="inlineStr">
        <is>
          <t>VÄSTERBOTTENS LÄN</t>
        </is>
      </c>
      <c r="E9356" t="inlineStr">
        <is>
          <t>VÄNNÄS</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7968-2026</t>
        </is>
      </c>
      <c r="B9357" s="1" t="n">
        <v>46063.46484953703</v>
      </c>
      <c r="C9357" s="1" t="n">
        <v>46145</v>
      </c>
      <c r="D9357" t="inlineStr">
        <is>
          <t>VÄSTERBOTTENS LÄN</t>
        </is>
      </c>
      <c r="E9357" t="inlineStr">
        <is>
          <t>ROBERTSFORS</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7963-2026</t>
        </is>
      </c>
      <c r="B9358" s="1" t="n">
        <v>46063.44837962963</v>
      </c>
      <c r="C9358" s="1" t="n">
        <v>46145</v>
      </c>
      <c r="D9358" t="inlineStr">
        <is>
          <t>VÄSTERBOTTENS LÄN</t>
        </is>
      </c>
      <c r="E9358" t="inlineStr">
        <is>
          <t>DOROTEA</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34779-2024</t>
        </is>
      </c>
      <c r="B9359" s="1" t="n">
        <v>45526.63690972222</v>
      </c>
      <c r="C9359" s="1" t="n">
        <v>46145</v>
      </c>
      <c r="D9359" t="inlineStr">
        <is>
          <t>VÄSTERBOTTENS LÄN</t>
        </is>
      </c>
      <c r="E9359" t="inlineStr">
        <is>
          <t>ÅSELE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23521-2024</t>
        </is>
      </c>
      <c r="B9360" s="1" t="n">
        <v>45453.92469907407</v>
      </c>
      <c r="C9360" s="1" t="n">
        <v>46145</v>
      </c>
      <c r="D9360" t="inlineStr">
        <is>
          <t>VÄSTERBOTTENS LÄN</t>
        </is>
      </c>
      <c r="E9360" t="inlineStr">
        <is>
          <t>SKELLEFTEÅ</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61947-2024</t>
        </is>
      </c>
      <c r="B9361" s="1" t="n">
        <v>45646</v>
      </c>
      <c r="C9361" s="1" t="n">
        <v>46145</v>
      </c>
      <c r="D9361" t="inlineStr">
        <is>
          <t>VÄSTERBOTTENS LÄN</t>
        </is>
      </c>
      <c r="E9361" t="inlineStr">
        <is>
          <t>MALÅ</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15301-2026</t>
        </is>
      </c>
      <c r="B9362" s="1" t="n">
        <v>46105.63650462963</v>
      </c>
      <c r="C9362" s="1" t="n">
        <v>46145</v>
      </c>
      <c r="D9362" t="inlineStr">
        <is>
          <t>VÄSTERBOTTENS LÄN</t>
        </is>
      </c>
      <c r="E9362" t="inlineStr">
        <is>
          <t>VILHELMINA</t>
        </is>
      </c>
      <c r="F9362" t="inlineStr">
        <is>
          <t>SCA</t>
        </is>
      </c>
      <c r="G9362" t="n">
        <v>9.699999999999999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8144-2026</t>
        </is>
      </c>
      <c r="B9363" s="1" t="n">
        <v>46064.34444444445</v>
      </c>
      <c r="C9363" s="1" t="n">
        <v>46145</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20681-2024</t>
        </is>
      </c>
      <c r="B9364" s="1" t="n">
        <v>45436</v>
      </c>
      <c r="C9364" s="1" t="n">
        <v>46145</v>
      </c>
      <c r="D9364" t="inlineStr">
        <is>
          <t>VÄSTERBOTTENS LÄN</t>
        </is>
      </c>
      <c r="E9364" t="inlineStr">
        <is>
          <t>VINDELN</t>
        </is>
      </c>
      <c r="G9364" t="n">
        <v>8.800000000000001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25327-2024</t>
        </is>
      </c>
      <c r="B9365" s="1" t="n">
        <v>45462.81574074074</v>
      </c>
      <c r="C9365" s="1" t="n">
        <v>46145</v>
      </c>
      <c r="D9365" t="inlineStr">
        <is>
          <t>VÄSTERBOTTENS LÄN</t>
        </is>
      </c>
      <c r="E9365" t="inlineStr">
        <is>
          <t>LYCKSELE</t>
        </is>
      </c>
      <c r="F9365" t="inlineStr">
        <is>
          <t>Sveaskog</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15179-2026</t>
        </is>
      </c>
      <c r="B9366" s="1" t="n">
        <v>46105.45206018518</v>
      </c>
      <c r="C9366" s="1" t="n">
        <v>46145</v>
      </c>
      <c r="D9366" t="inlineStr">
        <is>
          <t>VÄSTERBOTTENS LÄN</t>
        </is>
      </c>
      <c r="E9366" t="inlineStr">
        <is>
          <t>UMEÅ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28943-2024</t>
        </is>
      </c>
      <c r="B9367" s="1" t="n">
        <v>45481</v>
      </c>
      <c r="C9367" s="1" t="n">
        <v>46145</v>
      </c>
      <c r="D9367" t="inlineStr">
        <is>
          <t>VÄSTERBOTTENS LÄN</t>
        </is>
      </c>
      <c r="E9367" t="inlineStr">
        <is>
          <t>ÅSELE</t>
        </is>
      </c>
      <c r="F9367" t="inlineStr">
        <is>
          <t>Sveaskog</t>
        </is>
      </c>
      <c r="G9367" t="n">
        <v>24.2</v>
      </c>
      <c r="H9367" t="n">
        <v>0</v>
      </c>
      <c r="I9367" t="n">
        <v>0</v>
      </c>
      <c r="J9367" t="n">
        <v>0</v>
      </c>
      <c r="K9367" t="n">
        <v>0</v>
      </c>
      <c r="L9367" t="n">
        <v>0</v>
      </c>
      <c r="M9367" t="n">
        <v>0</v>
      </c>
      <c r="N9367" t="n">
        <v>0</v>
      </c>
      <c r="O9367" t="n">
        <v>0</v>
      </c>
      <c r="P9367" t="n">
        <v>0</v>
      </c>
      <c r="Q9367" t="n">
        <v>0</v>
      </c>
      <c r="R9367" s="2" t="inlineStr"/>
    </row>
    <row r="9368" ht="15" customHeight="1">
      <c r="A9368" t="inlineStr">
        <is>
          <t>A 15219-2026</t>
        </is>
      </c>
      <c r="B9368" s="1" t="n">
        <v>46105.52407407408</v>
      </c>
      <c r="C9368" s="1" t="n">
        <v>46145</v>
      </c>
      <c r="D9368" t="inlineStr">
        <is>
          <t>VÄSTERBOTTENS LÄN</t>
        </is>
      </c>
      <c r="E9368" t="inlineStr">
        <is>
          <t>UMEÅ</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54662-2024</t>
        </is>
      </c>
      <c r="B9369" s="1" t="n">
        <v>45618.31710648148</v>
      </c>
      <c r="C9369" s="1" t="n">
        <v>46145</v>
      </c>
      <c r="D9369" t="inlineStr">
        <is>
          <t>VÄSTERBOTTENS LÄN</t>
        </is>
      </c>
      <c r="E9369" t="inlineStr">
        <is>
          <t>SKELLEFTEÅ</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1815-2025</t>
        </is>
      </c>
      <c r="B9370" s="1" t="n">
        <v>45671</v>
      </c>
      <c r="C9370" s="1" t="n">
        <v>46145</v>
      </c>
      <c r="D9370" t="inlineStr">
        <is>
          <t>VÄSTERBOTTENS LÄN</t>
        </is>
      </c>
      <c r="E9370" t="inlineStr">
        <is>
          <t>ROBERTSFORS</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9305-2023</t>
        </is>
      </c>
      <c r="B9371" s="1" t="n">
        <v>44980</v>
      </c>
      <c r="C9371" s="1" t="n">
        <v>46145</v>
      </c>
      <c r="D9371" t="inlineStr">
        <is>
          <t>VÄSTERBOTTENS LÄN</t>
        </is>
      </c>
      <c r="E9371" t="inlineStr">
        <is>
          <t>ROBERTSFORS</t>
        </is>
      </c>
      <c r="F9371" t="inlineStr">
        <is>
          <t>Holmen skog AB</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8839-2025</t>
        </is>
      </c>
      <c r="B9372" s="1" t="n">
        <v>45713</v>
      </c>
      <c r="C9372" s="1" t="n">
        <v>46145</v>
      </c>
      <c r="D9372" t="inlineStr">
        <is>
          <t>VÄSTERBOTTENS LÄN</t>
        </is>
      </c>
      <c r="E9372" t="inlineStr">
        <is>
          <t>SKELLEFTEÅ</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8840-2025</t>
        </is>
      </c>
      <c r="B9373" s="1" t="n">
        <v>45713.30810185185</v>
      </c>
      <c r="C9373" s="1" t="n">
        <v>46145</v>
      </c>
      <c r="D9373" t="inlineStr">
        <is>
          <t>VÄSTERBOTTENS LÄN</t>
        </is>
      </c>
      <c r="E9373" t="inlineStr">
        <is>
          <t>SKELLEFTEÅ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8326-2026</t>
        </is>
      </c>
      <c r="B9374" s="1" t="n">
        <v>46064.61513888889</v>
      </c>
      <c r="C9374" s="1" t="n">
        <v>46145</v>
      </c>
      <c r="D9374" t="inlineStr">
        <is>
          <t>VÄSTERBOTTENS LÄN</t>
        </is>
      </c>
      <c r="E9374" t="inlineStr">
        <is>
          <t>VILHELMINA</t>
        </is>
      </c>
      <c r="F9374" t="inlineStr">
        <is>
          <t>SCA</t>
        </is>
      </c>
      <c r="G9374" t="n">
        <v>14.3</v>
      </c>
      <c r="H9374" t="n">
        <v>0</v>
      </c>
      <c r="I9374" t="n">
        <v>0</v>
      </c>
      <c r="J9374" t="n">
        <v>0</v>
      </c>
      <c r="K9374" t="n">
        <v>0</v>
      </c>
      <c r="L9374" t="n">
        <v>0</v>
      </c>
      <c r="M9374" t="n">
        <v>0</v>
      </c>
      <c r="N9374" t="n">
        <v>0</v>
      </c>
      <c r="O9374" t="n">
        <v>0</v>
      </c>
      <c r="P9374" t="n">
        <v>0</v>
      </c>
      <c r="Q9374" t="n">
        <v>0</v>
      </c>
      <c r="R9374" s="2" t="inlineStr"/>
    </row>
    <row r="9375" ht="15" customHeight="1">
      <c r="A9375" t="inlineStr">
        <is>
          <t>A 60169-2024</t>
        </is>
      </c>
      <c r="B9375" s="1" t="n">
        <v>45642.6359837963</v>
      </c>
      <c r="C9375" s="1" t="n">
        <v>46145</v>
      </c>
      <c r="D9375" t="inlineStr">
        <is>
          <t>VÄSTERBOTTENS LÄN</t>
        </is>
      </c>
      <c r="E9375" t="inlineStr">
        <is>
          <t>DOROTEA</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15480-2026</t>
        </is>
      </c>
      <c r="B9376" s="1" t="n">
        <v>46106.44849537037</v>
      </c>
      <c r="C9376" s="1" t="n">
        <v>46145</v>
      </c>
      <c r="D9376" t="inlineStr">
        <is>
          <t>VÄSTERBOTTENS LÄN</t>
        </is>
      </c>
      <c r="E9376" t="inlineStr">
        <is>
          <t>NORSJÖ</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38395-2023</t>
        </is>
      </c>
      <c r="B9377" s="1" t="n">
        <v>45162.31554398148</v>
      </c>
      <c r="C9377" s="1" t="n">
        <v>46145</v>
      </c>
      <c r="D9377" t="inlineStr">
        <is>
          <t>VÄSTERBOTTENS LÄN</t>
        </is>
      </c>
      <c r="E9377" t="inlineStr">
        <is>
          <t>SKELLEFTEÅ</t>
        </is>
      </c>
      <c r="F9377" t="inlineStr">
        <is>
          <t>Sveaskog</t>
        </is>
      </c>
      <c r="G9377" t="n">
        <v>18.9</v>
      </c>
      <c r="H9377" t="n">
        <v>0</v>
      </c>
      <c r="I9377" t="n">
        <v>0</v>
      </c>
      <c r="J9377" t="n">
        <v>0</v>
      </c>
      <c r="K9377" t="n">
        <v>0</v>
      </c>
      <c r="L9377" t="n">
        <v>0</v>
      </c>
      <c r="M9377" t="n">
        <v>0</v>
      </c>
      <c r="N9377" t="n">
        <v>0</v>
      </c>
      <c r="O9377" t="n">
        <v>0</v>
      </c>
      <c r="P9377" t="n">
        <v>0</v>
      </c>
      <c r="Q9377" t="n">
        <v>0</v>
      </c>
      <c r="R9377" s="2" t="inlineStr"/>
    </row>
    <row r="9378" ht="15" customHeight="1">
      <c r="A9378" t="inlineStr">
        <is>
          <t>A 15306-2026</t>
        </is>
      </c>
      <c r="B9378" s="1" t="n">
        <v>46105.63811342593</v>
      </c>
      <c r="C9378" s="1" t="n">
        <v>46145</v>
      </c>
      <c r="D9378" t="inlineStr">
        <is>
          <t>VÄSTERBOTTENS LÄN</t>
        </is>
      </c>
      <c r="E9378" t="inlineStr">
        <is>
          <t>MALÅ</t>
        </is>
      </c>
      <c r="F9378" t="inlineStr">
        <is>
          <t>Sveaskog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53376-2023</t>
        </is>
      </c>
      <c r="B9379" s="1" t="n">
        <v>45229</v>
      </c>
      <c r="C9379" s="1" t="n">
        <v>46145</v>
      </c>
      <c r="D9379" t="inlineStr">
        <is>
          <t>VÄSTERBOTTENS LÄN</t>
        </is>
      </c>
      <c r="E9379" t="inlineStr">
        <is>
          <t>MALÅ</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8018-2026</t>
        </is>
      </c>
      <c r="B9380" s="1" t="n">
        <v>46063.55266203704</v>
      </c>
      <c r="C9380" s="1" t="n">
        <v>46145</v>
      </c>
      <c r="D9380" t="inlineStr">
        <is>
          <t>VÄSTERBOTTENS LÄN</t>
        </is>
      </c>
      <c r="E9380" t="inlineStr">
        <is>
          <t>LYCKSELE</t>
        </is>
      </c>
      <c r="F9380" t="inlineStr">
        <is>
          <t>Naturvårdsverket</t>
        </is>
      </c>
      <c r="G9380" t="n">
        <v>11.4</v>
      </c>
      <c r="H9380" t="n">
        <v>0</v>
      </c>
      <c r="I9380" t="n">
        <v>0</v>
      </c>
      <c r="J9380" t="n">
        <v>0</v>
      </c>
      <c r="K9380" t="n">
        <v>0</v>
      </c>
      <c r="L9380" t="n">
        <v>0</v>
      </c>
      <c r="M9380" t="n">
        <v>0</v>
      </c>
      <c r="N9380" t="n">
        <v>0</v>
      </c>
      <c r="O9380" t="n">
        <v>0</v>
      </c>
      <c r="P9380" t="n">
        <v>0</v>
      </c>
      <c r="Q9380" t="n">
        <v>0</v>
      </c>
      <c r="R9380" s="2" t="inlineStr"/>
    </row>
    <row r="9381" ht="15" customHeight="1">
      <c r="A9381" t="inlineStr">
        <is>
          <t>A 59310-2024</t>
        </is>
      </c>
      <c r="B9381" s="1" t="n">
        <v>45637.67841435185</v>
      </c>
      <c r="C9381" s="1" t="n">
        <v>46145</v>
      </c>
      <c r="D9381" t="inlineStr">
        <is>
          <t>VÄSTERBOTTENS LÄN</t>
        </is>
      </c>
      <c r="E9381" t="inlineStr">
        <is>
          <t>MALÅ</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8194-2026</t>
        </is>
      </c>
      <c r="B9382" s="1" t="n">
        <v>46064</v>
      </c>
      <c r="C9382" s="1" t="n">
        <v>46145</v>
      </c>
      <c r="D9382" t="inlineStr">
        <is>
          <t>VÄSTERBOTTENS LÄN</t>
        </is>
      </c>
      <c r="E9382" t="inlineStr">
        <is>
          <t>UMEÅ</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59324-2024</t>
        </is>
      </c>
      <c r="B9383" s="1" t="n">
        <v>45637.72047453704</v>
      </c>
      <c r="C9383" s="1" t="n">
        <v>46145</v>
      </c>
      <c r="D9383" t="inlineStr">
        <is>
          <t>VÄSTERBOTTENS LÄN</t>
        </is>
      </c>
      <c r="E9383" t="inlineStr">
        <is>
          <t>SKELLEFTEÅ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7875-2026</t>
        </is>
      </c>
      <c r="B9384" s="1" t="n">
        <v>46063.11847222222</v>
      </c>
      <c r="C9384" s="1" t="n">
        <v>46145</v>
      </c>
      <c r="D9384" t="inlineStr">
        <is>
          <t>VÄSTERBOTTENS LÄN</t>
        </is>
      </c>
      <c r="E9384" t="inlineStr">
        <is>
          <t>VÄNNÄS</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57908-2022</t>
        </is>
      </c>
      <c r="B9385" s="1" t="n">
        <v>44900.35597222222</v>
      </c>
      <c r="C9385" s="1" t="n">
        <v>46145</v>
      </c>
      <c r="D9385" t="inlineStr">
        <is>
          <t>VÄSTERBOTTENS LÄN</t>
        </is>
      </c>
      <c r="E9385" t="inlineStr">
        <is>
          <t>SKELLEFTEÅ</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57914-2022</t>
        </is>
      </c>
      <c r="B9386" s="1" t="n">
        <v>44900.36453703704</v>
      </c>
      <c r="C9386" s="1" t="n">
        <v>46145</v>
      </c>
      <c r="D9386" t="inlineStr">
        <is>
          <t>VÄSTERBOTTENS LÄN</t>
        </is>
      </c>
      <c r="E9386" t="inlineStr">
        <is>
          <t>UMEÅ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23176-2024</t>
        </is>
      </c>
      <c r="B9387" s="1" t="n">
        <v>45450.94366898148</v>
      </c>
      <c r="C9387" s="1" t="n">
        <v>46145</v>
      </c>
      <c r="D9387" t="inlineStr">
        <is>
          <t>VÄSTERBOTTENS LÄN</t>
        </is>
      </c>
      <c r="E9387" t="inlineStr">
        <is>
          <t>VILHELMINA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5184-2026</t>
        </is>
      </c>
      <c r="B9388" s="1" t="n">
        <v>46049</v>
      </c>
      <c r="C9388" s="1" t="n">
        <v>46145</v>
      </c>
      <c r="D9388" t="inlineStr">
        <is>
          <t>VÄSTERBOTTENS LÄN</t>
        </is>
      </c>
      <c r="E9388" t="inlineStr">
        <is>
          <t>SKELLEFTEÅ</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23179-2024</t>
        </is>
      </c>
      <c r="B9389" s="1" t="n">
        <v>45450</v>
      </c>
      <c r="C9389" s="1" t="n">
        <v>46145</v>
      </c>
      <c r="D9389" t="inlineStr">
        <is>
          <t>VÄSTERBOTTENS LÄN</t>
        </is>
      </c>
      <c r="E9389" t="inlineStr">
        <is>
          <t>ÅSELE</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15709-2023</t>
        </is>
      </c>
      <c r="B9390" s="1" t="n">
        <v>45020</v>
      </c>
      <c r="C9390" s="1" t="n">
        <v>46145</v>
      </c>
      <c r="D9390" t="inlineStr">
        <is>
          <t>VÄSTERBOTTENS LÄN</t>
        </is>
      </c>
      <c r="E9390" t="inlineStr">
        <is>
          <t>SKELLEFTEÅ</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36416-2024</t>
        </is>
      </c>
      <c r="B9391" s="1" t="n">
        <v>45536</v>
      </c>
      <c r="C9391" s="1" t="n">
        <v>46145</v>
      </c>
      <c r="D9391" t="inlineStr">
        <is>
          <t>VÄSTERBOTTENS LÄN</t>
        </is>
      </c>
      <c r="E9391" t="inlineStr">
        <is>
          <t>BJURHOLM</t>
        </is>
      </c>
      <c r="G9391" t="n">
        <v>0</v>
      </c>
      <c r="H9391" t="n">
        <v>0</v>
      </c>
      <c r="I9391" t="n">
        <v>0</v>
      </c>
      <c r="J9391" t="n">
        <v>0</v>
      </c>
      <c r="K9391" t="n">
        <v>0</v>
      </c>
      <c r="L9391" t="n">
        <v>0</v>
      </c>
      <c r="M9391" t="n">
        <v>0</v>
      </c>
      <c r="N9391" t="n">
        <v>0</v>
      </c>
      <c r="O9391" t="n">
        <v>0</v>
      </c>
      <c r="P9391" t="n">
        <v>0</v>
      </c>
      <c r="Q9391" t="n">
        <v>0</v>
      </c>
      <c r="R9391" s="2" t="inlineStr"/>
    </row>
    <row r="9392" ht="15" customHeight="1">
      <c r="A9392" t="inlineStr">
        <is>
          <t>A 15512-2026</t>
        </is>
      </c>
      <c r="B9392" s="1" t="n">
        <v>46106.46916666667</v>
      </c>
      <c r="C9392" s="1" t="n">
        <v>46145</v>
      </c>
      <c r="D9392" t="inlineStr">
        <is>
          <t>VÄSTERBOTTENS LÄN</t>
        </is>
      </c>
      <c r="E9392" t="inlineStr">
        <is>
          <t>NORSJÖ</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7975-2026</t>
        </is>
      </c>
      <c r="B9393" s="1" t="n">
        <v>46063.46784722222</v>
      </c>
      <c r="C9393" s="1" t="n">
        <v>46145</v>
      </c>
      <c r="D9393" t="inlineStr">
        <is>
          <t>VÄSTERBOTTENS LÄN</t>
        </is>
      </c>
      <c r="E9393" t="inlineStr">
        <is>
          <t>UMEÅ</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41505-2021</t>
        </is>
      </c>
      <c r="B9394" s="1" t="n">
        <v>44424.94164351852</v>
      </c>
      <c r="C9394" s="1" t="n">
        <v>46145</v>
      </c>
      <c r="D9394" t="inlineStr">
        <is>
          <t>VÄSTERBOTTENS LÄN</t>
        </is>
      </c>
      <c r="E9394" t="inlineStr">
        <is>
          <t>BJURHOLM</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15082-2026</t>
        </is>
      </c>
      <c r="B9395" s="1" t="n">
        <v>46105.30900462963</v>
      </c>
      <c r="C9395" s="1" t="n">
        <v>46145</v>
      </c>
      <c r="D9395" t="inlineStr">
        <is>
          <t>VÄSTERBOTTENS LÄN</t>
        </is>
      </c>
      <c r="E9395" t="inlineStr">
        <is>
          <t>SKELLEFTEÅ</t>
        </is>
      </c>
      <c r="F9395" t="inlineStr">
        <is>
          <t>Holmen skog AB</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15103-2026</t>
        </is>
      </c>
      <c r="B9396" s="1" t="n">
        <v>46105.34729166667</v>
      </c>
      <c r="C9396" s="1" t="n">
        <v>46145</v>
      </c>
      <c r="D9396" t="inlineStr">
        <is>
          <t>VÄSTERBOTTENS LÄN</t>
        </is>
      </c>
      <c r="E9396" t="inlineStr">
        <is>
          <t>SKELLEFTEÅ</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4925-2025</t>
        </is>
      </c>
      <c r="B9397" s="1" t="n">
        <v>45688.68439814815</v>
      </c>
      <c r="C9397" s="1" t="n">
        <v>46145</v>
      </c>
      <c r="D9397" t="inlineStr">
        <is>
          <t>VÄSTERBOTTENS LÄN</t>
        </is>
      </c>
      <c r="E9397" t="inlineStr">
        <is>
          <t>MALÅ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4958-2025</t>
        </is>
      </c>
      <c r="B9398" s="1" t="n">
        <v>45689.58603009259</v>
      </c>
      <c r="C9398" s="1" t="n">
        <v>46145</v>
      </c>
      <c r="D9398" t="inlineStr">
        <is>
          <t>VÄSTERBOTTENS LÄN</t>
        </is>
      </c>
      <c r="E9398" t="inlineStr">
        <is>
          <t>SKELLEFTEÅ</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4959-2025</t>
        </is>
      </c>
      <c r="B9399" s="1" t="n">
        <v>45689.59054398148</v>
      </c>
      <c r="C9399" s="1" t="n">
        <v>46145</v>
      </c>
      <c r="D9399" t="inlineStr">
        <is>
          <t>VÄSTERBOTTENS LÄN</t>
        </is>
      </c>
      <c r="E9399" t="inlineStr">
        <is>
          <t>SKELLEFTEÅ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49888-2024</t>
        </is>
      </c>
      <c r="B9400" s="1" t="n">
        <v>45597.5109837963</v>
      </c>
      <c r="C9400" s="1" t="n">
        <v>46145</v>
      </c>
      <c r="D9400" t="inlineStr">
        <is>
          <t>VÄSTERBOTTENS LÄN</t>
        </is>
      </c>
      <c r="E9400" t="inlineStr">
        <is>
          <t>VILHELMINA</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50014-2024</t>
        </is>
      </c>
      <c r="B9401" s="1" t="n">
        <v>45598.89230324074</v>
      </c>
      <c r="C9401" s="1" t="n">
        <v>46145</v>
      </c>
      <c r="D9401" t="inlineStr">
        <is>
          <t>VÄSTERBOTTENS LÄN</t>
        </is>
      </c>
      <c r="E9401" t="inlineStr">
        <is>
          <t>MALÅ</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54212-2024</t>
        </is>
      </c>
      <c r="B9402" s="1" t="n">
        <v>45616.65744212963</v>
      </c>
      <c r="C9402" s="1" t="n">
        <v>46145</v>
      </c>
      <c r="D9402" t="inlineStr">
        <is>
          <t>VÄSTERBOTTENS LÄN</t>
        </is>
      </c>
      <c r="E9402" t="inlineStr">
        <is>
          <t>VINDELN</t>
        </is>
      </c>
      <c r="F9402" t="inlineStr">
        <is>
          <t>Holmen skog AB</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28283-2024</t>
        </is>
      </c>
      <c r="B9403" s="1" t="n">
        <v>45477.46223379629</v>
      </c>
      <c r="C9403" s="1" t="n">
        <v>46145</v>
      </c>
      <c r="D9403" t="inlineStr">
        <is>
          <t>VÄSTERBOTTENS LÄN</t>
        </is>
      </c>
      <c r="E9403" t="inlineStr">
        <is>
          <t>SKELLEFTEÅ</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46300-2024</t>
        </is>
      </c>
      <c r="B9404" s="1" t="n">
        <v>45581.67887731481</v>
      </c>
      <c r="C9404" s="1" t="n">
        <v>46145</v>
      </c>
      <c r="D9404" t="inlineStr">
        <is>
          <t>VÄSTERBOTTENS LÄN</t>
        </is>
      </c>
      <c r="E9404" t="inlineStr">
        <is>
          <t>ROBERTSFORS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59744-2022</t>
        </is>
      </c>
      <c r="B9405" s="1" t="n">
        <v>44908</v>
      </c>
      <c r="C9405" s="1" t="n">
        <v>46145</v>
      </c>
      <c r="D9405" t="inlineStr">
        <is>
          <t>VÄSTERBOTTENS LÄN</t>
        </is>
      </c>
      <c r="E9405" t="inlineStr">
        <is>
          <t>SKELLEFTEÅ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44516-2024</t>
        </is>
      </c>
      <c r="B9406" s="1" t="n">
        <v>45574</v>
      </c>
      <c r="C9406" s="1" t="n">
        <v>46145</v>
      </c>
      <c r="D9406" t="inlineStr">
        <is>
          <t>VÄSTERBOTTENS LÄN</t>
        </is>
      </c>
      <c r="E9406" t="inlineStr">
        <is>
          <t>VILHELMINA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36320-2024</t>
        </is>
      </c>
      <c r="B9407" s="1" t="n">
        <v>45534.63586805556</v>
      </c>
      <c r="C9407" s="1" t="n">
        <v>46145</v>
      </c>
      <c r="D9407" t="inlineStr">
        <is>
          <t>VÄSTERBOTTENS LÄN</t>
        </is>
      </c>
      <c r="E9407" t="inlineStr">
        <is>
          <t>VILHELMINA</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36324-2024</t>
        </is>
      </c>
      <c r="B9408" s="1" t="n">
        <v>45534.6363425926</v>
      </c>
      <c r="C9408" s="1" t="n">
        <v>46145</v>
      </c>
      <c r="D9408" t="inlineStr">
        <is>
          <t>VÄSTERBOTTENS LÄN</t>
        </is>
      </c>
      <c r="E9408" t="inlineStr">
        <is>
          <t>LYCKSELE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36429-2024</t>
        </is>
      </c>
      <c r="B9409" s="1" t="n">
        <v>45536.85508101852</v>
      </c>
      <c r="C9409" s="1" t="n">
        <v>46145</v>
      </c>
      <c r="D9409" t="inlineStr">
        <is>
          <t>VÄSTERBOTTENS LÄN</t>
        </is>
      </c>
      <c r="E9409" t="inlineStr">
        <is>
          <t>NORDMALING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9080-2023</t>
        </is>
      </c>
      <c r="B9410" s="1" t="n">
        <v>44979</v>
      </c>
      <c r="C9410" s="1" t="n">
        <v>46145</v>
      </c>
      <c r="D9410" t="inlineStr">
        <is>
          <t>VÄSTERBOTTENS LÄN</t>
        </is>
      </c>
      <c r="E9410" t="inlineStr">
        <is>
          <t>SKELLEFTEÅ</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58926-2022</t>
        </is>
      </c>
      <c r="B9411" s="1" t="n">
        <v>44896</v>
      </c>
      <c r="C9411" s="1" t="n">
        <v>46145</v>
      </c>
      <c r="D9411" t="inlineStr">
        <is>
          <t>VÄSTERBOTTENS LÄN</t>
        </is>
      </c>
      <c r="E9411" t="inlineStr">
        <is>
          <t>SKELLEFTEÅ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7929-2026</t>
        </is>
      </c>
      <c r="B9412" s="1" t="n">
        <v>46063</v>
      </c>
      <c r="C9412" s="1" t="n">
        <v>46145</v>
      </c>
      <c r="D9412" t="inlineStr">
        <is>
          <t>VÄSTERBOTTENS LÄN</t>
        </is>
      </c>
      <c r="E9412" t="inlineStr">
        <is>
          <t>UMEÅ</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7954-2026</t>
        </is>
      </c>
      <c r="B9413" s="1" t="n">
        <v>46063.42759259259</v>
      </c>
      <c r="C9413" s="1" t="n">
        <v>46145</v>
      </c>
      <c r="D9413" t="inlineStr">
        <is>
          <t>VÄSTERBOTTENS LÄN</t>
        </is>
      </c>
      <c r="E9413" t="inlineStr">
        <is>
          <t>LYCKSELE</t>
        </is>
      </c>
      <c r="F9413" t="inlineStr">
        <is>
          <t>Naturvårdsverket</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34455-2023</t>
        </is>
      </c>
      <c r="B9414" s="1" t="n">
        <v>45139.68733796296</v>
      </c>
      <c r="C9414" s="1" t="n">
        <v>46145</v>
      </c>
      <c r="D9414" t="inlineStr">
        <is>
          <t>VÄSTERBOTTENS LÄN</t>
        </is>
      </c>
      <c r="E9414" t="inlineStr">
        <is>
          <t>SKELLEFTEÅ</t>
        </is>
      </c>
      <c r="F9414" t="inlineStr">
        <is>
          <t>Holmen skog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15225-2026</t>
        </is>
      </c>
      <c r="B9415" s="1" t="n">
        <v>46105.54846064815</v>
      </c>
      <c r="C9415" s="1" t="n">
        <v>46145</v>
      </c>
      <c r="D9415" t="inlineStr">
        <is>
          <t>VÄSTERBOTTENS LÄN</t>
        </is>
      </c>
      <c r="E9415" t="inlineStr">
        <is>
          <t>NORSJÖ</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15231-2026</t>
        </is>
      </c>
      <c r="B9416" s="1" t="n">
        <v>46105.55114583333</v>
      </c>
      <c r="C9416" s="1" t="n">
        <v>46145</v>
      </c>
      <c r="D9416" t="inlineStr">
        <is>
          <t>VÄSTERBOTTENS LÄN</t>
        </is>
      </c>
      <c r="E9416" t="inlineStr">
        <is>
          <t>UMEÅ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8063-2026</t>
        </is>
      </c>
      <c r="B9417" s="1" t="n">
        <v>46063.62898148148</v>
      </c>
      <c r="C9417" s="1" t="n">
        <v>46145</v>
      </c>
      <c r="D9417" t="inlineStr">
        <is>
          <t>VÄSTERBOTTENS LÄN</t>
        </is>
      </c>
      <c r="E9417" t="inlineStr">
        <is>
          <t>STORUMAN</t>
        </is>
      </c>
      <c r="F9417" t="inlineStr">
        <is>
          <t>Sveaskog</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13931-2024</t>
        </is>
      </c>
      <c r="B9418" s="1" t="n">
        <v>45391</v>
      </c>
      <c r="C9418" s="1" t="n">
        <v>46145</v>
      </c>
      <c r="D9418" t="inlineStr">
        <is>
          <t>VÄSTERBOTTENS LÄN</t>
        </is>
      </c>
      <c r="E9418" t="inlineStr">
        <is>
          <t>STORUMAN</t>
        </is>
      </c>
      <c r="G9418" t="n">
        <v>13.8</v>
      </c>
      <c r="H9418" t="n">
        <v>0</v>
      </c>
      <c r="I9418" t="n">
        <v>0</v>
      </c>
      <c r="J9418" t="n">
        <v>0</v>
      </c>
      <c r="K9418" t="n">
        <v>0</v>
      </c>
      <c r="L9418" t="n">
        <v>0</v>
      </c>
      <c r="M9418" t="n">
        <v>0</v>
      </c>
      <c r="N9418" t="n">
        <v>0</v>
      </c>
      <c r="O9418" t="n">
        <v>0</v>
      </c>
      <c r="P9418" t="n">
        <v>0</v>
      </c>
      <c r="Q9418" t="n">
        <v>0</v>
      </c>
      <c r="R9418" s="2" t="inlineStr"/>
    </row>
    <row r="9419" ht="15" customHeight="1">
      <c r="A9419" t="inlineStr">
        <is>
          <t>A 8192-2026</t>
        </is>
      </c>
      <c r="B9419" s="1" t="n">
        <v>46064.4275</v>
      </c>
      <c r="C9419" s="1" t="n">
        <v>46145</v>
      </c>
      <c r="D9419" t="inlineStr">
        <is>
          <t>VÄSTERBOTTENS LÄN</t>
        </is>
      </c>
      <c r="E9419" t="inlineStr">
        <is>
          <t>UMEÅ</t>
        </is>
      </c>
      <c r="G9419" t="n">
        <v>12.9</v>
      </c>
      <c r="H9419" t="n">
        <v>0</v>
      </c>
      <c r="I9419" t="n">
        <v>0</v>
      </c>
      <c r="J9419" t="n">
        <v>0</v>
      </c>
      <c r="K9419" t="n">
        <v>0</v>
      </c>
      <c r="L9419" t="n">
        <v>0</v>
      </c>
      <c r="M9419" t="n">
        <v>0</v>
      </c>
      <c r="N9419" t="n">
        <v>0</v>
      </c>
      <c r="O9419" t="n">
        <v>0</v>
      </c>
      <c r="P9419" t="n">
        <v>0</v>
      </c>
      <c r="Q9419" t="n">
        <v>0</v>
      </c>
      <c r="R9419" s="2" t="inlineStr"/>
    </row>
    <row r="9420" ht="15" customHeight="1">
      <c r="A9420" t="inlineStr">
        <is>
          <t>A 14163-2024</t>
        </is>
      </c>
      <c r="B9420" s="1" t="n">
        <v>45392.95734953704</v>
      </c>
      <c r="C9420" s="1" t="n">
        <v>46145</v>
      </c>
      <c r="D9420" t="inlineStr">
        <is>
          <t>VÄSTERBOTTENS LÄN</t>
        </is>
      </c>
      <c r="E9420" t="inlineStr">
        <is>
          <t>DOROTEA</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58168-2022</t>
        </is>
      </c>
      <c r="B9421" s="1" t="n">
        <v>44900.95491898148</v>
      </c>
      <c r="C9421" s="1" t="n">
        <v>46145</v>
      </c>
      <c r="D9421" t="inlineStr">
        <is>
          <t>VÄSTERBOTTENS LÄN</t>
        </is>
      </c>
      <c r="E9421" t="inlineStr">
        <is>
          <t>DOROTEA</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4379-2024</t>
        </is>
      </c>
      <c r="B9422" s="1" t="n">
        <v>45326.97043981482</v>
      </c>
      <c r="C9422" s="1" t="n">
        <v>46145</v>
      </c>
      <c r="D9422" t="inlineStr">
        <is>
          <t>VÄSTERBOTTENS LÄN</t>
        </is>
      </c>
      <c r="E9422" t="inlineStr">
        <is>
          <t>VINDELN</t>
        </is>
      </c>
      <c r="F9422" t="inlineStr">
        <is>
          <t>Holmen skog AB</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8273-2026</t>
        </is>
      </c>
      <c r="B9423" s="1" t="n">
        <v>46064.55283564814</v>
      </c>
      <c r="C9423" s="1" t="n">
        <v>46145</v>
      </c>
      <c r="D9423" t="inlineStr">
        <is>
          <t>VÄSTERBOTTENS LÄN</t>
        </is>
      </c>
      <c r="E9423" t="inlineStr">
        <is>
          <t>LYCKSELE</t>
        </is>
      </c>
      <c r="F9423" t="inlineStr">
        <is>
          <t>Naturvårdsverket</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4915-2024</t>
        </is>
      </c>
      <c r="B9424" s="1" t="n">
        <v>45329</v>
      </c>
      <c r="C9424" s="1" t="n">
        <v>46145</v>
      </c>
      <c r="D9424" t="inlineStr">
        <is>
          <t>VÄSTERBOTTENS LÄN</t>
        </is>
      </c>
      <c r="E9424" t="inlineStr">
        <is>
          <t>ÅSELE</t>
        </is>
      </c>
      <c r="F9424" t="inlineStr">
        <is>
          <t>Övriga Aktiebolag</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15221-2026</t>
        </is>
      </c>
      <c r="B9425" s="1" t="n">
        <v>46105.53076388889</v>
      </c>
      <c r="C9425" s="1" t="n">
        <v>46145</v>
      </c>
      <c r="D9425" t="inlineStr">
        <is>
          <t>VÄSTERBOTTENS LÄN</t>
        </is>
      </c>
      <c r="E9425" t="inlineStr">
        <is>
          <t>UMEÅ</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15229-2026</t>
        </is>
      </c>
      <c r="B9426" s="1" t="n">
        <v>46105.54980324074</v>
      </c>
      <c r="C9426" s="1" t="n">
        <v>46145</v>
      </c>
      <c r="D9426" t="inlineStr">
        <is>
          <t>VÄSTERBOTTENS LÄN</t>
        </is>
      </c>
      <c r="E9426" t="inlineStr">
        <is>
          <t>NORSJÖ</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62159-2022</t>
        </is>
      </c>
      <c r="B9427" s="1" t="n">
        <v>44922.43946759259</v>
      </c>
      <c r="C9427" s="1" t="n">
        <v>46145</v>
      </c>
      <c r="D9427" t="inlineStr">
        <is>
          <t>VÄSTERBOTTENS LÄN</t>
        </is>
      </c>
      <c r="E9427" t="inlineStr">
        <is>
          <t>NORDMALING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12939-2025</t>
        </is>
      </c>
      <c r="B9428" s="1" t="n">
        <v>45734.36378472222</v>
      </c>
      <c r="C9428" s="1" t="n">
        <v>46145</v>
      </c>
      <c r="D9428" t="inlineStr">
        <is>
          <t>VÄSTERBOTTENS LÄN</t>
        </is>
      </c>
      <c r="E9428" t="inlineStr">
        <is>
          <t>SKELLEFTEÅ</t>
        </is>
      </c>
      <c r="G9428" t="n">
        <v>10.6</v>
      </c>
      <c r="H9428" t="n">
        <v>0</v>
      </c>
      <c r="I9428" t="n">
        <v>0</v>
      </c>
      <c r="J9428" t="n">
        <v>0</v>
      </c>
      <c r="K9428" t="n">
        <v>0</v>
      </c>
      <c r="L9428" t="n">
        <v>0</v>
      </c>
      <c r="M9428" t="n">
        <v>0</v>
      </c>
      <c r="N9428" t="n">
        <v>0</v>
      </c>
      <c r="O9428" t="n">
        <v>0</v>
      </c>
      <c r="P9428" t="n">
        <v>0</v>
      </c>
      <c r="Q9428" t="n">
        <v>0</v>
      </c>
      <c r="R9428" s="2" t="inlineStr"/>
    </row>
    <row r="9429" ht="15" customHeight="1">
      <c r="A9429" t="inlineStr">
        <is>
          <t>A 13768-2024</t>
        </is>
      </c>
      <c r="B9429" s="1" t="n">
        <v>45390.95230324074</v>
      </c>
      <c r="C9429" s="1" t="n">
        <v>46145</v>
      </c>
      <c r="D9429" t="inlineStr">
        <is>
          <t>VÄSTERBOTTENS LÄN</t>
        </is>
      </c>
      <c r="E9429" t="inlineStr">
        <is>
          <t>VILHELMINA</t>
        </is>
      </c>
      <c r="F9429" t="inlineStr">
        <is>
          <t>SCA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64500-2023</t>
        </is>
      </c>
      <c r="B9430" s="1" t="n">
        <v>45280.94303240741</v>
      </c>
      <c r="C9430" s="1" t="n">
        <v>46145</v>
      </c>
      <c r="D9430" t="inlineStr">
        <is>
          <t>VÄSTERBOTTENS LÄN</t>
        </is>
      </c>
      <c r="E9430" t="inlineStr">
        <is>
          <t>BJURHOLM</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15286-2026</t>
        </is>
      </c>
      <c r="B9431" s="1" t="n">
        <v>46105.61734953704</v>
      </c>
      <c r="C9431" s="1" t="n">
        <v>46145</v>
      </c>
      <c r="D9431" t="inlineStr">
        <is>
          <t>VÄSTERBOTTENS LÄN</t>
        </is>
      </c>
      <c r="E9431" t="inlineStr">
        <is>
          <t>MALÅ</t>
        </is>
      </c>
      <c r="F9431" t="inlineStr">
        <is>
          <t>Sveaskog</t>
        </is>
      </c>
      <c r="G9431" t="n">
        <v>9.1</v>
      </c>
      <c r="H9431" t="n">
        <v>0</v>
      </c>
      <c r="I9431" t="n">
        <v>0</v>
      </c>
      <c r="J9431" t="n">
        <v>0</v>
      </c>
      <c r="K9431" t="n">
        <v>0</v>
      </c>
      <c r="L9431" t="n">
        <v>0</v>
      </c>
      <c r="M9431" t="n">
        <v>0</v>
      </c>
      <c r="N9431" t="n">
        <v>0</v>
      </c>
      <c r="O9431" t="n">
        <v>0</v>
      </c>
      <c r="P9431" t="n">
        <v>0</v>
      </c>
      <c r="Q9431" t="n">
        <v>0</v>
      </c>
      <c r="R9431" s="2" t="inlineStr"/>
    </row>
    <row r="9432" ht="15" customHeight="1">
      <c r="A9432" t="inlineStr">
        <is>
          <t>A 13835-2024</t>
        </is>
      </c>
      <c r="B9432" s="1" t="n">
        <v>45390</v>
      </c>
      <c r="C9432" s="1" t="n">
        <v>46145</v>
      </c>
      <c r="D9432" t="inlineStr">
        <is>
          <t>VÄSTERBOTTENS LÄN</t>
        </is>
      </c>
      <c r="E9432" t="inlineStr">
        <is>
          <t>VINDELN</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15228-2026</t>
        </is>
      </c>
      <c r="B9433" s="1" t="n">
        <v>46105.54898148148</v>
      </c>
      <c r="C9433" s="1" t="n">
        <v>46145</v>
      </c>
      <c r="D9433" t="inlineStr">
        <is>
          <t>VÄSTERBOTTENS LÄN</t>
        </is>
      </c>
      <c r="E9433" t="inlineStr">
        <is>
          <t>NORSJÖ</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8193-2026</t>
        </is>
      </c>
      <c r="B9434" s="1" t="n">
        <v>46064.42752314815</v>
      </c>
      <c r="C9434" s="1" t="n">
        <v>46145</v>
      </c>
      <c r="D9434" t="inlineStr">
        <is>
          <t>VÄSTERBOTTENS LÄN</t>
        </is>
      </c>
      <c r="E9434" t="inlineStr">
        <is>
          <t>UMEÅ</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15751-2026</t>
        </is>
      </c>
      <c r="B9435" s="1" t="n">
        <v>46107.42784722222</v>
      </c>
      <c r="C9435" s="1" t="n">
        <v>46145</v>
      </c>
      <c r="D9435" t="inlineStr">
        <is>
          <t>VÄSTERBOTTENS LÄN</t>
        </is>
      </c>
      <c r="E9435" t="inlineStr">
        <is>
          <t>DOROTEA</t>
        </is>
      </c>
      <c r="F9435" t="inlineStr">
        <is>
          <t>SCA</t>
        </is>
      </c>
      <c r="G9435" t="n">
        <v>16.3</v>
      </c>
      <c r="H9435" t="n">
        <v>0</v>
      </c>
      <c r="I9435" t="n">
        <v>0</v>
      </c>
      <c r="J9435" t="n">
        <v>0</v>
      </c>
      <c r="K9435" t="n">
        <v>0</v>
      </c>
      <c r="L9435" t="n">
        <v>0</v>
      </c>
      <c r="M9435" t="n">
        <v>0</v>
      </c>
      <c r="N9435" t="n">
        <v>0</v>
      </c>
      <c r="O9435" t="n">
        <v>0</v>
      </c>
      <c r="P9435" t="n">
        <v>0</v>
      </c>
      <c r="Q9435" t="n">
        <v>0</v>
      </c>
      <c r="R9435" s="2" t="inlineStr"/>
    </row>
    <row r="9436" ht="15" customHeight="1">
      <c r="A9436" t="inlineStr">
        <is>
          <t>A 41592-2023</t>
        </is>
      </c>
      <c r="B9436" s="1" t="n">
        <v>45175.63826388889</v>
      </c>
      <c r="C9436" s="1" t="n">
        <v>46145</v>
      </c>
      <c r="D9436" t="inlineStr">
        <is>
          <t>VÄSTERBOTTENS LÄN</t>
        </is>
      </c>
      <c r="E9436" t="inlineStr">
        <is>
          <t>BJURHOLM</t>
        </is>
      </c>
      <c r="F9436" t="inlineStr">
        <is>
          <t>Holmen skog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15874-2026</t>
        </is>
      </c>
      <c r="B9437" s="1" t="n">
        <v>46107.594375</v>
      </c>
      <c r="C9437" s="1" t="n">
        <v>46145</v>
      </c>
      <c r="D9437" t="inlineStr">
        <is>
          <t>VÄSTERBOTTENS LÄN</t>
        </is>
      </c>
      <c r="E9437" t="inlineStr">
        <is>
          <t>VINDELN</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16002-2024</t>
        </is>
      </c>
      <c r="B9438" s="1" t="n">
        <v>45405</v>
      </c>
      <c r="C9438" s="1" t="n">
        <v>46145</v>
      </c>
      <c r="D9438" t="inlineStr">
        <is>
          <t>VÄSTERBOTTENS LÄN</t>
        </is>
      </c>
      <c r="E9438" t="inlineStr">
        <is>
          <t>VINDELN</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8467-2026</t>
        </is>
      </c>
      <c r="B9439" s="1" t="n">
        <v>46065.44840277778</v>
      </c>
      <c r="C9439" s="1" t="n">
        <v>46145</v>
      </c>
      <c r="D9439" t="inlineStr">
        <is>
          <t>VÄSTERBOTTENS LÄN</t>
        </is>
      </c>
      <c r="E9439" t="inlineStr">
        <is>
          <t>LYCKSELE</t>
        </is>
      </c>
      <c r="F9439" t="inlineStr">
        <is>
          <t>SCA</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58557-2024</t>
        </is>
      </c>
      <c r="B9440" s="1" t="n">
        <v>45635.46780092592</v>
      </c>
      <c r="C9440" s="1" t="n">
        <v>46145</v>
      </c>
      <c r="D9440" t="inlineStr">
        <is>
          <t>VÄSTERBOTTENS LÄN</t>
        </is>
      </c>
      <c r="E9440" t="inlineStr">
        <is>
          <t>SKELLEFTEÅ</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3268-2022</t>
        </is>
      </c>
      <c r="B9441" s="1" t="n">
        <v>44583.89641203704</v>
      </c>
      <c r="C9441" s="1" t="n">
        <v>46145</v>
      </c>
      <c r="D9441" t="inlineStr">
        <is>
          <t>VÄSTERBOTTENS LÄN</t>
        </is>
      </c>
      <c r="E9441" t="inlineStr">
        <is>
          <t>SKELLEFTEÅ</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8576-2026</t>
        </is>
      </c>
      <c r="B9442" s="1" t="n">
        <v>46065</v>
      </c>
      <c r="C9442" s="1" t="n">
        <v>46145</v>
      </c>
      <c r="D9442" t="inlineStr">
        <is>
          <t>VÄSTERBOTTENS LÄN</t>
        </is>
      </c>
      <c r="E9442" t="inlineStr">
        <is>
          <t>LYCKSELE</t>
        </is>
      </c>
      <c r="G9442" t="n">
        <v>10.9</v>
      </c>
      <c r="H9442" t="n">
        <v>0</v>
      </c>
      <c r="I9442" t="n">
        <v>0</v>
      </c>
      <c r="J9442" t="n">
        <v>0</v>
      </c>
      <c r="K9442" t="n">
        <v>0</v>
      </c>
      <c r="L9442" t="n">
        <v>0</v>
      </c>
      <c r="M9442" t="n">
        <v>0</v>
      </c>
      <c r="N9442" t="n">
        <v>0</v>
      </c>
      <c r="O9442" t="n">
        <v>0</v>
      </c>
      <c r="P9442" t="n">
        <v>0</v>
      </c>
      <c r="Q9442" t="n">
        <v>0</v>
      </c>
      <c r="R9442" s="2" t="inlineStr"/>
    </row>
    <row r="9443" ht="15" customHeight="1">
      <c r="A9443" t="inlineStr">
        <is>
          <t>A 8681-2026</t>
        </is>
      </c>
      <c r="B9443" s="1" t="n">
        <v>46066.41885416667</v>
      </c>
      <c r="C9443" s="1" t="n">
        <v>46145</v>
      </c>
      <c r="D9443" t="inlineStr">
        <is>
          <t>VÄSTERBOTTENS LÄN</t>
        </is>
      </c>
      <c r="E9443" t="inlineStr">
        <is>
          <t>NORDMALING</t>
        </is>
      </c>
      <c r="G9443" t="n">
        <v>9.699999999999999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38700-2024</t>
        </is>
      </c>
      <c r="B9444" s="1" t="n">
        <v>45547</v>
      </c>
      <c r="C9444" s="1" t="n">
        <v>46145</v>
      </c>
      <c r="D9444" t="inlineStr">
        <is>
          <t>VÄSTERBOTTENS LÄN</t>
        </is>
      </c>
      <c r="E9444" t="inlineStr">
        <is>
          <t>DOROTEA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8684-2026</t>
        </is>
      </c>
      <c r="B9445" s="1" t="n">
        <v>46066.43094907407</v>
      </c>
      <c r="C9445" s="1" t="n">
        <v>46145</v>
      </c>
      <c r="D9445" t="inlineStr">
        <is>
          <t>VÄSTERBOTTENS LÄN</t>
        </is>
      </c>
      <c r="E9445" t="inlineStr">
        <is>
          <t>NORDMALING</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8491-2026</t>
        </is>
      </c>
      <c r="B9446" s="1" t="n">
        <v>46065.48565972222</v>
      </c>
      <c r="C9446" s="1" t="n">
        <v>46145</v>
      </c>
      <c r="D9446" t="inlineStr">
        <is>
          <t>VÄSTERBOTTENS LÄN</t>
        </is>
      </c>
      <c r="E9446" t="inlineStr">
        <is>
          <t>LYCKSELE</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14957-2025</t>
        </is>
      </c>
      <c r="B9447" s="1" t="n">
        <v>45743.58413194444</v>
      </c>
      <c r="C9447" s="1" t="n">
        <v>46145</v>
      </c>
      <c r="D9447" t="inlineStr">
        <is>
          <t>VÄSTERBOTTENS LÄN</t>
        </is>
      </c>
      <c r="E9447" t="inlineStr">
        <is>
          <t>VINDELN</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16016-2026</t>
        </is>
      </c>
      <c r="B9448" s="1" t="n">
        <v>46108.44231481481</v>
      </c>
      <c r="C9448" s="1" t="n">
        <v>46145</v>
      </c>
      <c r="D9448" t="inlineStr">
        <is>
          <t>VÄSTERBOTTENS LÄN</t>
        </is>
      </c>
      <c r="E9448" t="inlineStr">
        <is>
          <t>NORDMALING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33745-2024</t>
        </is>
      </c>
      <c r="B9449" s="1" t="n">
        <v>45520.56268518518</v>
      </c>
      <c r="C9449" s="1" t="n">
        <v>46145</v>
      </c>
      <c r="D9449" t="inlineStr">
        <is>
          <t>VÄSTERBOTTENS LÄN</t>
        </is>
      </c>
      <c r="E9449" t="inlineStr">
        <is>
          <t>VINDELN</t>
        </is>
      </c>
      <c r="F9449" t="inlineStr">
        <is>
          <t>Holmen skog AB</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33776-2024</t>
        </is>
      </c>
      <c r="B9450" s="1" t="n">
        <v>45520.57944444445</v>
      </c>
      <c r="C9450" s="1" t="n">
        <v>46145</v>
      </c>
      <c r="D9450" t="inlineStr">
        <is>
          <t>VÄSTERBOTTENS LÄN</t>
        </is>
      </c>
      <c r="E9450" t="inlineStr">
        <is>
          <t>SKELLEFTEÅ</t>
        </is>
      </c>
      <c r="F9450" t="inlineStr">
        <is>
          <t>Sveaskog</t>
        </is>
      </c>
      <c r="G9450" t="n">
        <v>16.4</v>
      </c>
      <c r="H9450" t="n">
        <v>0</v>
      </c>
      <c r="I9450" t="n">
        <v>0</v>
      </c>
      <c r="J9450" t="n">
        <v>0</v>
      </c>
      <c r="K9450" t="n">
        <v>0</v>
      </c>
      <c r="L9450" t="n">
        <v>0</v>
      </c>
      <c r="M9450" t="n">
        <v>0</v>
      </c>
      <c r="N9450" t="n">
        <v>0</v>
      </c>
      <c r="O9450" t="n">
        <v>0</v>
      </c>
      <c r="P9450" t="n">
        <v>0</v>
      </c>
      <c r="Q9450" t="n">
        <v>0</v>
      </c>
      <c r="R9450" s="2" t="inlineStr"/>
    </row>
    <row r="9451" ht="15" customHeight="1">
      <c r="A9451" t="inlineStr">
        <is>
          <t>A 19865-2024</t>
        </is>
      </c>
      <c r="B9451" s="1" t="n">
        <v>45433</v>
      </c>
      <c r="C9451" s="1" t="n">
        <v>46145</v>
      </c>
      <c r="D9451" t="inlineStr">
        <is>
          <t>VÄSTERBOTTENS LÄN</t>
        </is>
      </c>
      <c r="E9451" t="inlineStr">
        <is>
          <t>NORDMALING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15963-2026</t>
        </is>
      </c>
      <c r="B9452" s="1" t="n">
        <v>46108.32565972222</v>
      </c>
      <c r="C9452" s="1" t="n">
        <v>46145</v>
      </c>
      <c r="D9452" t="inlineStr">
        <is>
          <t>VÄSTERBOTTENS LÄN</t>
        </is>
      </c>
      <c r="E9452" t="inlineStr">
        <is>
          <t>NORDMALING</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16653-2022</t>
        </is>
      </c>
      <c r="B9453" s="1" t="n">
        <v>44672</v>
      </c>
      <c r="C9453" s="1" t="n">
        <v>46145</v>
      </c>
      <c r="D9453" t="inlineStr">
        <is>
          <t>VÄSTERBOTTENS LÄN</t>
        </is>
      </c>
      <c r="E9453" t="inlineStr">
        <is>
          <t>SKELLEFTEÅ</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8636-2026</t>
        </is>
      </c>
      <c r="B9454" s="1" t="n">
        <v>46066.35452546296</v>
      </c>
      <c r="C9454" s="1" t="n">
        <v>46145</v>
      </c>
      <c r="D9454" t="inlineStr">
        <is>
          <t>VÄSTERBOTTENS LÄN</t>
        </is>
      </c>
      <c r="E9454" t="inlineStr">
        <is>
          <t>VILHELMINA</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61506-2021</t>
        </is>
      </c>
      <c r="B9455" s="1" t="n">
        <v>44501</v>
      </c>
      <c r="C9455" s="1" t="n">
        <v>46145</v>
      </c>
      <c r="D9455" t="inlineStr">
        <is>
          <t>VÄSTERBOTTENS LÄN</t>
        </is>
      </c>
      <c r="E9455" t="inlineStr">
        <is>
          <t>LYCKSELE</t>
        </is>
      </c>
      <c r="F9455" t="inlineStr">
        <is>
          <t>Sveaskog</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31741-2022</t>
        </is>
      </c>
      <c r="B9456" s="1" t="n">
        <v>44776.51278935185</v>
      </c>
      <c r="C9456" s="1" t="n">
        <v>46145</v>
      </c>
      <c r="D9456" t="inlineStr">
        <is>
          <t>VÄSTERBOTTENS LÄN</t>
        </is>
      </c>
      <c r="E9456" t="inlineStr">
        <is>
          <t>STORUMAN</t>
        </is>
      </c>
      <c r="F9456" t="inlineStr">
        <is>
          <t>Sveaskog</t>
        </is>
      </c>
      <c r="G9456" t="n">
        <v>13.3</v>
      </c>
      <c r="H9456" t="n">
        <v>0</v>
      </c>
      <c r="I9456" t="n">
        <v>0</v>
      </c>
      <c r="J9456" t="n">
        <v>0</v>
      </c>
      <c r="K9456" t="n">
        <v>0</v>
      </c>
      <c r="L9456" t="n">
        <v>0</v>
      </c>
      <c r="M9456" t="n">
        <v>0</v>
      </c>
      <c r="N9456" t="n">
        <v>0</v>
      </c>
      <c r="O9456" t="n">
        <v>0</v>
      </c>
      <c r="P9456" t="n">
        <v>0</v>
      </c>
      <c r="Q9456" t="n">
        <v>0</v>
      </c>
      <c r="R9456" s="2" t="inlineStr"/>
    </row>
    <row r="9457" ht="15" customHeight="1">
      <c r="A9457" t="inlineStr">
        <is>
          <t>A 42216-2022</t>
        </is>
      </c>
      <c r="B9457" s="1" t="n">
        <v>44830</v>
      </c>
      <c r="C9457" s="1" t="n">
        <v>46145</v>
      </c>
      <c r="D9457" t="inlineStr">
        <is>
          <t>VÄSTERBOTTENS LÄN</t>
        </is>
      </c>
      <c r="E9457" t="inlineStr">
        <is>
          <t>LYCKSELE</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8534-2026</t>
        </is>
      </c>
      <c r="B9458" s="1" t="n">
        <v>46065.60201388889</v>
      </c>
      <c r="C9458" s="1" t="n">
        <v>46145</v>
      </c>
      <c r="D9458" t="inlineStr">
        <is>
          <t>VÄSTERBOTTENS LÄN</t>
        </is>
      </c>
      <c r="E9458" t="inlineStr">
        <is>
          <t>NORDMALING</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38946-2024</t>
        </is>
      </c>
      <c r="B9459" s="1" t="n">
        <v>45548.34542824074</v>
      </c>
      <c r="C9459" s="1" t="n">
        <v>46145</v>
      </c>
      <c r="D9459" t="inlineStr">
        <is>
          <t>VÄSTERBOTTENS LÄN</t>
        </is>
      </c>
      <c r="E9459" t="inlineStr">
        <is>
          <t>SORSELE</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38951-2024</t>
        </is>
      </c>
      <c r="B9460" s="1" t="n">
        <v>45548</v>
      </c>
      <c r="C9460" s="1" t="n">
        <v>46145</v>
      </c>
      <c r="D9460" t="inlineStr">
        <is>
          <t>VÄSTERBOTTENS LÄN</t>
        </is>
      </c>
      <c r="E9460" t="inlineStr">
        <is>
          <t>ROBERTSFORS</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8575-2026</t>
        </is>
      </c>
      <c r="B9461" s="1" t="n">
        <v>46065</v>
      </c>
      <c r="C9461" s="1" t="n">
        <v>46145</v>
      </c>
      <c r="D9461" t="inlineStr">
        <is>
          <t>VÄSTERBOTTENS LÄN</t>
        </is>
      </c>
      <c r="E9461" t="inlineStr">
        <is>
          <t>LYCKSELE</t>
        </is>
      </c>
      <c r="G9461" t="n">
        <v>14.9</v>
      </c>
      <c r="H9461" t="n">
        <v>0</v>
      </c>
      <c r="I9461" t="n">
        <v>0</v>
      </c>
      <c r="J9461" t="n">
        <v>0</v>
      </c>
      <c r="K9461" t="n">
        <v>0</v>
      </c>
      <c r="L9461" t="n">
        <v>0</v>
      </c>
      <c r="M9461" t="n">
        <v>0</v>
      </c>
      <c r="N9461" t="n">
        <v>0</v>
      </c>
      <c r="O9461" t="n">
        <v>0</v>
      </c>
      <c r="P9461" t="n">
        <v>0</v>
      </c>
      <c r="Q9461" t="n">
        <v>0</v>
      </c>
      <c r="R9461" s="2" t="inlineStr"/>
    </row>
    <row r="9462" ht="15" customHeight="1">
      <c r="A9462" t="inlineStr">
        <is>
          <t>A 38957-2024</t>
        </is>
      </c>
      <c r="B9462" s="1" t="n">
        <v>45548.35662037037</v>
      </c>
      <c r="C9462" s="1" t="n">
        <v>46145</v>
      </c>
      <c r="D9462" t="inlineStr">
        <is>
          <t>VÄSTERBOTTENS LÄN</t>
        </is>
      </c>
      <c r="E9462" t="inlineStr">
        <is>
          <t>SKELLEFTEÅ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71798-2021</t>
        </is>
      </c>
      <c r="B9463" s="1" t="n">
        <v>44543.56943287037</v>
      </c>
      <c r="C9463" s="1" t="n">
        <v>46145</v>
      </c>
      <c r="D9463" t="inlineStr">
        <is>
          <t>VÄSTERBOTTENS LÄN</t>
        </is>
      </c>
      <c r="E9463" t="inlineStr">
        <is>
          <t>SKELLEFTEÅ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40059-2024</t>
        </is>
      </c>
      <c r="B9464" s="1" t="n">
        <v>45553.91163194444</v>
      </c>
      <c r="C9464" s="1" t="n">
        <v>46145</v>
      </c>
      <c r="D9464" t="inlineStr">
        <is>
          <t>VÄSTERBOTTENS LÄN</t>
        </is>
      </c>
      <c r="E9464" t="inlineStr">
        <is>
          <t>STORUMAN</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40115-2024</t>
        </is>
      </c>
      <c r="B9465" s="1" t="n">
        <v>45554.4563425926</v>
      </c>
      <c r="C9465" s="1" t="n">
        <v>46145</v>
      </c>
      <c r="D9465" t="inlineStr">
        <is>
          <t>VÄSTERBOTTENS LÄN</t>
        </is>
      </c>
      <c r="E9465" t="inlineStr">
        <is>
          <t>LYCKSELE</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8535-2026</t>
        </is>
      </c>
      <c r="B9466" s="1" t="n">
        <v>46065.60232638889</v>
      </c>
      <c r="C9466" s="1" t="n">
        <v>46145</v>
      </c>
      <c r="D9466" t="inlineStr">
        <is>
          <t>VÄSTERBOTTENS LÄN</t>
        </is>
      </c>
      <c r="E9466" t="inlineStr">
        <is>
          <t>NORDMALING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58505-2024</t>
        </is>
      </c>
      <c r="B9467" s="1" t="n">
        <v>45635</v>
      </c>
      <c r="C9467" s="1" t="n">
        <v>46145</v>
      </c>
      <c r="D9467" t="inlineStr">
        <is>
          <t>VÄSTERBOTTENS LÄN</t>
        </is>
      </c>
      <c r="E9467" t="inlineStr">
        <is>
          <t>VILHELMINA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72-2025</t>
        </is>
      </c>
      <c r="B9468" s="1" t="n">
        <v>45659</v>
      </c>
      <c r="C9468" s="1" t="n">
        <v>46145</v>
      </c>
      <c r="D9468" t="inlineStr">
        <is>
          <t>VÄSTERBOTTENS LÄN</t>
        </is>
      </c>
      <c r="E9468" t="inlineStr">
        <is>
          <t>VILHELMINA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74-2025</t>
        </is>
      </c>
      <c r="B9469" s="1" t="n">
        <v>45659</v>
      </c>
      <c r="C9469" s="1" t="n">
        <v>46145</v>
      </c>
      <c r="D9469" t="inlineStr">
        <is>
          <t>VÄSTERBOTTENS LÄN</t>
        </is>
      </c>
      <c r="E9469" t="inlineStr">
        <is>
          <t>VILHELMINA</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41455-2024</t>
        </is>
      </c>
      <c r="B9470" s="1" t="n">
        <v>45560</v>
      </c>
      <c r="C9470" s="1" t="n">
        <v>46145</v>
      </c>
      <c r="D9470" t="inlineStr">
        <is>
          <t>VÄSTERBOTTENS LÄN</t>
        </is>
      </c>
      <c r="E9470" t="inlineStr">
        <is>
          <t>VINDELN</t>
        </is>
      </c>
      <c r="F9470" t="inlineStr">
        <is>
          <t>Holmen skog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41462-2024</t>
        </is>
      </c>
      <c r="B9471" s="1" t="n">
        <v>45560</v>
      </c>
      <c r="C9471" s="1" t="n">
        <v>46145</v>
      </c>
      <c r="D9471" t="inlineStr">
        <is>
          <t>VÄSTERBOTTENS LÄN</t>
        </is>
      </c>
      <c r="E9471" t="inlineStr">
        <is>
          <t>VINDELN</t>
        </is>
      </c>
      <c r="F9471" t="inlineStr">
        <is>
          <t>Sveaskog</t>
        </is>
      </c>
      <c r="G9471" t="n">
        <v>11.7</v>
      </c>
      <c r="H9471" t="n">
        <v>0</v>
      </c>
      <c r="I9471" t="n">
        <v>0</v>
      </c>
      <c r="J9471" t="n">
        <v>0</v>
      </c>
      <c r="K9471" t="n">
        <v>0</v>
      </c>
      <c r="L9471" t="n">
        <v>0</v>
      </c>
      <c r="M9471" t="n">
        <v>0</v>
      </c>
      <c r="N9471" t="n">
        <v>0</v>
      </c>
      <c r="O9471" t="n">
        <v>0</v>
      </c>
      <c r="P9471" t="n">
        <v>0</v>
      </c>
      <c r="Q9471" t="n">
        <v>0</v>
      </c>
      <c r="R9471" s="2" t="inlineStr"/>
    </row>
    <row r="9472" ht="15" customHeight="1">
      <c r="A9472" t="inlineStr">
        <is>
          <t>A 15735-2026</t>
        </is>
      </c>
      <c r="B9472" s="1" t="n">
        <v>46107.40702546296</v>
      </c>
      <c r="C9472" s="1" t="n">
        <v>46145</v>
      </c>
      <c r="D9472" t="inlineStr">
        <is>
          <t>VÄSTERBOTTENS LÄN</t>
        </is>
      </c>
      <c r="E9472" t="inlineStr">
        <is>
          <t>DOROTEA</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15740-2026</t>
        </is>
      </c>
      <c r="B9473" s="1" t="n">
        <v>46107.41524305556</v>
      </c>
      <c r="C9473" s="1" t="n">
        <v>46145</v>
      </c>
      <c r="D9473" t="inlineStr">
        <is>
          <t>VÄSTERBOTTENS LÄN</t>
        </is>
      </c>
      <c r="E9473" t="inlineStr">
        <is>
          <t>SKELLEFTEÅ</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8717-2026</t>
        </is>
      </c>
      <c r="B9474" s="1" t="n">
        <v>46065</v>
      </c>
      <c r="C9474" s="1" t="n">
        <v>46145</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46076-2022</t>
        </is>
      </c>
      <c r="B9475" s="1" t="n">
        <v>44845</v>
      </c>
      <c r="C9475" s="1" t="n">
        <v>46145</v>
      </c>
      <c r="D9475" t="inlineStr">
        <is>
          <t>VÄSTERBOTTENS LÄN</t>
        </is>
      </c>
      <c r="E9475" t="inlineStr">
        <is>
          <t>SORSELE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11260-2022</t>
        </is>
      </c>
      <c r="B9476" s="1" t="n">
        <v>44629</v>
      </c>
      <c r="C9476" s="1" t="n">
        <v>46145</v>
      </c>
      <c r="D9476" t="inlineStr">
        <is>
          <t>VÄSTERBOTTENS LÄN</t>
        </is>
      </c>
      <c r="E9476" t="inlineStr">
        <is>
          <t>SKELLEFTEÅ</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15690-2026</t>
        </is>
      </c>
      <c r="B9477" s="1" t="n">
        <v>46107.34054398148</v>
      </c>
      <c r="C9477" s="1" t="n">
        <v>46145</v>
      </c>
      <c r="D9477" t="inlineStr">
        <is>
          <t>VÄSTERBOTTENS LÄN</t>
        </is>
      </c>
      <c r="E9477" t="inlineStr">
        <is>
          <t>UMEÅ</t>
        </is>
      </c>
      <c r="F9477" t="inlineStr">
        <is>
          <t>Holmen skog AB</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8697-2026</t>
        </is>
      </c>
      <c r="B9478" s="1" t="n">
        <v>46066.45375</v>
      </c>
      <c r="C9478" s="1" t="n">
        <v>46145</v>
      </c>
      <c r="D9478" t="inlineStr">
        <is>
          <t>VÄSTERBOTTENS LÄN</t>
        </is>
      </c>
      <c r="E9478" t="inlineStr">
        <is>
          <t>VÄNNÄS</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57714-2021</t>
        </is>
      </c>
      <c r="B9479" s="1" t="n">
        <v>44484.48947916667</v>
      </c>
      <c r="C9479" s="1" t="n">
        <v>46145</v>
      </c>
      <c r="D9479" t="inlineStr">
        <is>
          <t>VÄSTERBOTTENS LÄN</t>
        </is>
      </c>
      <c r="E9479" t="inlineStr">
        <is>
          <t>SKELLEFTEÅ</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61396-2022</t>
        </is>
      </c>
      <c r="B9480" s="1" t="n">
        <v>44915</v>
      </c>
      <c r="C9480" s="1" t="n">
        <v>46145</v>
      </c>
      <c r="D9480" t="inlineStr">
        <is>
          <t>VÄSTERBOTTENS LÄN</t>
        </is>
      </c>
      <c r="E9480" t="inlineStr">
        <is>
          <t>VINDELN</t>
        </is>
      </c>
      <c r="F9480" t="inlineStr">
        <is>
          <t>SCA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33204-2021</t>
        </is>
      </c>
      <c r="B9481" s="1" t="n">
        <v>44376.93355324074</v>
      </c>
      <c r="C9481" s="1" t="n">
        <v>46145</v>
      </c>
      <c r="D9481" t="inlineStr">
        <is>
          <t>VÄSTERBOTTENS LÄN</t>
        </is>
      </c>
      <c r="E9481" t="inlineStr">
        <is>
          <t>ÅSELE</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7063-2022</t>
        </is>
      </c>
      <c r="B9482" s="1" t="n">
        <v>44603</v>
      </c>
      <c r="C9482" s="1" t="n">
        <v>46145</v>
      </c>
      <c r="D9482" t="inlineStr">
        <is>
          <t>VÄSTERBOTTENS LÄN</t>
        </is>
      </c>
      <c r="E9482" t="inlineStr">
        <is>
          <t>LYCKSELE</t>
        </is>
      </c>
      <c r="G9482" t="n">
        <v>14.2</v>
      </c>
      <c r="H9482" t="n">
        <v>0</v>
      </c>
      <c r="I9482" t="n">
        <v>0</v>
      </c>
      <c r="J9482" t="n">
        <v>0</v>
      </c>
      <c r="K9482" t="n">
        <v>0</v>
      </c>
      <c r="L9482" t="n">
        <v>0</v>
      </c>
      <c r="M9482" t="n">
        <v>0</v>
      </c>
      <c r="N9482" t="n">
        <v>0</v>
      </c>
      <c r="O9482" t="n">
        <v>0</v>
      </c>
      <c r="P9482" t="n">
        <v>0</v>
      </c>
      <c r="Q9482" t="n">
        <v>0</v>
      </c>
      <c r="R9482" s="2" t="inlineStr"/>
    </row>
    <row r="9483" ht="15" customHeight="1">
      <c r="A9483" t="inlineStr">
        <is>
          <t>A 38405-2024</t>
        </is>
      </c>
      <c r="B9483" s="1" t="n">
        <v>45546.34490740741</v>
      </c>
      <c r="C9483" s="1" t="n">
        <v>46145</v>
      </c>
      <c r="D9483" t="inlineStr">
        <is>
          <t>VÄSTERBOTTENS LÄN</t>
        </is>
      </c>
      <c r="E9483" t="inlineStr">
        <is>
          <t>ÅSELE</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8648-2026</t>
        </is>
      </c>
      <c r="B9484" s="1" t="n">
        <v>46066</v>
      </c>
      <c r="C9484" s="1" t="n">
        <v>46145</v>
      </c>
      <c r="D9484" t="inlineStr">
        <is>
          <t>VÄSTERBOTTENS LÄN</t>
        </is>
      </c>
      <c r="E9484" t="inlineStr">
        <is>
          <t>MALÅ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15854-2026</t>
        </is>
      </c>
      <c r="B9485" s="1" t="n">
        <v>46107</v>
      </c>
      <c r="C9485" s="1" t="n">
        <v>46145</v>
      </c>
      <c r="D9485" t="inlineStr">
        <is>
          <t>VÄSTERBOTTENS LÄN</t>
        </is>
      </c>
      <c r="E9485" t="inlineStr">
        <is>
          <t>ÅSELE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37483-2021</t>
        </is>
      </c>
      <c r="B9486" s="1" t="n">
        <v>44398.93342592593</v>
      </c>
      <c r="C9486" s="1" t="n">
        <v>46145</v>
      </c>
      <c r="D9486" t="inlineStr">
        <is>
          <t>VÄSTERBOTTENS LÄN</t>
        </is>
      </c>
      <c r="E9486" t="inlineStr">
        <is>
          <t>ÅSELE</t>
        </is>
      </c>
      <c r="F9486" t="inlineStr">
        <is>
          <t>SCA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50915-2022</t>
        </is>
      </c>
      <c r="B9487" s="1" t="n">
        <v>44867</v>
      </c>
      <c r="C9487" s="1" t="n">
        <v>46145</v>
      </c>
      <c r="D9487" t="inlineStr">
        <is>
          <t>VÄSTERBOTTENS LÄN</t>
        </is>
      </c>
      <c r="E9487" t="inlineStr">
        <is>
          <t>STORUMAN</t>
        </is>
      </c>
      <c r="F9487" t="inlineStr">
        <is>
          <t>Sveaskog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8757-2026</t>
        </is>
      </c>
      <c r="B9488" s="1" t="n">
        <v>46066.55268518518</v>
      </c>
      <c r="C9488" s="1" t="n">
        <v>46145</v>
      </c>
      <c r="D9488" t="inlineStr">
        <is>
          <t>VÄSTERBOTTENS LÄN</t>
        </is>
      </c>
      <c r="E9488" t="inlineStr">
        <is>
          <t>MALÅ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8796-2026</t>
        </is>
      </c>
      <c r="B9489" s="1" t="n">
        <v>46066.59456018519</v>
      </c>
      <c r="C9489" s="1" t="n">
        <v>46145</v>
      </c>
      <c r="D9489" t="inlineStr">
        <is>
          <t>VÄSTERBOTTENS LÄN</t>
        </is>
      </c>
      <c r="E9489" t="inlineStr">
        <is>
          <t>BJURHOLM</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8668-2026</t>
        </is>
      </c>
      <c r="B9490" s="1" t="n">
        <v>46066.38614583333</v>
      </c>
      <c r="C9490" s="1" t="n">
        <v>46145</v>
      </c>
      <c r="D9490" t="inlineStr">
        <is>
          <t>VÄSTERBOTTENS LÄN</t>
        </is>
      </c>
      <c r="E9490" t="inlineStr">
        <is>
          <t>UMEÅ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62714-2022</t>
        </is>
      </c>
      <c r="B9491" s="1" t="n">
        <v>44925.62908564815</v>
      </c>
      <c r="C9491" s="1" t="n">
        <v>46145</v>
      </c>
      <c r="D9491" t="inlineStr">
        <is>
          <t>VÄSTERBOTTENS LÄN</t>
        </is>
      </c>
      <c r="E9491" t="inlineStr">
        <is>
          <t>VINDELN</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62718-2022</t>
        </is>
      </c>
      <c r="B9492" s="1" t="n">
        <v>44925.63877314814</v>
      </c>
      <c r="C9492" s="1" t="n">
        <v>46145</v>
      </c>
      <c r="D9492" t="inlineStr">
        <is>
          <t>VÄSTERBOTTENS LÄN</t>
        </is>
      </c>
      <c r="E9492" t="inlineStr">
        <is>
          <t>VINDELN</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62748-2022</t>
        </is>
      </c>
      <c r="B9493" s="1" t="n">
        <v>44925.93875</v>
      </c>
      <c r="C9493" s="1" t="n">
        <v>46145</v>
      </c>
      <c r="D9493" t="inlineStr">
        <is>
          <t>VÄSTERBOTTENS LÄN</t>
        </is>
      </c>
      <c r="E9493" t="inlineStr">
        <is>
          <t>ÅSELE</t>
        </is>
      </c>
      <c r="F9493" t="inlineStr">
        <is>
          <t>SCA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62752-2022</t>
        </is>
      </c>
      <c r="B9494" s="1" t="n">
        <v>44925.93988425926</v>
      </c>
      <c r="C9494" s="1" t="n">
        <v>46145</v>
      </c>
      <c r="D9494" t="inlineStr">
        <is>
          <t>VÄSTERBOTTENS LÄN</t>
        </is>
      </c>
      <c r="E9494" t="inlineStr">
        <is>
          <t>SORSELE</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8694-2026</t>
        </is>
      </c>
      <c r="B9495" s="1" t="n">
        <v>46066.44982638889</v>
      </c>
      <c r="C9495" s="1" t="n">
        <v>46145</v>
      </c>
      <c r="D9495" t="inlineStr">
        <is>
          <t>VÄSTERBOTTENS LÄN</t>
        </is>
      </c>
      <c r="E9495" t="inlineStr">
        <is>
          <t>NORDMALING</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41497-2021</t>
        </is>
      </c>
      <c r="B9496" s="1" t="n">
        <v>44424</v>
      </c>
      <c r="C9496" s="1" t="n">
        <v>46145</v>
      </c>
      <c r="D9496" t="inlineStr">
        <is>
          <t>VÄSTERBOTTENS LÄN</t>
        </is>
      </c>
      <c r="E9496" t="inlineStr">
        <is>
          <t>LYCKSELE</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78-2025</t>
        </is>
      </c>
      <c r="B9497" s="1" t="n">
        <v>45659</v>
      </c>
      <c r="C9497" s="1" t="n">
        <v>46145</v>
      </c>
      <c r="D9497" t="inlineStr">
        <is>
          <t>VÄSTERBOTTENS LÄN</t>
        </is>
      </c>
      <c r="E9497" t="inlineStr">
        <is>
          <t>VILHELMINA</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4086-2023</t>
        </is>
      </c>
      <c r="B9498" s="1" t="n">
        <v>44952</v>
      </c>
      <c r="C9498" s="1" t="n">
        <v>46145</v>
      </c>
      <c r="D9498" t="inlineStr">
        <is>
          <t>VÄSTERBOTTENS LÄN</t>
        </is>
      </c>
      <c r="E9498" t="inlineStr">
        <is>
          <t>ÅSELE</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15792-2026</t>
        </is>
      </c>
      <c r="B9499" s="1" t="n">
        <v>46107.47755787037</v>
      </c>
      <c r="C9499" s="1" t="n">
        <v>46145</v>
      </c>
      <c r="D9499" t="inlineStr">
        <is>
          <t>VÄSTERBOTTENS LÄN</t>
        </is>
      </c>
      <c r="E9499" t="inlineStr">
        <is>
          <t>VINDELN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8466-2026</t>
        </is>
      </c>
      <c r="B9500" s="1" t="n">
        <v>46065.44672453704</v>
      </c>
      <c r="C9500" s="1" t="n">
        <v>46145</v>
      </c>
      <c r="D9500" t="inlineStr">
        <is>
          <t>VÄSTERBOTTENS LÄN</t>
        </is>
      </c>
      <c r="E9500" t="inlineStr">
        <is>
          <t>VINDELN</t>
        </is>
      </c>
      <c r="F9500" t="inlineStr">
        <is>
          <t>Holmen skog AB</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53987-2021</t>
        </is>
      </c>
      <c r="B9501" s="1" t="n">
        <v>44470.31884259259</v>
      </c>
      <c r="C9501" s="1" t="n">
        <v>46145</v>
      </c>
      <c r="D9501" t="inlineStr">
        <is>
          <t>VÄSTERBOTTENS LÄN</t>
        </is>
      </c>
      <c r="E9501" t="inlineStr">
        <is>
          <t>VILHELMINA</t>
        </is>
      </c>
      <c r="F9501" t="inlineStr">
        <is>
          <t>Kommuner</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8484-2026</t>
        </is>
      </c>
      <c r="B9502" s="1" t="n">
        <v>46065.47174768519</v>
      </c>
      <c r="C9502" s="1" t="n">
        <v>46145</v>
      </c>
      <c r="D9502" t="inlineStr">
        <is>
          <t>VÄSTERBOTTENS LÄN</t>
        </is>
      </c>
      <c r="E9502" t="inlineStr">
        <is>
          <t>ROBERTSFORS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8485-2026</t>
        </is>
      </c>
      <c r="B9503" s="1" t="n">
        <v>46065.47439814815</v>
      </c>
      <c r="C9503" s="1" t="n">
        <v>46145</v>
      </c>
      <c r="D9503" t="inlineStr">
        <is>
          <t>VÄSTERBOTTENS LÄN</t>
        </is>
      </c>
      <c r="E9503" t="inlineStr">
        <is>
          <t>LYCKSELE</t>
        </is>
      </c>
      <c r="F9503" t="inlineStr">
        <is>
          <t>Holmen skog AB</t>
        </is>
      </c>
      <c r="G9503" t="n">
        <v>12.1</v>
      </c>
      <c r="H9503" t="n">
        <v>0</v>
      </c>
      <c r="I9503" t="n">
        <v>0</v>
      </c>
      <c r="J9503" t="n">
        <v>0</v>
      </c>
      <c r="K9503" t="n">
        <v>0</v>
      </c>
      <c r="L9503" t="n">
        <v>0</v>
      </c>
      <c r="M9503" t="n">
        <v>0</v>
      </c>
      <c r="N9503" t="n">
        <v>0</v>
      </c>
      <c r="O9503" t="n">
        <v>0</v>
      </c>
      <c r="P9503" t="n">
        <v>0</v>
      </c>
      <c r="Q9503" t="n">
        <v>0</v>
      </c>
      <c r="R9503" s="2" t="inlineStr"/>
    </row>
    <row r="9504" ht="15" customHeight="1">
      <c r="A9504" t="inlineStr">
        <is>
          <t>A 15691-2026</t>
        </is>
      </c>
      <c r="B9504" s="1" t="n">
        <v>46107.34076388889</v>
      </c>
      <c r="C9504" s="1" t="n">
        <v>46145</v>
      </c>
      <c r="D9504" t="inlineStr">
        <is>
          <t>VÄSTERBOTTENS LÄN</t>
        </is>
      </c>
      <c r="E9504" t="inlineStr">
        <is>
          <t>SKELLEFTEÅ</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15696-2026</t>
        </is>
      </c>
      <c r="B9505" s="1" t="n">
        <v>46107.34447916667</v>
      </c>
      <c r="C9505" s="1" t="n">
        <v>46145</v>
      </c>
      <c r="D9505" t="inlineStr">
        <is>
          <t>VÄSTERBOTTENS LÄN</t>
        </is>
      </c>
      <c r="E9505" t="inlineStr">
        <is>
          <t>LYCKSELE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803-2022</t>
        </is>
      </c>
      <c r="B9506" s="1" t="n">
        <v>44568</v>
      </c>
      <c r="C9506" s="1" t="n">
        <v>46145</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55697-2024</t>
        </is>
      </c>
      <c r="B9507" s="1" t="n">
        <v>45622</v>
      </c>
      <c r="C9507" s="1" t="n">
        <v>46145</v>
      </c>
      <c r="D9507" t="inlineStr">
        <is>
          <t>VÄSTERBOTTENS LÄN</t>
        </is>
      </c>
      <c r="E9507" t="inlineStr">
        <is>
          <t>VILHELMINA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14892-2026</t>
        </is>
      </c>
      <c r="B9508" s="1" t="n">
        <v>46104</v>
      </c>
      <c r="C9508" s="1" t="n">
        <v>46145</v>
      </c>
      <c r="D9508" t="inlineStr">
        <is>
          <t>VÄSTERBOTTENS LÄN</t>
        </is>
      </c>
      <c r="E9508" t="inlineStr">
        <is>
          <t>VILHELMINA</t>
        </is>
      </c>
      <c r="F9508" t="inlineStr">
        <is>
          <t>Allmännings- och besparingsskogar</t>
        </is>
      </c>
      <c r="G9508" t="n">
        <v>247.6</v>
      </c>
      <c r="H9508" t="n">
        <v>0</v>
      </c>
      <c r="I9508" t="n">
        <v>0</v>
      </c>
      <c r="J9508" t="n">
        <v>0</v>
      </c>
      <c r="K9508" t="n">
        <v>0</v>
      </c>
      <c r="L9508" t="n">
        <v>0</v>
      </c>
      <c r="M9508" t="n">
        <v>0</v>
      </c>
      <c r="N9508" t="n">
        <v>0</v>
      </c>
      <c r="O9508" t="n">
        <v>0</v>
      </c>
      <c r="P9508" t="n">
        <v>0</v>
      </c>
      <c r="Q9508" t="n">
        <v>0</v>
      </c>
      <c r="R9508" s="2" t="inlineStr"/>
    </row>
    <row r="9509" ht="15" customHeight="1">
      <c r="A9509" t="inlineStr">
        <is>
          <t>A 15745-2026</t>
        </is>
      </c>
      <c r="B9509" s="1" t="n">
        <v>46107.4179050926</v>
      </c>
      <c r="C9509" s="1" t="n">
        <v>46145</v>
      </c>
      <c r="D9509" t="inlineStr">
        <is>
          <t>VÄSTERBOTTENS LÄN</t>
        </is>
      </c>
      <c r="E9509" t="inlineStr">
        <is>
          <t>SKELLEFTEÅ</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5368-2024</t>
        </is>
      </c>
      <c r="B9510" s="1" t="n">
        <v>45331</v>
      </c>
      <c r="C9510" s="1" t="n">
        <v>46145</v>
      </c>
      <c r="D9510" t="inlineStr">
        <is>
          <t>VÄSTERBOTTENS LÄN</t>
        </is>
      </c>
      <c r="E9510" t="inlineStr">
        <is>
          <t>VINDELN</t>
        </is>
      </c>
      <c r="F9510" t="inlineStr">
        <is>
          <t>Sveaskog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41823-2024</t>
        </is>
      </c>
      <c r="B9511" s="1" t="n">
        <v>45561.39728009259</v>
      </c>
      <c r="C9511" s="1" t="n">
        <v>46145</v>
      </c>
      <c r="D9511" t="inlineStr">
        <is>
          <t>VÄSTERBOTTENS LÄN</t>
        </is>
      </c>
      <c r="E9511" t="inlineStr">
        <is>
          <t>STORUMAN</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6621-2023</t>
        </is>
      </c>
      <c r="B9512" s="1" t="n">
        <v>44960</v>
      </c>
      <c r="C9512" s="1" t="n">
        <v>46145</v>
      </c>
      <c r="D9512" t="inlineStr">
        <is>
          <t>VÄSTERBOTTENS LÄN</t>
        </is>
      </c>
      <c r="E9512" t="inlineStr">
        <is>
          <t>DOROTEA</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8758-2026</t>
        </is>
      </c>
      <c r="B9513" s="1" t="n">
        <v>46066.55392361111</v>
      </c>
      <c r="C9513" s="1" t="n">
        <v>46145</v>
      </c>
      <c r="D9513" t="inlineStr">
        <is>
          <t>VÄSTERBOTTENS LÄN</t>
        </is>
      </c>
      <c r="E9513" t="inlineStr">
        <is>
          <t>STORUMAN</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15803-2026</t>
        </is>
      </c>
      <c r="B9514" s="1" t="n">
        <v>46107.48642361111</v>
      </c>
      <c r="C9514" s="1" t="n">
        <v>46145</v>
      </c>
      <c r="D9514" t="inlineStr">
        <is>
          <t>VÄSTERBOTTENS LÄN</t>
        </is>
      </c>
      <c r="E9514" t="inlineStr">
        <is>
          <t>UMEÅ</t>
        </is>
      </c>
      <c r="F9514" t="inlineStr">
        <is>
          <t>Holmen skog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13552-2024</t>
        </is>
      </c>
      <c r="B9515" s="1" t="n">
        <v>45387.95409722222</v>
      </c>
      <c r="C9515" s="1" t="n">
        <v>46145</v>
      </c>
      <c r="D9515" t="inlineStr">
        <is>
          <t>VÄSTERBOTTENS LÄN</t>
        </is>
      </c>
      <c r="E9515" t="inlineStr">
        <is>
          <t>ÅSELE</t>
        </is>
      </c>
      <c r="F9515" t="inlineStr">
        <is>
          <t>SCA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13553-2024</t>
        </is>
      </c>
      <c r="B9516" s="1" t="n">
        <v>45387.95421296296</v>
      </c>
      <c r="C9516" s="1" t="n">
        <v>46145</v>
      </c>
      <c r="D9516" t="inlineStr">
        <is>
          <t>VÄSTERBOTTENS LÄN</t>
        </is>
      </c>
      <c r="E9516" t="inlineStr">
        <is>
          <t>ÅSELE</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21812-2024</t>
        </is>
      </c>
      <c r="B9517" s="1" t="n">
        <v>45442.67990740741</v>
      </c>
      <c r="C9517" s="1" t="n">
        <v>46145</v>
      </c>
      <c r="D9517" t="inlineStr">
        <is>
          <t>VÄSTERBOTTENS LÄN</t>
        </is>
      </c>
      <c r="E9517" t="inlineStr">
        <is>
          <t>SKELLEFTEÅ</t>
        </is>
      </c>
      <c r="F9517" t="inlineStr">
        <is>
          <t>Holmen skog AB</t>
        </is>
      </c>
      <c r="G9517" t="n">
        <v>10.1</v>
      </c>
      <c r="H9517" t="n">
        <v>0</v>
      </c>
      <c r="I9517" t="n">
        <v>0</v>
      </c>
      <c r="J9517" t="n">
        <v>0</v>
      </c>
      <c r="K9517" t="n">
        <v>0</v>
      </c>
      <c r="L9517" t="n">
        <v>0</v>
      </c>
      <c r="M9517" t="n">
        <v>0</v>
      </c>
      <c r="N9517" t="n">
        <v>0</v>
      </c>
      <c r="O9517" t="n">
        <v>0</v>
      </c>
      <c r="P9517" t="n">
        <v>0</v>
      </c>
      <c r="Q9517" t="n">
        <v>0</v>
      </c>
      <c r="R9517" s="2" t="inlineStr"/>
    </row>
    <row r="9518" ht="15" customHeight="1">
      <c r="A9518" t="inlineStr">
        <is>
          <t>A 6416-2026</t>
        </is>
      </c>
      <c r="B9518" s="1" t="n">
        <v>46055</v>
      </c>
      <c r="C9518" s="1" t="n">
        <v>46145</v>
      </c>
      <c r="D9518" t="inlineStr">
        <is>
          <t>VÄSTERBOTTENS LÄN</t>
        </is>
      </c>
      <c r="E9518" t="inlineStr">
        <is>
          <t>SKELLEFTEÅ</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15904-2026</t>
        </is>
      </c>
      <c r="B9519" s="1" t="n">
        <v>46107.636875</v>
      </c>
      <c r="C9519" s="1" t="n">
        <v>46145</v>
      </c>
      <c r="D9519" t="inlineStr">
        <is>
          <t>VÄSTERBOTTENS LÄN</t>
        </is>
      </c>
      <c r="E9519" t="inlineStr">
        <is>
          <t>NORSJÖ</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15961-2026</t>
        </is>
      </c>
      <c r="B9520" s="1" t="n">
        <v>46108.31914351852</v>
      </c>
      <c r="C9520" s="1" t="n">
        <v>46145</v>
      </c>
      <c r="D9520" t="inlineStr">
        <is>
          <t>VÄSTERBOTTENS LÄN</t>
        </is>
      </c>
      <c r="E9520" t="inlineStr">
        <is>
          <t>NORDMALING</t>
        </is>
      </c>
      <c r="F9520" t="inlineStr">
        <is>
          <t>Naturvårdsverket</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13403-2025</t>
        </is>
      </c>
      <c r="B9521" s="1" t="n">
        <v>45735</v>
      </c>
      <c r="C9521" s="1" t="n">
        <v>46145</v>
      </c>
      <c r="D9521" t="inlineStr">
        <is>
          <t>VÄSTERBOTTENS LÄN</t>
        </is>
      </c>
      <c r="E9521" t="inlineStr">
        <is>
          <t>ÅSELE</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13493-2025</t>
        </is>
      </c>
      <c r="B9522" s="1" t="n">
        <v>45736.43454861111</v>
      </c>
      <c r="C9522" s="1" t="n">
        <v>46145</v>
      </c>
      <c r="D9522" t="inlineStr">
        <is>
          <t>VÄSTERBOTTENS LÄN</t>
        </is>
      </c>
      <c r="E9522" t="inlineStr">
        <is>
          <t>SKELLEFTEÅ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14088-2022</t>
        </is>
      </c>
      <c r="B9523" s="1" t="n">
        <v>44650</v>
      </c>
      <c r="C9523" s="1" t="n">
        <v>46145</v>
      </c>
      <c r="D9523" t="inlineStr">
        <is>
          <t>VÄSTERBOTTENS LÄN</t>
        </is>
      </c>
      <c r="E9523" t="inlineStr">
        <is>
          <t>SKELLEFTEÅ</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15901-2026</t>
        </is>
      </c>
      <c r="B9524" s="1" t="n">
        <v>46107.63612268519</v>
      </c>
      <c r="C9524" s="1" t="n">
        <v>46145</v>
      </c>
      <c r="D9524" t="inlineStr">
        <is>
          <t>VÄSTERBOTTENS LÄN</t>
        </is>
      </c>
      <c r="E9524" t="inlineStr">
        <is>
          <t>DOROTEA</t>
        </is>
      </c>
      <c r="F9524" t="inlineStr">
        <is>
          <t>SCA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59174-2024</t>
        </is>
      </c>
      <c r="B9525" s="1" t="n">
        <v>45637.49741898148</v>
      </c>
      <c r="C9525" s="1" t="n">
        <v>46145</v>
      </c>
      <c r="D9525" t="inlineStr">
        <is>
          <t>VÄSTERBOTTENS LÄN</t>
        </is>
      </c>
      <c r="E9525" t="inlineStr">
        <is>
          <t>LYCKSELE</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59176-2024</t>
        </is>
      </c>
      <c r="B9526" s="1" t="n">
        <v>45637.50048611111</v>
      </c>
      <c r="C9526" s="1" t="n">
        <v>46145</v>
      </c>
      <c r="D9526" t="inlineStr">
        <is>
          <t>VÄSTERBOTTENS LÄN</t>
        </is>
      </c>
      <c r="E9526" t="inlineStr">
        <is>
          <t>NORDMALING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5864-2025</t>
        </is>
      </c>
      <c r="B9527" s="1" t="n">
        <v>45695.35236111111</v>
      </c>
      <c r="C9527" s="1" t="n">
        <v>46145</v>
      </c>
      <c r="D9527" t="inlineStr">
        <is>
          <t>VÄSTERBOTTENS LÄN</t>
        </is>
      </c>
      <c r="E9527" t="inlineStr">
        <is>
          <t>ROBERTSFORS</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46304-2024</t>
        </is>
      </c>
      <c r="B9528" s="1" t="n">
        <v>45581</v>
      </c>
      <c r="C9528" s="1" t="n">
        <v>46145</v>
      </c>
      <c r="D9528" t="inlineStr">
        <is>
          <t>VÄSTERBOTTENS LÄN</t>
        </is>
      </c>
      <c r="E9528" t="inlineStr">
        <is>
          <t>SKELLEFTEÅ</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8472-2026</t>
        </is>
      </c>
      <c r="B9529" s="1" t="n">
        <v>46065.45136574074</v>
      </c>
      <c r="C9529" s="1" t="n">
        <v>46145</v>
      </c>
      <c r="D9529" t="inlineStr">
        <is>
          <t>VÄSTERBOTTENS LÄN</t>
        </is>
      </c>
      <c r="E9529" t="inlineStr">
        <is>
          <t>ROBERTSFORS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9671-2024</t>
        </is>
      </c>
      <c r="B9530" s="1" t="n">
        <v>45362.46013888889</v>
      </c>
      <c r="C9530" s="1" t="n">
        <v>46145</v>
      </c>
      <c r="D9530" t="inlineStr">
        <is>
          <t>VÄSTERBOTTENS LÄN</t>
        </is>
      </c>
      <c r="E9530" t="inlineStr">
        <is>
          <t>UMEÅ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8516-2026</t>
        </is>
      </c>
      <c r="B9531" s="1" t="n">
        <v>46065.57530092593</v>
      </c>
      <c r="C9531" s="1" t="n">
        <v>46145</v>
      </c>
      <c r="D9531" t="inlineStr">
        <is>
          <t>VÄSTERBOTTENS LÄN</t>
        </is>
      </c>
      <c r="E9531" t="inlineStr">
        <is>
          <t>VÄNNÄS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46817-2022</t>
        </is>
      </c>
      <c r="B9532" s="1" t="n">
        <v>44848</v>
      </c>
      <c r="C9532" s="1" t="n">
        <v>46145</v>
      </c>
      <c r="D9532" t="inlineStr">
        <is>
          <t>VÄSTERBOTTENS LÄN</t>
        </is>
      </c>
      <c r="E9532" t="inlineStr">
        <is>
          <t>DOROTEA</t>
        </is>
      </c>
      <c r="G9532" t="n">
        <v>29.8</v>
      </c>
      <c r="H9532" t="n">
        <v>0</v>
      </c>
      <c r="I9532" t="n">
        <v>0</v>
      </c>
      <c r="J9532" t="n">
        <v>0</v>
      </c>
      <c r="K9532" t="n">
        <v>0</v>
      </c>
      <c r="L9532" t="n">
        <v>0</v>
      </c>
      <c r="M9532" t="n">
        <v>0</v>
      </c>
      <c r="N9532" t="n">
        <v>0</v>
      </c>
      <c r="O9532" t="n">
        <v>0</v>
      </c>
      <c r="P9532" t="n">
        <v>0</v>
      </c>
      <c r="Q9532" t="n">
        <v>0</v>
      </c>
      <c r="R9532" s="2" t="inlineStr"/>
    </row>
    <row r="9533" ht="15" customHeight="1">
      <c r="A9533" t="inlineStr">
        <is>
          <t>A 13093-2023</t>
        </is>
      </c>
      <c r="B9533" s="1" t="n">
        <v>45002</v>
      </c>
      <c r="C9533" s="1" t="n">
        <v>46145</v>
      </c>
      <c r="D9533" t="inlineStr">
        <is>
          <t>VÄSTERBOTTENS LÄN</t>
        </is>
      </c>
      <c r="E9533" t="inlineStr">
        <is>
          <t>SORSELE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32658-2021</t>
        </is>
      </c>
      <c r="B9534" s="1" t="n">
        <v>44371</v>
      </c>
      <c r="C9534" s="1" t="n">
        <v>46145</v>
      </c>
      <c r="D9534" t="inlineStr">
        <is>
          <t>VÄSTERBOTTENS LÄN</t>
        </is>
      </c>
      <c r="E9534" t="inlineStr">
        <is>
          <t>VILHELMINA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65772-2021</t>
        </is>
      </c>
      <c r="B9535" s="1" t="n">
        <v>44516</v>
      </c>
      <c r="C9535" s="1" t="n">
        <v>46145</v>
      </c>
      <c r="D9535" t="inlineStr">
        <is>
          <t>VÄSTERBOTTENS LÄN</t>
        </is>
      </c>
      <c r="E9535" t="inlineStr">
        <is>
          <t>ROBERTSFORS</t>
        </is>
      </c>
      <c r="G9535" t="n">
        <v>18.2</v>
      </c>
      <c r="H9535" t="n">
        <v>0</v>
      </c>
      <c r="I9535" t="n">
        <v>0</v>
      </c>
      <c r="J9535" t="n">
        <v>0</v>
      </c>
      <c r="K9535" t="n">
        <v>0</v>
      </c>
      <c r="L9535" t="n">
        <v>0</v>
      </c>
      <c r="M9535" t="n">
        <v>0</v>
      </c>
      <c r="N9535" t="n">
        <v>0</v>
      </c>
      <c r="O9535" t="n">
        <v>0</v>
      </c>
      <c r="P9535" t="n">
        <v>0</v>
      </c>
      <c r="Q9535" t="n">
        <v>0</v>
      </c>
      <c r="R9535" s="2" t="inlineStr"/>
    </row>
    <row r="9536" ht="15" customHeight="1">
      <c r="A9536" t="inlineStr">
        <is>
          <t>A 9981-2022</t>
        </is>
      </c>
      <c r="B9536" s="1" t="n">
        <v>44606</v>
      </c>
      <c r="C9536" s="1" t="n">
        <v>46145</v>
      </c>
      <c r="D9536" t="inlineStr">
        <is>
          <t>VÄSTERBOTTENS LÄN</t>
        </is>
      </c>
      <c r="E9536" t="inlineStr">
        <is>
          <t>SORSELE</t>
        </is>
      </c>
      <c r="G9536" t="n">
        <v>18.4</v>
      </c>
      <c r="H9536" t="n">
        <v>0</v>
      </c>
      <c r="I9536" t="n">
        <v>0</v>
      </c>
      <c r="J9536" t="n">
        <v>0</v>
      </c>
      <c r="K9536" t="n">
        <v>0</v>
      </c>
      <c r="L9536" t="n">
        <v>0</v>
      </c>
      <c r="M9536" t="n">
        <v>0</v>
      </c>
      <c r="N9536" t="n">
        <v>0</v>
      </c>
      <c r="O9536" t="n">
        <v>0</v>
      </c>
      <c r="P9536" t="n">
        <v>0</v>
      </c>
      <c r="Q9536" t="n">
        <v>0</v>
      </c>
      <c r="R9536" s="2" t="inlineStr"/>
    </row>
    <row r="9537" ht="15" customHeight="1">
      <c r="A9537" t="inlineStr">
        <is>
          <t>A 20489-2025</t>
        </is>
      </c>
      <c r="B9537" s="1" t="n">
        <v>45775.56321759259</v>
      </c>
      <c r="C9537" s="1" t="n">
        <v>46145</v>
      </c>
      <c r="D9537" t="inlineStr">
        <is>
          <t>VÄSTERBOTTENS LÄN</t>
        </is>
      </c>
      <c r="E9537" t="inlineStr">
        <is>
          <t>NORDMALING</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14846-2025</t>
        </is>
      </c>
      <c r="B9538" s="1" t="n">
        <v>45743.38820601852</v>
      </c>
      <c r="C9538" s="1" t="n">
        <v>46145</v>
      </c>
      <c r="D9538" t="inlineStr">
        <is>
          <t>VÄSTERBOTTENS LÄN</t>
        </is>
      </c>
      <c r="E9538" t="inlineStr">
        <is>
          <t>SKELLEFTEÅ</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8805-2026</t>
        </is>
      </c>
      <c r="B9539" s="1" t="n">
        <v>46066.6034375</v>
      </c>
      <c r="C9539" s="1" t="n">
        <v>46145</v>
      </c>
      <c r="D9539" t="inlineStr">
        <is>
          <t>VÄSTERBOTTENS LÄN</t>
        </is>
      </c>
      <c r="E9539" t="inlineStr">
        <is>
          <t>VINDELN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16138-2026</t>
        </is>
      </c>
      <c r="B9540" s="1" t="n">
        <v>46108.65430555555</v>
      </c>
      <c r="C9540" s="1" t="n">
        <v>46145</v>
      </c>
      <c r="D9540" t="inlineStr">
        <is>
          <t>VÄSTERBOTTENS LÄN</t>
        </is>
      </c>
      <c r="E9540" t="inlineStr">
        <is>
          <t>LYCKSELE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53369-2022</t>
        </is>
      </c>
      <c r="B9541" s="1" t="n">
        <v>44874</v>
      </c>
      <c r="C9541" s="1" t="n">
        <v>46145</v>
      </c>
      <c r="D9541" t="inlineStr">
        <is>
          <t>VÄSTERBOTTENS LÄN</t>
        </is>
      </c>
      <c r="E9541" t="inlineStr">
        <is>
          <t>LYCKSELE</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38505-2021</t>
        </is>
      </c>
      <c r="B9542" s="1" t="n">
        <v>44407.49136574074</v>
      </c>
      <c r="C9542" s="1" t="n">
        <v>46145</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37792-2021</t>
        </is>
      </c>
      <c r="B9543" s="1" t="n">
        <v>44401</v>
      </c>
      <c r="C9543" s="1" t="n">
        <v>46145</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29347-2021</t>
        </is>
      </c>
      <c r="B9544" s="1" t="n">
        <v>44361</v>
      </c>
      <c r="C9544" s="1" t="n">
        <v>46145</v>
      </c>
      <c r="D9544" t="inlineStr">
        <is>
          <t>VÄSTERBOTTENS LÄN</t>
        </is>
      </c>
      <c r="E9544" t="inlineStr">
        <is>
          <t>VILHELMINA</t>
        </is>
      </c>
      <c r="F9544" t="inlineStr">
        <is>
          <t>Allmännings- och besparingsskogar</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30574-2024</t>
        </is>
      </c>
      <c r="B9545" s="1" t="n">
        <v>45492.9580324074</v>
      </c>
      <c r="C9545" s="1" t="n">
        <v>46145</v>
      </c>
      <c r="D9545" t="inlineStr">
        <is>
          <t>VÄSTERBOTTENS LÄN</t>
        </is>
      </c>
      <c r="E9545" t="inlineStr">
        <is>
          <t>VILHELMINA</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8527-2026</t>
        </is>
      </c>
      <c r="B9546" s="1" t="n">
        <v>46065.59229166667</v>
      </c>
      <c r="C9546" s="1" t="n">
        <v>46145</v>
      </c>
      <c r="D9546" t="inlineStr">
        <is>
          <t>VÄSTERBOTTENS LÄN</t>
        </is>
      </c>
      <c r="E9546" t="inlineStr">
        <is>
          <t>BJURHOLM</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30681-2024</t>
        </is>
      </c>
      <c r="B9547" s="1" t="n">
        <v>45495.9509837963</v>
      </c>
      <c r="C9547" s="1" t="n">
        <v>46145</v>
      </c>
      <c r="D9547" t="inlineStr">
        <is>
          <t>VÄSTERBOTTENS LÄN</t>
        </is>
      </c>
      <c r="E9547" t="inlineStr">
        <is>
          <t>VILHELMINA</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14893-2026</t>
        </is>
      </c>
      <c r="B9548" s="1" t="n">
        <v>46104</v>
      </c>
      <c r="C9548" s="1" t="n">
        <v>46145</v>
      </c>
      <c r="D9548" t="inlineStr">
        <is>
          <t>VÄSTERBOTTENS LÄN</t>
        </is>
      </c>
      <c r="E9548" t="inlineStr">
        <is>
          <t>VILHELMINA</t>
        </is>
      </c>
      <c r="F9548" t="inlineStr">
        <is>
          <t>Allmännings- och besparingsskogar</t>
        </is>
      </c>
      <c r="G9548" t="n">
        <v>48.6</v>
      </c>
      <c r="H9548" t="n">
        <v>0</v>
      </c>
      <c r="I9548" t="n">
        <v>0</v>
      </c>
      <c r="J9548" t="n">
        <v>0</v>
      </c>
      <c r="K9548" t="n">
        <v>0</v>
      </c>
      <c r="L9548" t="n">
        <v>0</v>
      </c>
      <c r="M9548" t="n">
        <v>0</v>
      </c>
      <c r="N9548" t="n">
        <v>0</v>
      </c>
      <c r="O9548" t="n">
        <v>0</v>
      </c>
      <c r="P9548" t="n">
        <v>0</v>
      </c>
      <c r="Q9548" t="n">
        <v>0</v>
      </c>
      <c r="R9548" s="2" t="inlineStr"/>
    </row>
    <row r="9549" ht="15" customHeight="1">
      <c r="A9549" t="inlineStr">
        <is>
          <t>A 16993-2023</t>
        </is>
      </c>
      <c r="B9549" s="1" t="n">
        <v>45033.92583333333</v>
      </c>
      <c r="C9549" s="1" t="n">
        <v>46145</v>
      </c>
      <c r="D9549" t="inlineStr">
        <is>
          <t>VÄSTERBOTTENS LÄN</t>
        </is>
      </c>
      <c r="E9549" t="inlineStr">
        <is>
          <t>ROBERTSFORS</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19160-2023</t>
        </is>
      </c>
      <c r="B9550" s="1" t="n">
        <v>45048</v>
      </c>
      <c r="C9550" s="1" t="n">
        <v>46145</v>
      </c>
      <c r="D9550" t="inlineStr">
        <is>
          <t>VÄSTERBOTTENS LÄN</t>
        </is>
      </c>
      <c r="E9550" t="inlineStr">
        <is>
          <t>ROBERTSFORS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35557-2021</t>
        </is>
      </c>
      <c r="B9551" s="1" t="n">
        <v>44385</v>
      </c>
      <c r="C9551" s="1" t="n">
        <v>46145</v>
      </c>
      <c r="D9551" t="inlineStr">
        <is>
          <t>VÄSTERBOTTENS LÄN</t>
        </is>
      </c>
      <c r="E9551" t="inlineStr">
        <is>
          <t>VÄNNÄS</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7384-2022</t>
        </is>
      </c>
      <c r="B9552" s="1" t="n">
        <v>44606.62334490741</v>
      </c>
      <c r="C9552" s="1" t="n">
        <v>46145</v>
      </c>
      <c r="D9552" t="inlineStr">
        <is>
          <t>VÄSTERBOTTENS LÄN</t>
        </is>
      </c>
      <c r="E9552" t="inlineStr">
        <is>
          <t>UMEÅ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40462-2024</t>
        </is>
      </c>
      <c r="B9553" s="1" t="n">
        <v>45555.51084490741</v>
      </c>
      <c r="C9553" s="1" t="n">
        <v>46145</v>
      </c>
      <c r="D9553" t="inlineStr">
        <is>
          <t>VÄSTERBOTTENS LÄN</t>
        </is>
      </c>
      <c r="E9553" t="inlineStr">
        <is>
          <t>VILHELMINA</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16008-2026</t>
        </is>
      </c>
      <c r="B9554" s="1" t="n">
        <v>46108.41924768518</v>
      </c>
      <c r="C9554" s="1" t="n">
        <v>46145</v>
      </c>
      <c r="D9554" t="inlineStr">
        <is>
          <t>VÄSTERBOTTENS LÄN</t>
        </is>
      </c>
      <c r="E9554" t="inlineStr">
        <is>
          <t>ROBERTSFORS</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14071-2023</t>
        </is>
      </c>
      <c r="B9555" s="1" t="n">
        <v>45009.08837962963</v>
      </c>
      <c r="C9555" s="1" t="n">
        <v>46145</v>
      </c>
      <c r="D9555" t="inlineStr">
        <is>
          <t>VÄSTERBOTTENS LÄN</t>
        </is>
      </c>
      <c r="E9555" t="inlineStr">
        <is>
          <t>BJURHOLM</t>
        </is>
      </c>
      <c r="F9555" t="inlineStr">
        <is>
          <t>SCA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56343-2022</t>
        </is>
      </c>
      <c r="B9556" s="1" t="n">
        <v>44890</v>
      </c>
      <c r="C9556" s="1" t="n">
        <v>46145</v>
      </c>
      <c r="D9556" t="inlineStr">
        <is>
          <t>VÄSTERBOTTENS LÄN</t>
        </is>
      </c>
      <c r="E9556" t="inlineStr">
        <is>
          <t>LYCKSELE</t>
        </is>
      </c>
      <c r="F9556" t="inlineStr">
        <is>
          <t>Sveaskog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16554-2026</t>
        </is>
      </c>
      <c r="B9557" s="1" t="n">
        <v>46112.54966435185</v>
      </c>
      <c r="C9557" s="1" t="n">
        <v>46145</v>
      </c>
      <c r="D9557" t="inlineStr">
        <is>
          <t>VÄSTERBOTTENS LÄN</t>
        </is>
      </c>
      <c r="E9557" t="inlineStr">
        <is>
          <t>SKELLEFTEÅ</t>
        </is>
      </c>
      <c r="F9557" t="inlineStr">
        <is>
          <t>Sveaskog</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10833-2022</t>
        </is>
      </c>
      <c r="B9558" s="1" t="n">
        <v>44627</v>
      </c>
      <c r="C9558" s="1" t="n">
        <v>46145</v>
      </c>
      <c r="D9558" t="inlineStr">
        <is>
          <t>VÄSTERBOTTENS LÄN</t>
        </is>
      </c>
      <c r="E9558" t="inlineStr">
        <is>
          <t>VILHELMINA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1228-2023</t>
        </is>
      </c>
      <c r="B9559" s="1" t="n">
        <v>44935.97217592593</v>
      </c>
      <c r="C9559" s="1" t="n">
        <v>46145</v>
      </c>
      <c r="D9559" t="inlineStr">
        <is>
          <t>VÄSTERBOTTENS LÄN</t>
        </is>
      </c>
      <c r="E9559" t="inlineStr">
        <is>
          <t>ÅSELE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9030-2026</t>
        </is>
      </c>
      <c r="B9560" s="1" t="n">
        <v>46069.5141087963</v>
      </c>
      <c r="C9560" s="1" t="n">
        <v>46145</v>
      </c>
      <c r="D9560" t="inlineStr">
        <is>
          <t>VÄSTERBOTTENS LÄN</t>
        </is>
      </c>
      <c r="E9560" t="inlineStr">
        <is>
          <t>UMEÅ</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17324-2024</t>
        </is>
      </c>
      <c r="B9561" s="1" t="n">
        <v>45414</v>
      </c>
      <c r="C9561" s="1" t="n">
        <v>46145</v>
      </c>
      <c r="D9561" t="inlineStr">
        <is>
          <t>VÄSTERBOTTENS LÄN</t>
        </is>
      </c>
      <c r="E9561" t="inlineStr">
        <is>
          <t>SORSELE</t>
        </is>
      </c>
      <c r="G9561" t="n">
        <v>34.5</v>
      </c>
      <c r="H9561" t="n">
        <v>0</v>
      </c>
      <c r="I9561" t="n">
        <v>0</v>
      </c>
      <c r="J9561" t="n">
        <v>0</v>
      </c>
      <c r="K9561" t="n">
        <v>0</v>
      </c>
      <c r="L9561" t="n">
        <v>0</v>
      </c>
      <c r="M9561" t="n">
        <v>0</v>
      </c>
      <c r="N9561" t="n">
        <v>0</v>
      </c>
      <c r="O9561" t="n">
        <v>0</v>
      </c>
      <c r="P9561" t="n">
        <v>0</v>
      </c>
      <c r="Q9561" t="n">
        <v>0</v>
      </c>
      <c r="R9561" s="2" t="inlineStr"/>
    </row>
    <row r="9562" ht="15" customHeight="1">
      <c r="A9562" t="inlineStr">
        <is>
          <t>A 16508-2026</t>
        </is>
      </c>
      <c r="B9562" s="1" t="n">
        <v>46112.44688657407</v>
      </c>
      <c r="C9562" s="1" t="n">
        <v>46145</v>
      </c>
      <c r="D9562" t="inlineStr">
        <is>
          <t>VÄSTERBOTTENS LÄN</t>
        </is>
      </c>
      <c r="E9562" t="inlineStr">
        <is>
          <t>VINDELN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8203-2022</t>
        </is>
      </c>
      <c r="B9563" s="1" t="n">
        <v>44609</v>
      </c>
      <c r="C9563" s="1" t="n">
        <v>46145</v>
      </c>
      <c r="D9563" t="inlineStr">
        <is>
          <t>VÄSTERBOTTENS LÄN</t>
        </is>
      </c>
      <c r="E9563" t="inlineStr">
        <is>
          <t>SKELLEFTEÅ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38750-2021</t>
        </is>
      </c>
      <c r="B9564" s="1" t="n">
        <v>44410</v>
      </c>
      <c r="C9564" s="1" t="n">
        <v>46145</v>
      </c>
      <c r="D9564" t="inlineStr">
        <is>
          <t>VÄSTERBOTTENS LÄN</t>
        </is>
      </c>
      <c r="E9564" t="inlineStr">
        <is>
          <t>UMEÅ</t>
        </is>
      </c>
      <c r="F9564" t="inlineStr">
        <is>
          <t>Kommuner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9048-2026</t>
        </is>
      </c>
      <c r="B9565" s="1" t="n">
        <v>46069.55265046296</v>
      </c>
      <c r="C9565" s="1" t="n">
        <v>46145</v>
      </c>
      <c r="D9565" t="inlineStr">
        <is>
          <t>VÄSTERBOTTENS LÄN</t>
        </is>
      </c>
      <c r="E9565" t="inlineStr">
        <is>
          <t>STORUMAN</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9306-2026</t>
        </is>
      </c>
      <c r="B9566" s="1" t="n">
        <v>46070.60636574074</v>
      </c>
      <c r="C9566" s="1" t="n">
        <v>46145</v>
      </c>
      <c r="D9566" t="inlineStr">
        <is>
          <t>VÄSTERBOTTENS LÄN</t>
        </is>
      </c>
      <c r="E9566" t="inlineStr">
        <is>
          <t>MALÅ</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9311-2026</t>
        </is>
      </c>
      <c r="B9567" s="1" t="n">
        <v>46070.61159722223</v>
      </c>
      <c r="C9567" s="1" t="n">
        <v>46145</v>
      </c>
      <c r="D9567" t="inlineStr">
        <is>
          <t>VÄSTERBOTTENS LÄN</t>
        </is>
      </c>
      <c r="E9567" t="inlineStr">
        <is>
          <t>MALÅ</t>
        </is>
      </c>
      <c r="G9567" t="n">
        <v>6.3</v>
      </c>
      <c r="H9567" t="n">
        <v>0</v>
      </c>
      <c r="I9567" t="n">
        <v>0</v>
      </c>
      <c r="J9567" t="n">
        <v>0</v>
      </c>
      <c r="K9567" t="n">
        <v>0</v>
      </c>
      <c r="L9567" t="n">
        <v>0</v>
      </c>
      <c r="M9567" t="n">
        <v>0</v>
      </c>
      <c r="N9567" t="n">
        <v>0</v>
      </c>
      <c r="O9567" t="n">
        <v>0</v>
      </c>
      <c r="P9567" t="n">
        <v>0</v>
      </c>
      <c r="Q9567" t="n">
        <v>0</v>
      </c>
      <c r="R9567" s="2" t="inlineStr"/>
    </row>
    <row r="9568" ht="15" customHeight="1">
      <c r="A9568" t="inlineStr">
        <is>
          <t>A 46372-2021</t>
        </is>
      </c>
      <c r="B9568" s="1" t="n">
        <v>44442.94226851852</v>
      </c>
      <c r="C9568" s="1" t="n">
        <v>46145</v>
      </c>
      <c r="D9568" t="inlineStr">
        <is>
          <t>VÄSTERBOTTENS LÄN</t>
        </is>
      </c>
      <c r="E9568" t="inlineStr">
        <is>
          <t>VILHELMINA</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34296-2022</t>
        </is>
      </c>
      <c r="B9569" s="1" t="n">
        <v>44792.35222222222</v>
      </c>
      <c r="C9569" s="1" t="n">
        <v>46145</v>
      </c>
      <c r="D9569" t="inlineStr">
        <is>
          <t>VÄSTERBOTTENS LÄN</t>
        </is>
      </c>
      <c r="E9569" t="inlineStr">
        <is>
          <t>BJURHOLM</t>
        </is>
      </c>
      <c r="G9569" t="n">
        <v>9.1</v>
      </c>
      <c r="H9569" t="n">
        <v>0</v>
      </c>
      <c r="I9569" t="n">
        <v>0</v>
      </c>
      <c r="J9569" t="n">
        <v>0</v>
      </c>
      <c r="K9569" t="n">
        <v>0</v>
      </c>
      <c r="L9569" t="n">
        <v>0</v>
      </c>
      <c r="M9569" t="n">
        <v>0</v>
      </c>
      <c r="N9569" t="n">
        <v>0</v>
      </c>
      <c r="O9569" t="n">
        <v>0</v>
      </c>
      <c r="P9569" t="n">
        <v>0</v>
      </c>
      <c r="Q9569" t="n">
        <v>0</v>
      </c>
      <c r="R9569" s="2" t="inlineStr"/>
    </row>
    <row r="9570" ht="15" customHeight="1">
      <c r="A9570" t="inlineStr">
        <is>
          <t>A 16352-2026</t>
        </is>
      </c>
      <c r="B9570" s="1" t="n">
        <v>46111.59430555555</v>
      </c>
      <c r="C9570" s="1" t="n">
        <v>46145</v>
      </c>
      <c r="D9570" t="inlineStr">
        <is>
          <t>VÄSTERBOTTENS LÄN</t>
        </is>
      </c>
      <c r="E9570" t="inlineStr">
        <is>
          <t>DOROTEA</t>
        </is>
      </c>
      <c r="F9570" t="inlineStr">
        <is>
          <t>SCA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43975-2024</t>
        </is>
      </c>
      <c r="B9571" s="1" t="n">
        <v>45572.49075231481</v>
      </c>
      <c r="C9571" s="1" t="n">
        <v>46145</v>
      </c>
      <c r="D9571" t="inlineStr">
        <is>
          <t>VÄSTERBOTTENS LÄN</t>
        </is>
      </c>
      <c r="E9571" t="inlineStr">
        <is>
          <t>UMEÅ</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43925-2024</t>
        </is>
      </c>
      <c r="B9572" s="1" t="n">
        <v>45572.45052083334</v>
      </c>
      <c r="C9572" s="1" t="n">
        <v>46145</v>
      </c>
      <c r="D9572" t="inlineStr">
        <is>
          <t>VÄSTERBOTTENS LÄN</t>
        </is>
      </c>
      <c r="E9572" t="inlineStr">
        <is>
          <t>LYCKSELE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45343-2024</t>
        </is>
      </c>
      <c r="B9573" s="1" t="n">
        <v>45576.47199074074</v>
      </c>
      <c r="C9573" s="1" t="n">
        <v>46145</v>
      </c>
      <c r="D9573" t="inlineStr">
        <is>
          <t>VÄSTERBOTTENS LÄN</t>
        </is>
      </c>
      <c r="E9573" t="inlineStr">
        <is>
          <t>UMEÅ</t>
        </is>
      </c>
      <c r="F9573" t="inlineStr">
        <is>
          <t>Holmen skog AB</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45374-2024</t>
        </is>
      </c>
      <c r="B9574" s="1" t="n">
        <v>45576.51516203704</v>
      </c>
      <c r="C9574" s="1" t="n">
        <v>46145</v>
      </c>
      <c r="D9574" t="inlineStr">
        <is>
          <t>VÄSTERBOTTENS LÄN</t>
        </is>
      </c>
      <c r="E9574" t="inlineStr">
        <is>
          <t>SKELLEFTEÅ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16273-2026</t>
        </is>
      </c>
      <c r="B9575" s="1" t="n">
        <v>46111.48859953704</v>
      </c>
      <c r="C9575" s="1" t="n">
        <v>46145</v>
      </c>
      <c r="D9575" t="inlineStr">
        <is>
          <t>VÄSTERBOTTENS LÄN</t>
        </is>
      </c>
      <c r="E9575" t="inlineStr">
        <is>
          <t>SKELLEFTEÅ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16276-2026</t>
        </is>
      </c>
      <c r="B9576" s="1" t="n">
        <v>46111.49002314815</v>
      </c>
      <c r="C9576" s="1" t="n">
        <v>46145</v>
      </c>
      <c r="D9576" t="inlineStr">
        <is>
          <t>VÄSTERBOTTENS LÄN</t>
        </is>
      </c>
      <c r="E9576" t="inlineStr">
        <is>
          <t>DOROTEA</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16292-2026</t>
        </is>
      </c>
      <c r="B9577" s="1" t="n">
        <v>46111.52887731481</v>
      </c>
      <c r="C9577" s="1" t="n">
        <v>46145</v>
      </c>
      <c r="D9577" t="inlineStr">
        <is>
          <t>VÄSTERBOTTENS LÄN</t>
        </is>
      </c>
      <c r="E9577" t="inlineStr">
        <is>
          <t>SKELLEFTEÅ</t>
        </is>
      </c>
      <c r="F9577" t="inlineStr">
        <is>
          <t>Kyrkan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43172-2023</t>
        </is>
      </c>
      <c r="B9578" s="1" t="n">
        <v>45183</v>
      </c>
      <c r="C9578" s="1" t="n">
        <v>46145</v>
      </c>
      <c r="D9578" t="inlineStr">
        <is>
          <t>VÄSTERBOTTENS LÄN</t>
        </is>
      </c>
      <c r="E9578" t="inlineStr">
        <is>
          <t>BJURHOLM</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28722-2022</t>
        </is>
      </c>
      <c r="B9579" s="1" t="n">
        <v>44748</v>
      </c>
      <c r="C9579" s="1" t="n">
        <v>46145</v>
      </c>
      <c r="D9579" t="inlineStr">
        <is>
          <t>VÄSTERBOTTENS LÄN</t>
        </is>
      </c>
      <c r="E9579" t="inlineStr">
        <is>
          <t>VILHELMINA</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7462-2022</t>
        </is>
      </c>
      <c r="B9580" s="1" t="n">
        <v>44606</v>
      </c>
      <c r="C9580" s="1" t="n">
        <v>46145</v>
      </c>
      <c r="D9580" t="inlineStr">
        <is>
          <t>VÄSTERBOTTENS LÄN</t>
        </is>
      </c>
      <c r="E9580" t="inlineStr">
        <is>
          <t>SKELLEFTEÅ</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32035-2021</t>
        </is>
      </c>
      <c r="B9581" s="1" t="n">
        <v>44370.65484953704</v>
      </c>
      <c r="C9581" s="1" t="n">
        <v>46145</v>
      </c>
      <c r="D9581" t="inlineStr">
        <is>
          <t>VÄSTERBOTTENS LÄN</t>
        </is>
      </c>
      <c r="E9581" t="inlineStr">
        <is>
          <t>BJURHOLM</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9086-2026</t>
        </is>
      </c>
      <c r="B9582" s="1" t="n">
        <v>46069.61508101852</v>
      </c>
      <c r="C9582" s="1" t="n">
        <v>46145</v>
      </c>
      <c r="D9582" t="inlineStr">
        <is>
          <t>VÄSTERBOTTENS LÄN</t>
        </is>
      </c>
      <c r="E9582" t="inlineStr">
        <is>
          <t>STORUMAN</t>
        </is>
      </c>
      <c r="F9582" t="inlineStr">
        <is>
          <t>SCA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1348-2023</t>
        </is>
      </c>
      <c r="B9583" s="1" t="n">
        <v>44936</v>
      </c>
      <c r="C9583" s="1" t="n">
        <v>46145</v>
      </c>
      <c r="D9583" t="inlineStr">
        <is>
          <t>VÄSTERBOTTENS LÄN</t>
        </is>
      </c>
      <c r="E9583" t="inlineStr">
        <is>
          <t>ROBERTSFORS</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9255-2026</t>
        </is>
      </c>
      <c r="B9584" s="1" t="n">
        <v>46070.51079861111</v>
      </c>
      <c r="C9584" s="1" t="n">
        <v>46145</v>
      </c>
      <c r="D9584" t="inlineStr">
        <is>
          <t>VÄSTERBOTTENS LÄN</t>
        </is>
      </c>
      <c r="E9584" t="inlineStr">
        <is>
          <t>SKELLEFTEÅ</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61657-2022</t>
        </is>
      </c>
      <c r="B9585" s="1" t="n">
        <v>44916</v>
      </c>
      <c r="C9585" s="1" t="n">
        <v>46145</v>
      </c>
      <c r="D9585" t="inlineStr">
        <is>
          <t>VÄSTERBOTTENS LÄN</t>
        </is>
      </c>
      <c r="E9585" t="inlineStr">
        <is>
          <t>NORDMALING</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16482-2026</t>
        </is>
      </c>
      <c r="B9586" s="1" t="n">
        <v>46112.40325231481</v>
      </c>
      <c r="C9586" s="1" t="n">
        <v>46145</v>
      </c>
      <c r="D9586" t="inlineStr">
        <is>
          <t>VÄSTERBOTTENS LÄN</t>
        </is>
      </c>
      <c r="E9586" t="inlineStr">
        <is>
          <t>ROBERTSFORS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61858-2022</t>
        </is>
      </c>
      <c r="B9587" s="1" t="n">
        <v>44917</v>
      </c>
      <c r="C9587" s="1" t="n">
        <v>46145</v>
      </c>
      <c r="D9587" t="inlineStr">
        <is>
          <t>VÄSTERBOTTENS LÄN</t>
        </is>
      </c>
      <c r="E9587" t="inlineStr">
        <is>
          <t>VINDELN</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43251-2024</t>
        </is>
      </c>
      <c r="B9588" s="1" t="n">
        <v>45568.34429398148</v>
      </c>
      <c r="C9588" s="1" t="n">
        <v>46145</v>
      </c>
      <c r="D9588" t="inlineStr">
        <is>
          <t>VÄSTERBOTTENS LÄN</t>
        </is>
      </c>
      <c r="E9588" t="inlineStr">
        <is>
          <t>VILHELMINA</t>
        </is>
      </c>
      <c r="F9588" t="inlineStr">
        <is>
          <t>SCA</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9099-2026</t>
        </is>
      </c>
      <c r="B9589" s="1" t="n">
        <v>46069.64003472222</v>
      </c>
      <c r="C9589" s="1" t="n">
        <v>46145</v>
      </c>
      <c r="D9589" t="inlineStr">
        <is>
          <t>VÄSTERBOTTENS LÄN</t>
        </is>
      </c>
      <c r="E9589" t="inlineStr">
        <is>
          <t>STORUMAN</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43286-2024</t>
        </is>
      </c>
      <c r="B9590" s="1" t="n">
        <v>45568</v>
      </c>
      <c r="C9590" s="1" t="n">
        <v>46145</v>
      </c>
      <c r="D9590" t="inlineStr">
        <is>
          <t>VÄSTERBOTTENS LÄN</t>
        </is>
      </c>
      <c r="E9590" t="inlineStr">
        <is>
          <t>SORSELE</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45406-2024</t>
        </is>
      </c>
      <c r="B9591" s="1" t="n">
        <v>45576.58394675926</v>
      </c>
      <c r="C9591" s="1" t="n">
        <v>46145</v>
      </c>
      <c r="D9591" t="inlineStr">
        <is>
          <t>VÄSTERBOTTENS LÄN</t>
        </is>
      </c>
      <c r="E9591" t="inlineStr">
        <is>
          <t>LYCKSELE</t>
        </is>
      </c>
      <c r="F9591" t="inlineStr">
        <is>
          <t>Naturvårdsverket</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45418-2024</t>
        </is>
      </c>
      <c r="B9592" s="1" t="n">
        <v>45576.59891203704</v>
      </c>
      <c r="C9592" s="1" t="n">
        <v>46145</v>
      </c>
      <c r="D9592" t="inlineStr">
        <is>
          <t>VÄSTERBOTTENS LÄN</t>
        </is>
      </c>
      <c r="E9592" t="inlineStr">
        <is>
          <t>SKELLEFTEÅ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45421-2024</t>
        </is>
      </c>
      <c r="B9593" s="1" t="n">
        <v>45576.60200231482</v>
      </c>
      <c r="C9593" s="1" t="n">
        <v>46145</v>
      </c>
      <c r="D9593" t="inlineStr">
        <is>
          <t>VÄSTERBOTTENS LÄN</t>
        </is>
      </c>
      <c r="E9593" t="inlineStr">
        <is>
          <t>SKELLEFTEÅ</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9615-2026</t>
        </is>
      </c>
      <c r="B9594" s="1" t="n">
        <v>46070</v>
      </c>
      <c r="C9594" s="1" t="n">
        <v>46145</v>
      </c>
      <c r="D9594" t="inlineStr">
        <is>
          <t>VÄSTERBOTTENS LÄN</t>
        </is>
      </c>
      <c r="E9594" t="inlineStr">
        <is>
          <t>VILHELMINA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9217-2026</t>
        </is>
      </c>
      <c r="B9595" s="1" t="n">
        <v>46070</v>
      </c>
      <c r="C9595" s="1" t="n">
        <v>46145</v>
      </c>
      <c r="D9595" t="inlineStr">
        <is>
          <t>VÄSTERBOTTENS LÄN</t>
        </is>
      </c>
      <c r="E9595" t="inlineStr">
        <is>
          <t>VINDELN</t>
        </is>
      </c>
      <c r="F9595" t="inlineStr">
        <is>
          <t>Sveaskog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9256-2026</t>
        </is>
      </c>
      <c r="B9596" s="1" t="n">
        <v>46070.51081018519</v>
      </c>
      <c r="C9596" s="1" t="n">
        <v>46145</v>
      </c>
      <c r="D9596" t="inlineStr">
        <is>
          <t>VÄSTERBOTTENS LÄN</t>
        </is>
      </c>
      <c r="E9596" t="inlineStr">
        <is>
          <t>SKELLEFTEÅ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42861-2024</t>
        </is>
      </c>
      <c r="B9597" s="1" t="n">
        <v>45566.65780092592</v>
      </c>
      <c r="C9597" s="1" t="n">
        <v>46145</v>
      </c>
      <c r="D9597" t="inlineStr">
        <is>
          <t>VÄSTERBOTTENS LÄN</t>
        </is>
      </c>
      <c r="E9597" t="inlineStr">
        <is>
          <t>SKELLEFTEÅ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42877-2024</t>
        </is>
      </c>
      <c r="B9598" s="1" t="n">
        <v>45566.68878472222</v>
      </c>
      <c r="C9598" s="1" t="n">
        <v>46145</v>
      </c>
      <c r="D9598" t="inlineStr">
        <is>
          <t>VÄSTERBOTTENS LÄN</t>
        </is>
      </c>
      <c r="E9598" t="inlineStr">
        <is>
          <t>SKELLEFTEÅ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42897-2024</t>
        </is>
      </c>
      <c r="B9599" s="1" t="n">
        <v>45566.85192129629</v>
      </c>
      <c r="C9599" s="1" t="n">
        <v>46145</v>
      </c>
      <c r="D9599" t="inlineStr">
        <is>
          <t>VÄSTERBOTTENS LÄN</t>
        </is>
      </c>
      <c r="E9599" t="inlineStr">
        <is>
          <t>ÅSELE</t>
        </is>
      </c>
      <c r="F9599" t="inlineStr">
        <is>
          <t>Holmen skog AB</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52900-2023</t>
        </is>
      </c>
      <c r="B9600" s="1" t="n">
        <v>45226</v>
      </c>
      <c r="C9600" s="1" t="n">
        <v>46145</v>
      </c>
      <c r="D9600" t="inlineStr">
        <is>
          <t>VÄSTERBOTTENS LÄN</t>
        </is>
      </c>
      <c r="E9600" t="inlineStr">
        <is>
          <t>UMEÅ</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16424-2026</t>
        </is>
      </c>
      <c r="B9601" s="1" t="n">
        <v>46111.67768518518</v>
      </c>
      <c r="C9601" s="1" t="n">
        <v>46145</v>
      </c>
      <c r="D9601" t="inlineStr">
        <is>
          <t>VÄSTERBOTTENS LÄN</t>
        </is>
      </c>
      <c r="E9601" t="inlineStr">
        <is>
          <t>VINDELN</t>
        </is>
      </c>
      <c r="F9601" t="inlineStr">
        <is>
          <t>SCA</t>
        </is>
      </c>
      <c r="G9601" t="n">
        <v>21.3</v>
      </c>
      <c r="H9601" t="n">
        <v>0</v>
      </c>
      <c r="I9601" t="n">
        <v>0</v>
      </c>
      <c r="J9601" t="n">
        <v>0</v>
      </c>
      <c r="K9601" t="n">
        <v>0</v>
      </c>
      <c r="L9601" t="n">
        <v>0</v>
      </c>
      <c r="M9601" t="n">
        <v>0</v>
      </c>
      <c r="N9601" t="n">
        <v>0</v>
      </c>
      <c r="O9601" t="n">
        <v>0</v>
      </c>
      <c r="P9601" t="n">
        <v>0</v>
      </c>
      <c r="Q9601" t="n">
        <v>0</v>
      </c>
      <c r="R9601" s="2" t="inlineStr"/>
    </row>
    <row r="9602" ht="15" customHeight="1">
      <c r="A9602" t="inlineStr">
        <is>
          <t>A 45297-2024</t>
        </is>
      </c>
      <c r="B9602" s="1" t="n">
        <v>45576.40248842593</v>
      </c>
      <c r="C9602" s="1" t="n">
        <v>46145</v>
      </c>
      <c r="D9602" t="inlineStr">
        <is>
          <t>VÄSTERBOTTENS LÄN</t>
        </is>
      </c>
      <c r="E9602" t="inlineStr">
        <is>
          <t>ÅSELE</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3852-2023</t>
        </is>
      </c>
      <c r="B9603" s="1" t="n">
        <v>44950</v>
      </c>
      <c r="C9603" s="1" t="n">
        <v>46145</v>
      </c>
      <c r="D9603" t="inlineStr">
        <is>
          <t>VÄSTERBOTTENS LÄN</t>
        </is>
      </c>
      <c r="E9603" t="inlineStr">
        <is>
          <t>SKELLEFTEÅ</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20550-2024</t>
        </is>
      </c>
      <c r="B9604" s="1" t="n">
        <v>45436</v>
      </c>
      <c r="C9604" s="1" t="n">
        <v>46145</v>
      </c>
      <c r="D9604" t="inlineStr">
        <is>
          <t>VÄSTERBOTTENS LÄN</t>
        </is>
      </c>
      <c r="E9604" t="inlineStr">
        <is>
          <t>VINDELN</t>
        </is>
      </c>
      <c r="F9604" t="inlineStr">
        <is>
          <t>Sveaskog</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15723-2026</t>
        </is>
      </c>
      <c r="B9605" s="1" t="n">
        <v>46106</v>
      </c>
      <c r="C9605" s="1" t="n">
        <v>46145</v>
      </c>
      <c r="D9605" t="inlineStr">
        <is>
          <t>VÄSTERBOTTENS LÄN</t>
        </is>
      </c>
      <c r="E9605" t="inlineStr">
        <is>
          <t>NORDMALING</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42473-2024</t>
        </is>
      </c>
      <c r="B9606" s="1" t="n">
        <v>45565.49016203704</v>
      </c>
      <c r="C9606" s="1" t="n">
        <v>46145</v>
      </c>
      <c r="D9606" t="inlineStr">
        <is>
          <t>VÄSTERBOTTENS LÄN</t>
        </is>
      </c>
      <c r="E9606" t="inlineStr">
        <is>
          <t>DOROTEA</t>
        </is>
      </c>
      <c r="F9606" t="inlineStr">
        <is>
          <t>SCA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9250-2026</t>
        </is>
      </c>
      <c r="B9607" s="1" t="n">
        <v>46070.50366898148</v>
      </c>
      <c r="C9607" s="1" t="n">
        <v>46145</v>
      </c>
      <c r="D9607" t="inlineStr">
        <is>
          <t>VÄSTERBOTTENS LÄN</t>
        </is>
      </c>
      <c r="E9607" t="inlineStr">
        <is>
          <t>VÄNNÄS</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20592-2024</t>
        </is>
      </c>
      <c r="B9608" s="1" t="n">
        <v>45436</v>
      </c>
      <c r="C9608" s="1" t="n">
        <v>46145</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41756-2024</t>
        </is>
      </c>
      <c r="B9609" s="1" t="n">
        <v>45561</v>
      </c>
      <c r="C9609" s="1" t="n">
        <v>46145</v>
      </c>
      <c r="D9609" t="inlineStr">
        <is>
          <t>VÄSTERBOTTENS LÄN</t>
        </is>
      </c>
      <c r="E9609" t="inlineStr">
        <is>
          <t>LYCKSELE</t>
        </is>
      </c>
      <c r="F9609" t="inlineStr">
        <is>
          <t>Sveaskog</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41815-2024</t>
        </is>
      </c>
      <c r="B9610" s="1" t="n">
        <v>45561</v>
      </c>
      <c r="C9610" s="1" t="n">
        <v>46145</v>
      </c>
      <c r="D9610" t="inlineStr">
        <is>
          <t>VÄSTERBOTTENS LÄN</t>
        </is>
      </c>
      <c r="E9610" t="inlineStr">
        <is>
          <t>ÅSELE</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12373-2024</t>
        </is>
      </c>
      <c r="B9611" s="1" t="n">
        <v>45378</v>
      </c>
      <c r="C9611" s="1" t="n">
        <v>46145</v>
      </c>
      <c r="D9611" t="inlineStr">
        <is>
          <t>VÄSTERBOTTENS LÄN</t>
        </is>
      </c>
      <c r="E9611" t="inlineStr">
        <is>
          <t>VILHELMINA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3411-2023</t>
        </is>
      </c>
      <c r="B9612" s="1" t="n">
        <v>44949.55421296296</v>
      </c>
      <c r="C9612" s="1" t="n">
        <v>46145</v>
      </c>
      <c r="D9612" t="inlineStr">
        <is>
          <t>VÄSTERBOTTENS LÄN</t>
        </is>
      </c>
      <c r="E9612" t="inlineStr">
        <is>
          <t>UMEÅ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14185-2022</t>
        </is>
      </c>
      <c r="B9613" s="1" t="n">
        <v>44650</v>
      </c>
      <c r="C9613" s="1" t="n">
        <v>46145</v>
      </c>
      <c r="D9613" t="inlineStr">
        <is>
          <t>VÄSTERBOTTENS LÄN</t>
        </is>
      </c>
      <c r="E9613" t="inlineStr">
        <is>
          <t>STORUMAN</t>
        </is>
      </c>
      <c r="F9613" t="inlineStr">
        <is>
          <t>Övriga statliga verk och myndigheter</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16380-2026</t>
        </is>
      </c>
      <c r="B9614" s="1" t="n">
        <v>46111.62127314815</v>
      </c>
      <c r="C9614" s="1" t="n">
        <v>46145</v>
      </c>
      <c r="D9614" t="inlineStr">
        <is>
          <t>VÄSTERBOTTENS LÄN</t>
        </is>
      </c>
      <c r="E9614" t="inlineStr">
        <is>
          <t>SKELLEFTEÅ</t>
        </is>
      </c>
      <c r="F9614" t="inlineStr">
        <is>
          <t>Sveaskog</t>
        </is>
      </c>
      <c r="G9614" t="n">
        <v>17.7</v>
      </c>
      <c r="H9614" t="n">
        <v>0</v>
      </c>
      <c r="I9614" t="n">
        <v>0</v>
      </c>
      <c r="J9614" t="n">
        <v>0</v>
      </c>
      <c r="K9614" t="n">
        <v>0</v>
      </c>
      <c r="L9614" t="n">
        <v>0</v>
      </c>
      <c r="M9614" t="n">
        <v>0</v>
      </c>
      <c r="N9614" t="n">
        <v>0</v>
      </c>
      <c r="O9614" t="n">
        <v>0</v>
      </c>
      <c r="P9614" t="n">
        <v>0</v>
      </c>
      <c r="Q9614" t="n">
        <v>0</v>
      </c>
      <c r="R9614" s="2" t="inlineStr"/>
    </row>
    <row r="9615" ht="15" customHeight="1">
      <c r="A9615" t="inlineStr">
        <is>
          <t>A 42010-2024</t>
        </is>
      </c>
      <c r="B9615" s="1" t="n">
        <v>45561</v>
      </c>
      <c r="C9615" s="1" t="n">
        <v>46145</v>
      </c>
      <c r="D9615" t="inlineStr">
        <is>
          <t>VÄSTERBOTTENS LÄN</t>
        </is>
      </c>
      <c r="E9615" t="inlineStr">
        <is>
          <t>UMEÅ</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29835-2023</t>
        </is>
      </c>
      <c r="B9616" s="1" t="n">
        <v>45107</v>
      </c>
      <c r="C9616" s="1" t="n">
        <v>46145</v>
      </c>
      <c r="D9616" t="inlineStr">
        <is>
          <t>VÄSTERBOTTENS LÄN</t>
        </is>
      </c>
      <c r="E9616" t="inlineStr">
        <is>
          <t>LYCKSELE</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19776-2024</t>
        </is>
      </c>
      <c r="B9617" s="1" t="n">
        <v>45432</v>
      </c>
      <c r="C9617" s="1" t="n">
        <v>46145</v>
      </c>
      <c r="D9617" t="inlineStr">
        <is>
          <t>VÄSTERBOTTENS LÄN</t>
        </is>
      </c>
      <c r="E9617" t="inlineStr">
        <is>
          <t>ROBERTSFORS</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21842-2022</t>
        </is>
      </c>
      <c r="B9618" s="1" t="n">
        <v>44711.30804398148</v>
      </c>
      <c r="C9618" s="1" t="n">
        <v>46145</v>
      </c>
      <c r="D9618" t="inlineStr">
        <is>
          <t>VÄSTERBOTTENS LÄN</t>
        </is>
      </c>
      <c r="E9618" t="inlineStr">
        <is>
          <t>SKELLEFTEÅ</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41663-2024</t>
        </is>
      </c>
      <c r="B9619" s="1" t="n">
        <v>45560.64923611111</v>
      </c>
      <c r="C9619" s="1" t="n">
        <v>46145</v>
      </c>
      <c r="D9619" t="inlineStr">
        <is>
          <t>VÄSTERBOTTENS LÄN</t>
        </is>
      </c>
      <c r="E9619" t="inlineStr">
        <is>
          <t>VINDELN</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41695-2024</t>
        </is>
      </c>
      <c r="B9620" s="1" t="n">
        <v>45560.68400462963</v>
      </c>
      <c r="C9620" s="1" t="n">
        <v>46145</v>
      </c>
      <c r="D9620" t="inlineStr">
        <is>
          <t>VÄSTERBOTTENS LÄN</t>
        </is>
      </c>
      <c r="E9620" t="inlineStr">
        <is>
          <t>VINDELN</t>
        </is>
      </c>
      <c r="F9620" t="inlineStr">
        <is>
          <t>Sveaskog</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16392-2026</t>
        </is>
      </c>
      <c r="B9621" s="1" t="n">
        <v>46111.63450231482</v>
      </c>
      <c r="C9621" s="1" t="n">
        <v>46145</v>
      </c>
      <c r="D9621" t="inlineStr">
        <is>
          <t>VÄSTERBOTTENS LÄN</t>
        </is>
      </c>
      <c r="E9621" t="inlineStr">
        <is>
          <t>NORDMALING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9199-2026</t>
        </is>
      </c>
      <c r="B9622" s="1" t="n">
        <v>46070.40673611111</v>
      </c>
      <c r="C9622" s="1" t="n">
        <v>46145</v>
      </c>
      <c r="D9622" t="inlineStr">
        <is>
          <t>VÄSTERBOTTENS LÄN</t>
        </is>
      </c>
      <c r="E9622" t="inlineStr">
        <is>
          <t>ÅSELE</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9222-2026</t>
        </is>
      </c>
      <c r="B9623" s="1" t="n">
        <v>46070.44840277778</v>
      </c>
      <c r="C9623" s="1" t="n">
        <v>46145</v>
      </c>
      <c r="D9623" t="inlineStr">
        <is>
          <t>VÄSTERBOTTENS LÄN</t>
        </is>
      </c>
      <c r="E9623" t="inlineStr">
        <is>
          <t>VINDELN</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18052-2024</t>
        </is>
      </c>
      <c r="B9624" s="1" t="n">
        <v>45420</v>
      </c>
      <c r="C9624" s="1" t="n">
        <v>46145</v>
      </c>
      <c r="D9624" t="inlineStr">
        <is>
          <t>VÄSTERBOTTENS LÄN</t>
        </is>
      </c>
      <c r="E9624" t="inlineStr">
        <is>
          <t>SORSELE</t>
        </is>
      </c>
      <c r="G9624" t="n">
        <v>7.8</v>
      </c>
      <c r="H9624" t="n">
        <v>0</v>
      </c>
      <c r="I9624" t="n">
        <v>0</v>
      </c>
      <c r="J9624" t="n">
        <v>0</v>
      </c>
      <c r="K9624" t="n">
        <v>0</v>
      </c>
      <c r="L9624" t="n">
        <v>0</v>
      </c>
      <c r="M9624" t="n">
        <v>0</v>
      </c>
      <c r="N9624" t="n">
        <v>0</v>
      </c>
      <c r="O9624" t="n">
        <v>0</v>
      </c>
      <c r="P9624" t="n">
        <v>0</v>
      </c>
      <c r="Q9624" t="n">
        <v>0</v>
      </c>
      <c r="R9624" s="2" t="inlineStr"/>
    </row>
    <row r="9625" ht="15" customHeight="1">
      <c r="A9625" t="inlineStr">
        <is>
          <t>A 45559-2022</t>
        </is>
      </c>
      <c r="B9625" s="1" t="n">
        <v>44845.48649305556</v>
      </c>
      <c r="C9625" s="1" t="n">
        <v>46145</v>
      </c>
      <c r="D9625" t="inlineStr">
        <is>
          <t>VÄSTERBOTTENS LÄN</t>
        </is>
      </c>
      <c r="E9625" t="inlineStr">
        <is>
          <t>LYCKSELE</t>
        </is>
      </c>
      <c r="G9625" t="n">
        <v>17.8</v>
      </c>
      <c r="H9625" t="n">
        <v>0</v>
      </c>
      <c r="I9625" t="n">
        <v>0</v>
      </c>
      <c r="J9625" t="n">
        <v>0</v>
      </c>
      <c r="K9625" t="n">
        <v>0</v>
      </c>
      <c r="L9625" t="n">
        <v>0</v>
      </c>
      <c r="M9625" t="n">
        <v>0</v>
      </c>
      <c r="N9625" t="n">
        <v>0</v>
      </c>
      <c r="O9625" t="n">
        <v>0</v>
      </c>
      <c r="P9625" t="n">
        <v>0</v>
      </c>
      <c r="Q9625" t="n">
        <v>0</v>
      </c>
      <c r="R9625" s="2" t="inlineStr"/>
    </row>
    <row r="9626" ht="15" customHeight="1">
      <c r="A9626" t="inlineStr">
        <is>
          <t>A 62109-2023</t>
        </is>
      </c>
      <c r="B9626" s="1" t="n">
        <v>45266.95105324074</v>
      </c>
      <c r="C9626" s="1" t="n">
        <v>46145</v>
      </c>
      <c r="D9626" t="inlineStr">
        <is>
          <t>VÄSTERBOTTENS LÄN</t>
        </is>
      </c>
      <c r="E9626" t="inlineStr">
        <is>
          <t>ÅSELE</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16540-2026</t>
        </is>
      </c>
      <c r="B9627" s="1" t="n">
        <v>46112.4964699074</v>
      </c>
      <c r="C9627" s="1" t="n">
        <v>46145</v>
      </c>
      <c r="D9627" t="inlineStr">
        <is>
          <t>VÄSTERBOTTENS LÄN</t>
        </is>
      </c>
      <c r="E9627" t="inlineStr">
        <is>
          <t>LYCKSELE</t>
        </is>
      </c>
      <c r="G9627" t="n">
        <v>17.1</v>
      </c>
      <c r="H9627" t="n">
        <v>0</v>
      </c>
      <c r="I9627" t="n">
        <v>0</v>
      </c>
      <c r="J9627" t="n">
        <v>0</v>
      </c>
      <c r="K9627" t="n">
        <v>0</v>
      </c>
      <c r="L9627" t="n">
        <v>0</v>
      </c>
      <c r="M9627" t="n">
        <v>0</v>
      </c>
      <c r="N9627" t="n">
        <v>0</v>
      </c>
      <c r="O9627" t="n">
        <v>0</v>
      </c>
      <c r="P9627" t="n">
        <v>0</v>
      </c>
      <c r="Q9627" t="n">
        <v>0</v>
      </c>
      <c r="R9627" s="2" t="inlineStr"/>
    </row>
    <row r="9628" ht="15" customHeight="1">
      <c r="A9628" t="inlineStr">
        <is>
          <t>A 12715-2022</t>
        </is>
      </c>
      <c r="B9628" s="1" t="n">
        <v>44641</v>
      </c>
      <c r="C9628" s="1" t="n">
        <v>46145</v>
      </c>
      <c r="D9628" t="inlineStr">
        <is>
          <t>VÄSTERBOTTENS LÄN</t>
        </is>
      </c>
      <c r="E9628" t="inlineStr">
        <is>
          <t>SKELLEFTEÅ</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8409-2022</t>
        </is>
      </c>
      <c r="B9629" s="1" t="n">
        <v>44610.92238425926</v>
      </c>
      <c r="C9629" s="1" t="n">
        <v>46145</v>
      </c>
      <c r="D9629" t="inlineStr">
        <is>
          <t>VÄSTERBOTTENS LÄN</t>
        </is>
      </c>
      <c r="E9629" t="inlineStr">
        <is>
          <t>UMEÅ</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15222-2026</t>
        </is>
      </c>
      <c r="B9630" s="1" t="n">
        <v>46105.53722222222</v>
      </c>
      <c r="C9630" s="1" t="n">
        <v>46145</v>
      </c>
      <c r="D9630" t="inlineStr">
        <is>
          <t>VÄSTERBOTTENS LÄN</t>
        </is>
      </c>
      <c r="E9630" t="inlineStr">
        <is>
          <t>SKELLEFTEÅ</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4619-2022</t>
        </is>
      </c>
      <c r="B9631" s="1" t="n">
        <v>44592</v>
      </c>
      <c r="C9631" s="1" t="n">
        <v>46145</v>
      </c>
      <c r="D9631" t="inlineStr">
        <is>
          <t>VÄSTERBOTTENS LÄN</t>
        </is>
      </c>
      <c r="E9631" t="inlineStr">
        <is>
          <t>ÅSELE</t>
        </is>
      </c>
      <c r="G9631" t="n">
        <v>17.6</v>
      </c>
      <c r="H9631" t="n">
        <v>0</v>
      </c>
      <c r="I9631" t="n">
        <v>0</v>
      </c>
      <c r="J9631" t="n">
        <v>0</v>
      </c>
      <c r="K9631" t="n">
        <v>0</v>
      </c>
      <c r="L9631" t="n">
        <v>0</v>
      </c>
      <c r="M9631" t="n">
        <v>0</v>
      </c>
      <c r="N9631" t="n">
        <v>0</v>
      </c>
      <c r="O9631" t="n">
        <v>0</v>
      </c>
      <c r="P9631" t="n">
        <v>0</v>
      </c>
      <c r="Q9631" t="n">
        <v>0</v>
      </c>
      <c r="R9631" s="2" t="inlineStr"/>
    </row>
    <row r="9632" ht="15" customHeight="1">
      <c r="A9632" t="inlineStr">
        <is>
          <t>A 9294-2026</t>
        </is>
      </c>
      <c r="B9632" s="1" t="n">
        <v>46070.59443287037</v>
      </c>
      <c r="C9632" s="1" t="n">
        <v>46145</v>
      </c>
      <c r="D9632" t="inlineStr">
        <is>
          <t>VÄSTERBOTTENS LÄN</t>
        </is>
      </c>
      <c r="E9632" t="inlineStr">
        <is>
          <t>VINDELN</t>
        </is>
      </c>
      <c r="F9632" t="inlineStr">
        <is>
          <t>SCA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9310-2026</t>
        </is>
      </c>
      <c r="B9633" s="1" t="n">
        <v>46070.60898148148</v>
      </c>
      <c r="C9633" s="1" t="n">
        <v>46145</v>
      </c>
      <c r="D9633" t="inlineStr">
        <is>
          <t>VÄSTERBOTTENS LÄN</t>
        </is>
      </c>
      <c r="E9633" t="inlineStr">
        <is>
          <t>LYCKSELE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21961-2021</t>
        </is>
      </c>
      <c r="B9634" s="1" t="n">
        <v>44323</v>
      </c>
      <c r="C9634" s="1" t="n">
        <v>46145</v>
      </c>
      <c r="D9634" t="inlineStr">
        <is>
          <t>VÄSTERBOTTENS LÄN</t>
        </is>
      </c>
      <c r="E9634" t="inlineStr">
        <is>
          <t>LYCKSELE</t>
        </is>
      </c>
      <c r="G9634" t="n">
        <v>11.1</v>
      </c>
      <c r="H9634" t="n">
        <v>0</v>
      </c>
      <c r="I9634" t="n">
        <v>0</v>
      </c>
      <c r="J9634" t="n">
        <v>0</v>
      </c>
      <c r="K9634" t="n">
        <v>0</v>
      </c>
      <c r="L9634" t="n">
        <v>0</v>
      </c>
      <c r="M9634" t="n">
        <v>0</v>
      </c>
      <c r="N9634" t="n">
        <v>0</v>
      </c>
      <c r="O9634" t="n">
        <v>0</v>
      </c>
      <c r="P9634" t="n">
        <v>0</v>
      </c>
      <c r="Q9634" t="n">
        <v>0</v>
      </c>
      <c r="R9634" s="2" t="inlineStr"/>
    </row>
    <row r="9635" ht="15" customHeight="1">
      <c r="A9635" t="inlineStr">
        <is>
          <t>A 9377-2026</t>
        </is>
      </c>
      <c r="B9635" s="1" t="n">
        <v>46070</v>
      </c>
      <c r="C9635" s="1" t="n">
        <v>46145</v>
      </c>
      <c r="D9635" t="inlineStr">
        <is>
          <t>VÄSTERBOTTENS LÄN</t>
        </is>
      </c>
      <c r="E9635" t="inlineStr">
        <is>
          <t>UMEÅ</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52500-2022</t>
        </is>
      </c>
      <c r="B9636" s="1" t="n">
        <v>44869</v>
      </c>
      <c r="C9636" s="1" t="n">
        <v>46145</v>
      </c>
      <c r="D9636" t="inlineStr">
        <is>
          <t>VÄSTERBOTTENS LÄN</t>
        </is>
      </c>
      <c r="E9636" t="inlineStr">
        <is>
          <t>SKELLEFTEÅ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41358-2022</t>
        </is>
      </c>
      <c r="B9637" s="1" t="n">
        <v>44826</v>
      </c>
      <c r="C9637" s="1" t="n">
        <v>46145</v>
      </c>
      <c r="D9637" t="inlineStr">
        <is>
          <t>VÄSTERBOTTENS LÄN</t>
        </is>
      </c>
      <c r="E9637" t="inlineStr">
        <is>
          <t>LYCKSELE</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16505-2026</t>
        </is>
      </c>
      <c r="B9638" s="1" t="n">
        <v>46112.4444212963</v>
      </c>
      <c r="C9638" s="1" t="n">
        <v>46145</v>
      </c>
      <c r="D9638" t="inlineStr">
        <is>
          <t>VÄSTERBOTTENS LÄN</t>
        </is>
      </c>
      <c r="E9638" t="inlineStr">
        <is>
          <t>VINDELN</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33520-2021</t>
        </is>
      </c>
      <c r="B9639" s="1" t="n">
        <v>44377.75653935185</v>
      </c>
      <c r="C9639" s="1" t="n">
        <v>46145</v>
      </c>
      <c r="D9639" t="inlineStr">
        <is>
          <t>VÄSTERBOTTENS LÄN</t>
        </is>
      </c>
      <c r="E9639" t="inlineStr">
        <is>
          <t>SKELLEFTEÅ</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16539-2026</t>
        </is>
      </c>
      <c r="B9640" s="1" t="n">
        <v>46112.49597222222</v>
      </c>
      <c r="C9640" s="1" t="n">
        <v>46145</v>
      </c>
      <c r="D9640" t="inlineStr">
        <is>
          <t>VÄSTERBOTTENS LÄN</t>
        </is>
      </c>
      <c r="E9640" t="inlineStr">
        <is>
          <t>LYCKSELE</t>
        </is>
      </c>
      <c r="G9640" t="n">
        <v>13.9</v>
      </c>
      <c r="H9640" t="n">
        <v>0</v>
      </c>
      <c r="I9640" t="n">
        <v>0</v>
      </c>
      <c r="J9640" t="n">
        <v>0</v>
      </c>
      <c r="K9640" t="n">
        <v>0</v>
      </c>
      <c r="L9640" t="n">
        <v>0</v>
      </c>
      <c r="M9640" t="n">
        <v>0</v>
      </c>
      <c r="N9640" t="n">
        <v>0</v>
      </c>
      <c r="O9640" t="n">
        <v>0</v>
      </c>
      <c r="P9640" t="n">
        <v>0</v>
      </c>
      <c r="Q9640" t="n">
        <v>0</v>
      </c>
      <c r="R9640" s="2" t="inlineStr"/>
    </row>
    <row r="9641" ht="15" customHeight="1">
      <c r="A9641" t="inlineStr">
        <is>
          <t>A 21265-2021</t>
        </is>
      </c>
      <c r="B9641" s="1" t="n">
        <v>44320.5741087963</v>
      </c>
      <c r="C9641" s="1" t="n">
        <v>46145</v>
      </c>
      <c r="D9641" t="inlineStr">
        <is>
          <t>VÄSTERBOTTENS LÄN</t>
        </is>
      </c>
      <c r="E9641" t="inlineStr">
        <is>
          <t>SKELLEFTEÅ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38092-2022</t>
        </is>
      </c>
      <c r="B9642" s="1" t="n">
        <v>44811.93648148148</v>
      </c>
      <c r="C9642" s="1" t="n">
        <v>46145</v>
      </c>
      <c r="D9642" t="inlineStr">
        <is>
          <t>VÄSTERBOTTENS LÄN</t>
        </is>
      </c>
      <c r="E9642" t="inlineStr">
        <is>
          <t>ROBERTSFORS</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8963-2026</t>
        </is>
      </c>
      <c r="B9643" s="1" t="n">
        <v>46069.41846064815</v>
      </c>
      <c r="C9643" s="1" t="n">
        <v>46145</v>
      </c>
      <c r="D9643" t="inlineStr">
        <is>
          <t>VÄSTERBOTTENS LÄN</t>
        </is>
      </c>
      <c r="E9643" t="inlineStr">
        <is>
          <t>STORUMAN</t>
        </is>
      </c>
      <c r="G9643" t="n">
        <v>19.8</v>
      </c>
      <c r="H9643" t="n">
        <v>0</v>
      </c>
      <c r="I9643" t="n">
        <v>0</v>
      </c>
      <c r="J9643" t="n">
        <v>0</v>
      </c>
      <c r="K9643" t="n">
        <v>0</v>
      </c>
      <c r="L9643" t="n">
        <v>0</v>
      </c>
      <c r="M9643" t="n">
        <v>0</v>
      </c>
      <c r="N9643" t="n">
        <v>0</v>
      </c>
      <c r="O9643" t="n">
        <v>0</v>
      </c>
      <c r="P9643" t="n">
        <v>0</v>
      </c>
      <c r="Q9643" t="n">
        <v>0</v>
      </c>
      <c r="R9643" s="2" t="inlineStr"/>
    </row>
    <row r="9644" ht="15" customHeight="1">
      <c r="A9644" t="inlineStr">
        <is>
          <t>A 16251-2026</t>
        </is>
      </c>
      <c r="B9644" s="1" t="n">
        <v>46111.46923611111</v>
      </c>
      <c r="C9644" s="1" t="n">
        <v>46145</v>
      </c>
      <c r="D9644" t="inlineStr">
        <is>
          <t>VÄSTERBOTTENS LÄN</t>
        </is>
      </c>
      <c r="E9644" t="inlineStr">
        <is>
          <t>DOROTEA</t>
        </is>
      </c>
      <c r="F9644" t="inlineStr">
        <is>
          <t>SCA</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16646-2026</t>
        </is>
      </c>
      <c r="B9645" s="1" t="n">
        <v>46112.63652777778</v>
      </c>
      <c r="C9645" s="1" t="n">
        <v>46145</v>
      </c>
      <c r="D9645" t="inlineStr">
        <is>
          <t>VÄSTERBOTTENS LÄN</t>
        </is>
      </c>
      <c r="E9645" t="inlineStr">
        <is>
          <t>LYCKSELE</t>
        </is>
      </c>
      <c r="F9645" t="inlineStr">
        <is>
          <t>SCA</t>
        </is>
      </c>
      <c r="G9645" t="n">
        <v>13.9</v>
      </c>
      <c r="H9645" t="n">
        <v>0</v>
      </c>
      <c r="I9645" t="n">
        <v>0</v>
      </c>
      <c r="J9645" t="n">
        <v>0</v>
      </c>
      <c r="K9645" t="n">
        <v>0</v>
      </c>
      <c r="L9645" t="n">
        <v>0</v>
      </c>
      <c r="M9645" t="n">
        <v>0</v>
      </c>
      <c r="N9645" t="n">
        <v>0</v>
      </c>
      <c r="O9645" t="n">
        <v>0</v>
      </c>
      <c r="P9645" t="n">
        <v>0</v>
      </c>
      <c r="Q9645" t="n">
        <v>0</v>
      </c>
      <c r="R9645" s="2" t="inlineStr"/>
    </row>
    <row r="9646" ht="15" customHeight="1">
      <c r="A9646" t="inlineStr">
        <is>
          <t>A 56716-2022</t>
        </is>
      </c>
      <c r="B9646" s="1" t="n">
        <v>44893.92828703704</v>
      </c>
      <c r="C9646" s="1" t="n">
        <v>46145</v>
      </c>
      <c r="D9646" t="inlineStr">
        <is>
          <t>VÄSTERBOTTENS LÄN</t>
        </is>
      </c>
      <c r="E9646" t="inlineStr">
        <is>
          <t>NORSJÖ</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16397-2026</t>
        </is>
      </c>
      <c r="B9647" s="1" t="n">
        <v>46111.6362037037</v>
      </c>
      <c r="C9647" s="1" t="n">
        <v>46145</v>
      </c>
      <c r="D9647" t="inlineStr">
        <is>
          <t>VÄSTERBOTTENS LÄN</t>
        </is>
      </c>
      <c r="E9647" t="inlineStr">
        <is>
          <t>LYCKSELE</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1933-2023</t>
        </is>
      </c>
      <c r="B9648" s="1" t="n">
        <v>44938</v>
      </c>
      <c r="C9648" s="1" t="n">
        <v>46145</v>
      </c>
      <c r="D9648" t="inlineStr">
        <is>
          <t>VÄSTERBOTTENS LÄN</t>
        </is>
      </c>
      <c r="E9648" t="inlineStr">
        <is>
          <t>SKELLEFTEÅ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4626-2022</t>
        </is>
      </c>
      <c r="B9649" s="1" t="n">
        <v>44592</v>
      </c>
      <c r="C9649" s="1" t="n">
        <v>46145</v>
      </c>
      <c r="D9649" t="inlineStr">
        <is>
          <t>VÄSTERBOTTENS LÄN</t>
        </is>
      </c>
      <c r="E9649" t="inlineStr">
        <is>
          <t>ÅSELE</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9200-2026</t>
        </is>
      </c>
      <c r="B9650" s="1" t="n">
        <v>46070.40694444445</v>
      </c>
      <c r="C9650" s="1" t="n">
        <v>46145</v>
      </c>
      <c r="D9650" t="inlineStr">
        <is>
          <t>VÄSTERBOTTENS LÄN</t>
        </is>
      </c>
      <c r="E9650" t="inlineStr">
        <is>
          <t>VINDELN</t>
        </is>
      </c>
      <c r="F9650" t="inlineStr">
        <is>
          <t>SCA</t>
        </is>
      </c>
      <c r="G9650" t="n">
        <v>16.4</v>
      </c>
      <c r="H9650" t="n">
        <v>0</v>
      </c>
      <c r="I9650" t="n">
        <v>0</v>
      </c>
      <c r="J9650" t="n">
        <v>0</v>
      </c>
      <c r="K9650" t="n">
        <v>0</v>
      </c>
      <c r="L9650" t="n">
        <v>0</v>
      </c>
      <c r="M9650" t="n">
        <v>0</v>
      </c>
      <c r="N9650" t="n">
        <v>0</v>
      </c>
      <c r="O9650" t="n">
        <v>0</v>
      </c>
      <c r="P9650" t="n">
        <v>0</v>
      </c>
      <c r="Q9650" t="n">
        <v>0</v>
      </c>
      <c r="R9650" s="2" t="inlineStr"/>
    </row>
    <row r="9651" ht="15" customHeight="1">
      <c r="A9651" t="inlineStr">
        <is>
          <t>A 41503-2021</t>
        </is>
      </c>
      <c r="B9651" s="1" t="n">
        <v>44424</v>
      </c>
      <c r="C9651" s="1" t="n">
        <v>46145</v>
      </c>
      <c r="D9651" t="inlineStr">
        <is>
          <t>VÄSTERBOTTENS LÄN</t>
        </is>
      </c>
      <c r="E9651" t="inlineStr">
        <is>
          <t>BJURHOLM</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19100-2022</t>
        </is>
      </c>
      <c r="B9652" s="1" t="n">
        <v>44691.52804398148</v>
      </c>
      <c r="C9652" s="1" t="n">
        <v>46145</v>
      </c>
      <c r="D9652" t="inlineStr">
        <is>
          <t>VÄSTERBOTTENS LÄN</t>
        </is>
      </c>
      <c r="E9652" t="inlineStr">
        <is>
          <t>VÄNNÄS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28732-2024</t>
        </is>
      </c>
      <c r="B9653" s="1" t="n">
        <v>45478</v>
      </c>
      <c r="C9653" s="1" t="n">
        <v>46145</v>
      </c>
      <c r="D9653" t="inlineStr">
        <is>
          <t>VÄSTERBOTTENS LÄN</t>
        </is>
      </c>
      <c r="E9653" t="inlineStr">
        <is>
          <t>VINDELN</t>
        </is>
      </c>
      <c r="F9653" t="inlineStr">
        <is>
          <t>Holmen skog AB</t>
        </is>
      </c>
      <c r="G9653" t="n">
        <v>4.4</v>
      </c>
      <c r="H9653" t="n">
        <v>0</v>
      </c>
      <c r="I9653" t="n">
        <v>0</v>
      </c>
      <c r="J9653" t="n">
        <v>0</v>
      </c>
      <c r="K9653" t="n">
        <v>0</v>
      </c>
      <c r="L9653" t="n">
        <v>0</v>
      </c>
      <c r="M9653" t="n">
        <v>0</v>
      </c>
      <c r="N9653" t="n">
        <v>0</v>
      </c>
      <c r="O9653" t="n">
        <v>0</v>
      </c>
      <c r="P9653" t="n">
        <v>0</v>
      </c>
      <c r="Q9653" t="n">
        <v>0</v>
      </c>
      <c r="R9653" s="2" t="inlineStr"/>
      <c r="U9653">
        <f>HYPERLINK("https://klasma.github.io/Logging_2404/knärot/A 28732-2024 karta knärot.png", "A 28732-2024")</f>
        <v/>
      </c>
      <c r="V9653">
        <f>HYPERLINK("https://klasma.github.io/Logging_2404/klagomål/A 28732-2024 FSC-klagomål.docx", "A 28732-2024")</f>
        <v/>
      </c>
      <c r="W9653">
        <f>HYPERLINK("https://klasma.github.io/Logging_2404/klagomålsmail/A 28732-2024 FSC-klagomål mail.docx", "A 28732-2024")</f>
        <v/>
      </c>
      <c r="X9653">
        <f>HYPERLINK("https://klasma.github.io/Logging_2404/tillsyn/A 28732-2024 tillsynsbegäran.docx", "A 28732-2024")</f>
        <v/>
      </c>
      <c r="Y9653">
        <f>HYPERLINK("https://klasma.github.io/Logging_2404/tillsynsmail/A 28732-2024 tillsynsbegäran mail.docx", "A 28732-2024")</f>
        <v/>
      </c>
    </row>
    <row r="9654" ht="15" customHeight="1">
      <c r="A9654" t="inlineStr">
        <is>
          <t>A 11320-2023</t>
        </is>
      </c>
      <c r="B9654" s="1" t="n">
        <v>44993.01296296297</v>
      </c>
      <c r="C9654" s="1" t="n">
        <v>46145</v>
      </c>
      <c r="D9654" t="inlineStr">
        <is>
          <t>VÄSTERBOTTENS LÄN</t>
        </is>
      </c>
      <c r="E9654" t="inlineStr">
        <is>
          <t>ÅSELE</t>
        </is>
      </c>
      <c r="F9654" t="inlineStr">
        <is>
          <t>SCA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21843-2024</t>
        </is>
      </c>
      <c r="B9655" s="1" t="n">
        <v>45442.96064814815</v>
      </c>
      <c r="C9655" s="1" t="n">
        <v>46145</v>
      </c>
      <c r="D9655" t="inlineStr">
        <is>
          <t>VÄSTERBOTTENS LÄN</t>
        </is>
      </c>
      <c r="E9655" t="inlineStr">
        <is>
          <t>VILHELMINA</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34819-2024</t>
        </is>
      </c>
      <c r="B9656" s="1" t="n">
        <v>45526.71134259259</v>
      </c>
      <c r="C9656" s="1" t="n">
        <v>46145</v>
      </c>
      <c r="D9656" t="inlineStr">
        <is>
          <t>VÄSTERBOTTENS LÄN</t>
        </is>
      </c>
      <c r="E9656" t="inlineStr">
        <is>
          <t>VILHELMINA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31466-2021</t>
        </is>
      </c>
      <c r="B9657" s="1" t="n">
        <v>44369</v>
      </c>
      <c r="C9657" s="1" t="n">
        <v>46145</v>
      </c>
      <c r="D9657" t="inlineStr">
        <is>
          <t>VÄSTERBOTTENS LÄN</t>
        </is>
      </c>
      <c r="E9657" t="inlineStr">
        <is>
          <t>LYCKSELE</t>
        </is>
      </c>
      <c r="F9657" t="inlineStr">
        <is>
          <t>Sveaskog</t>
        </is>
      </c>
      <c r="G9657" t="n">
        <v>18.3</v>
      </c>
      <c r="H9657" t="n">
        <v>0</v>
      </c>
      <c r="I9657" t="n">
        <v>0</v>
      </c>
      <c r="J9657" t="n">
        <v>0</v>
      </c>
      <c r="K9657" t="n">
        <v>0</v>
      </c>
      <c r="L9657" t="n">
        <v>0</v>
      </c>
      <c r="M9657" t="n">
        <v>0</v>
      </c>
      <c r="N9657" t="n">
        <v>0</v>
      </c>
      <c r="O9657" t="n">
        <v>0</v>
      </c>
      <c r="P9657" t="n">
        <v>0</v>
      </c>
      <c r="Q9657" t="n">
        <v>0</v>
      </c>
      <c r="R9657" s="2" t="inlineStr"/>
    </row>
    <row r="9658" ht="15" customHeight="1">
      <c r="A9658" t="inlineStr">
        <is>
          <t>A 22193-2023</t>
        </is>
      </c>
      <c r="B9658" s="1" t="n">
        <v>45069</v>
      </c>
      <c r="C9658" s="1" t="n">
        <v>46145</v>
      </c>
      <c r="D9658" t="inlineStr">
        <is>
          <t>VÄSTERBOTTENS LÄN</t>
        </is>
      </c>
      <c r="E9658" t="inlineStr">
        <is>
          <t>VÄNNÄS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10567-2023</t>
        </is>
      </c>
      <c r="B9659" s="1" t="n">
        <v>44981</v>
      </c>
      <c r="C9659" s="1" t="n">
        <v>46145</v>
      </c>
      <c r="D9659" t="inlineStr">
        <is>
          <t>VÄSTERBOTTENS LÄN</t>
        </is>
      </c>
      <c r="E9659" t="inlineStr">
        <is>
          <t>SKELLEFTEÅ</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846-2022</t>
        </is>
      </c>
      <c r="B9660" s="1" t="n">
        <v>44571</v>
      </c>
      <c r="C9660" s="1" t="n">
        <v>46145</v>
      </c>
      <c r="D9660" t="inlineStr">
        <is>
          <t>VÄSTERBOTTENS LÄN</t>
        </is>
      </c>
      <c r="E9660" t="inlineStr">
        <is>
          <t>VÄNNÄS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8921-2026</t>
        </is>
      </c>
      <c r="B9661" s="1" t="n">
        <v>46069.33297453704</v>
      </c>
      <c r="C9661" s="1" t="n">
        <v>46145</v>
      </c>
      <c r="D9661" t="inlineStr">
        <is>
          <t>VÄSTERBOTTENS LÄN</t>
        </is>
      </c>
      <c r="E9661" t="inlineStr">
        <is>
          <t>UMEÅ</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2576-2022</t>
        </is>
      </c>
      <c r="B9662" s="1" t="n">
        <v>44580</v>
      </c>
      <c r="C9662" s="1" t="n">
        <v>46145</v>
      </c>
      <c r="D9662" t="inlineStr">
        <is>
          <t>VÄSTERBOTTENS LÄN</t>
        </is>
      </c>
      <c r="E9662" t="inlineStr">
        <is>
          <t>LYCKSELE</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42849-2024</t>
        </is>
      </c>
      <c r="B9663" s="1" t="n">
        <v>45566.64021990741</v>
      </c>
      <c r="C9663" s="1" t="n">
        <v>46145</v>
      </c>
      <c r="D9663" t="inlineStr">
        <is>
          <t>VÄSTERBOTTENS LÄN</t>
        </is>
      </c>
      <c r="E9663" t="inlineStr">
        <is>
          <t>SKELLEFTEÅ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44100-2024</t>
        </is>
      </c>
      <c r="B9664" s="1" t="n">
        <v>45572.62739583333</v>
      </c>
      <c r="C9664" s="1" t="n">
        <v>46145</v>
      </c>
      <c r="D9664" t="inlineStr">
        <is>
          <t>VÄSTERBOTTENS LÄN</t>
        </is>
      </c>
      <c r="E9664" t="inlineStr">
        <is>
          <t>SKELLEFTEÅ</t>
        </is>
      </c>
      <c r="F9664" t="inlineStr">
        <is>
          <t>Holmen skog AB</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12043-2023</t>
        </is>
      </c>
      <c r="B9665" s="1" t="n">
        <v>44995</v>
      </c>
      <c r="C9665" s="1" t="n">
        <v>46145</v>
      </c>
      <c r="D9665" t="inlineStr">
        <is>
          <t>VÄSTERBOTTENS LÄN</t>
        </is>
      </c>
      <c r="E9665" t="inlineStr">
        <is>
          <t>VILHELMINA</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16314-2026</t>
        </is>
      </c>
      <c r="B9666" s="1" t="n">
        <v>46111.55255787037</v>
      </c>
      <c r="C9666" s="1" t="n">
        <v>46145</v>
      </c>
      <c r="D9666" t="inlineStr">
        <is>
          <t>VÄSTERBOTTENS LÄN</t>
        </is>
      </c>
      <c r="E9666" t="inlineStr">
        <is>
          <t>SKELLEFTEÅ</t>
        </is>
      </c>
      <c r="F9666" t="inlineStr">
        <is>
          <t>SCA</t>
        </is>
      </c>
      <c r="G9666" t="n">
        <v>8.5</v>
      </c>
      <c r="H9666" t="n">
        <v>0</v>
      </c>
      <c r="I9666" t="n">
        <v>0</v>
      </c>
      <c r="J9666" t="n">
        <v>0</v>
      </c>
      <c r="K9666" t="n">
        <v>0</v>
      </c>
      <c r="L9666" t="n">
        <v>0</v>
      </c>
      <c r="M9666" t="n">
        <v>0</v>
      </c>
      <c r="N9666" t="n">
        <v>0</v>
      </c>
      <c r="O9666" t="n">
        <v>0</v>
      </c>
      <c r="P9666" t="n">
        <v>0</v>
      </c>
      <c r="Q9666" t="n">
        <v>0</v>
      </c>
      <c r="R9666" s="2" t="inlineStr"/>
    </row>
    <row r="9667" ht="15" customHeight="1">
      <c r="A9667" t="inlineStr">
        <is>
          <t>A 9218-2026</t>
        </is>
      </c>
      <c r="B9667" s="1" t="n">
        <v>46070.44359953704</v>
      </c>
      <c r="C9667" s="1" t="n">
        <v>46145</v>
      </c>
      <c r="D9667" t="inlineStr">
        <is>
          <t>VÄSTERBOTTENS LÄN</t>
        </is>
      </c>
      <c r="E9667" t="inlineStr">
        <is>
          <t>UMEÅ</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16642-2026</t>
        </is>
      </c>
      <c r="B9668" s="1" t="n">
        <v>46112.63592592593</v>
      </c>
      <c r="C9668" s="1" t="n">
        <v>46145</v>
      </c>
      <c r="D9668" t="inlineStr">
        <is>
          <t>VÄSTERBOTTENS LÄN</t>
        </is>
      </c>
      <c r="E9668" t="inlineStr">
        <is>
          <t>LYCKSELE</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16643-2026</t>
        </is>
      </c>
      <c r="B9669" s="1" t="n">
        <v>46112.63609953703</v>
      </c>
      <c r="C9669" s="1" t="n">
        <v>46145</v>
      </c>
      <c r="D9669" t="inlineStr">
        <is>
          <t>VÄSTERBOTTENS LÄN</t>
        </is>
      </c>
      <c r="E9669" t="inlineStr">
        <is>
          <t>LYCKSELE</t>
        </is>
      </c>
      <c r="F9669" t="inlineStr">
        <is>
          <t>SCA</t>
        </is>
      </c>
      <c r="G9669" t="n">
        <v>16.8</v>
      </c>
      <c r="H9669" t="n">
        <v>0</v>
      </c>
      <c r="I9669" t="n">
        <v>0</v>
      </c>
      <c r="J9669" t="n">
        <v>0</v>
      </c>
      <c r="K9669" t="n">
        <v>0</v>
      </c>
      <c r="L9669" t="n">
        <v>0</v>
      </c>
      <c r="M9669" t="n">
        <v>0</v>
      </c>
      <c r="N9669" t="n">
        <v>0</v>
      </c>
      <c r="O9669" t="n">
        <v>0</v>
      </c>
      <c r="P9669" t="n">
        <v>0</v>
      </c>
      <c r="Q9669" t="n">
        <v>0</v>
      </c>
      <c r="R9669" s="2" t="inlineStr"/>
    </row>
    <row r="9670" ht="15" customHeight="1">
      <c r="A9670" t="inlineStr">
        <is>
          <t>A 9038-2026</t>
        </is>
      </c>
      <c r="B9670" s="1" t="n">
        <v>46069.53618055556</v>
      </c>
      <c r="C9670" s="1" t="n">
        <v>46145</v>
      </c>
      <c r="D9670" t="inlineStr">
        <is>
          <t>VÄSTERBOTTENS LÄN</t>
        </is>
      </c>
      <c r="E9670" t="inlineStr">
        <is>
          <t>STORUMAN</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16177-2026</t>
        </is>
      </c>
      <c r="B9671" s="1" t="n">
        <v>46111.34460648148</v>
      </c>
      <c r="C9671" s="1" t="n">
        <v>46145</v>
      </c>
      <c r="D9671" t="inlineStr">
        <is>
          <t>VÄSTERBOTTENS LÄN</t>
        </is>
      </c>
      <c r="E9671" t="inlineStr">
        <is>
          <t>VILHELMINA</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16176-2026</t>
        </is>
      </c>
      <c r="B9672" s="1" t="n">
        <v>46111.34435185185</v>
      </c>
      <c r="C9672" s="1" t="n">
        <v>46145</v>
      </c>
      <c r="D9672" t="inlineStr">
        <is>
          <t>VÄSTERBOTTENS LÄN</t>
        </is>
      </c>
      <c r="E9672" t="inlineStr">
        <is>
          <t>VILHELMINA</t>
        </is>
      </c>
      <c r="F9672" t="inlineStr">
        <is>
          <t>SCA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4791-2022</t>
        </is>
      </c>
      <c r="B9673" s="1" t="n">
        <v>44592</v>
      </c>
      <c r="C9673" s="1" t="n">
        <v>46145</v>
      </c>
      <c r="D9673" t="inlineStr">
        <is>
          <t>VÄSTERBOTTENS LÄN</t>
        </is>
      </c>
      <c r="E9673" t="inlineStr">
        <is>
          <t>SKELLEFTEÅ</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914-2023</t>
        </is>
      </c>
      <c r="B9674" s="1" t="n">
        <v>44931.92650462963</v>
      </c>
      <c r="C9674" s="1" t="n">
        <v>46145</v>
      </c>
      <c r="D9674" t="inlineStr">
        <is>
          <t>VÄSTERBOTTENS LÄN</t>
        </is>
      </c>
      <c r="E9674" t="inlineStr">
        <is>
          <t>DOROTEA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9123-2026</t>
        </is>
      </c>
      <c r="B9675" s="1" t="n">
        <v>46069.68662037037</v>
      </c>
      <c r="C9675" s="1" t="n">
        <v>46145</v>
      </c>
      <c r="D9675" t="inlineStr">
        <is>
          <t>VÄSTERBOTTENS LÄN</t>
        </is>
      </c>
      <c r="E9675" t="inlineStr">
        <is>
          <t>UMEÅ</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9264-2026</t>
        </is>
      </c>
      <c r="B9676" s="1" t="n">
        <v>46070.53387731482</v>
      </c>
      <c r="C9676" s="1" t="n">
        <v>46145</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16724-2026</t>
        </is>
      </c>
      <c r="B9677" s="1" t="n">
        <v>46113.35996527778</v>
      </c>
      <c r="C9677" s="1" t="n">
        <v>46145</v>
      </c>
      <c r="D9677" t="inlineStr">
        <is>
          <t>VÄSTERBOTTENS LÄN</t>
        </is>
      </c>
      <c r="E9677" t="inlineStr">
        <is>
          <t>NORDMALING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16728-2026</t>
        </is>
      </c>
      <c r="B9678" s="1" t="n">
        <v>46113.36512731481</v>
      </c>
      <c r="C9678" s="1" t="n">
        <v>46145</v>
      </c>
      <c r="D9678" t="inlineStr">
        <is>
          <t>VÄSTERBOTTENS LÄN</t>
        </is>
      </c>
      <c r="E9678" t="inlineStr">
        <is>
          <t>UMEÅ</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4005-2022</t>
        </is>
      </c>
      <c r="B9679" s="1" t="n">
        <v>44587.92012731481</v>
      </c>
      <c r="C9679" s="1" t="n">
        <v>46145</v>
      </c>
      <c r="D9679" t="inlineStr">
        <is>
          <t>VÄSTERBOTTENS LÄN</t>
        </is>
      </c>
      <c r="E9679" t="inlineStr">
        <is>
          <t>SKELLEFTEÅ</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16876-2026</t>
        </is>
      </c>
      <c r="B9680" s="1" t="n">
        <v>46113.59200231481</v>
      </c>
      <c r="C9680" s="1" t="n">
        <v>46145</v>
      </c>
      <c r="D9680" t="inlineStr">
        <is>
          <t>VÄSTERBOTTENS LÄN</t>
        </is>
      </c>
      <c r="E9680" t="inlineStr">
        <is>
          <t>VINDELN</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16903-2026</t>
        </is>
      </c>
      <c r="B9681" s="1" t="n">
        <v>46113.63366898148</v>
      </c>
      <c r="C9681" s="1" t="n">
        <v>46145</v>
      </c>
      <c r="D9681" t="inlineStr">
        <is>
          <t>VÄSTERBOTTENS LÄN</t>
        </is>
      </c>
      <c r="E9681" t="inlineStr">
        <is>
          <t>NORSJÖ</t>
        </is>
      </c>
      <c r="F9681" t="inlineStr">
        <is>
          <t>Holmen skog AB</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46965-2024</t>
        </is>
      </c>
      <c r="B9682" s="1" t="n">
        <v>45586.32023148148</v>
      </c>
      <c r="C9682" s="1" t="n">
        <v>46145</v>
      </c>
      <c r="D9682" t="inlineStr">
        <is>
          <t>VÄSTERBOTTENS LÄN</t>
        </is>
      </c>
      <c r="E9682" t="inlineStr">
        <is>
          <t>DOROTEA</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21590-2023</t>
        </is>
      </c>
      <c r="B9683" s="1" t="n">
        <v>45063</v>
      </c>
      <c r="C9683" s="1" t="n">
        <v>46145</v>
      </c>
      <c r="D9683" t="inlineStr">
        <is>
          <t>VÄSTERBOTTENS LÄN</t>
        </is>
      </c>
      <c r="E9683" t="inlineStr">
        <is>
          <t>SORSELE</t>
        </is>
      </c>
      <c r="G9683" t="n">
        <v>54.1</v>
      </c>
      <c r="H9683" t="n">
        <v>0</v>
      </c>
      <c r="I9683" t="n">
        <v>0</v>
      </c>
      <c r="J9683" t="n">
        <v>0</v>
      </c>
      <c r="K9683" t="n">
        <v>0</v>
      </c>
      <c r="L9683" t="n">
        <v>0</v>
      </c>
      <c r="M9683" t="n">
        <v>0</v>
      </c>
      <c r="N9683" t="n">
        <v>0</v>
      </c>
      <c r="O9683" t="n">
        <v>0</v>
      </c>
      <c r="P9683" t="n">
        <v>0</v>
      </c>
      <c r="Q9683" t="n">
        <v>0</v>
      </c>
      <c r="R9683" s="2" t="inlineStr"/>
    </row>
    <row r="9684" ht="15" customHeight="1">
      <c r="A9684" t="inlineStr">
        <is>
          <t>A 28540-2023</t>
        </is>
      </c>
      <c r="B9684" s="1" t="n">
        <v>45103.49182870371</v>
      </c>
      <c r="C9684" s="1" t="n">
        <v>46145</v>
      </c>
      <c r="D9684" t="inlineStr">
        <is>
          <t>VÄSTERBOTTENS LÄN</t>
        </is>
      </c>
      <c r="E9684" t="inlineStr">
        <is>
          <t>LYCKSELE</t>
        </is>
      </c>
      <c r="F9684" t="inlineStr">
        <is>
          <t>Sveaskog</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39400-2024</t>
        </is>
      </c>
      <c r="B9685" s="1" t="n">
        <v>45551.55501157408</v>
      </c>
      <c r="C9685" s="1" t="n">
        <v>46145</v>
      </c>
      <c r="D9685" t="inlineStr">
        <is>
          <t>VÄSTERBOTTENS LÄN</t>
        </is>
      </c>
      <c r="E9685" t="inlineStr">
        <is>
          <t>NORSJÖ</t>
        </is>
      </c>
      <c r="F9685" t="inlineStr">
        <is>
          <t>Holmen skog AB</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36763-2023</t>
        </is>
      </c>
      <c r="B9686" s="1" t="n">
        <v>45153</v>
      </c>
      <c r="C9686" s="1" t="n">
        <v>46145</v>
      </c>
      <c r="D9686" t="inlineStr">
        <is>
          <t>VÄSTERBOTTENS LÄN</t>
        </is>
      </c>
      <c r="E9686" t="inlineStr">
        <is>
          <t>DOROTEA</t>
        </is>
      </c>
      <c r="F9686" t="inlineStr">
        <is>
          <t>SCA</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9454-2026</t>
        </is>
      </c>
      <c r="B9687" s="1" t="n">
        <v>46071.48370370371</v>
      </c>
      <c r="C9687" s="1" t="n">
        <v>46145</v>
      </c>
      <c r="D9687" t="inlineStr">
        <is>
          <t>VÄSTERBOTTENS LÄN</t>
        </is>
      </c>
      <c r="E9687" t="inlineStr">
        <is>
          <t>UMEÅ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62082-2022</t>
        </is>
      </c>
      <c r="B9688" s="1" t="n">
        <v>44918</v>
      </c>
      <c r="C9688" s="1" t="n">
        <v>46145</v>
      </c>
      <c r="D9688" t="inlineStr">
        <is>
          <t>VÄSTERBOTTENS LÄN</t>
        </is>
      </c>
      <c r="E9688" t="inlineStr">
        <is>
          <t>BJURHOLM</t>
        </is>
      </c>
      <c r="F9688" t="inlineStr">
        <is>
          <t>SCA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62084-2022</t>
        </is>
      </c>
      <c r="B9689" s="1" t="n">
        <v>44919</v>
      </c>
      <c r="C9689" s="1" t="n">
        <v>46145</v>
      </c>
      <c r="D9689" t="inlineStr">
        <is>
          <t>VÄSTERBOTTENS LÄN</t>
        </is>
      </c>
      <c r="E9689" t="inlineStr">
        <is>
          <t>ROBERTSFORS</t>
        </is>
      </c>
      <c r="G9689" t="n">
        <v>64.7</v>
      </c>
      <c r="H9689" t="n">
        <v>0</v>
      </c>
      <c r="I9689" t="n">
        <v>0</v>
      </c>
      <c r="J9689" t="n">
        <v>0</v>
      </c>
      <c r="K9689" t="n">
        <v>0</v>
      </c>
      <c r="L9689" t="n">
        <v>0</v>
      </c>
      <c r="M9689" t="n">
        <v>0</v>
      </c>
      <c r="N9689" t="n">
        <v>0</v>
      </c>
      <c r="O9689" t="n">
        <v>0</v>
      </c>
      <c r="P9689" t="n">
        <v>0</v>
      </c>
      <c r="Q9689" t="n">
        <v>0</v>
      </c>
      <c r="R9689" s="2" t="inlineStr"/>
    </row>
    <row r="9690" ht="15" customHeight="1">
      <c r="A9690" t="inlineStr">
        <is>
          <t>A 35731-2023</t>
        </is>
      </c>
      <c r="B9690" s="1" t="n">
        <v>45147</v>
      </c>
      <c r="C9690" s="1" t="n">
        <v>46145</v>
      </c>
      <c r="D9690" t="inlineStr">
        <is>
          <t>VÄSTERBOTTENS LÄN</t>
        </is>
      </c>
      <c r="E9690" t="inlineStr">
        <is>
          <t>SKELLEFTEÅ</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39152-2023</t>
        </is>
      </c>
      <c r="B9691" s="1" t="n">
        <v>45166</v>
      </c>
      <c r="C9691" s="1" t="n">
        <v>46145</v>
      </c>
      <c r="D9691" t="inlineStr">
        <is>
          <t>VÄSTERBOTTENS LÄN</t>
        </is>
      </c>
      <c r="E9691" t="inlineStr">
        <is>
          <t>MALÅ</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9525-2026</t>
        </is>
      </c>
      <c r="B9692" s="1" t="n">
        <v>46071.60148148148</v>
      </c>
      <c r="C9692" s="1" t="n">
        <v>46145</v>
      </c>
      <c r="D9692" t="inlineStr">
        <is>
          <t>VÄSTERBOTTENS LÄN</t>
        </is>
      </c>
      <c r="E9692" t="inlineStr">
        <is>
          <t>VÄNNÄS</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39153-2023</t>
        </is>
      </c>
      <c r="B9693" s="1" t="n">
        <v>45166</v>
      </c>
      <c r="C9693" s="1" t="n">
        <v>46145</v>
      </c>
      <c r="D9693" t="inlineStr">
        <is>
          <t>VÄSTERBOTTENS LÄN</t>
        </is>
      </c>
      <c r="E9693" t="inlineStr">
        <is>
          <t>MALÅ</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16974-2026</t>
        </is>
      </c>
      <c r="B9694" s="1" t="n">
        <v>46114.38591435185</v>
      </c>
      <c r="C9694" s="1" t="n">
        <v>46145</v>
      </c>
      <c r="D9694" t="inlineStr">
        <is>
          <t>VÄSTERBOTTENS LÄN</t>
        </is>
      </c>
      <c r="E9694" t="inlineStr">
        <is>
          <t>BJURHOLM</t>
        </is>
      </c>
      <c r="F9694" t="inlineStr">
        <is>
          <t>SCA</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16911-2026</t>
        </is>
      </c>
      <c r="B9695" s="1" t="n">
        <v>46113</v>
      </c>
      <c r="C9695" s="1" t="n">
        <v>46145</v>
      </c>
      <c r="D9695" t="inlineStr">
        <is>
          <t>VÄSTERBOTTENS LÄN</t>
        </is>
      </c>
      <c r="E9695" t="inlineStr">
        <is>
          <t>SKELLEFTEÅ</t>
        </is>
      </c>
      <c r="F9695" t="inlineStr">
        <is>
          <t>Sveaskog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68036-2021</t>
        </is>
      </c>
      <c r="B9696" s="1" t="n">
        <v>44525</v>
      </c>
      <c r="C9696" s="1" t="n">
        <v>46145</v>
      </c>
      <c r="D9696" t="inlineStr">
        <is>
          <t>VÄSTERBOTTENS LÄN</t>
        </is>
      </c>
      <c r="E9696" t="inlineStr">
        <is>
          <t>MALÅ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54081-2022</t>
        </is>
      </c>
      <c r="B9697" s="1" t="n">
        <v>44881</v>
      </c>
      <c r="C9697" s="1" t="n">
        <v>46145</v>
      </c>
      <c r="D9697" t="inlineStr">
        <is>
          <t>VÄSTERBOTTENS LÄN</t>
        </is>
      </c>
      <c r="E9697" t="inlineStr">
        <is>
          <t>SKELLEFTEÅ</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3456-2023</t>
        </is>
      </c>
      <c r="B9698" s="1" t="n">
        <v>44949</v>
      </c>
      <c r="C9698" s="1" t="n">
        <v>46145</v>
      </c>
      <c r="D9698" t="inlineStr">
        <is>
          <t>VÄSTERBOTTENS LÄN</t>
        </is>
      </c>
      <c r="E9698" t="inlineStr">
        <is>
          <t>NORDMALING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48117-2022</t>
        </is>
      </c>
      <c r="B9699" s="1" t="n">
        <v>44857</v>
      </c>
      <c r="C9699" s="1" t="n">
        <v>46145</v>
      </c>
      <c r="D9699" t="inlineStr">
        <is>
          <t>VÄSTERBOTTENS LÄN</t>
        </is>
      </c>
      <c r="E9699" t="inlineStr">
        <is>
          <t>VILHELMINA</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9565-2026</t>
        </is>
      </c>
      <c r="B9700" s="1" t="n">
        <v>46071.65601851852</v>
      </c>
      <c r="C9700" s="1" t="n">
        <v>46145</v>
      </c>
      <c r="D9700" t="inlineStr">
        <is>
          <t>VÄSTERBOTTENS LÄN</t>
        </is>
      </c>
      <c r="E9700" t="inlineStr">
        <is>
          <t>STORUMAN</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16875-2026</t>
        </is>
      </c>
      <c r="B9701" s="1" t="n">
        <v>46113.5900925926</v>
      </c>
      <c r="C9701" s="1" t="n">
        <v>46145</v>
      </c>
      <c r="D9701" t="inlineStr">
        <is>
          <t>VÄSTERBOTTENS LÄN</t>
        </is>
      </c>
      <c r="E9701" t="inlineStr">
        <is>
          <t>VINDELN</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16892-2026</t>
        </is>
      </c>
      <c r="B9702" s="1" t="n">
        <v>46113.61587962963</v>
      </c>
      <c r="C9702" s="1" t="n">
        <v>46145</v>
      </c>
      <c r="D9702" t="inlineStr">
        <is>
          <t>VÄSTERBOTTENS LÄN</t>
        </is>
      </c>
      <c r="E9702" t="inlineStr">
        <is>
          <t>VINDELN</t>
        </is>
      </c>
      <c r="F9702" t="inlineStr">
        <is>
          <t>SCA</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26473-2021</t>
        </is>
      </c>
      <c r="B9703" s="1" t="n">
        <v>44348</v>
      </c>
      <c r="C9703" s="1" t="n">
        <v>46145</v>
      </c>
      <c r="D9703" t="inlineStr">
        <is>
          <t>VÄSTERBOTTENS LÄN</t>
        </is>
      </c>
      <c r="E9703" t="inlineStr">
        <is>
          <t>SKELLEFTEÅ</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16872-2026</t>
        </is>
      </c>
      <c r="B9704" s="1" t="n">
        <v>46113.58436342593</v>
      </c>
      <c r="C9704" s="1" t="n">
        <v>46145</v>
      </c>
      <c r="D9704" t="inlineStr">
        <is>
          <t>VÄSTERBOTTENS LÄN</t>
        </is>
      </c>
      <c r="E9704" t="inlineStr">
        <is>
          <t>ROBERTSFORS</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16985-2026</t>
        </is>
      </c>
      <c r="B9705" s="1" t="n">
        <v>46114.40734953704</v>
      </c>
      <c r="C9705" s="1" t="n">
        <v>46145</v>
      </c>
      <c r="D9705" t="inlineStr">
        <is>
          <t>VÄSTERBOTTENS LÄN</t>
        </is>
      </c>
      <c r="E9705" t="inlineStr">
        <is>
          <t>DOROTEA</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33184-2023</t>
        </is>
      </c>
      <c r="B9706" s="1" t="n">
        <v>45114</v>
      </c>
      <c r="C9706" s="1" t="n">
        <v>46145</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25515-2021</t>
        </is>
      </c>
      <c r="B9707" s="1" t="n">
        <v>44342.94759259259</v>
      </c>
      <c r="C9707" s="1" t="n">
        <v>46145</v>
      </c>
      <c r="D9707" t="inlineStr">
        <is>
          <t>VÄSTERBOTTENS LÄN</t>
        </is>
      </c>
      <c r="E9707" t="inlineStr">
        <is>
          <t>SKELLEFTEÅ</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16733-2026</t>
        </is>
      </c>
      <c r="B9708" s="1" t="n">
        <v>46113.36575231481</v>
      </c>
      <c r="C9708" s="1" t="n">
        <v>46145</v>
      </c>
      <c r="D9708" t="inlineStr">
        <is>
          <t>VÄSTERBOTTENS LÄN</t>
        </is>
      </c>
      <c r="E9708" t="inlineStr">
        <is>
          <t>LYCKSELE</t>
        </is>
      </c>
      <c r="F9708" t="inlineStr">
        <is>
          <t>SCA</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16737-2026</t>
        </is>
      </c>
      <c r="B9709" s="1" t="n">
        <v>46113.36979166666</v>
      </c>
      <c r="C9709" s="1" t="n">
        <v>46145</v>
      </c>
      <c r="D9709" t="inlineStr">
        <is>
          <t>VÄSTERBOTTENS LÄN</t>
        </is>
      </c>
      <c r="E9709" t="inlineStr">
        <is>
          <t>UMEÅ</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9792-2026</t>
        </is>
      </c>
      <c r="B9710" s="1" t="n">
        <v>46072.60488425926</v>
      </c>
      <c r="C9710" s="1" t="n">
        <v>46145</v>
      </c>
      <c r="D9710" t="inlineStr">
        <is>
          <t>VÄSTERBOTTENS LÄN</t>
        </is>
      </c>
      <c r="E9710" t="inlineStr">
        <is>
          <t>NORDMALING</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9829-2026</t>
        </is>
      </c>
      <c r="B9711" s="1" t="n">
        <v>46072.65678240741</v>
      </c>
      <c r="C9711" s="1" t="n">
        <v>46145</v>
      </c>
      <c r="D9711" t="inlineStr">
        <is>
          <t>VÄSTERBOTTENS LÄN</t>
        </is>
      </c>
      <c r="E9711" t="inlineStr">
        <is>
          <t>STORUMAN</t>
        </is>
      </c>
      <c r="F9711" t="inlineStr">
        <is>
          <t>SCA</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9830-2026</t>
        </is>
      </c>
      <c r="B9712" s="1" t="n">
        <v>46072.65697916667</v>
      </c>
      <c r="C9712" s="1" t="n">
        <v>46145</v>
      </c>
      <c r="D9712" t="inlineStr">
        <is>
          <t>VÄSTERBOTTENS LÄN</t>
        </is>
      </c>
      <c r="E9712" t="inlineStr">
        <is>
          <t>STORUMAN</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57819-2023</t>
        </is>
      </c>
      <c r="B9713" s="1" t="n">
        <v>45244</v>
      </c>
      <c r="C9713" s="1" t="n">
        <v>46145</v>
      </c>
      <c r="D9713" t="inlineStr">
        <is>
          <t>VÄSTERBOTTENS LÄN</t>
        </is>
      </c>
      <c r="E9713" t="inlineStr">
        <is>
          <t>VINDELN</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48082-2021</t>
        </is>
      </c>
      <c r="B9714" s="1" t="n">
        <v>44449.42745370371</v>
      </c>
      <c r="C9714" s="1" t="n">
        <v>46145</v>
      </c>
      <c r="D9714" t="inlineStr">
        <is>
          <t>VÄSTERBOTTENS LÄN</t>
        </is>
      </c>
      <c r="E9714" t="inlineStr">
        <is>
          <t>ÅSELE</t>
        </is>
      </c>
      <c r="F9714" t="inlineStr">
        <is>
          <t>Holmen skog AB</t>
        </is>
      </c>
      <c r="G9714" t="n">
        <v>9.800000000000001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39104-2022</t>
        </is>
      </c>
      <c r="B9715" s="1" t="n">
        <v>44816</v>
      </c>
      <c r="C9715" s="1" t="n">
        <v>46145</v>
      </c>
      <c r="D9715" t="inlineStr">
        <is>
          <t>VÄSTERBOTTENS LÄN</t>
        </is>
      </c>
      <c r="E9715" t="inlineStr">
        <is>
          <t>NORDMALING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4869-2023</t>
        </is>
      </c>
      <c r="B9716" s="1" t="n">
        <v>44957</v>
      </c>
      <c r="C9716" s="1" t="n">
        <v>46145</v>
      </c>
      <c r="D9716" t="inlineStr">
        <is>
          <t>VÄSTERBOTTENS LÄN</t>
        </is>
      </c>
      <c r="E9716" t="inlineStr">
        <is>
          <t>VILHELMINA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45757-2024</t>
        </is>
      </c>
      <c r="B9717" s="1" t="n">
        <v>45579.63565972223</v>
      </c>
      <c r="C9717" s="1" t="n">
        <v>46145</v>
      </c>
      <c r="D9717" t="inlineStr">
        <is>
          <t>VÄSTERBOTTENS LÄN</t>
        </is>
      </c>
      <c r="E9717" t="inlineStr">
        <is>
          <t>SKELLEFTEÅ</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54167-2022</t>
        </is>
      </c>
      <c r="B9718" s="1" t="n">
        <v>44881</v>
      </c>
      <c r="C9718" s="1" t="n">
        <v>46145</v>
      </c>
      <c r="D9718" t="inlineStr">
        <is>
          <t>VÄSTERBOTTENS LÄN</t>
        </is>
      </c>
      <c r="E9718" t="inlineStr">
        <is>
          <t>LYCKSELE</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9822-2026</t>
        </is>
      </c>
      <c r="B9719" s="1" t="n">
        <v>46072.64327546296</v>
      </c>
      <c r="C9719" s="1" t="n">
        <v>46145</v>
      </c>
      <c r="D9719" t="inlineStr">
        <is>
          <t>VÄSTERBOTTENS LÄN</t>
        </is>
      </c>
      <c r="E9719" t="inlineStr">
        <is>
          <t>VINDELN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37387-2024</t>
        </is>
      </c>
      <c r="B9720" s="1" t="n">
        <v>45540.58892361111</v>
      </c>
      <c r="C9720" s="1" t="n">
        <v>46145</v>
      </c>
      <c r="D9720" t="inlineStr">
        <is>
          <t>VÄSTERBOTTENS LÄN</t>
        </is>
      </c>
      <c r="E9720" t="inlineStr">
        <is>
          <t>VINDELN</t>
        </is>
      </c>
      <c r="F9720" t="inlineStr">
        <is>
          <t>Holmen skog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37391-2024</t>
        </is>
      </c>
      <c r="B9721" s="1" t="n">
        <v>45540.59409722222</v>
      </c>
      <c r="C9721" s="1" t="n">
        <v>46145</v>
      </c>
      <c r="D9721" t="inlineStr">
        <is>
          <t>VÄSTERBOTTENS LÄN</t>
        </is>
      </c>
      <c r="E9721" t="inlineStr">
        <is>
          <t>LYCKSELE</t>
        </is>
      </c>
      <c r="F9721" t="inlineStr">
        <is>
          <t>SCA</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37395-2024</t>
        </is>
      </c>
      <c r="B9722" s="1" t="n">
        <v>45540.59734953703</v>
      </c>
      <c r="C9722" s="1" t="n">
        <v>46145</v>
      </c>
      <c r="D9722" t="inlineStr">
        <is>
          <t>VÄSTERBOTTENS LÄN</t>
        </is>
      </c>
      <c r="E9722" t="inlineStr">
        <is>
          <t>NORSJÖ</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56960-2022</t>
        </is>
      </c>
      <c r="B9723" s="1" t="n">
        <v>44894</v>
      </c>
      <c r="C9723" s="1" t="n">
        <v>46145</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37462-2024</t>
        </is>
      </c>
      <c r="B9724" s="1" t="n">
        <v>45540</v>
      </c>
      <c r="C9724" s="1" t="n">
        <v>46145</v>
      </c>
      <c r="D9724" t="inlineStr">
        <is>
          <t>VÄSTERBOTTENS LÄN</t>
        </is>
      </c>
      <c r="E9724" t="inlineStr">
        <is>
          <t>MALÅ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37467-2024</t>
        </is>
      </c>
      <c r="B9725" s="1" t="n">
        <v>45540</v>
      </c>
      <c r="C9725" s="1" t="n">
        <v>46145</v>
      </c>
      <c r="D9725" t="inlineStr">
        <is>
          <t>VÄSTERBOTTENS LÄN</t>
        </is>
      </c>
      <c r="E9725" t="inlineStr">
        <is>
          <t>MALÅ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37500-2024</t>
        </is>
      </c>
      <c r="B9726" s="1" t="n">
        <v>45541.36966435185</v>
      </c>
      <c r="C9726" s="1" t="n">
        <v>46145</v>
      </c>
      <c r="D9726" t="inlineStr">
        <is>
          <t>VÄSTERBOTTENS LÄN</t>
        </is>
      </c>
      <c r="E9726" t="inlineStr">
        <is>
          <t>LYCKSELE</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9782-2026</t>
        </is>
      </c>
      <c r="B9727" s="1" t="n">
        <v>46072.58782407407</v>
      </c>
      <c r="C9727" s="1" t="n">
        <v>46145</v>
      </c>
      <c r="D9727" t="inlineStr">
        <is>
          <t>VÄSTERBOTTENS LÄN</t>
        </is>
      </c>
      <c r="E9727" t="inlineStr">
        <is>
          <t>VILHELMINA</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16713-2026</t>
        </is>
      </c>
      <c r="B9728" s="1" t="n">
        <v>46113.34616898148</v>
      </c>
      <c r="C9728" s="1" t="n">
        <v>46145</v>
      </c>
      <c r="D9728" t="inlineStr">
        <is>
          <t>VÄSTERBOTTENS LÄN</t>
        </is>
      </c>
      <c r="E9728" t="inlineStr">
        <is>
          <t>NORDMALING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46968-2024</t>
        </is>
      </c>
      <c r="B9729" s="1" t="n">
        <v>45586</v>
      </c>
      <c r="C9729" s="1" t="n">
        <v>46145</v>
      </c>
      <c r="D9729" t="inlineStr">
        <is>
          <t>VÄSTERBOTTENS LÄN</t>
        </is>
      </c>
      <c r="E9729" t="inlineStr">
        <is>
          <t>SKELLEFTEÅ</t>
        </is>
      </c>
      <c r="F9729" t="inlineStr">
        <is>
          <t>Sveaskog</t>
        </is>
      </c>
      <c r="G9729" t="n">
        <v>9</v>
      </c>
      <c r="H9729" t="n">
        <v>0</v>
      </c>
      <c r="I9729" t="n">
        <v>0</v>
      </c>
      <c r="J9729" t="n">
        <v>0</v>
      </c>
      <c r="K9729" t="n">
        <v>0</v>
      </c>
      <c r="L9729" t="n">
        <v>0</v>
      </c>
      <c r="M9729" t="n">
        <v>0</v>
      </c>
      <c r="N9729" t="n">
        <v>0</v>
      </c>
      <c r="O9729" t="n">
        <v>0</v>
      </c>
      <c r="P9729" t="n">
        <v>0</v>
      </c>
      <c r="Q9729" t="n">
        <v>0</v>
      </c>
      <c r="R9729" s="2" t="inlineStr"/>
    </row>
    <row r="9730" ht="15" customHeight="1">
      <c r="A9730" t="inlineStr">
        <is>
          <t>A 47050-2024</t>
        </is>
      </c>
      <c r="B9730" s="1" t="n">
        <v>45586.45775462963</v>
      </c>
      <c r="C9730" s="1" t="n">
        <v>46145</v>
      </c>
      <c r="D9730" t="inlineStr">
        <is>
          <t>VÄSTERBOTTENS LÄN</t>
        </is>
      </c>
      <c r="E9730" t="inlineStr">
        <is>
          <t>STORUMAN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40361-2024</t>
        </is>
      </c>
      <c r="B9731" s="1" t="n">
        <v>45555.37684027778</v>
      </c>
      <c r="C9731" s="1" t="n">
        <v>46145</v>
      </c>
      <c r="D9731" t="inlineStr">
        <is>
          <t>VÄSTERBOTTENS LÄN</t>
        </is>
      </c>
      <c r="E9731" t="inlineStr">
        <is>
          <t>LYCKSELE</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16433-2026</t>
        </is>
      </c>
      <c r="B9732" s="1" t="n">
        <v>46111</v>
      </c>
      <c r="C9732" s="1" t="n">
        <v>46145</v>
      </c>
      <c r="D9732" t="inlineStr">
        <is>
          <t>VÄSTERBOTTENS LÄN</t>
        </is>
      </c>
      <c r="E9732" t="inlineStr">
        <is>
          <t>SORSELE</t>
        </is>
      </c>
      <c r="G9732" t="n">
        <v>99.5</v>
      </c>
      <c r="H9732" t="n">
        <v>0</v>
      </c>
      <c r="I9732" t="n">
        <v>0</v>
      </c>
      <c r="J9732" t="n">
        <v>0</v>
      </c>
      <c r="K9732" t="n">
        <v>0</v>
      </c>
      <c r="L9732" t="n">
        <v>0</v>
      </c>
      <c r="M9732" t="n">
        <v>0</v>
      </c>
      <c r="N9732" t="n">
        <v>0</v>
      </c>
      <c r="O9732" t="n">
        <v>0</v>
      </c>
      <c r="P9732" t="n">
        <v>0</v>
      </c>
      <c r="Q9732" t="n">
        <v>0</v>
      </c>
      <c r="R9732" s="2" t="inlineStr"/>
    </row>
    <row r="9733" ht="15" customHeight="1">
      <c r="A9733" t="inlineStr">
        <is>
          <t>A 47496-2024</t>
        </is>
      </c>
      <c r="B9733" s="1" t="n">
        <v>45587</v>
      </c>
      <c r="C9733" s="1" t="n">
        <v>46145</v>
      </c>
      <c r="D9733" t="inlineStr">
        <is>
          <t>VÄSTERBOTTENS LÄN</t>
        </is>
      </c>
      <c r="E9733" t="inlineStr">
        <is>
          <t>SKELLEFTEÅ</t>
        </is>
      </c>
      <c r="F9733" t="inlineStr">
        <is>
          <t>Holmen skog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47499-2024</t>
        </is>
      </c>
      <c r="B9734" s="1" t="n">
        <v>45587.59827546297</v>
      </c>
      <c r="C9734" s="1" t="n">
        <v>46145</v>
      </c>
      <c r="D9734" t="inlineStr">
        <is>
          <t>VÄSTERBOTTENS LÄN</t>
        </is>
      </c>
      <c r="E9734" t="inlineStr">
        <is>
          <t>BJURHOLM</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45036-2021</t>
        </is>
      </c>
      <c r="B9735" s="1" t="n">
        <v>44438</v>
      </c>
      <c r="C9735" s="1" t="n">
        <v>46145</v>
      </c>
      <c r="D9735" t="inlineStr">
        <is>
          <t>VÄSTERBOTTENS LÄN</t>
        </is>
      </c>
      <c r="E9735" t="inlineStr">
        <is>
          <t>SKELLEFTEÅ</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16731-2026</t>
        </is>
      </c>
      <c r="B9736" s="1" t="n">
        <v>46113.36543981481</v>
      </c>
      <c r="C9736" s="1" t="n">
        <v>46145</v>
      </c>
      <c r="D9736" t="inlineStr">
        <is>
          <t>VÄSTERBOTTENS LÄN</t>
        </is>
      </c>
      <c r="E9736" t="inlineStr">
        <is>
          <t>LYCKSELE</t>
        </is>
      </c>
      <c r="F9736" t="inlineStr">
        <is>
          <t>SCA</t>
        </is>
      </c>
      <c r="G9736" t="n">
        <v>13.5</v>
      </c>
      <c r="H9736" t="n">
        <v>0</v>
      </c>
      <c r="I9736" t="n">
        <v>0</v>
      </c>
      <c r="J9736" t="n">
        <v>0</v>
      </c>
      <c r="K9736" t="n">
        <v>0</v>
      </c>
      <c r="L9736" t="n">
        <v>0</v>
      </c>
      <c r="M9736" t="n">
        <v>0</v>
      </c>
      <c r="N9736" t="n">
        <v>0</v>
      </c>
      <c r="O9736" t="n">
        <v>0</v>
      </c>
      <c r="P9736" t="n">
        <v>0</v>
      </c>
      <c r="Q9736" t="n">
        <v>0</v>
      </c>
      <c r="R9736" s="2" t="inlineStr"/>
    </row>
    <row r="9737" ht="15" customHeight="1">
      <c r="A9737" t="inlineStr">
        <is>
          <t>A 51476-2021</t>
        </is>
      </c>
      <c r="B9737" s="1" t="n">
        <v>44462</v>
      </c>
      <c r="C9737" s="1" t="n">
        <v>46145</v>
      </c>
      <c r="D9737" t="inlineStr">
        <is>
          <t>VÄSTERBOTTENS LÄN</t>
        </is>
      </c>
      <c r="E9737" t="inlineStr">
        <is>
          <t>SKELLEFTEÅ</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16886-2026</t>
        </is>
      </c>
      <c r="B9738" s="1" t="n">
        <v>46113.60996527778</v>
      </c>
      <c r="C9738" s="1" t="n">
        <v>46145</v>
      </c>
      <c r="D9738" t="inlineStr">
        <is>
          <t>VÄSTERBOTTENS LÄN</t>
        </is>
      </c>
      <c r="E9738" t="inlineStr">
        <is>
          <t>SKELLEFTEÅ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22831-2023</t>
        </is>
      </c>
      <c r="B9739" s="1" t="n">
        <v>45072.42990740741</v>
      </c>
      <c r="C9739" s="1" t="n">
        <v>46145</v>
      </c>
      <c r="D9739" t="inlineStr">
        <is>
          <t>VÄSTERBOTTENS LÄN</t>
        </is>
      </c>
      <c r="E9739" t="inlineStr">
        <is>
          <t>ÅSELE</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16759-2026</t>
        </is>
      </c>
      <c r="B9740" s="1" t="n">
        <v>46113.40825231482</v>
      </c>
      <c r="C9740" s="1" t="n">
        <v>46145</v>
      </c>
      <c r="D9740" t="inlineStr">
        <is>
          <t>VÄSTERBOTTENS LÄN</t>
        </is>
      </c>
      <c r="E9740" t="inlineStr">
        <is>
          <t>VILHELMINA</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16969-2026</t>
        </is>
      </c>
      <c r="B9741" s="1" t="n">
        <v>46114.36508101852</v>
      </c>
      <c r="C9741" s="1" t="n">
        <v>46145</v>
      </c>
      <c r="D9741" t="inlineStr">
        <is>
          <t>VÄSTERBOTTENS LÄN</t>
        </is>
      </c>
      <c r="E9741" t="inlineStr">
        <is>
          <t>BJURHOLM</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16979-2026</t>
        </is>
      </c>
      <c r="B9742" s="1" t="n">
        <v>46114.40685185185</v>
      </c>
      <c r="C9742" s="1" t="n">
        <v>46145</v>
      </c>
      <c r="D9742" t="inlineStr">
        <is>
          <t>VÄSTERBOTTENS LÄN</t>
        </is>
      </c>
      <c r="E9742" t="inlineStr">
        <is>
          <t>BJURHOLM</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16986-2026</t>
        </is>
      </c>
      <c r="B9743" s="1" t="n">
        <v>46114.40748842592</v>
      </c>
      <c r="C9743" s="1" t="n">
        <v>46145</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34799-2023</t>
        </is>
      </c>
      <c r="B9744" s="1" t="n">
        <v>45140</v>
      </c>
      <c r="C9744" s="1" t="n">
        <v>46145</v>
      </c>
      <c r="D9744" t="inlineStr">
        <is>
          <t>VÄSTERBOTTENS LÄN</t>
        </is>
      </c>
      <c r="E9744" t="inlineStr">
        <is>
          <t>VILHELMINA</t>
        </is>
      </c>
      <c r="G9744" t="n">
        <v>17.4</v>
      </c>
      <c r="H9744" t="n">
        <v>0</v>
      </c>
      <c r="I9744" t="n">
        <v>0</v>
      </c>
      <c r="J9744" t="n">
        <v>0</v>
      </c>
      <c r="K9744" t="n">
        <v>0</v>
      </c>
      <c r="L9744" t="n">
        <v>0</v>
      </c>
      <c r="M9744" t="n">
        <v>0</v>
      </c>
      <c r="N9744" t="n">
        <v>0</v>
      </c>
      <c r="O9744" t="n">
        <v>0</v>
      </c>
      <c r="P9744" t="n">
        <v>0</v>
      </c>
      <c r="Q9744" t="n">
        <v>0</v>
      </c>
      <c r="R9744" s="2" t="inlineStr"/>
    </row>
    <row r="9745" ht="15" customHeight="1">
      <c r="A9745" t="inlineStr">
        <is>
          <t>A 17484-2022</t>
        </is>
      </c>
      <c r="B9745" s="1" t="n">
        <v>44679</v>
      </c>
      <c r="C9745" s="1" t="n">
        <v>46145</v>
      </c>
      <c r="D9745" t="inlineStr">
        <is>
          <t>VÄSTERBOTTENS LÄN</t>
        </is>
      </c>
      <c r="E9745" t="inlineStr">
        <is>
          <t>UMEÅ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34669-2023</t>
        </is>
      </c>
      <c r="B9746" s="1" t="n">
        <v>45140.83063657407</v>
      </c>
      <c r="C9746" s="1" t="n">
        <v>46145</v>
      </c>
      <c r="D9746" t="inlineStr">
        <is>
          <t>VÄSTERBOTTENS LÄN</t>
        </is>
      </c>
      <c r="E9746" t="inlineStr">
        <is>
          <t>SKELLEFTEÅ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32593-2024</t>
        </is>
      </c>
      <c r="B9747" s="1" t="n">
        <v>45513.60165509259</v>
      </c>
      <c r="C9747" s="1" t="n">
        <v>46145</v>
      </c>
      <c r="D9747" t="inlineStr">
        <is>
          <t>VÄSTERBOTTENS LÄN</t>
        </is>
      </c>
      <c r="E9747" t="inlineStr">
        <is>
          <t>SKELLEFTEÅ</t>
        </is>
      </c>
      <c r="F9747" t="inlineStr">
        <is>
          <t>Holmen skog AB</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30572-2024</t>
        </is>
      </c>
      <c r="B9748" s="1" t="n">
        <v>45492.95777777778</v>
      </c>
      <c r="C9748" s="1" t="n">
        <v>46145</v>
      </c>
      <c r="D9748" t="inlineStr">
        <is>
          <t>VÄSTERBOTTENS LÄN</t>
        </is>
      </c>
      <c r="E9748" t="inlineStr">
        <is>
          <t>VILHELMINA</t>
        </is>
      </c>
      <c r="F9748" t="inlineStr">
        <is>
          <t>SCA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30582-2024</t>
        </is>
      </c>
      <c r="B9749" s="1" t="n">
        <v>45492</v>
      </c>
      <c r="C9749" s="1" t="n">
        <v>46145</v>
      </c>
      <c r="D9749" t="inlineStr">
        <is>
          <t>VÄSTERBOTTENS LÄN</t>
        </is>
      </c>
      <c r="E9749" t="inlineStr">
        <is>
          <t>VILHELMINA</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31118-2024</t>
        </is>
      </c>
      <c r="B9750" s="1" t="n">
        <v>45502</v>
      </c>
      <c r="C9750" s="1" t="n">
        <v>46145</v>
      </c>
      <c r="D9750" t="inlineStr">
        <is>
          <t>VÄSTERBOTTENS LÄN</t>
        </is>
      </c>
      <c r="E9750" t="inlineStr">
        <is>
          <t>ÅSELE</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9817-2026</t>
        </is>
      </c>
      <c r="B9751" s="1" t="n">
        <v>46072.6358912037</v>
      </c>
      <c r="C9751" s="1" t="n">
        <v>46145</v>
      </c>
      <c r="D9751" t="inlineStr">
        <is>
          <t>VÄSTERBOTTENS LÄN</t>
        </is>
      </c>
      <c r="E9751" t="inlineStr">
        <is>
          <t>VINDELN</t>
        </is>
      </c>
      <c r="F9751" t="inlineStr">
        <is>
          <t>SCA</t>
        </is>
      </c>
      <c r="G9751" t="n">
        <v>14.8</v>
      </c>
      <c r="H9751" t="n">
        <v>0</v>
      </c>
      <c r="I9751" t="n">
        <v>0</v>
      </c>
      <c r="J9751" t="n">
        <v>0</v>
      </c>
      <c r="K9751" t="n">
        <v>0</v>
      </c>
      <c r="L9751" t="n">
        <v>0</v>
      </c>
      <c r="M9751" t="n">
        <v>0</v>
      </c>
      <c r="N9751" t="n">
        <v>0</v>
      </c>
      <c r="O9751" t="n">
        <v>0</v>
      </c>
      <c r="P9751" t="n">
        <v>0</v>
      </c>
      <c r="Q9751" t="n">
        <v>0</v>
      </c>
      <c r="R9751" s="2" t="inlineStr"/>
    </row>
    <row r="9752" ht="15" customHeight="1">
      <c r="A9752" t="inlineStr">
        <is>
          <t>A 16723-2026</t>
        </is>
      </c>
      <c r="B9752" s="1" t="n">
        <v>46113.35811342593</v>
      </c>
      <c r="C9752" s="1" t="n">
        <v>46145</v>
      </c>
      <c r="D9752" t="inlineStr">
        <is>
          <t>VÄSTERBOTTENS LÄN</t>
        </is>
      </c>
      <c r="E9752" t="inlineStr">
        <is>
          <t>LYCKSELE</t>
        </is>
      </c>
      <c r="G9752" t="n">
        <v>16.5</v>
      </c>
      <c r="H9752" t="n">
        <v>0</v>
      </c>
      <c r="I9752" t="n">
        <v>0</v>
      </c>
      <c r="J9752" t="n">
        <v>0</v>
      </c>
      <c r="K9752" t="n">
        <v>0</v>
      </c>
      <c r="L9752" t="n">
        <v>0</v>
      </c>
      <c r="M9752" t="n">
        <v>0</v>
      </c>
      <c r="N9752" t="n">
        <v>0</v>
      </c>
      <c r="O9752" t="n">
        <v>0</v>
      </c>
      <c r="P9752" t="n">
        <v>0</v>
      </c>
      <c r="Q9752" t="n">
        <v>0</v>
      </c>
      <c r="R9752" s="2" t="inlineStr"/>
    </row>
    <row r="9753" ht="15" customHeight="1">
      <c r="A9753" t="inlineStr">
        <is>
          <t>A 16712-2026</t>
        </is>
      </c>
      <c r="B9753" s="1" t="n">
        <v>46113.34611111111</v>
      </c>
      <c r="C9753" s="1" t="n">
        <v>46145</v>
      </c>
      <c r="D9753" t="inlineStr">
        <is>
          <t>VÄSTERBOTTENS LÄN</t>
        </is>
      </c>
      <c r="E9753" t="inlineStr">
        <is>
          <t>BJURHOLM</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16719-2026</t>
        </is>
      </c>
      <c r="B9754" s="1" t="n">
        <v>46113.35361111111</v>
      </c>
      <c r="C9754" s="1" t="n">
        <v>46145</v>
      </c>
      <c r="D9754" t="inlineStr">
        <is>
          <t>VÄSTERBOTTENS LÄN</t>
        </is>
      </c>
      <c r="E9754" t="inlineStr">
        <is>
          <t>NORDMALING</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16725-2026</t>
        </is>
      </c>
      <c r="B9755" s="1" t="n">
        <v>46113.36413194444</v>
      </c>
      <c r="C9755" s="1" t="n">
        <v>46145</v>
      </c>
      <c r="D9755" t="inlineStr">
        <is>
          <t>VÄSTERBOTTENS LÄN</t>
        </is>
      </c>
      <c r="E9755" t="inlineStr">
        <is>
          <t>UMEÅ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16727-2026</t>
        </is>
      </c>
      <c r="B9756" s="1" t="n">
        <v>46113.36506944444</v>
      </c>
      <c r="C9756" s="1" t="n">
        <v>46145</v>
      </c>
      <c r="D9756" t="inlineStr">
        <is>
          <t>VÄSTERBOTTENS LÄN</t>
        </is>
      </c>
      <c r="E9756" t="inlineStr">
        <is>
          <t>VILHELMINA</t>
        </is>
      </c>
      <c r="F9756" t="inlineStr">
        <is>
          <t>SCA</t>
        </is>
      </c>
      <c r="G9756" t="n">
        <v>46.8</v>
      </c>
      <c r="H9756" t="n">
        <v>0</v>
      </c>
      <c r="I9756" t="n">
        <v>0</v>
      </c>
      <c r="J9756" t="n">
        <v>0</v>
      </c>
      <c r="K9756" t="n">
        <v>0</v>
      </c>
      <c r="L9756" t="n">
        <v>0</v>
      </c>
      <c r="M9756" t="n">
        <v>0</v>
      </c>
      <c r="N9756" t="n">
        <v>0</v>
      </c>
      <c r="O9756" t="n">
        <v>0</v>
      </c>
      <c r="P9756" t="n">
        <v>0</v>
      </c>
      <c r="Q9756" t="n">
        <v>0</v>
      </c>
      <c r="R9756" s="2" t="inlineStr"/>
    </row>
    <row r="9757" ht="15" customHeight="1">
      <c r="A9757" t="inlineStr">
        <is>
          <t>A 16729-2026</t>
        </is>
      </c>
      <c r="B9757" s="1" t="n">
        <v>46113.36527777778</v>
      </c>
      <c r="C9757" s="1" t="n">
        <v>46145</v>
      </c>
      <c r="D9757" t="inlineStr">
        <is>
          <t>VÄSTERBOTTENS LÄN</t>
        </is>
      </c>
      <c r="E9757" t="inlineStr">
        <is>
          <t>LYCKSELE</t>
        </is>
      </c>
      <c r="F9757" t="inlineStr">
        <is>
          <t>SCA</t>
        </is>
      </c>
      <c r="G9757" t="n">
        <v>19.5</v>
      </c>
      <c r="H9757" t="n">
        <v>0</v>
      </c>
      <c r="I9757" t="n">
        <v>0</v>
      </c>
      <c r="J9757" t="n">
        <v>0</v>
      </c>
      <c r="K9757" t="n">
        <v>0</v>
      </c>
      <c r="L9757" t="n">
        <v>0</v>
      </c>
      <c r="M9757" t="n">
        <v>0</v>
      </c>
      <c r="N9757" t="n">
        <v>0</v>
      </c>
      <c r="O9757" t="n">
        <v>0</v>
      </c>
      <c r="P9757" t="n">
        <v>0</v>
      </c>
      <c r="Q9757" t="n">
        <v>0</v>
      </c>
      <c r="R9757" s="2" t="inlineStr"/>
    </row>
    <row r="9758" ht="15" customHeight="1">
      <c r="A9758" t="inlineStr">
        <is>
          <t>A 16732-2026</t>
        </is>
      </c>
      <c r="B9758" s="1" t="n">
        <v>46113.36560185185</v>
      </c>
      <c r="C9758" s="1" t="n">
        <v>46145</v>
      </c>
      <c r="D9758" t="inlineStr">
        <is>
          <t>VÄSTERBOTTENS LÄN</t>
        </is>
      </c>
      <c r="E9758" t="inlineStr">
        <is>
          <t>VILHELMINA</t>
        </is>
      </c>
      <c r="F9758" t="inlineStr">
        <is>
          <t>SCA</t>
        </is>
      </c>
      <c r="G9758" t="n">
        <v>20.5</v>
      </c>
      <c r="H9758" t="n">
        <v>0</v>
      </c>
      <c r="I9758" t="n">
        <v>0</v>
      </c>
      <c r="J9758" t="n">
        <v>0</v>
      </c>
      <c r="K9758" t="n">
        <v>0</v>
      </c>
      <c r="L9758" t="n">
        <v>0</v>
      </c>
      <c r="M9758" t="n">
        <v>0</v>
      </c>
      <c r="N9758" t="n">
        <v>0</v>
      </c>
      <c r="O9758" t="n">
        <v>0</v>
      </c>
      <c r="P9758" t="n">
        <v>0</v>
      </c>
      <c r="Q9758" t="n">
        <v>0</v>
      </c>
      <c r="R9758" s="2" t="inlineStr"/>
    </row>
    <row r="9759" ht="15" customHeight="1">
      <c r="A9759" t="inlineStr">
        <is>
          <t>A 9716-2026</t>
        </is>
      </c>
      <c r="B9759" s="1" t="n">
        <v>46072.44842592593</v>
      </c>
      <c r="C9759" s="1" t="n">
        <v>46145</v>
      </c>
      <c r="D9759" t="inlineStr">
        <is>
          <t>VÄSTERBOTTENS LÄN</t>
        </is>
      </c>
      <c r="E9759" t="inlineStr">
        <is>
          <t>LYCKSELE</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9717-2026</t>
        </is>
      </c>
      <c r="B9760" s="1" t="n">
        <v>46072.44855324074</v>
      </c>
      <c r="C9760" s="1" t="n">
        <v>46145</v>
      </c>
      <c r="D9760" t="inlineStr">
        <is>
          <t>VÄSTERBOTTENS LÄN</t>
        </is>
      </c>
      <c r="E9760" t="inlineStr">
        <is>
          <t>NORDMALING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9869-2026</t>
        </is>
      </c>
      <c r="B9761" s="1" t="n">
        <v>46072</v>
      </c>
      <c r="C9761" s="1" t="n">
        <v>46145</v>
      </c>
      <c r="D9761" t="inlineStr">
        <is>
          <t>VÄSTERBOTTENS LÄN</t>
        </is>
      </c>
      <c r="E9761" t="inlineStr">
        <is>
          <t>NORDMALING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14845-2026</t>
        </is>
      </c>
      <c r="B9762" s="1" t="n">
        <v>46104.40737268519</v>
      </c>
      <c r="C9762" s="1" t="n">
        <v>46145</v>
      </c>
      <c r="D9762" t="inlineStr">
        <is>
          <t>VÄSTERBOTTENS LÄN</t>
        </is>
      </c>
      <c r="E9762" t="inlineStr">
        <is>
          <t>LYCKSELE</t>
        </is>
      </c>
      <c r="F9762" t="inlineStr">
        <is>
          <t>SCA</t>
        </is>
      </c>
      <c r="G9762" t="n">
        <v>12.5</v>
      </c>
      <c r="H9762" t="n">
        <v>0</v>
      </c>
      <c r="I9762" t="n">
        <v>0</v>
      </c>
      <c r="J9762" t="n">
        <v>0</v>
      </c>
      <c r="K9762" t="n">
        <v>0</v>
      </c>
      <c r="L9762" t="n">
        <v>0</v>
      </c>
      <c r="M9762" t="n">
        <v>0</v>
      </c>
      <c r="N9762" t="n">
        <v>0</v>
      </c>
      <c r="O9762" t="n">
        <v>0</v>
      </c>
      <c r="P9762" t="n">
        <v>0</v>
      </c>
      <c r="Q9762" t="n">
        <v>0</v>
      </c>
      <c r="R9762" s="2" t="inlineStr"/>
    </row>
    <row r="9763" ht="15" customHeight="1">
      <c r="A9763" t="inlineStr">
        <is>
          <t>A 55620-2024</t>
        </is>
      </c>
      <c r="B9763" s="1" t="n">
        <v>45622</v>
      </c>
      <c r="C9763" s="1" t="n">
        <v>46145</v>
      </c>
      <c r="D9763" t="inlineStr">
        <is>
          <t>VÄSTERBOTTENS LÄN</t>
        </is>
      </c>
      <c r="E9763" t="inlineStr">
        <is>
          <t>VILHELMINA</t>
        </is>
      </c>
      <c r="F9763" t="inlineStr">
        <is>
          <t>SCA</t>
        </is>
      </c>
      <c r="G9763" t="n">
        <v>21.4</v>
      </c>
      <c r="H9763" t="n">
        <v>0</v>
      </c>
      <c r="I9763" t="n">
        <v>0</v>
      </c>
      <c r="J9763" t="n">
        <v>0</v>
      </c>
      <c r="K9763" t="n">
        <v>0</v>
      </c>
      <c r="L9763" t="n">
        <v>0</v>
      </c>
      <c r="M9763" t="n">
        <v>0</v>
      </c>
      <c r="N9763" t="n">
        <v>0</v>
      </c>
      <c r="O9763" t="n">
        <v>0</v>
      </c>
      <c r="P9763" t="n">
        <v>0</v>
      </c>
      <c r="Q9763" t="n">
        <v>0</v>
      </c>
      <c r="R9763" s="2" t="inlineStr"/>
    </row>
    <row r="9764" ht="15" customHeight="1">
      <c r="A9764" t="inlineStr">
        <is>
          <t>A 16932-2026</t>
        </is>
      </c>
      <c r="B9764" s="1" t="n">
        <v>46113.69875</v>
      </c>
      <c r="C9764" s="1" t="n">
        <v>46145</v>
      </c>
      <c r="D9764" t="inlineStr">
        <is>
          <t>VÄSTERBOTTENS LÄN</t>
        </is>
      </c>
      <c r="E9764" t="inlineStr">
        <is>
          <t>NORDMALING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16855-2026</t>
        </is>
      </c>
      <c r="B9765" s="1" t="n">
        <v>46113.56609953703</v>
      </c>
      <c r="C9765" s="1" t="n">
        <v>46145</v>
      </c>
      <c r="D9765" t="inlineStr">
        <is>
          <t>VÄSTERBOTTENS LÄN</t>
        </is>
      </c>
      <c r="E9765" t="inlineStr">
        <is>
          <t>UMEÅ</t>
        </is>
      </c>
      <c r="F9765" t="inlineStr">
        <is>
          <t>Kommuner</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10360-2023</t>
        </is>
      </c>
      <c r="B9766" s="1" t="n">
        <v>44980</v>
      </c>
      <c r="C9766" s="1" t="n">
        <v>46145</v>
      </c>
      <c r="D9766" t="inlineStr">
        <is>
          <t>VÄSTERBOTTENS LÄN</t>
        </is>
      </c>
      <c r="E9766" t="inlineStr">
        <is>
          <t>DOROTEA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14856-2026</t>
        </is>
      </c>
      <c r="B9767" s="1" t="n">
        <v>46104.42776620371</v>
      </c>
      <c r="C9767" s="1" t="n">
        <v>46145</v>
      </c>
      <c r="D9767" t="inlineStr">
        <is>
          <t>VÄSTERBOTTENS LÄN</t>
        </is>
      </c>
      <c r="E9767" t="inlineStr">
        <is>
          <t>LYCKSELE</t>
        </is>
      </c>
      <c r="F9767" t="inlineStr">
        <is>
          <t>SCA</t>
        </is>
      </c>
      <c r="G9767" t="n">
        <v>11.1</v>
      </c>
      <c r="H9767" t="n">
        <v>0</v>
      </c>
      <c r="I9767" t="n">
        <v>0</v>
      </c>
      <c r="J9767" t="n">
        <v>0</v>
      </c>
      <c r="K9767" t="n">
        <v>0</v>
      </c>
      <c r="L9767" t="n">
        <v>0</v>
      </c>
      <c r="M9767" t="n">
        <v>0</v>
      </c>
      <c r="N9767" t="n">
        <v>0</v>
      </c>
      <c r="O9767" t="n">
        <v>0</v>
      </c>
      <c r="P9767" t="n">
        <v>0</v>
      </c>
      <c r="Q9767" t="n">
        <v>0</v>
      </c>
      <c r="R9767" s="2" t="inlineStr"/>
    </row>
    <row r="9768" ht="15" customHeight="1">
      <c r="A9768" t="inlineStr">
        <is>
          <t>A 17027-2026</t>
        </is>
      </c>
      <c r="B9768" s="1" t="n">
        <v>46114.46767361111</v>
      </c>
      <c r="C9768" s="1" t="n">
        <v>46145</v>
      </c>
      <c r="D9768" t="inlineStr">
        <is>
          <t>VÄSTERBOTTENS LÄN</t>
        </is>
      </c>
      <c r="E9768" t="inlineStr">
        <is>
          <t>VILHELMINA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11675-2023</t>
        </is>
      </c>
      <c r="B9769" s="1" t="n">
        <v>44994</v>
      </c>
      <c r="C9769" s="1" t="n">
        <v>46145</v>
      </c>
      <c r="D9769" t="inlineStr">
        <is>
          <t>VÄSTERBOTTENS LÄN</t>
        </is>
      </c>
      <c r="E9769" t="inlineStr">
        <is>
          <t>SORSELE</t>
        </is>
      </c>
      <c r="G9769" t="n">
        <v>8.699999999999999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9768-2026</t>
        </is>
      </c>
      <c r="B9770" s="1" t="n">
        <v>46072.56574074074</v>
      </c>
      <c r="C9770" s="1" t="n">
        <v>46145</v>
      </c>
      <c r="D9770" t="inlineStr">
        <is>
          <t>VÄSTERBOTTENS LÄN</t>
        </is>
      </c>
      <c r="E9770" t="inlineStr">
        <is>
          <t>SORSELE</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24067-2023</t>
        </is>
      </c>
      <c r="B9771" s="1" t="n">
        <v>45078.94167824074</v>
      </c>
      <c r="C9771" s="1" t="n">
        <v>46145</v>
      </c>
      <c r="D9771" t="inlineStr">
        <is>
          <t>VÄSTERBOTTENS LÄN</t>
        </is>
      </c>
      <c r="E9771" t="inlineStr">
        <is>
          <t>ÅSELE</t>
        </is>
      </c>
      <c r="F9771" t="inlineStr">
        <is>
          <t>SCA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37320-2021</t>
        </is>
      </c>
      <c r="B9772" s="1" t="n">
        <v>44397</v>
      </c>
      <c r="C9772" s="1" t="n">
        <v>46145</v>
      </c>
      <c r="D9772" t="inlineStr">
        <is>
          <t>VÄSTERBOTTENS LÄN</t>
        </is>
      </c>
      <c r="E9772" t="inlineStr">
        <is>
          <t>VILHELMINA</t>
        </is>
      </c>
      <c r="F9772" t="inlineStr">
        <is>
          <t>Kommuner</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9796-2026</t>
        </is>
      </c>
      <c r="B9773" s="1" t="n">
        <v>46072.61136574074</v>
      </c>
      <c r="C9773" s="1" t="n">
        <v>46145</v>
      </c>
      <c r="D9773" t="inlineStr">
        <is>
          <t>VÄSTERBOTTENS LÄN</t>
        </is>
      </c>
      <c r="E9773" t="inlineStr">
        <is>
          <t>DOROTEA</t>
        </is>
      </c>
      <c r="G9773" t="n">
        <v>20.1</v>
      </c>
      <c r="H9773" t="n">
        <v>0</v>
      </c>
      <c r="I9773" t="n">
        <v>0</v>
      </c>
      <c r="J9773" t="n">
        <v>0</v>
      </c>
      <c r="K9773" t="n">
        <v>0</v>
      </c>
      <c r="L9773" t="n">
        <v>0</v>
      </c>
      <c r="M9773" t="n">
        <v>0</v>
      </c>
      <c r="N9773" t="n">
        <v>0</v>
      </c>
      <c r="O9773" t="n">
        <v>0</v>
      </c>
      <c r="P9773" t="n">
        <v>0</v>
      </c>
      <c r="Q9773" t="n">
        <v>0</v>
      </c>
      <c r="R9773" s="2" t="inlineStr"/>
    </row>
    <row r="9774" ht="15" customHeight="1">
      <c r="A9774" t="inlineStr">
        <is>
          <t>A 9808-2026</t>
        </is>
      </c>
      <c r="B9774" s="1" t="n">
        <v>46072.62802083333</v>
      </c>
      <c r="C9774" s="1" t="n">
        <v>46145</v>
      </c>
      <c r="D9774" t="inlineStr">
        <is>
          <t>VÄSTERBOTTENS LÄN</t>
        </is>
      </c>
      <c r="E9774" t="inlineStr">
        <is>
          <t>SKELLEFTEÅ</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3600-2023</t>
        </is>
      </c>
      <c r="B9775" s="1" t="n">
        <v>44946</v>
      </c>
      <c r="C9775" s="1" t="n">
        <v>46145</v>
      </c>
      <c r="D9775" t="inlineStr">
        <is>
          <t>VÄSTERBOTTENS LÄN</t>
        </is>
      </c>
      <c r="E9775" t="inlineStr">
        <is>
          <t>SKELLEFTEÅ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16706-2026</t>
        </is>
      </c>
      <c r="B9776" s="1" t="n">
        <v>46113.34532407407</v>
      </c>
      <c r="C9776" s="1" t="n">
        <v>46145</v>
      </c>
      <c r="D9776" t="inlineStr">
        <is>
          <t>VÄSTERBOTTENS LÄN</t>
        </is>
      </c>
      <c r="E9776" t="inlineStr">
        <is>
          <t>BJURHOLM</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5380-2026</t>
        </is>
      </c>
      <c r="B9777" s="1" t="n">
        <v>46050</v>
      </c>
      <c r="C9777" s="1" t="n">
        <v>46145</v>
      </c>
      <c r="D9777" t="inlineStr">
        <is>
          <t>VÄSTERBOTTENS LÄN</t>
        </is>
      </c>
      <c r="E9777" t="inlineStr">
        <is>
          <t>SKELLEFTEÅ</t>
        </is>
      </c>
      <c r="G9777" t="n">
        <v>9.699999999999999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39544-2023</t>
        </is>
      </c>
      <c r="B9778" s="1" t="n">
        <v>45167.35682870371</v>
      </c>
      <c r="C9778" s="1" t="n">
        <v>46145</v>
      </c>
      <c r="D9778" t="inlineStr">
        <is>
          <t>VÄSTERBOTTENS LÄN</t>
        </is>
      </c>
      <c r="E9778" t="inlineStr">
        <is>
          <t>SKELLEFTEÅ</t>
        </is>
      </c>
      <c r="F9778" t="inlineStr">
        <is>
          <t>Sveaskog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39553-2023</t>
        </is>
      </c>
      <c r="B9779" s="1" t="n">
        <v>45167</v>
      </c>
      <c r="C9779" s="1" t="n">
        <v>46145</v>
      </c>
      <c r="D9779" t="inlineStr">
        <is>
          <t>VÄSTERBOTTENS LÄN</t>
        </is>
      </c>
      <c r="E9779" t="inlineStr">
        <is>
          <t>SKELLEFTEÅ</t>
        </is>
      </c>
      <c r="F9779" t="inlineStr">
        <is>
          <t>Holmen skog AB</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46018-2021</t>
        </is>
      </c>
      <c r="B9780" s="1" t="n">
        <v>44441</v>
      </c>
      <c r="C9780" s="1" t="n">
        <v>46145</v>
      </c>
      <c r="D9780" t="inlineStr">
        <is>
          <t>VÄSTERBOTTENS LÄN</t>
        </is>
      </c>
      <c r="E9780" t="inlineStr">
        <is>
          <t>NORSJÖ</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51966-2024</t>
        </is>
      </c>
      <c r="B9781" s="1" t="n">
        <v>45607.65512731481</v>
      </c>
      <c r="C9781" s="1" t="n">
        <v>46145</v>
      </c>
      <c r="D9781" t="inlineStr">
        <is>
          <t>VÄSTERBOTTENS LÄN</t>
        </is>
      </c>
      <c r="E9781" t="inlineStr">
        <is>
          <t>ROBERTSFORS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16860-2026</t>
        </is>
      </c>
      <c r="B9782" s="1" t="n">
        <v>46113.57075231482</v>
      </c>
      <c r="C9782" s="1" t="n">
        <v>46145</v>
      </c>
      <c r="D9782" t="inlineStr">
        <is>
          <t>VÄSTERBOTTENS LÄN</t>
        </is>
      </c>
      <c r="E9782" t="inlineStr">
        <is>
          <t>NORSJÖ</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21607-2022</t>
        </is>
      </c>
      <c r="B9783" s="1" t="n">
        <v>44706.66061342593</v>
      </c>
      <c r="C9783" s="1" t="n">
        <v>46145</v>
      </c>
      <c r="D9783" t="inlineStr">
        <is>
          <t>VÄSTERBOTTENS LÄN</t>
        </is>
      </c>
      <c r="E9783" t="inlineStr">
        <is>
          <t>NORDMALING</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16865-2026</t>
        </is>
      </c>
      <c r="B9784" s="1" t="n">
        <v>46113.57350694444</v>
      </c>
      <c r="C9784" s="1" t="n">
        <v>46145</v>
      </c>
      <c r="D9784" t="inlineStr">
        <is>
          <t>VÄSTERBOTTENS LÄN</t>
        </is>
      </c>
      <c r="E9784" t="inlineStr">
        <is>
          <t>SKELLEFTEÅ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37535-2023</t>
        </is>
      </c>
      <c r="B9785" s="1" t="n">
        <v>45158</v>
      </c>
      <c r="C9785" s="1" t="n">
        <v>46145</v>
      </c>
      <c r="D9785" t="inlineStr">
        <is>
          <t>VÄSTERBOTTENS LÄN</t>
        </is>
      </c>
      <c r="E9785" t="inlineStr">
        <is>
          <t>MALÅ</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16807-2026</t>
        </is>
      </c>
      <c r="B9786" s="1" t="n">
        <v>46113.49041666667</v>
      </c>
      <c r="C9786" s="1" t="n">
        <v>46145</v>
      </c>
      <c r="D9786" t="inlineStr">
        <is>
          <t>VÄSTERBOTTENS LÄN</t>
        </is>
      </c>
      <c r="E9786" t="inlineStr">
        <is>
          <t>SKELLEFTEÅ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16429-2026</t>
        </is>
      </c>
      <c r="B9787" s="1" t="n">
        <v>46111.6987962963</v>
      </c>
      <c r="C9787" s="1" t="n">
        <v>46145</v>
      </c>
      <c r="D9787" t="inlineStr">
        <is>
          <t>VÄSTERBOTTENS LÄN</t>
        </is>
      </c>
      <c r="E9787" t="inlineStr">
        <is>
          <t>SKELLEFTEÅ</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16792-2026</t>
        </is>
      </c>
      <c r="B9788" s="1" t="n">
        <v>46113.46697916667</v>
      </c>
      <c r="C9788" s="1" t="n">
        <v>46145</v>
      </c>
      <c r="D9788" t="inlineStr">
        <is>
          <t>VÄSTERBOTTENS LÄN</t>
        </is>
      </c>
      <c r="E9788" t="inlineStr">
        <is>
          <t>STORUMAN</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9868-2026</t>
        </is>
      </c>
      <c r="B9789" s="1" t="n">
        <v>46072</v>
      </c>
      <c r="C9789" s="1" t="n">
        <v>46145</v>
      </c>
      <c r="D9789" t="inlineStr">
        <is>
          <t>VÄSTERBOTTENS LÄN</t>
        </is>
      </c>
      <c r="E9789" t="inlineStr">
        <is>
          <t>NORDMALING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49582-2024</t>
        </is>
      </c>
      <c r="B9790" s="1" t="n">
        <v>45596</v>
      </c>
      <c r="C9790" s="1" t="n">
        <v>46145</v>
      </c>
      <c r="D9790" t="inlineStr">
        <is>
          <t>VÄSTERBOTTENS LÄN</t>
        </is>
      </c>
      <c r="E9790" t="inlineStr">
        <is>
          <t>VINDELN</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49583-2024</t>
        </is>
      </c>
      <c r="B9791" s="1" t="n">
        <v>45596.54178240741</v>
      </c>
      <c r="C9791" s="1" t="n">
        <v>46145</v>
      </c>
      <c r="D9791" t="inlineStr">
        <is>
          <t>VÄSTERBOTTENS LÄN</t>
        </is>
      </c>
      <c r="E9791" t="inlineStr">
        <is>
          <t>VINDELN</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17020-2026</t>
        </is>
      </c>
      <c r="B9792" s="1" t="n">
        <v>46114.45277777778</v>
      </c>
      <c r="C9792" s="1" t="n">
        <v>46145</v>
      </c>
      <c r="D9792" t="inlineStr">
        <is>
          <t>VÄSTERBOTTENS LÄN</t>
        </is>
      </c>
      <c r="E9792" t="inlineStr">
        <is>
          <t>MALÅ</t>
        </is>
      </c>
      <c r="F9792" t="inlineStr">
        <is>
          <t>Sveaskog</t>
        </is>
      </c>
      <c r="G9792" t="n">
        <v>19.7</v>
      </c>
      <c r="H9792" t="n">
        <v>0</v>
      </c>
      <c r="I9792" t="n">
        <v>0</v>
      </c>
      <c r="J9792" t="n">
        <v>0</v>
      </c>
      <c r="K9792" t="n">
        <v>0</v>
      </c>
      <c r="L9792" t="n">
        <v>0</v>
      </c>
      <c r="M9792" t="n">
        <v>0</v>
      </c>
      <c r="N9792" t="n">
        <v>0</v>
      </c>
      <c r="O9792" t="n">
        <v>0</v>
      </c>
      <c r="P9792" t="n">
        <v>0</v>
      </c>
      <c r="Q9792" t="n">
        <v>0</v>
      </c>
      <c r="R9792" s="2" t="inlineStr"/>
    </row>
    <row r="9793" ht="15" customHeight="1">
      <c r="A9793" t="inlineStr">
        <is>
          <t>A 37183-2023</t>
        </is>
      </c>
      <c r="B9793" s="1" t="n">
        <v>45154</v>
      </c>
      <c r="C9793" s="1" t="n">
        <v>46145</v>
      </c>
      <c r="D9793" t="inlineStr">
        <is>
          <t>VÄSTERBOTTENS LÄN</t>
        </is>
      </c>
      <c r="E9793" t="inlineStr">
        <is>
          <t>MALÅ</t>
        </is>
      </c>
      <c r="G9793" t="n">
        <v>41.2</v>
      </c>
      <c r="H9793" t="n">
        <v>0</v>
      </c>
      <c r="I9793" t="n">
        <v>0</v>
      </c>
      <c r="J9793" t="n">
        <v>0</v>
      </c>
      <c r="K9793" t="n">
        <v>0</v>
      </c>
      <c r="L9793" t="n">
        <v>0</v>
      </c>
      <c r="M9793" t="n">
        <v>0</v>
      </c>
      <c r="N9793" t="n">
        <v>0</v>
      </c>
      <c r="O9793" t="n">
        <v>0</v>
      </c>
      <c r="P9793" t="n">
        <v>0</v>
      </c>
      <c r="Q9793" t="n">
        <v>0</v>
      </c>
      <c r="R9793" s="2" t="inlineStr"/>
    </row>
    <row r="9794" ht="15" customHeight="1">
      <c r="A9794" t="inlineStr">
        <is>
          <t>A 15389-2026</t>
        </is>
      </c>
      <c r="B9794" s="1" t="n">
        <v>46106.34575231482</v>
      </c>
      <c r="C9794" s="1" t="n">
        <v>46145</v>
      </c>
      <c r="D9794" t="inlineStr">
        <is>
          <t>VÄSTERBOTTENS LÄN</t>
        </is>
      </c>
      <c r="E9794" t="inlineStr">
        <is>
          <t>LYCKSELE</t>
        </is>
      </c>
      <c r="F9794" t="inlineStr">
        <is>
          <t>SCA</t>
        </is>
      </c>
      <c r="G9794" t="n">
        <v>12.9</v>
      </c>
      <c r="H9794" t="n">
        <v>0</v>
      </c>
      <c r="I9794" t="n">
        <v>0</v>
      </c>
      <c r="J9794" t="n">
        <v>0</v>
      </c>
      <c r="K9794" t="n">
        <v>0</v>
      </c>
      <c r="L9794" t="n">
        <v>0</v>
      </c>
      <c r="M9794" t="n">
        <v>0</v>
      </c>
      <c r="N9794" t="n">
        <v>0</v>
      </c>
      <c r="O9794" t="n">
        <v>0</v>
      </c>
      <c r="P9794" t="n">
        <v>0</v>
      </c>
      <c r="Q9794" t="n">
        <v>0</v>
      </c>
      <c r="R9794" s="2" t="inlineStr"/>
    </row>
    <row r="9795" ht="15" customHeight="1">
      <c r="A9795" t="inlineStr">
        <is>
          <t>A 16890-2026</t>
        </is>
      </c>
      <c r="B9795" s="1" t="n">
        <v>46113.61550925926</v>
      </c>
      <c r="C9795" s="1" t="n">
        <v>46145</v>
      </c>
      <c r="D9795" t="inlineStr">
        <is>
          <t>VÄSTERBOTTENS LÄN</t>
        </is>
      </c>
      <c r="E9795" t="inlineStr">
        <is>
          <t>VINDELN</t>
        </is>
      </c>
      <c r="F9795" t="inlineStr">
        <is>
          <t>SCA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16893-2026</t>
        </is>
      </c>
      <c r="B9796" s="1" t="n">
        <v>46113.61608796296</v>
      </c>
      <c r="C9796" s="1" t="n">
        <v>46145</v>
      </c>
      <c r="D9796" t="inlineStr">
        <is>
          <t>VÄSTERBOTTENS LÄN</t>
        </is>
      </c>
      <c r="E9796" t="inlineStr">
        <is>
          <t>ÅSELE</t>
        </is>
      </c>
      <c r="F9796" t="inlineStr">
        <is>
          <t>SCA</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50276-2024</t>
        </is>
      </c>
      <c r="B9797" s="1" t="n">
        <v>45600.60181712963</v>
      </c>
      <c r="C9797" s="1" t="n">
        <v>46145</v>
      </c>
      <c r="D9797" t="inlineStr">
        <is>
          <t>VÄSTERBOTTENS LÄN</t>
        </is>
      </c>
      <c r="E9797" t="inlineStr">
        <is>
          <t>SKELLEFTEÅ</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55414-2024</t>
        </is>
      </c>
      <c r="B9798" s="1" t="n">
        <v>45622.37261574074</v>
      </c>
      <c r="C9798" s="1" t="n">
        <v>46145</v>
      </c>
      <c r="D9798" t="inlineStr">
        <is>
          <t>VÄSTERBOTTENS LÄN</t>
        </is>
      </c>
      <c r="E9798" t="inlineStr">
        <is>
          <t>VINDELN</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9630-2026</t>
        </is>
      </c>
      <c r="B9799" s="1" t="n">
        <v>46072.34447916667</v>
      </c>
      <c r="C9799" s="1" t="n">
        <v>46145</v>
      </c>
      <c r="D9799" t="inlineStr">
        <is>
          <t>VÄSTERBOTTENS LÄN</t>
        </is>
      </c>
      <c r="E9799" t="inlineStr">
        <is>
          <t>ÅSELE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40865-2024</t>
        </is>
      </c>
      <c r="B9800" s="1" t="n">
        <v>45558.59092592593</v>
      </c>
      <c r="C9800" s="1" t="n">
        <v>46145</v>
      </c>
      <c r="D9800" t="inlineStr">
        <is>
          <t>VÄSTERBOTTENS LÄN</t>
        </is>
      </c>
      <c r="E9800" t="inlineStr">
        <is>
          <t>STORUMAN</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3046-2025</t>
        </is>
      </c>
      <c r="B9801" s="1" t="n">
        <v>45678</v>
      </c>
      <c r="C9801" s="1" t="n">
        <v>46145</v>
      </c>
      <c r="D9801" t="inlineStr">
        <is>
          <t>VÄSTERBOTTENS LÄN</t>
        </is>
      </c>
      <c r="E9801" t="inlineStr">
        <is>
          <t>ROBERTSFORS</t>
        </is>
      </c>
      <c r="F9801" t="inlineStr">
        <is>
          <t>Holmen skog AB</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25656-2024</t>
        </is>
      </c>
      <c r="B9802" s="1" t="n">
        <v>45463.68541666667</v>
      </c>
      <c r="C9802" s="1" t="n">
        <v>46145</v>
      </c>
      <c r="D9802" t="inlineStr">
        <is>
          <t>VÄSTERBOTTENS LÄN</t>
        </is>
      </c>
      <c r="E9802" t="inlineStr">
        <is>
          <t>VINDELN</t>
        </is>
      </c>
      <c r="F9802" t="inlineStr">
        <is>
          <t>Holmen skog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16866-2026</t>
        </is>
      </c>
      <c r="B9803" s="1" t="n">
        <v>46113.57355324074</v>
      </c>
      <c r="C9803" s="1" t="n">
        <v>46145</v>
      </c>
      <c r="D9803" t="inlineStr">
        <is>
          <t>VÄSTERBOTTENS LÄN</t>
        </is>
      </c>
      <c r="E9803" t="inlineStr">
        <is>
          <t>ROBERTSFORS</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16877-2026</t>
        </is>
      </c>
      <c r="B9804" s="1" t="n">
        <v>46113.59297453704</v>
      </c>
      <c r="C9804" s="1" t="n">
        <v>46145</v>
      </c>
      <c r="D9804" t="inlineStr">
        <is>
          <t>VÄSTERBOTTENS LÄN</t>
        </is>
      </c>
      <c r="E9804" t="inlineStr">
        <is>
          <t>VINDELN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25122-2024</t>
        </is>
      </c>
      <c r="B9805" s="1" t="n">
        <v>45462.45252314815</v>
      </c>
      <c r="C9805" s="1" t="n">
        <v>46145</v>
      </c>
      <c r="D9805" t="inlineStr">
        <is>
          <t>VÄSTERBOTTENS LÄN</t>
        </is>
      </c>
      <c r="E9805" t="inlineStr">
        <is>
          <t>NORSJÖ</t>
        </is>
      </c>
      <c r="F9805" t="inlineStr">
        <is>
          <t>Sveaskog</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58655-2023</t>
        </is>
      </c>
      <c r="B9806" s="1" t="n">
        <v>45247</v>
      </c>
      <c r="C9806" s="1" t="n">
        <v>46145</v>
      </c>
      <c r="D9806" t="inlineStr">
        <is>
          <t>VÄSTERBOTTENS LÄN</t>
        </is>
      </c>
      <c r="E9806" t="inlineStr">
        <is>
          <t>NORDMALING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58660-2023</t>
        </is>
      </c>
      <c r="B9807" s="1" t="n">
        <v>45251</v>
      </c>
      <c r="C9807" s="1" t="n">
        <v>46145</v>
      </c>
      <c r="D9807" t="inlineStr">
        <is>
          <t>VÄSTERBOTTENS LÄN</t>
        </is>
      </c>
      <c r="E9807" t="inlineStr">
        <is>
          <t>VINDELN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16896-2026</t>
        </is>
      </c>
      <c r="B9808" s="1" t="n">
        <v>46113.62634259259</v>
      </c>
      <c r="C9808" s="1" t="n">
        <v>46145</v>
      </c>
      <c r="D9808" t="inlineStr">
        <is>
          <t>VÄSTERBOTTENS LÄN</t>
        </is>
      </c>
      <c r="E9808" t="inlineStr">
        <is>
          <t>DOROTEA</t>
        </is>
      </c>
      <c r="F9808" t="inlineStr">
        <is>
          <t>Kommuner</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9748-2026</t>
        </is>
      </c>
      <c r="B9809" s="1" t="n">
        <v>46072</v>
      </c>
      <c r="C9809" s="1" t="n">
        <v>46145</v>
      </c>
      <c r="D9809" t="inlineStr">
        <is>
          <t>VÄSTERBOTTENS LÄN</t>
        </is>
      </c>
      <c r="E9809" t="inlineStr">
        <is>
          <t>MALÅ</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25142-2024</t>
        </is>
      </c>
      <c r="B9810" s="1" t="n">
        <v>45462</v>
      </c>
      <c r="C9810" s="1" t="n">
        <v>46145</v>
      </c>
      <c r="D9810" t="inlineStr">
        <is>
          <t>VÄSTERBOTTENS LÄN</t>
        </is>
      </c>
      <c r="E9810" t="inlineStr">
        <is>
          <t>NORSJÖ</t>
        </is>
      </c>
      <c r="F9810" t="inlineStr">
        <is>
          <t>Sveaskog</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1640-2023</t>
        </is>
      </c>
      <c r="B9811" s="1" t="n">
        <v>44937</v>
      </c>
      <c r="C9811" s="1" t="n">
        <v>46145</v>
      </c>
      <c r="D9811" t="inlineStr">
        <is>
          <t>VÄSTERBOTTENS LÄN</t>
        </is>
      </c>
      <c r="E9811" t="inlineStr">
        <is>
          <t>SKELLEFTEÅ</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9457-2026</t>
        </is>
      </c>
      <c r="B9812" s="1" t="n">
        <v>46071.48806712963</v>
      </c>
      <c r="C9812" s="1" t="n">
        <v>46145</v>
      </c>
      <c r="D9812" t="inlineStr">
        <is>
          <t>VÄSTERBOTTENS LÄN</t>
        </is>
      </c>
      <c r="E9812" t="inlineStr">
        <is>
          <t>UMEÅ</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17037-2026</t>
        </is>
      </c>
      <c r="B9813" s="1" t="n">
        <v>46114.47046296296</v>
      </c>
      <c r="C9813" s="1" t="n">
        <v>46145</v>
      </c>
      <c r="D9813" t="inlineStr">
        <is>
          <t>VÄSTERBOTTENS LÄN</t>
        </is>
      </c>
      <c r="E9813" t="inlineStr">
        <is>
          <t>SKELLEFTEÅ</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26933-2024</t>
        </is>
      </c>
      <c r="B9814" s="1" t="n">
        <v>45470</v>
      </c>
      <c r="C9814" s="1" t="n">
        <v>46145</v>
      </c>
      <c r="D9814" t="inlineStr">
        <is>
          <t>VÄSTERBOTTENS LÄN</t>
        </is>
      </c>
      <c r="E9814" t="inlineStr">
        <is>
          <t>UMEÅ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15046-2023</t>
        </is>
      </c>
      <c r="B9815" s="1" t="n">
        <v>45015</v>
      </c>
      <c r="C9815" s="1" t="n">
        <v>46145</v>
      </c>
      <c r="D9815" t="inlineStr">
        <is>
          <t>VÄSTERBOTTENS LÄN</t>
        </is>
      </c>
      <c r="E9815" t="inlineStr">
        <is>
          <t>LYCKSELE</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17269-2026</t>
        </is>
      </c>
      <c r="B9816" s="1" t="n">
        <v>46119.48741898148</v>
      </c>
      <c r="C9816" s="1" t="n">
        <v>46145</v>
      </c>
      <c r="D9816" t="inlineStr">
        <is>
          <t>VÄSTERBOTTENS LÄN</t>
        </is>
      </c>
      <c r="E9816" t="inlineStr">
        <is>
          <t>SKELLEFTEÅ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58480-2023</t>
        </is>
      </c>
      <c r="B9817" s="1" t="n">
        <v>45251.3116087963</v>
      </c>
      <c r="C9817" s="1" t="n">
        <v>46145</v>
      </c>
      <c r="D9817" t="inlineStr">
        <is>
          <t>VÄSTERBOTTENS LÄN</t>
        </is>
      </c>
      <c r="E9817" t="inlineStr">
        <is>
          <t>NORDMALING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12362-2025</t>
        </is>
      </c>
      <c r="B9818" s="1" t="n">
        <v>45730</v>
      </c>
      <c r="C9818" s="1" t="n">
        <v>46145</v>
      </c>
      <c r="D9818" t="inlineStr">
        <is>
          <t>VÄSTERBOTTENS LÄN</t>
        </is>
      </c>
      <c r="E9818" t="inlineStr">
        <is>
          <t>VILHELMINA</t>
        </is>
      </c>
      <c r="F9818" t="inlineStr">
        <is>
          <t>Övriga statliga verk och myndigheter</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52740-2023</t>
        </is>
      </c>
      <c r="B9819" s="1" t="n">
        <v>45225</v>
      </c>
      <c r="C9819" s="1" t="n">
        <v>46145</v>
      </c>
      <c r="D9819" t="inlineStr">
        <is>
          <t>VÄSTERBOTTENS LÄN</t>
        </is>
      </c>
      <c r="E9819" t="inlineStr">
        <is>
          <t>VILHELMINA</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12763-2025</t>
        </is>
      </c>
      <c r="B9820" s="1" t="n">
        <v>45733</v>
      </c>
      <c r="C9820" s="1" t="n">
        <v>46145</v>
      </c>
      <c r="D9820" t="inlineStr">
        <is>
          <t>VÄSTERBOTTENS LÄN</t>
        </is>
      </c>
      <c r="E9820" t="inlineStr">
        <is>
          <t>VILHELMINA</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60645-2023</t>
        </is>
      </c>
      <c r="B9821" s="1" t="n">
        <v>45260.41273148148</v>
      </c>
      <c r="C9821" s="1" t="n">
        <v>46145</v>
      </c>
      <c r="D9821" t="inlineStr">
        <is>
          <t>VÄSTERBOTTENS LÄN</t>
        </is>
      </c>
      <c r="E9821" t="inlineStr">
        <is>
          <t>UMEÅ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10057-2026</t>
        </is>
      </c>
      <c r="B9822" s="1" t="n">
        <v>46073.62258101852</v>
      </c>
      <c r="C9822" s="1" t="n">
        <v>46145</v>
      </c>
      <c r="D9822" t="inlineStr">
        <is>
          <t>VÄSTERBOTTENS LÄN</t>
        </is>
      </c>
      <c r="E9822" t="inlineStr">
        <is>
          <t>VINDELN</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7618-2024</t>
        </is>
      </c>
      <c r="B9823" s="1" t="n">
        <v>45348</v>
      </c>
      <c r="C9823" s="1" t="n">
        <v>46145</v>
      </c>
      <c r="D9823" t="inlineStr">
        <is>
          <t>VÄSTERBOTTENS LÄN</t>
        </is>
      </c>
      <c r="E9823" t="inlineStr">
        <is>
          <t>NORDMALING</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62187-2021</t>
        </is>
      </c>
      <c r="B9824" s="1" t="n">
        <v>44502.91891203704</v>
      </c>
      <c r="C9824" s="1" t="n">
        <v>46145</v>
      </c>
      <c r="D9824" t="inlineStr">
        <is>
          <t>VÄSTERBOTTENS LÄN</t>
        </is>
      </c>
      <c r="E9824" t="inlineStr">
        <is>
          <t>ROBERTSFORS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46547-2023</t>
        </is>
      </c>
      <c r="B9825" s="1" t="n">
        <v>45197.94158564815</v>
      </c>
      <c r="C9825" s="1" t="n">
        <v>46145</v>
      </c>
      <c r="D9825" t="inlineStr">
        <is>
          <t>VÄSTERBOTTENS LÄN</t>
        </is>
      </c>
      <c r="E9825" t="inlineStr">
        <is>
          <t>VILHELMINA</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46584-2023</t>
        </is>
      </c>
      <c r="B9826" s="1" t="n">
        <v>45198</v>
      </c>
      <c r="C9826" s="1" t="n">
        <v>46145</v>
      </c>
      <c r="D9826" t="inlineStr">
        <is>
          <t>VÄSTERBOTTENS LÄN</t>
        </is>
      </c>
      <c r="E9826" t="inlineStr">
        <is>
          <t>SKELLEFTEÅ</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10187-2026</t>
        </is>
      </c>
      <c r="B9827" s="1" t="n">
        <v>46076.44756944444</v>
      </c>
      <c r="C9827" s="1" t="n">
        <v>46145</v>
      </c>
      <c r="D9827" t="inlineStr">
        <is>
          <t>VÄSTERBOTTENS LÄN</t>
        </is>
      </c>
      <c r="E9827" t="inlineStr">
        <is>
          <t>SKELLEFTEÅ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10382-2026</t>
        </is>
      </c>
      <c r="B9828" s="1" t="n">
        <v>46076.88337962963</v>
      </c>
      <c r="C9828" s="1" t="n">
        <v>46145</v>
      </c>
      <c r="D9828" t="inlineStr">
        <is>
          <t>VÄSTERBOTTENS LÄN</t>
        </is>
      </c>
      <c r="E9828" t="inlineStr">
        <is>
          <t>NORDMALING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9863-2026</t>
        </is>
      </c>
      <c r="B9829" s="1" t="n">
        <v>46072</v>
      </c>
      <c r="C9829" s="1" t="n">
        <v>46145</v>
      </c>
      <c r="D9829" t="inlineStr">
        <is>
          <t>VÄSTERBOTTENS LÄN</t>
        </is>
      </c>
      <c r="E9829" t="inlineStr">
        <is>
          <t>NORDMALING</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51332-2024</t>
        </is>
      </c>
      <c r="B9830" s="1" t="n">
        <v>45604.34377314815</v>
      </c>
      <c r="C9830" s="1" t="n">
        <v>46145</v>
      </c>
      <c r="D9830" t="inlineStr">
        <is>
          <t>VÄSTERBOTTENS LÄN</t>
        </is>
      </c>
      <c r="E9830" t="inlineStr">
        <is>
          <t>SKELLEFTEÅ</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51407-2024</t>
        </is>
      </c>
      <c r="B9831" s="1" t="n">
        <v>45604.42872685185</v>
      </c>
      <c r="C9831" s="1" t="n">
        <v>46145</v>
      </c>
      <c r="D9831" t="inlineStr">
        <is>
          <t>VÄSTERBOTTENS LÄN</t>
        </is>
      </c>
      <c r="E9831" t="inlineStr">
        <is>
          <t>NORSJÖ</t>
        </is>
      </c>
      <c r="F9831" t="inlineStr">
        <is>
          <t>Holmen skog AB</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42832-2025</t>
        </is>
      </c>
      <c r="B9832" s="1" t="n">
        <v>45908</v>
      </c>
      <c r="C9832" s="1" t="n">
        <v>46145</v>
      </c>
      <c r="D9832" t="inlineStr">
        <is>
          <t>VÄSTERBOTTENS LÄN</t>
        </is>
      </c>
      <c r="E9832" t="inlineStr">
        <is>
          <t>UMEÅ</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10478-2026</t>
        </is>
      </c>
      <c r="B9833" s="1" t="n">
        <v>46077.49010416667</v>
      </c>
      <c r="C9833" s="1" t="n">
        <v>46145</v>
      </c>
      <c r="D9833" t="inlineStr">
        <is>
          <t>VÄSTERBOTTENS LÄN</t>
        </is>
      </c>
      <c r="E9833" t="inlineStr">
        <is>
          <t>LYCKSELE</t>
        </is>
      </c>
      <c r="F9833" t="inlineStr">
        <is>
          <t>SCA</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52364-2024</t>
        </is>
      </c>
      <c r="B9834" s="1" t="n">
        <v>45609.38349537037</v>
      </c>
      <c r="C9834" s="1" t="n">
        <v>46145</v>
      </c>
      <c r="D9834" t="inlineStr">
        <is>
          <t>VÄSTERBOTTENS LÄN</t>
        </is>
      </c>
      <c r="E9834" t="inlineStr">
        <is>
          <t>UMEÅ</t>
        </is>
      </c>
      <c r="F9834" t="inlineStr">
        <is>
          <t>Holmen skog AB</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26955-2023</t>
        </is>
      </c>
      <c r="B9835" s="1" t="n">
        <v>45091</v>
      </c>
      <c r="C9835" s="1" t="n">
        <v>46145</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10150-2026</t>
        </is>
      </c>
      <c r="B9836" s="1" t="n">
        <v>46076.35689814815</v>
      </c>
      <c r="C9836" s="1" t="n">
        <v>46145</v>
      </c>
      <c r="D9836" t="inlineStr">
        <is>
          <t>VÄSTERBOTTENS LÄN</t>
        </is>
      </c>
      <c r="E9836" t="inlineStr">
        <is>
          <t>SKELLEFTEÅ</t>
        </is>
      </c>
      <c r="G9836" t="n">
        <v>13.6</v>
      </c>
      <c r="H9836" t="n">
        <v>0</v>
      </c>
      <c r="I9836" t="n">
        <v>0</v>
      </c>
      <c r="J9836" t="n">
        <v>0</v>
      </c>
      <c r="K9836" t="n">
        <v>0</v>
      </c>
      <c r="L9836" t="n">
        <v>0</v>
      </c>
      <c r="M9836" t="n">
        <v>0</v>
      </c>
      <c r="N9836" t="n">
        <v>0</v>
      </c>
      <c r="O9836" t="n">
        <v>0</v>
      </c>
      <c r="P9836" t="n">
        <v>0</v>
      </c>
      <c r="Q9836" t="n">
        <v>0</v>
      </c>
      <c r="R9836" s="2" t="inlineStr"/>
    </row>
    <row r="9837" ht="15" customHeight="1">
      <c r="A9837" t="inlineStr">
        <is>
          <t>A 10294-2026</t>
        </is>
      </c>
      <c r="B9837" s="1" t="n">
        <v>46076.61517361111</v>
      </c>
      <c r="C9837" s="1" t="n">
        <v>46145</v>
      </c>
      <c r="D9837" t="inlineStr">
        <is>
          <t>VÄSTERBOTTENS LÄN</t>
        </is>
      </c>
      <c r="E9837" t="inlineStr">
        <is>
          <t>ÅSELE</t>
        </is>
      </c>
      <c r="F9837" t="inlineStr">
        <is>
          <t>SCA</t>
        </is>
      </c>
      <c r="G9837" t="n">
        <v>10.9</v>
      </c>
      <c r="H9837" t="n">
        <v>0</v>
      </c>
      <c r="I9837" t="n">
        <v>0</v>
      </c>
      <c r="J9837" t="n">
        <v>0</v>
      </c>
      <c r="K9837" t="n">
        <v>0</v>
      </c>
      <c r="L9837" t="n">
        <v>0</v>
      </c>
      <c r="M9837" t="n">
        <v>0</v>
      </c>
      <c r="N9837" t="n">
        <v>0</v>
      </c>
      <c r="O9837" t="n">
        <v>0</v>
      </c>
      <c r="P9837" t="n">
        <v>0</v>
      </c>
      <c r="Q9837" t="n">
        <v>0</v>
      </c>
      <c r="R9837" s="2" t="inlineStr"/>
    </row>
    <row r="9838" ht="15" customHeight="1">
      <c r="A9838" t="inlineStr">
        <is>
          <t>A 10321-2026</t>
        </is>
      </c>
      <c r="B9838" s="1" t="n">
        <v>46076.65711805555</v>
      </c>
      <c r="C9838" s="1" t="n">
        <v>46145</v>
      </c>
      <c r="D9838" t="inlineStr">
        <is>
          <t>VÄSTERBOTTENS LÄN</t>
        </is>
      </c>
      <c r="E9838" t="inlineStr">
        <is>
          <t>LYCKSELE</t>
        </is>
      </c>
      <c r="F9838" t="inlineStr">
        <is>
          <t>SCA</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51943-2023</t>
        </is>
      </c>
      <c r="B9839" s="1" t="n">
        <v>45223</v>
      </c>
      <c r="C9839" s="1" t="n">
        <v>46145</v>
      </c>
      <c r="D9839" t="inlineStr">
        <is>
          <t>VÄSTERBOTTENS LÄN</t>
        </is>
      </c>
      <c r="E9839" t="inlineStr">
        <is>
          <t>LYCKSELE</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10598-2026</t>
        </is>
      </c>
      <c r="B9840" s="1" t="n">
        <v>46077.719375</v>
      </c>
      <c r="C9840" s="1" t="n">
        <v>46145</v>
      </c>
      <c r="D9840" t="inlineStr">
        <is>
          <t>VÄSTERBOTTENS LÄN</t>
        </is>
      </c>
      <c r="E9840" t="inlineStr">
        <is>
          <t>VINDELN</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60000-2022</t>
        </is>
      </c>
      <c r="B9841" s="1" t="n">
        <v>44909.4678125</v>
      </c>
      <c r="C9841" s="1" t="n">
        <v>46145</v>
      </c>
      <c r="D9841" t="inlineStr">
        <is>
          <t>VÄSTERBOTTENS LÄN</t>
        </is>
      </c>
      <c r="E9841" t="inlineStr">
        <is>
          <t>SKELLEFTEÅ</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10027-2026</t>
        </is>
      </c>
      <c r="B9842" s="1" t="n">
        <v>46073.58924768519</v>
      </c>
      <c r="C9842" s="1" t="n">
        <v>46145</v>
      </c>
      <c r="D9842" t="inlineStr">
        <is>
          <t>VÄSTERBOTTENS LÄN</t>
        </is>
      </c>
      <c r="E9842" t="inlineStr">
        <is>
          <t>VINDELN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55233-2024</t>
        </is>
      </c>
      <c r="B9843" s="1" t="n">
        <v>45620</v>
      </c>
      <c r="C9843" s="1" t="n">
        <v>46145</v>
      </c>
      <c r="D9843" t="inlineStr">
        <is>
          <t>VÄSTERBOTTENS LÄN</t>
        </is>
      </c>
      <c r="E9843" t="inlineStr">
        <is>
          <t>SKELLEFTEÅ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10270-2026</t>
        </is>
      </c>
      <c r="B9844" s="1" t="n">
        <v>46076.57822916667</v>
      </c>
      <c r="C9844" s="1" t="n">
        <v>46145</v>
      </c>
      <c r="D9844" t="inlineStr">
        <is>
          <t>VÄSTERBOTTENS LÄN</t>
        </is>
      </c>
      <c r="E9844" t="inlineStr">
        <is>
          <t>SKELLEFTEÅ</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10443-2026</t>
        </is>
      </c>
      <c r="B9845" s="1" t="n">
        <v>46077.41659722223</v>
      </c>
      <c r="C9845" s="1" t="n">
        <v>46145</v>
      </c>
      <c r="D9845" t="inlineStr">
        <is>
          <t>VÄSTERBOTTENS LÄN</t>
        </is>
      </c>
      <c r="E9845" t="inlineStr">
        <is>
          <t>LYCKSELE</t>
        </is>
      </c>
      <c r="G9845" t="n">
        <v>18.8</v>
      </c>
      <c r="H9845" t="n">
        <v>0</v>
      </c>
      <c r="I9845" t="n">
        <v>0</v>
      </c>
      <c r="J9845" t="n">
        <v>0</v>
      </c>
      <c r="K9845" t="n">
        <v>0</v>
      </c>
      <c r="L9845" t="n">
        <v>0</v>
      </c>
      <c r="M9845" t="n">
        <v>0</v>
      </c>
      <c r="N9845" t="n">
        <v>0</v>
      </c>
      <c r="O9845" t="n">
        <v>0</v>
      </c>
      <c r="P9845" t="n">
        <v>0</v>
      </c>
      <c r="Q9845" t="n">
        <v>0</v>
      </c>
      <c r="R9845" s="2" t="inlineStr"/>
    </row>
    <row r="9846" ht="15" customHeight="1">
      <c r="A9846" t="inlineStr">
        <is>
          <t>A 10194-2026</t>
        </is>
      </c>
      <c r="B9846" s="1" t="n">
        <v>46076.46592592593</v>
      </c>
      <c r="C9846" s="1" t="n">
        <v>46145</v>
      </c>
      <c r="D9846" t="inlineStr">
        <is>
          <t>VÄSTERBOTTENS LÄN</t>
        </is>
      </c>
      <c r="E9846" t="inlineStr">
        <is>
          <t>VINDELN</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10197-2026</t>
        </is>
      </c>
      <c r="B9847" s="1" t="n">
        <v>46076.46844907408</v>
      </c>
      <c r="C9847" s="1" t="n">
        <v>46145</v>
      </c>
      <c r="D9847" t="inlineStr">
        <is>
          <t>VÄSTERBOTTENS LÄN</t>
        </is>
      </c>
      <c r="E9847" t="inlineStr">
        <is>
          <t>NORDMALING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10230-2026</t>
        </is>
      </c>
      <c r="B9848" s="1" t="n">
        <v>46076.53170138889</v>
      </c>
      <c r="C9848" s="1" t="n">
        <v>46145</v>
      </c>
      <c r="D9848" t="inlineStr">
        <is>
          <t>VÄSTERBOTTENS LÄN</t>
        </is>
      </c>
      <c r="E9848" t="inlineStr">
        <is>
          <t>LYCKSELE</t>
        </is>
      </c>
      <c r="F9848" t="inlineStr">
        <is>
          <t>SCA</t>
        </is>
      </c>
      <c r="G9848" t="n">
        <v>11.5</v>
      </c>
      <c r="H9848" t="n">
        <v>0</v>
      </c>
      <c r="I9848" t="n">
        <v>0</v>
      </c>
      <c r="J9848" t="n">
        <v>0</v>
      </c>
      <c r="K9848" t="n">
        <v>0</v>
      </c>
      <c r="L9848" t="n">
        <v>0</v>
      </c>
      <c r="M9848" t="n">
        <v>0</v>
      </c>
      <c r="N9848" t="n">
        <v>0</v>
      </c>
      <c r="O9848" t="n">
        <v>0</v>
      </c>
      <c r="P9848" t="n">
        <v>0</v>
      </c>
      <c r="Q9848" t="n">
        <v>0</v>
      </c>
      <c r="R9848" s="2" t="inlineStr"/>
    </row>
    <row r="9849" ht="15" customHeight="1">
      <c r="A9849" t="inlineStr">
        <is>
          <t>A 10174-2026</t>
        </is>
      </c>
      <c r="B9849" s="1" t="n">
        <v>46076.42561342593</v>
      </c>
      <c r="C9849" s="1" t="n">
        <v>46145</v>
      </c>
      <c r="D9849" t="inlineStr">
        <is>
          <t>VÄSTERBOTTENS LÄN</t>
        </is>
      </c>
      <c r="E9849" t="inlineStr">
        <is>
          <t>LYCKSELE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2708-2022</t>
        </is>
      </c>
      <c r="B9850" s="1" t="n">
        <v>44580</v>
      </c>
      <c r="C9850" s="1" t="n">
        <v>46145</v>
      </c>
      <c r="D9850" t="inlineStr">
        <is>
          <t>VÄSTERBOTTENS LÄN</t>
        </is>
      </c>
      <c r="E9850" t="inlineStr">
        <is>
          <t>ROBERTSFORS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41950-2024</t>
        </is>
      </c>
      <c r="B9851" s="1" t="n">
        <v>45561.58484953704</v>
      </c>
      <c r="C9851" s="1" t="n">
        <v>46145</v>
      </c>
      <c r="D9851" t="inlineStr">
        <is>
          <t>VÄSTERBOTTENS LÄN</t>
        </is>
      </c>
      <c r="E9851" t="inlineStr">
        <is>
          <t>LYCKSELE</t>
        </is>
      </c>
      <c r="F9851" t="inlineStr">
        <is>
          <t>Sveaskog</t>
        </is>
      </c>
      <c r="G9851" t="n">
        <v>11.8</v>
      </c>
      <c r="H9851" t="n">
        <v>0</v>
      </c>
      <c r="I9851" t="n">
        <v>0</v>
      </c>
      <c r="J9851" t="n">
        <v>0</v>
      </c>
      <c r="K9851" t="n">
        <v>0</v>
      </c>
      <c r="L9851" t="n">
        <v>0</v>
      </c>
      <c r="M9851" t="n">
        <v>0</v>
      </c>
      <c r="N9851" t="n">
        <v>0</v>
      </c>
      <c r="O9851" t="n">
        <v>0</v>
      </c>
      <c r="P9851" t="n">
        <v>0</v>
      </c>
      <c r="Q9851" t="n">
        <v>0</v>
      </c>
      <c r="R9851" s="2" t="inlineStr"/>
    </row>
    <row r="9852" ht="15" customHeight="1">
      <c r="A9852" t="inlineStr">
        <is>
          <t>A 17305-2026</t>
        </is>
      </c>
      <c r="B9852" s="1" t="n">
        <v>46119.57561342593</v>
      </c>
      <c r="C9852" s="1" t="n">
        <v>46145</v>
      </c>
      <c r="D9852" t="inlineStr">
        <is>
          <t>VÄSTERBOTTENS LÄN</t>
        </is>
      </c>
      <c r="E9852" t="inlineStr">
        <is>
          <t>NORSJÖ</t>
        </is>
      </c>
      <c r="F9852" t="inlineStr">
        <is>
          <t>Holmen skog AB</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42000-2024</t>
        </is>
      </c>
      <c r="B9853" s="1" t="n">
        <v>45561.65799768519</v>
      </c>
      <c r="C9853" s="1" t="n">
        <v>46145</v>
      </c>
      <c r="D9853" t="inlineStr">
        <is>
          <t>VÄSTERBOTTENS LÄN</t>
        </is>
      </c>
      <c r="E9853" t="inlineStr">
        <is>
          <t>UMEÅ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10595-2026</t>
        </is>
      </c>
      <c r="B9854" s="1" t="n">
        <v>46077.70767361111</v>
      </c>
      <c r="C9854" s="1" t="n">
        <v>46145</v>
      </c>
      <c r="D9854" t="inlineStr">
        <is>
          <t>VÄSTERBOTTENS LÄN</t>
        </is>
      </c>
      <c r="E9854" t="inlineStr">
        <is>
          <t>VINDELN</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10601-2026</t>
        </is>
      </c>
      <c r="B9855" s="1" t="n">
        <v>46077.74663194444</v>
      </c>
      <c r="C9855" s="1" t="n">
        <v>46145</v>
      </c>
      <c r="D9855" t="inlineStr">
        <is>
          <t>VÄSTERBOTTENS LÄN</t>
        </is>
      </c>
      <c r="E9855" t="inlineStr">
        <is>
          <t>VINDELN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16782-2024</t>
        </is>
      </c>
      <c r="B9856" s="1" t="n">
        <v>45411</v>
      </c>
      <c r="C9856" s="1" t="n">
        <v>46145</v>
      </c>
      <c r="D9856" t="inlineStr">
        <is>
          <t>VÄSTERBOTTENS LÄN</t>
        </is>
      </c>
      <c r="E9856" t="inlineStr">
        <is>
          <t>VÄNNÄS</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10468-2026</t>
        </is>
      </c>
      <c r="B9857" s="1" t="n">
        <v>46077.46928240741</v>
      </c>
      <c r="C9857" s="1" t="n">
        <v>46145</v>
      </c>
      <c r="D9857" t="inlineStr">
        <is>
          <t>VÄSTERBOTTENS LÄN</t>
        </is>
      </c>
      <c r="E9857" t="inlineStr">
        <is>
          <t>VINDELN</t>
        </is>
      </c>
      <c r="F9857" t="inlineStr">
        <is>
          <t>SCA</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20193-2025</t>
        </is>
      </c>
      <c r="B9858" s="1" t="n">
        <v>45772</v>
      </c>
      <c r="C9858" s="1" t="n">
        <v>46145</v>
      </c>
      <c r="D9858" t="inlineStr">
        <is>
          <t>VÄSTERBOTTENS LÄN</t>
        </is>
      </c>
      <c r="E9858" t="inlineStr">
        <is>
          <t>SKELLEFTEÅ</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14959-2022</t>
        </is>
      </c>
      <c r="B9859" s="1" t="n">
        <v>44657</v>
      </c>
      <c r="C9859" s="1" t="n">
        <v>46145</v>
      </c>
      <c r="D9859" t="inlineStr">
        <is>
          <t>VÄSTERBOTTENS LÄN</t>
        </is>
      </c>
      <c r="E9859" t="inlineStr">
        <is>
          <t>VILHELMINA</t>
        </is>
      </c>
      <c r="G9859" t="n">
        <v>71.8</v>
      </c>
      <c r="H9859" t="n">
        <v>0</v>
      </c>
      <c r="I9859" t="n">
        <v>0</v>
      </c>
      <c r="J9859" t="n">
        <v>0</v>
      </c>
      <c r="K9859" t="n">
        <v>0</v>
      </c>
      <c r="L9859" t="n">
        <v>0</v>
      </c>
      <c r="M9859" t="n">
        <v>0</v>
      </c>
      <c r="N9859" t="n">
        <v>0</v>
      </c>
      <c r="O9859" t="n">
        <v>0</v>
      </c>
      <c r="P9859" t="n">
        <v>0</v>
      </c>
      <c r="Q9859" t="n">
        <v>0</v>
      </c>
      <c r="R9859" s="2" t="inlineStr"/>
    </row>
    <row r="9860" ht="15" customHeight="1">
      <c r="A9860" t="inlineStr">
        <is>
          <t>A 7007-2024</t>
        </is>
      </c>
      <c r="B9860" s="1" t="n">
        <v>45343</v>
      </c>
      <c r="C9860" s="1" t="n">
        <v>46145</v>
      </c>
      <c r="D9860" t="inlineStr">
        <is>
          <t>VÄSTERBOTTENS LÄN</t>
        </is>
      </c>
      <c r="E9860" t="inlineStr">
        <is>
          <t>NORDMALING</t>
        </is>
      </c>
      <c r="F9860" t="inlineStr">
        <is>
          <t>Kommuner</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9950-2026</t>
        </is>
      </c>
      <c r="B9861" s="1" t="n">
        <v>46073.47167824074</v>
      </c>
      <c r="C9861" s="1" t="n">
        <v>46145</v>
      </c>
      <c r="D9861" t="inlineStr">
        <is>
          <t>VÄSTERBOTTENS LÄN</t>
        </is>
      </c>
      <c r="E9861" t="inlineStr">
        <is>
          <t>ÅSELE</t>
        </is>
      </c>
      <c r="G9861" t="n">
        <v>29.9</v>
      </c>
      <c r="H9861" t="n">
        <v>0</v>
      </c>
      <c r="I9861" t="n">
        <v>0</v>
      </c>
      <c r="J9861" t="n">
        <v>0</v>
      </c>
      <c r="K9861" t="n">
        <v>0</v>
      </c>
      <c r="L9861" t="n">
        <v>0</v>
      </c>
      <c r="M9861" t="n">
        <v>0</v>
      </c>
      <c r="N9861" t="n">
        <v>0</v>
      </c>
      <c r="O9861" t="n">
        <v>0</v>
      </c>
      <c r="P9861" t="n">
        <v>0</v>
      </c>
      <c r="Q9861" t="n">
        <v>0</v>
      </c>
      <c r="R9861" s="2" t="inlineStr"/>
    </row>
    <row r="9862" ht="15" customHeight="1">
      <c r="A9862" t="inlineStr">
        <is>
          <t>A 12837-2023</t>
        </is>
      </c>
      <c r="B9862" s="1" t="n">
        <v>45001</v>
      </c>
      <c r="C9862" s="1" t="n">
        <v>46145</v>
      </c>
      <c r="D9862" t="inlineStr">
        <is>
          <t>VÄSTERBOTTENS LÄN</t>
        </is>
      </c>
      <c r="E9862" t="inlineStr">
        <is>
          <t>VINDELN</t>
        </is>
      </c>
      <c r="F9862" t="inlineStr">
        <is>
          <t>Holmen skog AB</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9944-2026</t>
        </is>
      </c>
      <c r="B9863" s="1" t="n">
        <v>46073</v>
      </c>
      <c r="C9863" s="1" t="n">
        <v>46145</v>
      </c>
      <c r="D9863" t="inlineStr">
        <is>
          <t>VÄSTERBOTTENS LÄN</t>
        </is>
      </c>
      <c r="E9863" t="inlineStr">
        <is>
          <t>STORUMAN</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10490-2026</t>
        </is>
      </c>
      <c r="B9864" s="1" t="n">
        <v>46077.52505787037</v>
      </c>
      <c r="C9864" s="1" t="n">
        <v>46145</v>
      </c>
      <c r="D9864" t="inlineStr">
        <is>
          <t>VÄSTERBOTTENS LÄN</t>
        </is>
      </c>
      <c r="E9864" t="inlineStr">
        <is>
          <t>SKELLEFTEÅ</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9945-2026</t>
        </is>
      </c>
      <c r="B9865" s="1" t="n">
        <v>46073.47011574074</v>
      </c>
      <c r="C9865" s="1" t="n">
        <v>46145</v>
      </c>
      <c r="D9865" t="inlineStr">
        <is>
          <t>VÄSTERBOTTENS LÄN</t>
        </is>
      </c>
      <c r="E9865" t="inlineStr">
        <is>
          <t>STORUMAN</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9951-2026</t>
        </is>
      </c>
      <c r="B9866" s="1" t="n">
        <v>46073.47201388889</v>
      </c>
      <c r="C9866" s="1" t="n">
        <v>46145</v>
      </c>
      <c r="D9866" t="inlineStr">
        <is>
          <t>VÄSTERBOTTENS LÄN</t>
        </is>
      </c>
      <c r="E9866" t="inlineStr">
        <is>
          <t>ÅSELE</t>
        </is>
      </c>
      <c r="G9866" t="n">
        <v>17.1</v>
      </c>
      <c r="H9866" t="n">
        <v>0</v>
      </c>
      <c r="I9866" t="n">
        <v>0</v>
      </c>
      <c r="J9866" t="n">
        <v>0</v>
      </c>
      <c r="K9866" t="n">
        <v>0</v>
      </c>
      <c r="L9866" t="n">
        <v>0</v>
      </c>
      <c r="M9866" t="n">
        <v>0</v>
      </c>
      <c r="N9866" t="n">
        <v>0</v>
      </c>
      <c r="O9866" t="n">
        <v>0</v>
      </c>
      <c r="P9866" t="n">
        <v>0</v>
      </c>
      <c r="Q9866" t="n">
        <v>0</v>
      </c>
      <c r="R9866" s="2" t="inlineStr"/>
    </row>
    <row r="9867" ht="15" customHeight="1">
      <c r="A9867" t="inlineStr">
        <is>
          <t>A 10258-2026</t>
        </is>
      </c>
      <c r="B9867" s="1" t="n">
        <v>46076.56410879629</v>
      </c>
      <c r="C9867" s="1" t="n">
        <v>46145</v>
      </c>
      <c r="D9867" t="inlineStr">
        <is>
          <t>VÄSTERBOTTENS LÄN</t>
        </is>
      </c>
      <c r="E9867" t="inlineStr">
        <is>
          <t>ROBERTSFORS</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10032-2026</t>
        </is>
      </c>
      <c r="B9868" s="1" t="n">
        <v>46073.5922337963</v>
      </c>
      <c r="C9868" s="1" t="n">
        <v>46145</v>
      </c>
      <c r="D9868" t="inlineStr">
        <is>
          <t>VÄSTERBOTTENS LÄN</t>
        </is>
      </c>
      <c r="E9868" t="inlineStr">
        <is>
          <t>VINDELN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14756-2022</t>
        </is>
      </c>
      <c r="B9869" s="1" t="n">
        <v>44656</v>
      </c>
      <c r="C9869" s="1" t="n">
        <v>46145</v>
      </c>
      <c r="D9869" t="inlineStr">
        <is>
          <t>VÄSTERBOTTENS LÄN</t>
        </is>
      </c>
      <c r="E9869" t="inlineStr">
        <is>
          <t>SKELLEFTEÅ</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29847-2023</t>
        </is>
      </c>
      <c r="B9870" s="1" t="n">
        <v>45107</v>
      </c>
      <c r="C9870" s="1" t="n">
        <v>46145</v>
      </c>
      <c r="D9870" t="inlineStr">
        <is>
          <t>VÄSTERBOTTENS LÄN</t>
        </is>
      </c>
      <c r="E9870" t="inlineStr">
        <is>
          <t>SORSELE</t>
        </is>
      </c>
      <c r="F9870" t="inlineStr">
        <is>
          <t>Sveaskog</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21213-2023</t>
        </is>
      </c>
      <c r="B9871" s="1" t="n">
        <v>45058</v>
      </c>
      <c r="C9871" s="1" t="n">
        <v>46145</v>
      </c>
      <c r="D9871" t="inlineStr">
        <is>
          <t>VÄSTERBOTTENS LÄN</t>
        </is>
      </c>
      <c r="E9871" t="inlineStr">
        <is>
          <t>LYCKSELE</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38781-2021</t>
        </is>
      </c>
      <c r="B9872" s="1" t="n">
        <v>44410</v>
      </c>
      <c r="C9872" s="1" t="n">
        <v>46145</v>
      </c>
      <c r="D9872" t="inlineStr">
        <is>
          <t>VÄSTERBOTTENS LÄN</t>
        </is>
      </c>
      <c r="E9872" t="inlineStr">
        <is>
          <t>DOROTEA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16136-2022</t>
        </is>
      </c>
      <c r="B9873" s="1" t="n">
        <v>44665</v>
      </c>
      <c r="C9873" s="1" t="n">
        <v>46145</v>
      </c>
      <c r="D9873" t="inlineStr">
        <is>
          <t>VÄSTERBOTTENS LÄN</t>
        </is>
      </c>
      <c r="E9873" t="inlineStr">
        <is>
          <t>STORUMAN</t>
        </is>
      </c>
      <c r="F9873" t="inlineStr">
        <is>
          <t>Övriga statliga verk och myndigheter</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9948-2026</t>
        </is>
      </c>
      <c r="B9874" s="1" t="n">
        <v>46073.47048611111</v>
      </c>
      <c r="C9874" s="1" t="n">
        <v>46145</v>
      </c>
      <c r="D9874" t="inlineStr">
        <is>
          <t>VÄSTERBOTTENS LÄN</t>
        </is>
      </c>
      <c r="E9874" t="inlineStr">
        <is>
          <t>STORUMAN</t>
        </is>
      </c>
      <c r="F9874" t="inlineStr">
        <is>
          <t>SCA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14538-2023</t>
        </is>
      </c>
      <c r="B9875" s="1" t="n">
        <v>45013</v>
      </c>
      <c r="C9875" s="1" t="n">
        <v>46145</v>
      </c>
      <c r="D9875" t="inlineStr">
        <is>
          <t>VÄSTERBOTTENS LÄN</t>
        </is>
      </c>
      <c r="E9875" t="inlineStr">
        <is>
          <t>ROBERTSFORS</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57076-2022</t>
        </is>
      </c>
      <c r="B9876" s="1" t="n">
        <v>44889</v>
      </c>
      <c r="C9876" s="1" t="n">
        <v>46145</v>
      </c>
      <c r="D9876" t="inlineStr">
        <is>
          <t>VÄSTERBOTTENS LÄN</t>
        </is>
      </c>
      <c r="E9876" t="inlineStr">
        <is>
          <t>VINDELN</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17273-2026</t>
        </is>
      </c>
      <c r="B9877" s="1" t="n">
        <v>46119.50429398148</v>
      </c>
      <c r="C9877" s="1" t="n">
        <v>46145</v>
      </c>
      <c r="D9877" t="inlineStr">
        <is>
          <t>VÄSTERBOTTENS LÄN</t>
        </is>
      </c>
      <c r="E9877" t="inlineStr">
        <is>
          <t>SKELLEFTEÅ</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32785-2024</t>
        </is>
      </c>
      <c r="B9878" s="1" t="n">
        <v>45516.53230324074</v>
      </c>
      <c r="C9878" s="1" t="n">
        <v>46145</v>
      </c>
      <c r="D9878" t="inlineStr">
        <is>
          <t>VÄSTERBOTTENS LÄN</t>
        </is>
      </c>
      <c r="E9878" t="inlineStr">
        <is>
          <t>VÄNNÄS</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32791-2024</t>
        </is>
      </c>
      <c r="B9879" s="1" t="n">
        <v>45516.54195601852</v>
      </c>
      <c r="C9879" s="1" t="n">
        <v>46145</v>
      </c>
      <c r="D9879" t="inlineStr">
        <is>
          <t>VÄSTERBOTTENS LÄN</t>
        </is>
      </c>
      <c r="E9879" t="inlineStr">
        <is>
          <t>UMEÅ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15564-2023</t>
        </is>
      </c>
      <c r="B9880" s="1" t="n">
        <v>45020</v>
      </c>
      <c r="C9880" s="1" t="n">
        <v>46145</v>
      </c>
      <c r="D9880" t="inlineStr">
        <is>
          <t>VÄSTERBOTTENS LÄN</t>
        </is>
      </c>
      <c r="E9880" t="inlineStr">
        <is>
          <t>LYCKSELE</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12825-2023</t>
        </is>
      </c>
      <c r="B9881" s="1" t="n">
        <v>45000</v>
      </c>
      <c r="C9881" s="1" t="n">
        <v>46145</v>
      </c>
      <c r="D9881" t="inlineStr">
        <is>
          <t>VÄSTERBOTTENS LÄN</t>
        </is>
      </c>
      <c r="E9881" t="inlineStr">
        <is>
          <t>VILHELMINA</t>
        </is>
      </c>
      <c r="G9881" t="n">
        <v>22.4</v>
      </c>
      <c r="H9881" t="n">
        <v>0</v>
      </c>
      <c r="I9881" t="n">
        <v>0</v>
      </c>
      <c r="J9881" t="n">
        <v>0</v>
      </c>
      <c r="K9881" t="n">
        <v>0</v>
      </c>
      <c r="L9881" t="n">
        <v>0</v>
      </c>
      <c r="M9881" t="n">
        <v>0</v>
      </c>
      <c r="N9881" t="n">
        <v>0</v>
      </c>
      <c r="O9881" t="n">
        <v>0</v>
      </c>
      <c r="P9881" t="n">
        <v>0</v>
      </c>
      <c r="Q9881" t="n">
        <v>0</v>
      </c>
      <c r="R9881" s="2" t="inlineStr"/>
    </row>
    <row r="9882" ht="15" customHeight="1">
      <c r="A9882" t="inlineStr">
        <is>
          <t>A 10301-2026</t>
        </is>
      </c>
      <c r="B9882" s="1" t="n">
        <v>46076.63232638889</v>
      </c>
      <c r="C9882" s="1" t="n">
        <v>46145</v>
      </c>
      <c r="D9882" t="inlineStr">
        <is>
          <t>VÄSTERBOTTENS LÄN</t>
        </is>
      </c>
      <c r="E9882" t="inlineStr">
        <is>
          <t>NORDMALING</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10360-2026</t>
        </is>
      </c>
      <c r="B9883" s="1" t="n">
        <v>46076</v>
      </c>
      <c r="C9883" s="1" t="n">
        <v>46145</v>
      </c>
      <c r="D9883" t="inlineStr">
        <is>
          <t>VÄSTERBOTTENS LÄN</t>
        </is>
      </c>
      <c r="E9883" t="inlineStr">
        <is>
          <t>LYCKSELE</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28825-2023</t>
        </is>
      </c>
      <c r="B9884" s="1" t="n">
        <v>45104.39052083333</v>
      </c>
      <c r="C9884" s="1" t="n">
        <v>46145</v>
      </c>
      <c r="D9884" t="inlineStr">
        <is>
          <t>VÄSTERBOTTENS LÄN</t>
        </is>
      </c>
      <c r="E9884" t="inlineStr">
        <is>
          <t>VINDELN</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10014-2026</t>
        </is>
      </c>
      <c r="B9885" s="1" t="n">
        <v>46073.5741550926</v>
      </c>
      <c r="C9885" s="1" t="n">
        <v>46145</v>
      </c>
      <c r="D9885" t="inlineStr">
        <is>
          <t>VÄSTERBOTTENS LÄN</t>
        </is>
      </c>
      <c r="E9885" t="inlineStr">
        <is>
          <t>UMEÅ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46066-2021</t>
        </is>
      </c>
      <c r="B9886" s="1" t="n">
        <v>44441</v>
      </c>
      <c r="C9886" s="1" t="n">
        <v>46145</v>
      </c>
      <c r="D9886" t="inlineStr">
        <is>
          <t>VÄSTERBOTTENS LÄN</t>
        </is>
      </c>
      <c r="E9886" t="inlineStr">
        <is>
          <t>MALÅ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10144-2026</t>
        </is>
      </c>
      <c r="B9887" s="1" t="n">
        <v>46076.35237268519</v>
      </c>
      <c r="C9887" s="1" t="n">
        <v>46145</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44677-2023</t>
        </is>
      </c>
      <c r="B9888" s="1" t="n">
        <v>45189</v>
      </c>
      <c r="C9888" s="1" t="n">
        <v>46145</v>
      </c>
      <c r="D9888" t="inlineStr">
        <is>
          <t>VÄSTERBOTTENS LÄN</t>
        </is>
      </c>
      <c r="E9888" t="inlineStr">
        <is>
          <t>ÅSELE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9943-2026</t>
        </is>
      </c>
      <c r="B9889" s="1" t="n">
        <v>46073.46966435185</v>
      </c>
      <c r="C9889" s="1" t="n">
        <v>46145</v>
      </c>
      <c r="D9889" t="inlineStr">
        <is>
          <t>VÄSTERBOTTENS LÄN</t>
        </is>
      </c>
      <c r="E9889" t="inlineStr">
        <is>
          <t>ÅSELE</t>
        </is>
      </c>
      <c r="F9889" t="inlineStr">
        <is>
          <t>SCA</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40373-2023</t>
        </is>
      </c>
      <c r="B9890" s="1" t="n">
        <v>45169</v>
      </c>
      <c r="C9890" s="1" t="n">
        <v>46145</v>
      </c>
      <c r="D9890" t="inlineStr">
        <is>
          <t>VÄSTERBOTTENS LÄN</t>
        </is>
      </c>
      <c r="E9890" t="inlineStr">
        <is>
          <t>SKELLEFTEÅ</t>
        </is>
      </c>
      <c r="F9890" t="inlineStr">
        <is>
          <t>Sveaskog</t>
        </is>
      </c>
      <c r="G9890" t="n">
        <v>16.6</v>
      </c>
      <c r="H9890" t="n">
        <v>0</v>
      </c>
      <c r="I9890" t="n">
        <v>0</v>
      </c>
      <c r="J9890" t="n">
        <v>0</v>
      </c>
      <c r="K9890" t="n">
        <v>0</v>
      </c>
      <c r="L9890" t="n">
        <v>0</v>
      </c>
      <c r="M9890" t="n">
        <v>0</v>
      </c>
      <c r="N9890" t="n">
        <v>0</v>
      </c>
      <c r="O9890" t="n">
        <v>0</v>
      </c>
      <c r="P9890" t="n">
        <v>0</v>
      </c>
      <c r="Q9890" t="n">
        <v>0</v>
      </c>
      <c r="R9890" s="2" t="inlineStr"/>
    </row>
    <row r="9891" ht="15" customHeight="1">
      <c r="A9891" t="inlineStr">
        <is>
          <t>A 9961-2026</t>
        </is>
      </c>
      <c r="B9891" s="1" t="n">
        <v>46073.49317129629</v>
      </c>
      <c r="C9891" s="1" t="n">
        <v>46145</v>
      </c>
      <c r="D9891" t="inlineStr">
        <is>
          <t>VÄSTERBOTTENS LÄN</t>
        </is>
      </c>
      <c r="E9891" t="inlineStr">
        <is>
          <t>UMEÅ</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10147-2026</t>
        </is>
      </c>
      <c r="B9892" s="1" t="n">
        <v>46076.35459490741</v>
      </c>
      <c r="C9892" s="1" t="n">
        <v>46145</v>
      </c>
      <c r="D9892" t="inlineStr">
        <is>
          <t>VÄSTERBOTTENS LÄN</t>
        </is>
      </c>
      <c r="E9892" t="inlineStr">
        <is>
          <t>SKELLEFTEÅ</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26872-2022</t>
        </is>
      </c>
      <c r="B9893" s="1" t="n">
        <v>44740</v>
      </c>
      <c r="C9893" s="1" t="n">
        <v>46145</v>
      </c>
      <c r="D9893" t="inlineStr">
        <is>
          <t>VÄSTERBOTTENS LÄN</t>
        </is>
      </c>
      <c r="E9893" t="inlineStr">
        <is>
          <t>UMEÅ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41177-2024</t>
        </is>
      </c>
      <c r="B9894" s="1" t="n">
        <v>45559.49118055555</v>
      </c>
      <c r="C9894" s="1" t="n">
        <v>46145</v>
      </c>
      <c r="D9894" t="inlineStr">
        <is>
          <t>VÄSTERBOTTENS LÄN</t>
        </is>
      </c>
      <c r="E9894" t="inlineStr">
        <is>
          <t>UMEÅ</t>
        </is>
      </c>
      <c r="G9894" t="n">
        <v>9.6</v>
      </c>
      <c r="H9894" t="n">
        <v>0</v>
      </c>
      <c r="I9894" t="n">
        <v>0</v>
      </c>
      <c r="J9894" t="n">
        <v>0</v>
      </c>
      <c r="K9894" t="n">
        <v>0</v>
      </c>
      <c r="L9894" t="n">
        <v>0</v>
      </c>
      <c r="M9894" t="n">
        <v>0</v>
      </c>
      <c r="N9894" t="n">
        <v>0</v>
      </c>
      <c r="O9894" t="n">
        <v>0</v>
      </c>
      <c r="P9894" t="n">
        <v>0</v>
      </c>
      <c r="Q9894" t="n">
        <v>0</v>
      </c>
      <c r="R9894" s="2" t="inlineStr"/>
    </row>
    <row r="9895" ht="15" customHeight="1">
      <c r="A9895" t="inlineStr">
        <is>
          <t>A 17227-2026</t>
        </is>
      </c>
      <c r="B9895" s="1" t="n">
        <v>46119.38748842593</v>
      </c>
      <c r="C9895" s="1" t="n">
        <v>46145</v>
      </c>
      <c r="D9895" t="inlineStr">
        <is>
          <t>VÄSTERBOTTENS LÄN</t>
        </is>
      </c>
      <c r="E9895" t="inlineStr">
        <is>
          <t>SKELLEFTEÅ</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10226-2026</t>
        </is>
      </c>
      <c r="B9896" s="1" t="n">
        <v>46076.5108912037</v>
      </c>
      <c r="C9896" s="1" t="n">
        <v>46145</v>
      </c>
      <c r="D9896" t="inlineStr">
        <is>
          <t>VÄSTERBOTTENS LÄN</t>
        </is>
      </c>
      <c r="E9896" t="inlineStr">
        <is>
          <t>ÅSELE</t>
        </is>
      </c>
      <c r="F9896" t="inlineStr">
        <is>
          <t>SCA</t>
        </is>
      </c>
      <c r="G9896" t="n">
        <v>17.2</v>
      </c>
      <c r="H9896" t="n">
        <v>0</v>
      </c>
      <c r="I9896" t="n">
        <v>0</v>
      </c>
      <c r="J9896" t="n">
        <v>0</v>
      </c>
      <c r="K9896" t="n">
        <v>0</v>
      </c>
      <c r="L9896" t="n">
        <v>0</v>
      </c>
      <c r="M9896" t="n">
        <v>0</v>
      </c>
      <c r="N9896" t="n">
        <v>0</v>
      </c>
      <c r="O9896" t="n">
        <v>0</v>
      </c>
      <c r="P9896" t="n">
        <v>0</v>
      </c>
      <c r="Q9896" t="n">
        <v>0</v>
      </c>
      <c r="R9896" s="2" t="inlineStr"/>
    </row>
    <row r="9897" ht="15" customHeight="1">
      <c r="A9897" t="inlineStr">
        <is>
          <t>A 10300-2026</t>
        </is>
      </c>
      <c r="B9897" s="1" t="n">
        <v>46076.63145833334</v>
      </c>
      <c r="C9897" s="1" t="n">
        <v>46145</v>
      </c>
      <c r="D9897" t="inlineStr">
        <is>
          <t>VÄSTERBOTTENS LÄN</t>
        </is>
      </c>
      <c r="E9897" t="inlineStr">
        <is>
          <t>NORDMALING</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11077-2024</t>
        </is>
      </c>
      <c r="B9898" s="1" t="n">
        <v>45370.92724537037</v>
      </c>
      <c r="C9898" s="1" t="n">
        <v>46145</v>
      </c>
      <c r="D9898" t="inlineStr">
        <is>
          <t>VÄSTERBOTTENS LÄN</t>
        </is>
      </c>
      <c r="E9898" t="inlineStr">
        <is>
          <t>SKELLEFTEÅ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11079-2024</t>
        </is>
      </c>
      <c r="B9899" s="1" t="n">
        <v>45370.92737268518</v>
      </c>
      <c r="C9899" s="1" t="n">
        <v>46145</v>
      </c>
      <c r="D9899" t="inlineStr">
        <is>
          <t>VÄSTERBOTTENS LÄN</t>
        </is>
      </c>
      <c r="E9899" t="inlineStr">
        <is>
          <t>SKELLEFTEÅ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10322-2026</t>
        </is>
      </c>
      <c r="B9900" s="1" t="n">
        <v>46076.65726851852</v>
      </c>
      <c r="C9900" s="1" t="n">
        <v>46145</v>
      </c>
      <c r="D9900" t="inlineStr">
        <is>
          <t>VÄSTERBOTTENS LÄN</t>
        </is>
      </c>
      <c r="E9900" t="inlineStr">
        <is>
          <t>ÅSELE</t>
        </is>
      </c>
      <c r="F9900" t="inlineStr">
        <is>
          <t>SCA</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19498-2023</t>
        </is>
      </c>
      <c r="B9901" s="1" t="n">
        <v>45049</v>
      </c>
      <c r="C9901" s="1" t="n">
        <v>46145</v>
      </c>
      <c r="D9901" t="inlineStr">
        <is>
          <t>VÄSTERBOTTENS LÄN</t>
        </is>
      </c>
      <c r="E9901" t="inlineStr">
        <is>
          <t>SKELLEFTEÅ</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10577-2026</t>
        </is>
      </c>
      <c r="B9902" s="1" t="n">
        <v>46077.66824074074</v>
      </c>
      <c r="C9902" s="1" t="n">
        <v>46145</v>
      </c>
      <c r="D9902" t="inlineStr">
        <is>
          <t>VÄSTERBOTTENS LÄN</t>
        </is>
      </c>
      <c r="E9902" t="inlineStr">
        <is>
          <t>NORSJÖ</t>
        </is>
      </c>
      <c r="G9902" t="n">
        <v>9.9</v>
      </c>
      <c r="H9902" t="n">
        <v>0</v>
      </c>
      <c r="I9902" t="n">
        <v>0</v>
      </c>
      <c r="J9902" t="n">
        <v>0</v>
      </c>
      <c r="K9902" t="n">
        <v>0</v>
      </c>
      <c r="L9902" t="n">
        <v>0</v>
      </c>
      <c r="M9902" t="n">
        <v>0</v>
      </c>
      <c r="N9902" t="n">
        <v>0</v>
      </c>
      <c r="O9902" t="n">
        <v>0</v>
      </c>
      <c r="P9902" t="n">
        <v>0</v>
      </c>
      <c r="Q9902" t="n">
        <v>0</v>
      </c>
      <c r="R9902" s="2" t="inlineStr"/>
    </row>
    <row r="9903" ht="15" customHeight="1">
      <c r="A9903" t="inlineStr">
        <is>
          <t>A 12680-2022</t>
        </is>
      </c>
      <c r="B9903" s="1" t="n">
        <v>44641</v>
      </c>
      <c r="C9903" s="1" t="n">
        <v>46145</v>
      </c>
      <c r="D9903" t="inlineStr">
        <is>
          <t>VÄSTERBOTTENS LÄN</t>
        </is>
      </c>
      <c r="E9903" t="inlineStr">
        <is>
          <t>MALÅ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12657-2023</t>
        </is>
      </c>
      <c r="B9904" s="1" t="n">
        <v>44999</v>
      </c>
      <c r="C9904" s="1" t="n">
        <v>46145</v>
      </c>
      <c r="D9904" t="inlineStr">
        <is>
          <t>VÄSTERBOTTENS LÄN</t>
        </is>
      </c>
      <c r="E9904" t="inlineStr">
        <is>
          <t>NORSJÖ</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10180-2026</t>
        </is>
      </c>
      <c r="B9905" s="1" t="n">
        <v>46076.43035879629</v>
      </c>
      <c r="C9905" s="1" t="n">
        <v>46145</v>
      </c>
      <c r="D9905" t="inlineStr">
        <is>
          <t>VÄSTERBOTTENS LÄN</t>
        </is>
      </c>
      <c r="E9905" t="inlineStr">
        <is>
          <t>LYCKSELE</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17314-2026</t>
        </is>
      </c>
      <c r="B9906" s="1" t="n">
        <v>46119.59431712963</v>
      </c>
      <c r="C9906" s="1" t="n">
        <v>46145</v>
      </c>
      <c r="D9906" t="inlineStr">
        <is>
          <t>VÄSTERBOTTENS LÄN</t>
        </is>
      </c>
      <c r="E9906" t="inlineStr">
        <is>
          <t>VINDELN</t>
        </is>
      </c>
      <c r="F9906" t="inlineStr">
        <is>
          <t>SCA</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9860-2022</t>
        </is>
      </c>
      <c r="B9907" s="1" t="n">
        <v>44620</v>
      </c>
      <c r="C9907" s="1" t="n">
        <v>46145</v>
      </c>
      <c r="D9907" t="inlineStr">
        <is>
          <t>VÄSTERBOTTENS LÄN</t>
        </is>
      </c>
      <c r="E9907" t="inlineStr">
        <is>
          <t>NORDMALING</t>
        </is>
      </c>
      <c r="G9907" t="n">
        <v>82.40000000000001</v>
      </c>
      <c r="H9907" t="n">
        <v>0</v>
      </c>
      <c r="I9907" t="n">
        <v>0</v>
      </c>
      <c r="J9907" t="n">
        <v>0</v>
      </c>
      <c r="K9907" t="n">
        <v>0</v>
      </c>
      <c r="L9907" t="n">
        <v>0</v>
      </c>
      <c r="M9907" t="n">
        <v>0</v>
      </c>
      <c r="N9907" t="n">
        <v>0</v>
      </c>
      <c r="O9907" t="n">
        <v>0</v>
      </c>
      <c r="P9907" t="n">
        <v>0</v>
      </c>
      <c r="Q9907" t="n">
        <v>0</v>
      </c>
      <c r="R9907" s="2" t="inlineStr"/>
    </row>
    <row r="9908" ht="15" customHeight="1">
      <c r="A9908" t="inlineStr">
        <is>
          <t>A 9924-2022</t>
        </is>
      </c>
      <c r="B9908" s="1" t="n">
        <v>44620.92203703704</v>
      </c>
      <c r="C9908" s="1" t="n">
        <v>46145</v>
      </c>
      <c r="D9908" t="inlineStr">
        <is>
          <t>VÄSTERBOTTENS LÄN</t>
        </is>
      </c>
      <c r="E9908" t="inlineStr">
        <is>
          <t>UMEÅ</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50943-2024</t>
        </is>
      </c>
      <c r="B9909" s="1" t="n">
        <v>45602</v>
      </c>
      <c r="C9909" s="1" t="n">
        <v>46145</v>
      </c>
      <c r="D9909" t="inlineStr">
        <is>
          <t>VÄSTERBOTTENS LÄN</t>
        </is>
      </c>
      <c r="E9909" t="inlineStr">
        <is>
          <t>SORSELE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17231-2026</t>
        </is>
      </c>
      <c r="B9910" s="1" t="n">
        <v>46119.39540509259</v>
      </c>
      <c r="C9910" s="1" t="n">
        <v>46145</v>
      </c>
      <c r="D9910" t="inlineStr">
        <is>
          <t>VÄSTERBOTTENS LÄN</t>
        </is>
      </c>
      <c r="E9910" t="inlineStr">
        <is>
          <t>UMEÅ</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25367-2023</t>
        </is>
      </c>
      <c r="B9911" s="1" t="n">
        <v>45088.92412037037</v>
      </c>
      <c r="C9911" s="1" t="n">
        <v>46145</v>
      </c>
      <c r="D9911" t="inlineStr">
        <is>
          <t>VÄSTERBOTTENS LÄN</t>
        </is>
      </c>
      <c r="E9911" t="inlineStr">
        <is>
          <t>UMEÅ</t>
        </is>
      </c>
      <c r="F9911" t="inlineStr">
        <is>
          <t>Holmen skog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10420-2026</t>
        </is>
      </c>
      <c r="B9912" s="1" t="n">
        <v>46077.36194444444</v>
      </c>
      <c r="C9912" s="1" t="n">
        <v>46145</v>
      </c>
      <c r="D9912" t="inlineStr">
        <is>
          <t>VÄSTERBOTTENS LÄN</t>
        </is>
      </c>
      <c r="E9912" t="inlineStr">
        <is>
          <t>SKELLEFTEÅ</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51993-2024</t>
        </is>
      </c>
      <c r="B9913" s="1" t="n">
        <v>45607</v>
      </c>
      <c r="C9913" s="1" t="n">
        <v>46145</v>
      </c>
      <c r="D9913" t="inlineStr">
        <is>
          <t>VÄSTERBOTTENS LÄN</t>
        </is>
      </c>
      <c r="E9913" t="inlineStr">
        <is>
          <t>SKELLEFTEÅ</t>
        </is>
      </c>
      <c r="F9913" t="inlineStr">
        <is>
          <t>Kommuner</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9982-2026</t>
        </is>
      </c>
      <c r="B9914" s="1" t="n">
        <v>46073.5375462963</v>
      </c>
      <c r="C9914" s="1" t="n">
        <v>46145</v>
      </c>
      <c r="D9914" t="inlineStr">
        <is>
          <t>VÄSTERBOTTENS LÄN</t>
        </is>
      </c>
      <c r="E9914" t="inlineStr">
        <is>
          <t>SKELLEFTEÅ</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29275-2022</t>
        </is>
      </c>
      <c r="B9915" s="1" t="n">
        <v>44750.674375</v>
      </c>
      <c r="C9915" s="1" t="n">
        <v>46145</v>
      </c>
      <c r="D9915" t="inlineStr">
        <is>
          <t>VÄSTERBOTTENS LÄN</t>
        </is>
      </c>
      <c r="E9915" t="inlineStr">
        <is>
          <t>NORSJÖ</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10578-2026</t>
        </is>
      </c>
      <c r="B9916" s="1" t="n">
        <v>46077.67658564815</v>
      </c>
      <c r="C9916" s="1" t="n">
        <v>46145</v>
      </c>
      <c r="D9916" t="inlineStr">
        <is>
          <t>VÄSTERBOTTENS LÄN</t>
        </is>
      </c>
      <c r="E9916" t="inlineStr">
        <is>
          <t>VINDELN</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14519-2023</t>
        </is>
      </c>
      <c r="B9917" s="1" t="n">
        <v>45012.92611111111</v>
      </c>
      <c r="C9917" s="1" t="n">
        <v>46145</v>
      </c>
      <c r="D9917" t="inlineStr">
        <is>
          <t>VÄSTERBOTTENS LÄN</t>
        </is>
      </c>
      <c r="E9917" t="inlineStr">
        <is>
          <t>NORDMALING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9692-2026</t>
        </is>
      </c>
      <c r="B9918" s="1" t="n">
        <v>46072.40678240741</v>
      </c>
      <c r="C9918" s="1" t="n">
        <v>46145</v>
      </c>
      <c r="D9918" t="inlineStr">
        <is>
          <t>VÄSTERBOTTENS LÄN</t>
        </is>
      </c>
      <c r="E9918" t="inlineStr">
        <is>
          <t>NORDMALING</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15295-2022</t>
        </is>
      </c>
      <c r="B9919" s="1" t="n">
        <v>44659</v>
      </c>
      <c r="C9919" s="1" t="n">
        <v>46145</v>
      </c>
      <c r="D9919" t="inlineStr">
        <is>
          <t>VÄSTERBOTTENS LÄN</t>
        </is>
      </c>
      <c r="E9919" t="inlineStr">
        <is>
          <t>VINDELN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19349-2024</t>
        </is>
      </c>
      <c r="B9920" s="1" t="n">
        <v>45428.97231481481</v>
      </c>
      <c r="C9920" s="1" t="n">
        <v>46145</v>
      </c>
      <c r="D9920" t="inlineStr">
        <is>
          <t>VÄSTERBOTTENS LÄN</t>
        </is>
      </c>
      <c r="E9920" t="inlineStr">
        <is>
          <t>VILHELMINA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17276-2026</t>
        </is>
      </c>
      <c r="B9921" s="1" t="n">
        <v>46119.52461805556</v>
      </c>
      <c r="C9921" s="1" t="n">
        <v>46145</v>
      </c>
      <c r="D9921" t="inlineStr">
        <is>
          <t>VÄSTERBOTTENS LÄN</t>
        </is>
      </c>
      <c r="E9921" t="inlineStr">
        <is>
          <t>NORSJÖ</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55671-2023</t>
        </is>
      </c>
      <c r="B9922" s="1" t="n">
        <v>45238</v>
      </c>
      <c r="C9922" s="1" t="n">
        <v>46145</v>
      </c>
      <c r="D9922" t="inlineStr">
        <is>
          <t>VÄSTERBOTTENS LÄN</t>
        </is>
      </c>
      <c r="E9922" t="inlineStr">
        <is>
          <t>MALÅ</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22632-2024</t>
        </is>
      </c>
      <c r="B9923" s="1" t="n">
        <v>45447.67429398148</v>
      </c>
      <c r="C9923" s="1" t="n">
        <v>46145</v>
      </c>
      <c r="D9923" t="inlineStr">
        <is>
          <t>VÄSTERBOTTENS LÄN</t>
        </is>
      </c>
      <c r="E9923" t="inlineStr">
        <is>
          <t>UMEÅ</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10563-2026</t>
        </is>
      </c>
      <c r="B9924" s="1" t="n">
        <v>46077.6405787037</v>
      </c>
      <c r="C9924" s="1" t="n">
        <v>46145</v>
      </c>
      <c r="D9924" t="inlineStr">
        <is>
          <t>VÄSTERBOTTENS LÄN</t>
        </is>
      </c>
      <c r="E9924" t="inlineStr">
        <is>
          <t>SKELLEFTEÅ</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44132-2022</t>
        </is>
      </c>
      <c r="B9925" s="1" t="n">
        <v>44839.40086805556</v>
      </c>
      <c r="C9925" s="1" t="n">
        <v>46145</v>
      </c>
      <c r="D9925" t="inlineStr">
        <is>
          <t>VÄSTERBOTTENS LÄN</t>
        </is>
      </c>
      <c r="E9925" t="inlineStr">
        <is>
          <t>UMEÅ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10720-2026</t>
        </is>
      </c>
      <c r="B9926" s="1" t="n">
        <v>46078.46866898148</v>
      </c>
      <c r="C9926" s="1" t="n">
        <v>46145</v>
      </c>
      <c r="D9926" t="inlineStr">
        <is>
          <t>VÄSTERBOTTENS LÄN</t>
        </is>
      </c>
      <c r="E9926" t="inlineStr">
        <is>
          <t>LYCKSELE</t>
        </is>
      </c>
      <c r="F9926" t="inlineStr">
        <is>
          <t>Holmen skog AB</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6076-2024</t>
        </is>
      </c>
      <c r="B9927" s="1" t="n">
        <v>45336.93773148148</v>
      </c>
      <c r="C9927" s="1" t="n">
        <v>46145</v>
      </c>
      <c r="D9927" t="inlineStr">
        <is>
          <t>VÄSTERBOTTENS LÄN</t>
        </is>
      </c>
      <c r="E9927" t="inlineStr">
        <is>
          <t>NORSJÖ</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6079-2024</t>
        </is>
      </c>
      <c r="B9928" s="1" t="n">
        <v>45336.93798611111</v>
      </c>
      <c r="C9928" s="1" t="n">
        <v>46145</v>
      </c>
      <c r="D9928" t="inlineStr">
        <is>
          <t>VÄSTERBOTTENS LÄN</t>
        </is>
      </c>
      <c r="E9928" t="inlineStr">
        <is>
          <t>NORSJÖ</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10955-2026</t>
        </is>
      </c>
      <c r="B9929" s="1" t="n">
        <v>46079.4031712963</v>
      </c>
      <c r="C9929" s="1" t="n">
        <v>46145</v>
      </c>
      <c r="D9929" t="inlineStr">
        <is>
          <t>VÄSTERBOTTENS LÄN</t>
        </is>
      </c>
      <c r="E9929" t="inlineStr">
        <is>
          <t>SKELLEFTEÅ</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10951-2026</t>
        </is>
      </c>
      <c r="B9930" s="1" t="n">
        <v>46079.39625</v>
      </c>
      <c r="C9930" s="1" t="n">
        <v>46145</v>
      </c>
      <c r="D9930" t="inlineStr">
        <is>
          <t>VÄSTERBOTTENS LÄN</t>
        </is>
      </c>
      <c r="E9930" t="inlineStr">
        <is>
          <t>LYCKSELE</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10968-2026</t>
        </is>
      </c>
      <c r="B9931" s="1" t="n">
        <v>46079</v>
      </c>
      <c r="C9931" s="1" t="n">
        <v>46145</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37428-2024</t>
        </is>
      </c>
      <c r="B9932" s="1" t="n">
        <v>45540.64853009259</v>
      </c>
      <c r="C9932" s="1" t="n">
        <v>46145</v>
      </c>
      <c r="D9932" t="inlineStr">
        <is>
          <t>VÄSTERBOTTENS LÄN</t>
        </is>
      </c>
      <c r="E9932" t="inlineStr">
        <is>
          <t>NORSJÖ</t>
        </is>
      </c>
      <c r="F9932" t="inlineStr">
        <is>
          <t>Holmen skog AB</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20305-2025</t>
        </is>
      </c>
      <c r="B9933" s="1" t="n">
        <v>45774.81648148148</v>
      </c>
      <c r="C9933" s="1" t="n">
        <v>46145</v>
      </c>
      <c r="D9933" t="inlineStr">
        <is>
          <t>VÄSTERBOTTENS LÄN</t>
        </is>
      </c>
      <c r="E9933" t="inlineStr">
        <is>
          <t>ÅSELE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6436-2024</t>
        </is>
      </c>
      <c r="B9934" s="1" t="n">
        <v>45338</v>
      </c>
      <c r="C9934" s="1" t="n">
        <v>46145</v>
      </c>
      <c r="D9934" t="inlineStr">
        <is>
          <t>VÄSTERBOTTENS LÄN</t>
        </is>
      </c>
      <c r="E9934" t="inlineStr">
        <is>
          <t>VINDELN</t>
        </is>
      </c>
      <c r="G9934" t="n">
        <v>17.6</v>
      </c>
      <c r="H9934" t="n">
        <v>0</v>
      </c>
      <c r="I9934" t="n">
        <v>0</v>
      </c>
      <c r="J9934" t="n">
        <v>0</v>
      </c>
      <c r="K9934" t="n">
        <v>0</v>
      </c>
      <c r="L9934" t="n">
        <v>0</v>
      </c>
      <c r="M9934" t="n">
        <v>0</v>
      </c>
      <c r="N9934" t="n">
        <v>0</v>
      </c>
      <c r="O9934" t="n">
        <v>0</v>
      </c>
      <c r="P9934" t="n">
        <v>0</v>
      </c>
      <c r="Q9934" t="n">
        <v>0</v>
      </c>
      <c r="R9934" s="2" t="inlineStr"/>
    </row>
    <row r="9935" ht="15" customHeight="1">
      <c r="A9935" t="inlineStr">
        <is>
          <t>A 10675-2026</t>
        </is>
      </c>
      <c r="B9935" s="1" t="n">
        <v>46078.40700231482</v>
      </c>
      <c r="C9935" s="1" t="n">
        <v>46145</v>
      </c>
      <c r="D9935" t="inlineStr">
        <is>
          <t>VÄSTERBOTTENS LÄN</t>
        </is>
      </c>
      <c r="E9935" t="inlineStr">
        <is>
          <t>ÅSELE</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10676-2026</t>
        </is>
      </c>
      <c r="B9936" s="1" t="n">
        <v>46078.40722222222</v>
      </c>
      <c r="C9936" s="1" t="n">
        <v>46145</v>
      </c>
      <c r="D9936" t="inlineStr">
        <is>
          <t>VÄSTERBOTTENS LÄN</t>
        </is>
      </c>
      <c r="E9936" t="inlineStr">
        <is>
          <t>ÅSELE</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10924-2026</t>
        </is>
      </c>
      <c r="B9937" s="1" t="n">
        <v>46079.34145833334</v>
      </c>
      <c r="C9937" s="1" t="n">
        <v>46145</v>
      </c>
      <c r="D9937" t="inlineStr">
        <is>
          <t>VÄSTERBOTTENS LÄN</t>
        </is>
      </c>
      <c r="E9937" t="inlineStr">
        <is>
          <t>SKELLEFTEÅ</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42228-2024</t>
        </is>
      </c>
      <c r="B9938" s="1" t="n">
        <v>45562.55240740741</v>
      </c>
      <c r="C9938" s="1" t="n">
        <v>46145</v>
      </c>
      <c r="D9938" t="inlineStr">
        <is>
          <t>VÄSTERBOTTENS LÄN</t>
        </is>
      </c>
      <c r="E9938" t="inlineStr">
        <is>
          <t>DOROTEA</t>
        </is>
      </c>
      <c r="F9938" t="inlineStr">
        <is>
          <t>SCA</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19905-2024</t>
        </is>
      </c>
      <c r="B9939" s="1" t="n">
        <v>45433.56965277778</v>
      </c>
      <c r="C9939" s="1" t="n">
        <v>46145</v>
      </c>
      <c r="D9939" t="inlineStr">
        <is>
          <t>VÄSTERBOTTENS LÄN</t>
        </is>
      </c>
      <c r="E9939" t="inlineStr">
        <is>
          <t>SKELLEFTEÅ</t>
        </is>
      </c>
      <c r="F9939" t="inlineStr">
        <is>
          <t>Holmen skog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38503-2024</t>
        </is>
      </c>
      <c r="B9940" s="1" t="n">
        <v>45546.52896990741</v>
      </c>
      <c r="C9940" s="1" t="n">
        <v>46145</v>
      </c>
      <c r="D9940" t="inlineStr">
        <is>
          <t>VÄSTERBOTTENS LÄN</t>
        </is>
      </c>
      <c r="E9940" t="inlineStr">
        <is>
          <t>SKELLEFTEÅ</t>
        </is>
      </c>
      <c r="G9940" t="n">
        <v>8.9</v>
      </c>
      <c r="H9940" t="n">
        <v>0</v>
      </c>
      <c r="I9940" t="n">
        <v>0</v>
      </c>
      <c r="J9940" t="n">
        <v>0</v>
      </c>
      <c r="K9940" t="n">
        <v>0</v>
      </c>
      <c r="L9940" t="n">
        <v>0</v>
      </c>
      <c r="M9940" t="n">
        <v>0</v>
      </c>
      <c r="N9940" t="n">
        <v>0</v>
      </c>
      <c r="O9940" t="n">
        <v>0</v>
      </c>
      <c r="P9940" t="n">
        <v>0</v>
      </c>
      <c r="Q9940" t="n">
        <v>0</v>
      </c>
      <c r="R9940" s="2" t="inlineStr"/>
    </row>
    <row r="9941" ht="15" customHeight="1">
      <c r="A9941" t="inlineStr">
        <is>
          <t>A 17698-2026</t>
        </is>
      </c>
      <c r="B9941" s="1" t="n">
        <v>46121.66449074074</v>
      </c>
      <c r="C9941" s="1" t="n">
        <v>46145</v>
      </c>
      <c r="D9941" t="inlineStr">
        <is>
          <t>VÄSTERBOTTENS LÄN</t>
        </is>
      </c>
      <c r="E9941" t="inlineStr">
        <is>
          <t>SKELLEFTEÅ</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44209-2024</t>
        </is>
      </c>
      <c r="B9942" s="1" t="n">
        <v>45573</v>
      </c>
      <c r="C9942" s="1" t="n">
        <v>46145</v>
      </c>
      <c r="D9942" t="inlineStr">
        <is>
          <t>VÄSTERBOTTENS LÄN</t>
        </is>
      </c>
      <c r="E9942" t="inlineStr">
        <is>
          <t>ÅSELE</t>
        </is>
      </c>
      <c r="F9942" t="inlineStr">
        <is>
          <t>Sveaskog</t>
        </is>
      </c>
      <c r="G9942" t="n">
        <v>12.5</v>
      </c>
      <c r="H9942" t="n">
        <v>0</v>
      </c>
      <c r="I9942" t="n">
        <v>0</v>
      </c>
      <c r="J9942" t="n">
        <v>0</v>
      </c>
      <c r="K9942" t="n">
        <v>0</v>
      </c>
      <c r="L9942" t="n">
        <v>0</v>
      </c>
      <c r="M9942" t="n">
        <v>0</v>
      </c>
      <c r="N9942" t="n">
        <v>0</v>
      </c>
      <c r="O9942" t="n">
        <v>0</v>
      </c>
      <c r="P9942" t="n">
        <v>0</v>
      </c>
      <c r="Q9942" t="n">
        <v>0</v>
      </c>
      <c r="R9942" s="2" t="inlineStr"/>
    </row>
    <row r="9943" ht="15" customHeight="1">
      <c r="A9943" t="inlineStr">
        <is>
          <t>A 51592-2024</t>
        </is>
      </c>
      <c r="B9943" s="1" t="n">
        <v>45604.64886574074</v>
      </c>
      <c r="C9943" s="1" t="n">
        <v>46145</v>
      </c>
      <c r="D9943" t="inlineStr">
        <is>
          <t>VÄSTERBOTTENS LÄN</t>
        </is>
      </c>
      <c r="E9943" t="inlineStr">
        <is>
          <t>SKELLEFTEÅ</t>
        </is>
      </c>
      <c r="F9943" t="inlineStr">
        <is>
          <t>Sveaskog</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11096-2026</t>
        </is>
      </c>
      <c r="B9944" s="1" t="n">
        <v>46079.64505787037</v>
      </c>
      <c r="C9944" s="1" t="n">
        <v>46145</v>
      </c>
      <c r="D9944" t="inlineStr">
        <is>
          <t>VÄSTERBOTTENS LÄN</t>
        </is>
      </c>
      <c r="E9944" t="inlineStr">
        <is>
          <t>VINDELN</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53272-2024</t>
        </is>
      </c>
      <c r="B9945" s="1" t="n">
        <v>45614</v>
      </c>
      <c r="C9945" s="1" t="n">
        <v>46145</v>
      </c>
      <c r="D9945" t="inlineStr">
        <is>
          <t>VÄSTERBOTTENS LÄN</t>
        </is>
      </c>
      <c r="E9945" t="inlineStr">
        <is>
          <t>DOROTEA</t>
        </is>
      </c>
      <c r="G9945" t="n">
        <v>31.7</v>
      </c>
      <c r="H9945" t="n">
        <v>0</v>
      </c>
      <c r="I9945" t="n">
        <v>0</v>
      </c>
      <c r="J9945" t="n">
        <v>0</v>
      </c>
      <c r="K9945" t="n">
        <v>0</v>
      </c>
      <c r="L9945" t="n">
        <v>0</v>
      </c>
      <c r="M9945" t="n">
        <v>0</v>
      </c>
      <c r="N9945" t="n">
        <v>0</v>
      </c>
      <c r="O9945" t="n">
        <v>0</v>
      </c>
      <c r="P9945" t="n">
        <v>0</v>
      </c>
      <c r="Q9945" t="n">
        <v>0</v>
      </c>
      <c r="R9945" s="2" t="inlineStr"/>
    </row>
    <row r="9946" ht="15" customHeight="1">
      <c r="A9946" t="inlineStr">
        <is>
          <t>A 528-2022</t>
        </is>
      </c>
      <c r="B9946" s="1" t="n">
        <v>44566.59707175926</v>
      </c>
      <c r="C9946" s="1" t="n">
        <v>46145</v>
      </c>
      <c r="D9946" t="inlineStr">
        <is>
          <t>VÄSTERBOTTENS LÄN</t>
        </is>
      </c>
      <c r="E9946" t="inlineStr">
        <is>
          <t>SKELLEFTEÅ</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7897-2022</t>
        </is>
      </c>
      <c r="B9947" s="1" t="n">
        <v>44608</v>
      </c>
      <c r="C9947" s="1" t="n">
        <v>46145</v>
      </c>
      <c r="D9947" t="inlineStr">
        <is>
          <t>VÄSTERBOTTENS LÄN</t>
        </is>
      </c>
      <c r="E9947" t="inlineStr">
        <is>
          <t>BJURHOLM</t>
        </is>
      </c>
      <c r="G9947" t="n">
        <v>17.8</v>
      </c>
      <c r="H9947" t="n">
        <v>0</v>
      </c>
      <c r="I9947" t="n">
        <v>0</v>
      </c>
      <c r="J9947" t="n">
        <v>0</v>
      </c>
      <c r="K9947" t="n">
        <v>0</v>
      </c>
      <c r="L9947" t="n">
        <v>0</v>
      </c>
      <c r="M9947" t="n">
        <v>0</v>
      </c>
      <c r="N9947" t="n">
        <v>0</v>
      </c>
      <c r="O9947" t="n">
        <v>0</v>
      </c>
      <c r="P9947" t="n">
        <v>0</v>
      </c>
      <c r="Q9947" t="n">
        <v>0</v>
      </c>
      <c r="R9947" s="2" t="inlineStr"/>
    </row>
    <row r="9948" ht="15" customHeight="1">
      <c r="A9948" t="inlineStr">
        <is>
          <t>A 7908-2022</t>
        </is>
      </c>
      <c r="B9948" s="1" t="n">
        <v>44608.66927083334</v>
      </c>
      <c r="C9948" s="1" t="n">
        <v>46145</v>
      </c>
      <c r="D9948" t="inlineStr">
        <is>
          <t>VÄSTERBOTTENS LÄN</t>
        </is>
      </c>
      <c r="E9948" t="inlineStr">
        <is>
          <t>BJURHOLM</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6760-2023</t>
        </is>
      </c>
      <c r="B9949" s="1" t="n">
        <v>44966</v>
      </c>
      <c r="C9949" s="1" t="n">
        <v>46145</v>
      </c>
      <c r="D9949" t="inlineStr">
        <is>
          <t>VÄSTERBOTTENS LÄN</t>
        </is>
      </c>
      <c r="E9949" t="inlineStr">
        <is>
          <t>STORUMAN</t>
        </is>
      </c>
      <c r="F9949" t="inlineStr">
        <is>
          <t>Sveaskog</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10826-2026</t>
        </is>
      </c>
      <c r="B9950" s="1" t="n">
        <v>46078.6249537037</v>
      </c>
      <c r="C9950" s="1" t="n">
        <v>46145</v>
      </c>
      <c r="D9950" t="inlineStr">
        <is>
          <t>VÄSTERBOTTENS LÄN</t>
        </is>
      </c>
      <c r="E9950" t="inlineStr">
        <is>
          <t>ÅSELE</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40964-2024</t>
        </is>
      </c>
      <c r="B9951" s="1" t="n">
        <v>45558.67090277778</v>
      </c>
      <c r="C9951" s="1" t="n">
        <v>46145</v>
      </c>
      <c r="D9951" t="inlineStr">
        <is>
          <t>VÄSTERBOTTENS LÄN</t>
        </is>
      </c>
      <c r="E9951" t="inlineStr">
        <is>
          <t>VINDELN</t>
        </is>
      </c>
      <c r="F9951" t="inlineStr">
        <is>
          <t>Sveaskog</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48586-2024</t>
        </is>
      </c>
      <c r="B9952" s="1" t="n">
        <v>45593.42652777778</v>
      </c>
      <c r="C9952" s="1" t="n">
        <v>46145</v>
      </c>
      <c r="D9952" t="inlineStr">
        <is>
          <t>VÄSTERBOTTENS LÄN</t>
        </is>
      </c>
      <c r="E9952" t="inlineStr">
        <is>
          <t>UMEÅ</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17497-2026</t>
        </is>
      </c>
      <c r="B9953" s="1" t="n">
        <v>46120.59516203704</v>
      </c>
      <c r="C9953" s="1" t="n">
        <v>46145</v>
      </c>
      <c r="D9953" t="inlineStr">
        <is>
          <t>VÄSTERBOTTENS LÄN</t>
        </is>
      </c>
      <c r="E9953" t="inlineStr">
        <is>
          <t>VINDELN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18584-2022</t>
        </is>
      </c>
      <c r="B9954" s="1" t="n">
        <v>44687</v>
      </c>
      <c r="C9954" s="1" t="n">
        <v>46145</v>
      </c>
      <c r="D9954" t="inlineStr">
        <is>
          <t>VÄSTERBOTTENS LÄN</t>
        </is>
      </c>
      <c r="E9954" t="inlineStr">
        <is>
          <t>SKELLEFTEÅ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18692-2023</t>
        </is>
      </c>
      <c r="B9955" s="1" t="n">
        <v>45042</v>
      </c>
      <c r="C9955" s="1" t="n">
        <v>46145</v>
      </c>
      <c r="D9955" t="inlineStr">
        <is>
          <t>VÄSTERBOTTENS LÄN</t>
        </is>
      </c>
      <c r="E9955" t="inlineStr">
        <is>
          <t>VILHELMINA</t>
        </is>
      </c>
      <c r="F9955" t="inlineStr">
        <is>
          <t>Allmännings- och besparingsskogar</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10750-2026</t>
        </is>
      </c>
      <c r="B9956" s="1" t="n">
        <v>46078.53337962963</v>
      </c>
      <c r="C9956" s="1" t="n">
        <v>46145</v>
      </c>
      <c r="D9956" t="inlineStr">
        <is>
          <t>VÄSTERBOTTENS LÄN</t>
        </is>
      </c>
      <c r="E9956" t="inlineStr">
        <is>
          <t>UMEÅ</t>
        </is>
      </c>
      <c r="G9956" t="n">
        <v>8.9</v>
      </c>
      <c r="H9956" t="n">
        <v>0</v>
      </c>
      <c r="I9956" t="n">
        <v>0</v>
      </c>
      <c r="J9956" t="n">
        <v>0</v>
      </c>
      <c r="K9956" t="n">
        <v>0</v>
      </c>
      <c r="L9956" t="n">
        <v>0</v>
      </c>
      <c r="M9956" t="n">
        <v>0</v>
      </c>
      <c r="N9956" t="n">
        <v>0</v>
      </c>
      <c r="O9956" t="n">
        <v>0</v>
      </c>
      <c r="P9956" t="n">
        <v>0</v>
      </c>
      <c r="Q9956" t="n">
        <v>0</v>
      </c>
      <c r="R9956" s="2" t="inlineStr"/>
    </row>
    <row r="9957" ht="15" customHeight="1">
      <c r="A9957" t="inlineStr">
        <is>
          <t>A 59596-2023</t>
        </is>
      </c>
      <c r="B9957" s="1" t="n">
        <v>45254</v>
      </c>
      <c r="C9957" s="1" t="n">
        <v>46145</v>
      </c>
      <c r="D9957" t="inlineStr">
        <is>
          <t>VÄSTERBOTTENS LÄN</t>
        </is>
      </c>
      <c r="E9957" t="inlineStr">
        <is>
          <t>ROBERTSFORS</t>
        </is>
      </c>
      <c r="F9957" t="inlineStr">
        <is>
          <t>Holmen skog AB</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10752-2026</t>
        </is>
      </c>
      <c r="B9958" s="1" t="n">
        <v>46078</v>
      </c>
      <c r="C9958" s="1" t="n">
        <v>46145</v>
      </c>
      <c r="D9958" t="inlineStr">
        <is>
          <t>VÄSTERBOTTENS LÄN</t>
        </is>
      </c>
      <c r="E9958" t="inlineStr">
        <is>
          <t>ÅSELE</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10658-2026</t>
        </is>
      </c>
      <c r="B9959" s="1" t="n">
        <v>46078.36523148148</v>
      </c>
      <c r="C9959" s="1" t="n">
        <v>46145</v>
      </c>
      <c r="D9959" t="inlineStr">
        <is>
          <t>VÄSTERBOTTENS LÄN</t>
        </is>
      </c>
      <c r="E9959" t="inlineStr">
        <is>
          <t>SORSELE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58363-2021</t>
        </is>
      </c>
      <c r="B9960" s="1" t="n">
        <v>44488</v>
      </c>
      <c r="C9960" s="1" t="n">
        <v>46145</v>
      </c>
      <c r="D9960" t="inlineStr">
        <is>
          <t>VÄSTERBOTTENS LÄN</t>
        </is>
      </c>
      <c r="E9960" t="inlineStr">
        <is>
          <t>VILHELMINA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10688-2026</t>
        </is>
      </c>
      <c r="B9961" s="1" t="n">
        <v>46078.42765046296</v>
      </c>
      <c r="C9961" s="1" t="n">
        <v>46145</v>
      </c>
      <c r="D9961" t="inlineStr">
        <is>
          <t>VÄSTERBOTTENS LÄN</t>
        </is>
      </c>
      <c r="E9961" t="inlineStr">
        <is>
          <t>ÅSELE</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17643-2026</t>
        </is>
      </c>
      <c r="B9962" s="1" t="n">
        <v>46121.5110300926</v>
      </c>
      <c r="C9962" s="1" t="n">
        <v>46145</v>
      </c>
      <c r="D9962" t="inlineStr">
        <is>
          <t>VÄSTERBOTTENS LÄN</t>
        </is>
      </c>
      <c r="E9962" t="inlineStr">
        <is>
          <t>VILHELMINA</t>
        </is>
      </c>
      <c r="F9962" t="inlineStr">
        <is>
          <t>SCA</t>
        </is>
      </c>
      <c r="G9962" t="n">
        <v>18.1</v>
      </c>
      <c r="H9962" t="n">
        <v>0</v>
      </c>
      <c r="I9962" t="n">
        <v>0</v>
      </c>
      <c r="J9962" t="n">
        <v>0</v>
      </c>
      <c r="K9962" t="n">
        <v>0</v>
      </c>
      <c r="L9962" t="n">
        <v>0</v>
      </c>
      <c r="M9962" t="n">
        <v>0</v>
      </c>
      <c r="N9962" t="n">
        <v>0</v>
      </c>
      <c r="O9962" t="n">
        <v>0</v>
      </c>
      <c r="P9962" t="n">
        <v>0</v>
      </c>
      <c r="Q9962" t="n">
        <v>0</v>
      </c>
      <c r="R9962" s="2" t="inlineStr"/>
    </row>
    <row r="9963" ht="15" customHeight="1">
      <c r="A9963" t="inlineStr">
        <is>
          <t>A 58699-2022</t>
        </is>
      </c>
      <c r="B9963" s="1" t="n">
        <v>44902</v>
      </c>
      <c r="C9963" s="1" t="n">
        <v>46145</v>
      </c>
      <c r="D9963" t="inlineStr">
        <is>
          <t>VÄSTERBOTTENS LÄN</t>
        </is>
      </c>
      <c r="E9963" t="inlineStr">
        <is>
          <t>VINDELN</t>
        </is>
      </c>
      <c r="G9963" t="n">
        <v>14.2</v>
      </c>
      <c r="H9963" t="n">
        <v>0</v>
      </c>
      <c r="I9963" t="n">
        <v>0</v>
      </c>
      <c r="J9963" t="n">
        <v>0</v>
      </c>
      <c r="K9963" t="n">
        <v>0</v>
      </c>
      <c r="L9963" t="n">
        <v>0</v>
      </c>
      <c r="M9963" t="n">
        <v>0</v>
      </c>
      <c r="N9963" t="n">
        <v>0</v>
      </c>
      <c r="O9963" t="n">
        <v>0</v>
      </c>
      <c r="P9963" t="n">
        <v>0</v>
      </c>
      <c r="Q9963" t="n">
        <v>0</v>
      </c>
      <c r="R9963" s="2" t="inlineStr"/>
    </row>
    <row r="9964" ht="15" customHeight="1">
      <c r="A9964" t="inlineStr">
        <is>
          <t>A 2737-2023</t>
        </is>
      </c>
      <c r="B9964" s="1" t="n">
        <v>44944</v>
      </c>
      <c r="C9964" s="1" t="n">
        <v>46145</v>
      </c>
      <c r="D9964" t="inlineStr">
        <is>
          <t>VÄSTERBOTTENS LÄN</t>
        </is>
      </c>
      <c r="E9964" t="inlineStr">
        <is>
          <t>UMEÅ</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55418-2022</t>
        </is>
      </c>
      <c r="B9965" s="1" t="n">
        <v>44882</v>
      </c>
      <c r="C9965" s="1" t="n">
        <v>46145</v>
      </c>
      <c r="D9965" t="inlineStr">
        <is>
          <t>VÄSTERBOTTENS LÄN</t>
        </is>
      </c>
      <c r="E9965" t="inlineStr">
        <is>
          <t>SORSELE</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10677-2026</t>
        </is>
      </c>
      <c r="B9966" s="1" t="n">
        <v>46078.4074537037</v>
      </c>
      <c r="C9966" s="1" t="n">
        <v>46145</v>
      </c>
      <c r="D9966" t="inlineStr">
        <is>
          <t>VÄSTERBOTTENS LÄN</t>
        </is>
      </c>
      <c r="E9966" t="inlineStr">
        <is>
          <t>ÅSELE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10883-2026</t>
        </is>
      </c>
      <c r="B9967" s="1" t="n">
        <v>46078</v>
      </c>
      <c r="C9967" s="1" t="n">
        <v>46145</v>
      </c>
      <c r="D9967" t="inlineStr">
        <is>
          <t>VÄSTERBOTTENS LÄN</t>
        </is>
      </c>
      <c r="E9967" t="inlineStr">
        <is>
          <t>VILHELMINA</t>
        </is>
      </c>
      <c r="F9967" t="inlineStr">
        <is>
          <t>Övriga Aktiebolag</t>
        </is>
      </c>
      <c r="G9967" t="n">
        <v>12.2</v>
      </c>
      <c r="H9967" t="n">
        <v>0</v>
      </c>
      <c r="I9967" t="n">
        <v>0</v>
      </c>
      <c r="J9967" t="n">
        <v>0</v>
      </c>
      <c r="K9967" t="n">
        <v>0</v>
      </c>
      <c r="L9967" t="n">
        <v>0</v>
      </c>
      <c r="M9967" t="n">
        <v>0</v>
      </c>
      <c r="N9967" t="n">
        <v>0</v>
      </c>
      <c r="O9967" t="n">
        <v>0</v>
      </c>
      <c r="P9967" t="n">
        <v>0</v>
      </c>
      <c r="Q9967" t="n">
        <v>0</v>
      </c>
      <c r="R9967" s="2" t="inlineStr"/>
    </row>
    <row r="9968" ht="15" customHeight="1">
      <c r="A9968" t="inlineStr">
        <is>
          <t>A 10939-2026</t>
        </is>
      </c>
      <c r="B9968" s="1" t="n">
        <v>46079.3693287037</v>
      </c>
      <c r="C9968" s="1" t="n">
        <v>46145</v>
      </c>
      <c r="D9968" t="inlineStr">
        <is>
          <t>VÄSTERBOTTENS LÄN</t>
        </is>
      </c>
      <c r="E9968" t="inlineStr">
        <is>
          <t>VINDELN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10941-2026</t>
        </is>
      </c>
      <c r="B9969" s="1" t="n">
        <v>46079.37251157407</v>
      </c>
      <c r="C9969" s="1" t="n">
        <v>46145</v>
      </c>
      <c r="D9969" t="inlineStr">
        <is>
          <t>VÄSTERBOTTENS LÄN</t>
        </is>
      </c>
      <c r="E9969" t="inlineStr">
        <is>
          <t>SKELLEFTEÅ</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17572-2026</t>
        </is>
      </c>
      <c r="B9970" s="1" t="n">
        <v>46121.34498842592</v>
      </c>
      <c r="C9970" s="1" t="n">
        <v>46145</v>
      </c>
      <c r="D9970" t="inlineStr">
        <is>
          <t>VÄSTERBOTTENS LÄN</t>
        </is>
      </c>
      <c r="E9970" t="inlineStr">
        <is>
          <t>SKELLEFTEÅ</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17701-2026</t>
        </is>
      </c>
      <c r="B9971" s="1" t="n">
        <v>46121.67167824074</v>
      </c>
      <c r="C9971" s="1" t="n">
        <v>46145</v>
      </c>
      <c r="D9971" t="inlineStr">
        <is>
          <t>VÄSTERBOTTENS LÄN</t>
        </is>
      </c>
      <c r="E9971" t="inlineStr">
        <is>
          <t>SKELLEFTEÅ</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29300-2023</t>
        </is>
      </c>
      <c r="B9972" s="1" t="n">
        <v>45105.86278935185</v>
      </c>
      <c r="C9972" s="1" t="n">
        <v>46145</v>
      </c>
      <c r="D9972" t="inlineStr">
        <is>
          <t>VÄSTERBOTTENS LÄN</t>
        </is>
      </c>
      <c r="E9972" t="inlineStr">
        <is>
          <t>ÅSELE</t>
        </is>
      </c>
      <c r="F9972" t="inlineStr">
        <is>
          <t>Sveaskog</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11111-2026</t>
        </is>
      </c>
      <c r="B9973" s="1" t="n">
        <v>46079.66001157407</v>
      </c>
      <c r="C9973" s="1" t="n">
        <v>46145</v>
      </c>
      <c r="D9973" t="inlineStr">
        <is>
          <t>VÄSTERBOTTENS LÄN</t>
        </is>
      </c>
      <c r="E9973" t="inlineStr">
        <is>
          <t>SKELLEFTEÅ</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24289-2023</t>
        </is>
      </c>
      <c r="B9974" s="1" t="n">
        <v>45079.92747685185</v>
      </c>
      <c r="C9974" s="1" t="n">
        <v>46145</v>
      </c>
      <c r="D9974" t="inlineStr">
        <is>
          <t>VÄSTERBOTTENS LÄN</t>
        </is>
      </c>
      <c r="E9974" t="inlineStr">
        <is>
          <t>LYCKSELE</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53271-2021</t>
        </is>
      </c>
      <c r="B9975" s="1" t="n">
        <v>44467</v>
      </c>
      <c r="C9975" s="1" t="n">
        <v>46145</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48358-2022</t>
        </is>
      </c>
      <c r="B9976" s="1" t="n">
        <v>44858</v>
      </c>
      <c r="C9976" s="1" t="n">
        <v>46145</v>
      </c>
      <c r="D9976" t="inlineStr">
        <is>
          <t>VÄSTERBOTTENS LÄN</t>
        </is>
      </c>
      <c r="E9976" t="inlineStr">
        <is>
          <t>STORUMAN</t>
        </is>
      </c>
      <c r="F9976" t="inlineStr">
        <is>
          <t>Sveaskog</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17451-2026</t>
        </is>
      </c>
      <c r="B9977" s="1" t="n">
        <v>46116</v>
      </c>
      <c r="C9977" s="1" t="n">
        <v>46145</v>
      </c>
      <c r="D9977" t="inlineStr">
        <is>
          <t>VÄSTERBOTTENS LÄN</t>
        </is>
      </c>
      <c r="E9977" t="inlineStr">
        <is>
          <t>NORDMALING</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17433-2026</t>
        </is>
      </c>
      <c r="B9978" s="1" t="n">
        <v>46120.40509259259</v>
      </c>
      <c r="C9978" s="1" t="n">
        <v>46145</v>
      </c>
      <c r="D9978" t="inlineStr">
        <is>
          <t>VÄSTERBOTTENS LÄN</t>
        </is>
      </c>
      <c r="E9978" t="inlineStr">
        <is>
          <t>SKELLEFTEÅ</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54619-2024</t>
        </is>
      </c>
      <c r="B9979" s="1" t="n">
        <v>45617.73600694445</v>
      </c>
      <c r="C9979" s="1" t="n">
        <v>46145</v>
      </c>
      <c r="D9979" t="inlineStr">
        <is>
          <t>VÄSTERBOTTENS LÄN</t>
        </is>
      </c>
      <c r="E9979" t="inlineStr">
        <is>
          <t>LYCKSELE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24577-2022</t>
        </is>
      </c>
      <c r="B9980" s="1" t="n">
        <v>44727</v>
      </c>
      <c r="C9980" s="1" t="n">
        <v>46145</v>
      </c>
      <c r="D9980" t="inlineStr">
        <is>
          <t>VÄSTERBOTTENS LÄN</t>
        </is>
      </c>
      <c r="E9980" t="inlineStr">
        <is>
          <t>SKELLEFTEÅ</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10862-2026</t>
        </is>
      </c>
      <c r="B9981" s="1" t="n">
        <v>46078.67623842593</v>
      </c>
      <c r="C9981" s="1" t="n">
        <v>46145</v>
      </c>
      <c r="D9981" t="inlineStr">
        <is>
          <t>VÄSTERBOTTENS LÄN</t>
        </is>
      </c>
      <c r="E9981" t="inlineStr">
        <is>
          <t>VINDELN</t>
        </is>
      </c>
      <c r="F9981" t="inlineStr">
        <is>
          <t>Holmen skog AB</t>
        </is>
      </c>
      <c r="G9981" t="n">
        <v>35.8</v>
      </c>
      <c r="H9981" t="n">
        <v>0</v>
      </c>
      <c r="I9981" t="n">
        <v>0</v>
      </c>
      <c r="J9981" t="n">
        <v>0</v>
      </c>
      <c r="K9981" t="n">
        <v>0</v>
      </c>
      <c r="L9981" t="n">
        <v>0</v>
      </c>
      <c r="M9981" t="n">
        <v>0</v>
      </c>
      <c r="N9981" t="n">
        <v>0</v>
      </c>
      <c r="O9981" t="n">
        <v>0</v>
      </c>
      <c r="P9981" t="n">
        <v>0</v>
      </c>
      <c r="Q9981" t="n">
        <v>0</v>
      </c>
      <c r="R9981" s="2" t="inlineStr"/>
    </row>
    <row r="9982" ht="15" customHeight="1">
      <c r="A9982" t="inlineStr">
        <is>
          <t>A 59131-2022</t>
        </is>
      </c>
      <c r="B9982" s="1" t="n">
        <v>44904.44261574074</v>
      </c>
      <c r="C9982" s="1" t="n">
        <v>46145</v>
      </c>
      <c r="D9982" t="inlineStr">
        <is>
          <t>VÄSTERBOTTENS LÄN</t>
        </is>
      </c>
      <c r="E9982" t="inlineStr">
        <is>
          <t>NORSJÖ</t>
        </is>
      </c>
      <c r="F9982" t="inlineStr">
        <is>
          <t>Sveaskog</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44584-2021</t>
        </is>
      </c>
      <c r="B9983" s="1" t="n">
        <v>44435</v>
      </c>
      <c r="C9983" s="1" t="n">
        <v>46145</v>
      </c>
      <c r="D9983" t="inlineStr">
        <is>
          <t>VÄSTERBOTTENS LÄN</t>
        </is>
      </c>
      <c r="E9983" t="inlineStr">
        <is>
          <t>NORSJÖ</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10746-2026</t>
        </is>
      </c>
      <c r="B9984" s="1" t="n">
        <v>46078.51724537037</v>
      </c>
      <c r="C9984" s="1" t="n">
        <v>46145</v>
      </c>
      <c r="D9984" t="inlineStr">
        <is>
          <t>VÄSTERBOTTENS LÄN</t>
        </is>
      </c>
      <c r="E9984" t="inlineStr">
        <is>
          <t>UMEÅ</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10954-2026</t>
        </is>
      </c>
      <c r="B9985" s="1" t="n">
        <v>46079.4019212963</v>
      </c>
      <c r="C9985" s="1" t="n">
        <v>46145</v>
      </c>
      <c r="D9985" t="inlineStr">
        <is>
          <t>VÄSTERBOTTENS LÄN</t>
        </is>
      </c>
      <c r="E9985" t="inlineStr">
        <is>
          <t>LYCKSELE</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17633-2026</t>
        </is>
      </c>
      <c r="B9986" s="1" t="n">
        <v>46121.48064814815</v>
      </c>
      <c r="C9986" s="1" t="n">
        <v>46145</v>
      </c>
      <c r="D9986" t="inlineStr">
        <is>
          <t>VÄSTERBOTTENS LÄN</t>
        </is>
      </c>
      <c r="E9986" t="inlineStr">
        <is>
          <t>UMEÅ</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17444-2023</t>
        </is>
      </c>
      <c r="B9987" s="1" t="n">
        <v>45035.94489583333</v>
      </c>
      <c r="C9987" s="1" t="n">
        <v>46145</v>
      </c>
      <c r="D9987" t="inlineStr">
        <is>
          <t>VÄSTERBOTTENS LÄN</t>
        </is>
      </c>
      <c r="E9987" t="inlineStr">
        <is>
          <t>SKELLEFTEÅ</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17462-2023</t>
        </is>
      </c>
      <c r="B9988" s="1" t="n">
        <v>45034</v>
      </c>
      <c r="C9988" s="1" t="n">
        <v>46145</v>
      </c>
      <c r="D9988" t="inlineStr">
        <is>
          <t>VÄSTERBOTTENS LÄN</t>
        </is>
      </c>
      <c r="E9988" t="inlineStr">
        <is>
          <t>NORDMALING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61198-2024</t>
        </is>
      </c>
      <c r="B9989" s="1" t="n">
        <v>45645.63362268519</v>
      </c>
      <c r="C9989" s="1" t="n">
        <v>46145</v>
      </c>
      <c r="D9989" t="inlineStr">
        <is>
          <t>VÄSTERBOTTENS LÄN</t>
        </is>
      </c>
      <c r="E9989" t="inlineStr">
        <is>
          <t>NORDMALING</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42015-2023</t>
        </is>
      </c>
      <c r="B9990" s="1" t="n">
        <v>45174</v>
      </c>
      <c r="C9990" s="1" t="n">
        <v>46145</v>
      </c>
      <c r="D9990" t="inlineStr">
        <is>
          <t>VÄSTERBOTTENS LÄN</t>
        </is>
      </c>
      <c r="E9990" t="inlineStr">
        <is>
          <t>VINDELN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55907-2024</t>
        </is>
      </c>
      <c r="B9991" s="1" t="n">
        <v>45623.58414351852</v>
      </c>
      <c r="C9991" s="1" t="n">
        <v>46145</v>
      </c>
      <c r="D9991" t="inlineStr">
        <is>
          <t>VÄSTERBOTTENS LÄN</t>
        </is>
      </c>
      <c r="E9991" t="inlineStr">
        <is>
          <t>SKELLEFTEÅ</t>
        </is>
      </c>
      <c r="F9991" t="inlineStr">
        <is>
          <t>Holmen skog AB</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40053-2021</t>
        </is>
      </c>
      <c r="B9992" s="1" t="n">
        <v>44418</v>
      </c>
      <c r="C9992" s="1" t="n">
        <v>46145</v>
      </c>
      <c r="D9992" t="inlineStr">
        <is>
          <t>VÄSTERBOTTENS LÄN</t>
        </is>
      </c>
      <c r="E9992" t="inlineStr">
        <is>
          <t>NORDMALING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11030-2026</t>
        </is>
      </c>
      <c r="B9993" s="1" t="n">
        <v>46079.56912037037</v>
      </c>
      <c r="C9993" s="1" t="n">
        <v>46145</v>
      </c>
      <c r="D9993" t="inlineStr">
        <is>
          <t>VÄSTERBOTTENS LÄN</t>
        </is>
      </c>
      <c r="E9993" t="inlineStr">
        <is>
          <t>STORUMAN</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10762-2026</t>
        </is>
      </c>
      <c r="B9994" s="1" t="n">
        <v>46078</v>
      </c>
      <c r="C9994" s="1" t="n">
        <v>46145</v>
      </c>
      <c r="D9994" t="inlineStr">
        <is>
          <t>VÄSTERBOTTENS LÄN</t>
        </is>
      </c>
      <c r="E9994" t="inlineStr">
        <is>
          <t>ÅSELE</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52453-2021</t>
        </is>
      </c>
      <c r="B9995" s="1" t="n">
        <v>44463</v>
      </c>
      <c r="C9995" s="1" t="n">
        <v>46145</v>
      </c>
      <c r="D9995" t="inlineStr">
        <is>
          <t>VÄSTERBOTTENS LÄN</t>
        </is>
      </c>
      <c r="E9995" t="inlineStr">
        <is>
          <t>SKELLEFTEÅ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10761-2026</t>
        </is>
      </c>
      <c r="B9996" s="1" t="n">
        <v>46078.56208333333</v>
      </c>
      <c r="C9996" s="1" t="n">
        <v>46145</v>
      </c>
      <c r="D9996" t="inlineStr">
        <is>
          <t>VÄSTERBOTTENS LÄN</t>
        </is>
      </c>
      <c r="E9996" t="inlineStr">
        <is>
          <t>VÄNNÄS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21079-2024</t>
        </is>
      </c>
      <c r="B9997" s="1" t="n">
        <v>45439</v>
      </c>
      <c r="C9997" s="1" t="n">
        <v>46145</v>
      </c>
      <c r="D9997" t="inlineStr">
        <is>
          <t>VÄSTERBOTTENS LÄN</t>
        </is>
      </c>
      <c r="E9997" t="inlineStr">
        <is>
          <t>NORDMALING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17623-2026</t>
        </is>
      </c>
      <c r="B9998" s="1" t="n">
        <v>46121.46944444445</v>
      </c>
      <c r="C9998" s="1" t="n">
        <v>46145</v>
      </c>
      <c r="D9998" t="inlineStr">
        <is>
          <t>VÄSTERBOTTENS LÄN</t>
        </is>
      </c>
      <c r="E9998" t="inlineStr">
        <is>
          <t>DOROTEA</t>
        </is>
      </c>
      <c r="F9998" t="inlineStr">
        <is>
          <t>SCA</t>
        </is>
      </c>
      <c r="G9998" t="n">
        <v>20.3</v>
      </c>
      <c r="H9998" t="n">
        <v>0</v>
      </c>
      <c r="I9998" t="n">
        <v>0</v>
      </c>
      <c r="J9998" t="n">
        <v>0</v>
      </c>
      <c r="K9998" t="n">
        <v>0</v>
      </c>
      <c r="L9998" t="n">
        <v>0</v>
      </c>
      <c r="M9998" t="n">
        <v>0</v>
      </c>
      <c r="N9998" t="n">
        <v>0</v>
      </c>
      <c r="O9998" t="n">
        <v>0</v>
      </c>
      <c r="P9998" t="n">
        <v>0</v>
      </c>
      <c r="Q9998" t="n">
        <v>0</v>
      </c>
      <c r="R9998" s="2" t="inlineStr"/>
    </row>
    <row r="9999" ht="15" customHeight="1">
      <c r="A9999" t="inlineStr">
        <is>
          <t>A 43566-2024</t>
        </is>
      </c>
      <c r="B9999" s="1" t="n">
        <v>45569.40431712963</v>
      </c>
      <c r="C9999" s="1" t="n">
        <v>46145</v>
      </c>
      <c r="D9999" t="inlineStr">
        <is>
          <t>VÄSTERBOTTENS LÄN</t>
        </is>
      </c>
      <c r="E9999" t="inlineStr">
        <is>
          <t>LYCKSELE</t>
        </is>
      </c>
      <c r="F9999" t="inlineStr">
        <is>
          <t>Sveaskog</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17457-2026</t>
        </is>
      </c>
      <c r="B10000" s="1" t="n">
        <v>46119</v>
      </c>
      <c r="C10000" s="1" t="n">
        <v>46145</v>
      </c>
      <c r="D10000" t="inlineStr">
        <is>
          <t>VÄSTERBOTTENS LÄN</t>
        </is>
      </c>
      <c r="E10000" t="inlineStr">
        <is>
          <t>UMEÅ</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17458-2026</t>
        </is>
      </c>
      <c r="B10001" s="1" t="n">
        <v>46119</v>
      </c>
      <c r="C10001" s="1" t="n">
        <v>46145</v>
      </c>
      <c r="D10001" t="inlineStr">
        <is>
          <t>VÄSTERBOTTENS LÄN</t>
        </is>
      </c>
      <c r="E10001" t="inlineStr">
        <is>
          <t>ÅSELE</t>
        </is>
      </c>
      <c r="F10001" t="inlineStr">
        <is>
          <t>Allmännings- och besparingsskogar</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2439-2023</t>
        </is>
      </c>
      <c r="B10002" s="1" t="n">
        <v>44942</v>
      </c>
      <c r="C10002" s="1" t="n">
        <v>46145</v>
      </c>
      <c r="D10002" t="inlineStr">
        <is>
          <t>VÄSTERBOTTENS LÄN</t>
        </is>
      </c>
      <c r="E10002" t="inlineStr">
        <is>
          <t>SKELLEFTEÅ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10823-2025</t>
        </is>
      </c>
      <c r="B10003" s="1" t="n">
        <v>45722.55241898148</v>
      </c>
      <c r="C10003" s="1" t="n">
        <v>46145</v>
      </c>
      <c r="D10003" t="inlineStr">
        <is>
          <t>VÄSTERBOTTENS LÄN</t>
        </is>
      </c>
      <c r="E10003" t="inlineStr">
        <is>
          <t>SORSELE</t>
        </is>
      </c>
      <c r="F10003" t="inlineStr">
        <is>
          <t>SCA</t>
        </is>
      </c>
      <c r="G10003" t="n">
        <v>18.7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17517-2026</t>
        </is>
      </c>
      <c r="B10004" s="1" t="n">
        <v>46120.63686342593</v>
      </c>
      <c r="C10004" s="1" t="n">
        <v>46145</v>
      </c>
      <c r="D10004" t="inlineStr">
        <is>
          <t>VÄSTERBOTTENS LÄN</t>
        </is>
      </c>
      <c r="E10004" t="inlineStr">
        <is>
          <t>VINDELN</t>
        </is>
      </c>
      <c r="F10004" t="inlineStr">
        <is>
          <t>SCA</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45924-2024</t>
        </is>
      </c>
      <c r="B10005" s="1" t="n">
        <v>45580.47027777778</v>
      </c>
      <c r="C10005" s="1" t="n">
        <v>46145</v>
      </c>
      <c r="D10005" t="inlineStr">
        <is>
          <t>VÄSTERBOTTENS LÄN</t>
        </is>
      </c>
      <c r="E10005" t="inlineStr">
        <is>
          <t>ROBERTSFORS</t>
        </is>
      </c>
      <c r="F10005" t="inlineStr">
        <is>
          <t>Holmen skog AB</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10841-2025</t>
        </is>
      </c>
      <c r="B10006" s="1" t="n">
        <v>45722.57315972223</v>
      </c>
      <c r="C10006" s="1" t="n">
        <v>46145</v>
      </c>
      <c r="D10006" t="inlineStr">
        <is>
          <t>VÄSTERBOTTENS LÄN</t>
        </is>
      </c>
      <c r="E10006" t="inlineStr">
        <is>
          <t>SKELLEFTEÅ</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53117-2025</t>
        </is>
      </c>
      <c r="B10007" s="1" t="n">
        <v>45958</v>
      </c>
      <c r="C10007" s="1" t="n">
        <v>46145</v>
      </c>
      <c r="D10007" t="inlineStr">
        <is>
          <t>VÄSTERBOTTENS LÄN</t>
        </is>
      </c>
      <c r="E10007" t="inlineStr">
        <is>
          <t>BJURHOLM</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10902-2026</t>
        </is>
      </c>
      <c r="B10008" s="1" t="n">
        <v>46078.90149305556</v>
      </c>
      <c r="C10008" s="1" t="n">
        <v>46145</v>
      </c>
      <c r="D10008" t="inlineStr">
        <is>
          <t>VÄSTERBOTTENS LÄN</t>
        </is>
      </c>
      <c r="E10008" t="inlineStr">
        <is>
          <t>SKELLEFTEÅ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17650-2026</t>
        </is>
      </c>
      <c r="B10009" s="1" t="n">
        <v>46121.55269675926</v>
      </c>
      <c r="C10009" s="1" t="n">
        <v>46145</v>
      </c>
      <c r="D10009" t="inlineStr">
        <is>
          <t>VÄSTERBOTTENS LÄN</t>
        </is>
      </c>
      <c r="E10009" t="inlineStr">
        <is>
          <t>LYCKSELE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57107-2023</t>
        </is>
      </c>
      <c r="B10010" s="1" t="n">
        <v>45239</v>
      </c>
      <c r="C10010" s="1" t="n">
        <v>46145</v>
      </c>
      <c r="D10010" t="inlineStr">
        <is>
          <t>VÄSTERBOTTENS LÄN</t>
        </is>
      </c>
      <c r="E10010" t="inlineStr">
        <is>
          <t>STORUMAN</t>
        </is>
      </c>
      <c r="G10010" t="n">
        <v>29.9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10859-2026</t>
        </is>
      </c>
      <c r="B10011" s="1" t="n">
        <v>46078.6675462963</v>
      </c>
      <c r="C10011" s="1" t="n">
        <v>46145</v>
      </c>
      <c r="D10011" t="inlineStr">
        <is>
          <t>VÄSTERBOTTENS LÄN</t>
        </is>
      </c>
      <c r="E10011" t="inlineStr">
        <is>
          <t>ÅSELE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10860-2026</t>
        </is>
      </c>
      <c r="B10012" s="1" t="n">
        <v>46078.66976851852</v>
      </c>
      <c r="C10012" s="1" t="n">
        <v>46145</v>
      </c>
      <c r="D10012" t="inlineStr">
        <is>
          <t>VÄSTERBOTTENS LÄN</t>
        </is>
      </c>
      <c r="E10012" t="inlineStr">
        <is>
          <t>ÅSELE</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14238-2026</t>
        </is>
      </c>
      <c r="B10013" s="1" t="n">
        <v>46098</v>
      </c>
      <c r="C10013" s="1" t="n">
        <v>46145</v>
      </c>
      <c r="D10013" t="inlineStr">
        <is>
          <t>VÄSTERBOTTENS LÄN</t>
        </is>
      </c>
      <c r="E10013" t="inlineStr">
        <is>
          <t>SORSELE</t>
        </is>
      </c>
      <c r="F10013" t="inlineStr">
        <is>
          <t>Sveaskog</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10925-2026</t>
        </is>
      </c>
      <c r="B10014" s="1" t="n">
        <v>46079.34313657408</v>
      </c>
      <c r="C10014" s="1" t="n">
        <v>46145</v>
      </c>
      <c r="D10014" t="inlineStr">
        <is>
          <t>VÄSTERBOTTENS LÄN</t>
        </is>
      </c>
      <c r="E10014" t="inlineStr">
        <is>
          <t>SKELLEFTEÅ</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24586-2022</t>
        </is>
      </c>
      <c r="B10015" s="1" t="n">
        <v>44727.45271990741</v>
      </c>
      <c r="C10015" s="1" t="n">
        <v>46145</v>
      </c>
      <c r="D10015" t="inlineStr">
        <is>
          <t>VÄSTERBOTTENS LÄN</t>
        </is>
      </c>
      <c r="E10015" t="inlineStr">
        <is>
          <t>UMEÅ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10856-2026</t>
        </is>
      </c>
      <c r="B10016" s="1" t="n">
        <v>46078.66052083333</v>
      </c>
      <c r="C10016" s="1" t="n">
        <v>46145</v>
      </c>
      <c r="D10016" t="inlineStr">
        <is>
          <t>VÄSTERBOTTENS LÄN</t>
        </is>
      </c>
      <c r="E10016" t="inlineStr">
        <is>
          <t>ÅSELE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10861-2026</t>
        </is>
      </c>
      <c r="B10017" s="1" t="n">
        <v>46078.67068287037</v>
      </c>
      <c r="C10017" s="1" t="n">
        <v>46145</v>
      </c>
      <c r="D10017" t="inlineStr">
        <is>
          <t>VÄSTERBOTTENS LÄN</t>
        </is>
      </c>
      <c r="E10017" t="inlineStr">
        <is>
          <t>BJURHOLM</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10863-2026</t>
        </is>
      </c>
      <c r="B10018" s="1" t="n">
        <v>46078.67704861111</v>
      </c>
      <c r="C10018" s="1" t="n">
        <v>46145</v>
      </c>
      <c r="D10018" t="inlineStr">
        <is>
          <t>VÄSTERBOTTENS LÄN</t>
        </is>
      </c>
      <c r="E10018" t="inlineStr">
        <is>
          <t>ÅSELE</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11013-2026</t>
        </is>
      </c>
      <c r="B10019" s="1" t="n">
        <v>46079.53765046296</v>
      </c>
      <c r="C10019" s="1" t="n">
        <v>46145</v>
      </c>
      <c r="D10019" t="inlineStr">
        <is>
          <t>VÄSTERBOTTENS LÄN</t>
        </is>
      </c>
      <c r="E10019" t="inlineStr">
        <is>
          <t>LYCKSELE</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27477-2023</t>
        </is>
      </c>
      <c r="B10020" s="1" t="n">
        <v>45097</v>
      </c>
      <c r="C10020" s="1" t="n">
        <v>46145</v>
      </c>
      <c r="D10020" t="inlineStr">
        <is>
          <t>VÄSTERBOTTENS LÄN</t>
        </is>
      </c>
      <c r="E10020" t="inlineStr">
        <is>
          <t>DOROTEA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17537-2026</t>
        </is>
      </c>
      <c r="B10021" s="1" t="n">
        <v>46120.67761574074</v>
      </c>
      <c r="C10021" s="1" t="n">
        <v>46145</v>
      </c>
      <c r="D10021" t="inlineStr">
        <is>
          <t>VÄSTERBOTTENS LÄN</t>
        </is>
      </c>
      <c r="E10021" t="inlineStr">
        <is>
          <t>DOROTEA</t>
        </is>
      </c>
      <c r="F10021" t="inlineStr">
        <is>
          <t>SCA</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53986-2022</t>
        </is>
      </c>
      <c r="B10022" s="1" t="n">
        <v>44881.35148148148</v>
      </c>
      <c r="C10022" s="1" t="n">
        <v>46145</v>
      </c>
      <c r="D10022" t="inlineStr">
        <is>
          <t>VÄSTERBOTTENS LÄN</t>
        </is>
      </c>
      <c r="E10022" t="inlineStr">
        <is>
          <t>NORDMALING</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711-2023</t>
        </is>
      </c>
      <c r="B10023" s="1" t="n">
        <v>44930.92725694444</v>
      </c>
      <c r="C10023" s="1" t="n">
        <v>46145</v>
      </c>
      <c r="D10023" t="inlineStr">
        <is>
          <t>VÄSTERBOTTENS LÄN</t>
        </is>
      </c>
      <c r="E10023" t="inlineStr">
        <is>
          <t>DOROTEA</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10915-2026</t>
        </is>
      </c>
      <c r="B10024" s="1" t="n">
        <v>46079.32037037037</v>
      </c>
      <c r="C10024" s="1" t="n">
        <v>46145</v>
      </c>
      <c r="D10024" t="inlineStr">
        <is>
          <t>VÄSTERBOTTENS LÄN</t>
        </is>
      </c>
      <c r="E10024" t="inlineStr">
        <is>
          <t>SKELLEFTEÅ</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3947-2023</t>
        </is>
      </c>
      <c r="B10025" s="1" t="n">
        <v>44952</v>
      </c>
      <c r="C10025" s="1" t="n">
        <v>46145</v>
      </c>
      <c r="D10025" t="inlineStr">
        <is>
          <t>VÄSTERBOTTENS LÄN</t>
        </is>
      </c>
      <c r="E10025" t="inlineStr">
        <is>
          <t>LYCKSELE</t>
        </is>
      </c>
      <c r="F10025" t="inlineStr">
        <is>
          <t>Sveaskog</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9827-2023</t>
        </is>
      </c>
      <c r="B10026" s="1" t="n">
        <v>44978</v>
      </c>
      <c r="C10026" s="1" t="n">
        <v>46145</v>
      </c>
      <c r="D10026" t="inlineStr">
        <is>
          <t>VÄSTERBOTTENS LÄN</t>
        </is>
      </c>
      <c r="E10026" t="inlineStr">
        <is>
          <t>SORSELE</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9531-2023</t>
        </is>
      </c>
      <c r="B10027" s="1" t="n">
        <v>44981</v>
      </c>
      <c r="C10027" s="1" t="n">
        <v>46145</v>
      </c>
      <c r="D10027" t="inlineStr">
        <is>
          <t>VÄSTERBOTTENS LÄN</t>
        </is>
      </c>
      <c r="E10027" t="inlineStr">
        <is>
          <t>UMEÅ</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10685-2026</t>
        </is>
      </c>
      <c r="B10028" s="1" t="n">
        <v>46078.42490740741</v>
      </c>
      <c r="C10028" s="1" t="n">
        <v>46145</v>
      </c>
      <c r="D10028" t="inlineStr">
        <is>
          <t>VÄSTERBOTTENS LÄN</t>
        </is>
      </c>
      <c r="E10028" t="inlineStr">
        <is>
          <t>UMEÅ</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2632-2023</t>
        </is>
      </c>
      <c r="B10029" s="1" t="n">
        <v>44944</v>
      </c>
      <c r="C10029" s="1" t="n">
        <v>46145</v>
      </c>
      <c r="D10029" t="inlineStr">
        <is>
          <t>VÄSTERBOTTENS LÄN</t>
        </is>
      </c>
      <c r="E10029" t="inlineStr">
        <is>
          <t>UMEÅ</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2634-2023</t>
        </is>
      </c>
      <c r="B10030" s="1" t="n">
        <v>44944.4013425926</v>
      </c>
      <c r="C10030" s="1" t="n">
        <v>46145</v>
      </c>
      <c r="D10030" t="inlineStr">
        <is>
          <t>VÄSTERBOTTENS LÄN</t>
        </is>
      </c>
      <c r="E10030" t="inlineStr">
        <is>
          <t>UMEÅ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72692-2021</t>
        </is>
      </c>
      <c r="B10031" s="1" t="n">
        <v>44545</v>
      </c>
      <c r="C10031" s="1" t="n">
        <v>46145</v>
      </c>
      <c r="D10031" t="inlineStr">
        <is>
          <t>VÄSTERBOTTENS LÄN</t>
        </is>
      </c>
      <c r="E10031" t="inlineStr">
        <is>
          <t>SKELLEFTEÅ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41441-2024</t>
        </is>
      </c>
      <c r="B10032" s="1" t="n">
        <v>45560.38535879629</v>
      </c>
      <c r="C10032" s="1" t="n">
        <v>46145</v>
      </c>
      <c r="D10032" t="inlineStr">
        <is>
          <t>VÄSTERBOTTENS LÄN</t>
        </is>
      </c>
      <c r="E10032" t="inlineStr">
        <is>
          <t>VINDELN</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41242-2024</t>
        </is>
      </c>
      <c r="B10033" s="1" t="n">
        <v>45559.57296296296</v>
      </c>
      <c r="C10033" s="1" t="n">
        <v>46145</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10837-2026</t>
        </is>
      </c>
      <c r="B10034" s="1" t="n">
        <v>46078.63130787037</v>
      </c>
      <c r="C10034" s="1" t="n">
        <v>46145</v>
      </c>
      <c r="D10034" t="inlineStr">
        <is>
          <t>VÄSTERBOTTENS LÄN</t>
        </is>
      </c>
      <c r="E10034" t="inlineStr">
        <is>
          <t>ÅSELE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10845-2026</t>
        </is>
      </c>
      <c r="B10035" s="1" t="n">
        <v>46078.64671296296</v>
      </c>
      <c r="C10035" s="1" t="n">
        <v>46145</v>
      </c>
      <c r="D10035" t="inlineStr">
        <is>
          <t>VÄSTERBOTTENS LÄN</t>
        </is>
      </c>
      <c r="E10035" t="inlineStr">
        <is>
          <t>LYCKSELE</t>
        </is>
      </c>
      <c r="F10035" t="inlineStr">
        <is>
          <t>Holmen skog AB</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59272-2022</t>
        </is>
      </c>
      <c r="B10036" s="1" t="n">
        <v>44904.59792824074</v>
      </c>
      <c r="C10036" s="1" t="n">
        <v>46145</v>
      </c>
      <c r="D10036" t="inlineStr">
        <is>
          <t>VÄSTERBOTTENS LÄN</t>
        </is>
      </c>
      <c r="E10036" t="inlineStr">
        <is>
          <t>LYCKSELE</t>
        </is>
      </c>
      <c r="F10036" t="inlineStr">
        <is>
          <t>Sveaskog</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17507-2026</t>
        </is>
      </c>
      <c r="B10037" s="1" t="n">
        <v>46120.62341435185</v>
      </c>
      <c r="C10037" s="1" t="n">
        <v>46145</v>
      </c>
      <c r="D10037" t="inlineStr">
        <is>
          <t>VÄSTERBOTTENS LÄN</t>
        </is>
      </c>
      <c r="E10037" t="inlineStr">
        <is>
          <t>UMEÅ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51478-2023</t>
        </is>
      </c>
      <c r="B10038" s="1" t="n">
        <v>45221.89737268518</v>
      </c>
      <c r="C10038" s="1" t="n">
        <v>46145</v>
      </c>
      <c r="D10038" t="inlineStr">
        <is>
          <t>VÄSTERBOTTENS LÄN</t>
        </is>
      </c>
      <c r="E10038" t="inlineStr">
        <is>
          <t>SKELLEFTEÅ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17687-2026</t>
        </is>
      </c>
      <c r="B10039" s="1" t="n">
        <v>46121.63359953704</v>
      </c>
      <c r="C10039" s="1" t="n">
        <v>46145</v>
      </c>
      <c r="D10039" t="inlineStr">
        <is>
          <t>VÄSTERBOTTENS LÄN</t>
        </is>
      </c>
      <c r="E10039" t="inlineStr">
        <is>
          <t>VÄNNÄS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19233-2023</t>
        </is>
      </c>
      <c r="B10040" s="1" t="n">
        <v>45048.92655092593</v>
      </c>
      <c r="C10040" s="1" t="n">
        <v>46145</v>
      </c>
      <c r="D10040" t="inlineStr">
        <is>
          <t>VÄSTERBOTTENS LÄN</t>
        </is>
      </c>
      <c r="E10040" t="inlineStr">
        <is>
          <t>LYCKSELE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17780-2026</t>
        </is>
      </c>
      <c r="B10041" s="1" t="n">
        <v>46122.37253472222</v>
      </c>
      <c r="C10041" s="1" t="n">
        <v>46145</v>
      </c>
      <c r="D10041" t="inlineStr">
        <is>
          <t>VÄSTERBOTTENS LÄN</t>
        </is>
      </c>
      <c r="E10041" t="inlineStr">
        <is>
          <t>ROBERTSFORS</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17816-2026</t>
        </is>
      </c>
      <c r="B10042" s="1" t="n">
        <v>46122.42961805555</v>
      </c>
      <c r="C10042" s="1" t="n">
        <v>46145</v>
      </c>
      <c r="D10042" t="inlineStr">
        <is>
          <t>VÄSTERBOTTENS LÄN</t>
        </is>
      </c>
      <c r="E10042" t="inlineStr">
        <is>
          <t>UMEÅ</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53505-2024</t>
        </is>
      </c>
      <c r="B10043" s="1" t="n">
        <v>45614.59049768518</v>
      </c>
      <c r="C10043" s="1" t="n">
        <v>46145</v>
      </c>
      <c r="D10043" t="inlineStr">
        <is>
          <t>VÄSTERBOTTENS LÄN</t>
        </is>
      </c>
      <c r="E10043" t="inlineStr">
        <is>
          <t>SKELLEFTEÅ</t>
        </is>
      </c>
      <c r="F10043" t="inlineStr">
        <is>
          <t>Holmen skog AB</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53606-2024</t>
        </is>
      </c>
      <c r="B10044" s="1" t="n">
        <v>45614</v>
      </c>
      <c r="C10044" s="1" t="n">
        <v>46145</v>
      </c>
      <c r="D10044" t="inlineStr">
        <is>
          <t>VÄSTERBOTTENS LÄN</t>
        </is>
      </c>
      <c r="E10044" t="inlineStr">
        <is>
          <t>VILHELMINA</t>
        </is>
      </c>
      <c r="F10044" t="inlineStr">
        <is>
          <t>SCA</t>
        </is>
      </c>
      <c r="G10044" t="n">
        <v>10.1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2683-2023</t>
        </is>
      </c>
      <c r="B10045" s="1" t="n">
        <v>44942</v>
      </c>
      <c r="C10045" s="1" t="n">
        <v>46145</v>
      </c>
      <c r="D10045" t="inlineStr">
        <is>
          <t>VÄSTERBOTTENS LÄN</t>
        </is>
      </c>
      <c r="E10045" t="inlineStr">
        <is>
          <t>DOROTEA</t>
        </is>
      </c>
      <c r="G10045" t="n">
        <v>22.7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5470-2023</t>
        </is>
      </c>
      <c r="B10046" s="1" t="n">
        <v>44960</v>
      </c>
      <c r="C10046" s="1" t="n">
        <v>46145</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11475-2026</t>
        </is>
      </c>
      <c r="B10047" s="1" t="n">
        <v>46083.59635416666</v>
      </c>
      <c r="C10047" s="1" t="n">
        <v>46145</v>
      </c>
      <c r="D10047" t="inlineStr">
        <is>
          <t>VÄSTERBOTTENS LÄN</t>
        </is>
      </c>
      <c r="E10047" t="inlineStr">
        <is>
          <t>NORDMALING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33764-2024</t>
        </is>
      </c>
      <c r="B10048" s="1" t="n">
        <v>45520.57090277778</v>
      </c>
      <c r="C10048" s="1" t="n">
        <v>46145</v>
      </c>
      <c r="D10048" t="inlineStr">
        <is>
          <t>VÄSTERBOTTENS LÄN</t>
        </is>
      </c>
      <c r="E10048" t="inlineStr">
        <is>
          <t>VINDELN</t>
        </is>
      </c>
      <c r="F10048" t="inlineStr">
        <is>
          <t>Sveaskog</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33786-2024</t>
        </is>
      </c>
      <c r="B10049" s="1" t="n">
        <v>45520.58966435185</v>
      </c>
      <c r="C10049" s="1" t="n">
        <v>46145</v>
      </c>
      <c r="D10049" t="inlineStr">
        <is>
          <t>VÄSTERBOTTENS LÄN</t>
        </is>
      </c>
      <c r="E10049" t="inlineStr">
        <is>
          <t>VILHELMINA</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11364-2026</t>
        </is>
      </c>
      <c r="B10050" s="1" t="n">
        <v>46083.3562037037</v>
      </c>
      <c r="C10050" s="1" t="n">
        <v>46145</v>
      </c>
      <c r="D10050" t="inlineStr">
        <is>
          <t>VÄSTERBOTTENS LÄN</t>
        </is>
      </c>
      <c r="E10050" t="inlineStr">
        <is>
          <t>SKELLEFTEÅ</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18130-2026</t>
        </is>
      </c>
      <c r="B10051" s="1" t="n">
        <v>46125.59439814815</v>
      </c>
      <c r="C10051" s="1" t="n">
        <v>46145</v>
      </c>
      <c r="D10051" t="inlineStr">
        <is>
          <t>VÄSTERBOTTENS LÄN</t>
        </is>
      </c>
      <c r="E10051" t="inlineStr">
        <is>
          <t>DOROTEA</t>
        </is>
      </c>
      <c r="F10051" t="inlineStr">
        <is>
          <t>SCA</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50582-2024</t>
        </is>
      </c>
      <c r="B10052" s="1" t="n">
        <v>45600</v>
      </c>
      <c r="C10052" s="1" t="n">
        <v>46145</v>
      </c>
      <c r="D10052" t="inlineStr">
        <is>
          <t>VÄSTERBOTTENS LÄN</t>
        </is>
      </c>
      <c r="E10052" t="inlineStr">
        <is>
          <t>DOROTEA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48620-2024</t>
        </is>
      </c>
      <c r="B10053" s="1" t="n">
        <v>45593</v>
      </c>
      <c r="C10053" s="1" t="n">
        <v>46145</v>
      </c>
      <c r="D10053" t="inlineStr">
        <is>
          <t>VÄSTERBOTTENS LÄN</t>
        </is>
      </c>
      <c r="E10053" t="inlineStr">
        <is>
          <t>SKELLEFTEÅ</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11389-2026</t>
        </is>
      </c>
      <c r="B10054" s="1" t="n">
        <v>46083.42821759259</v>
      </c>
      <c r="C10054" s="1" t="n">
        <v>46145</v>
      </c>
      <c r="D10054" t="inlineStr">
        <is>
          <t>VÄSTERBOTTENS LÄN</t>
        </is>
      </c>
      <c r="E10054" t="inlineStr">
        <is>
          <t>SKELLEFTEÅ</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11417-2026</t>
        </is>
      </c>
      <c r="B10055" s="1" t="n">
        <v>46083.46931712963</v>
      </c>
      <c r="C10055" s="1" t="n">
        <v>46145</v>
      </c>
      <c r="D10055" t="inlineStr">
        <is>
          <t>VÄSTERBOTTENS LÄN</t>
        </is>
      </c>
      <c r="E10055" t="inlineStr">
        <is>
          <t>SORSELE</t>
        </is>
      </c>
      <c r="F10055" t="inlineStr">
        <is>
          <t>SCA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1006-2023</t>
        </is>
      </c>
      <c r="B10056" s="1" t="n">
        <v>44935</v>
      </c>
      <c r="C10056" s="1" t="n">
        <v>46145</v>
      </c>
      <c r="D10056" t="inlineStr">
        <is>
          <t>VÄSTERBOTTENS LÄN</t>
        </is>
      </c>
      <c r="E10056" t="inlineStr">
        <is>
          <t>VÄNNÄS</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28869-2024</t>
        </is>
      </c>
      <c r="B10057" s="1" t="n">
        <v>45478.94722222222</v>
      </c>
      <c r="C10057" s="1" t="n">
        <v>46145</v>
      </c>
      <c r="D10057" t="inlineStr">
        <is>
          <t>VÄSTERBOTTENS LÄN</t>
        </is>
      </c>
      <c r="E10057" t="inlineStr">
        <is>
          <t>VILHELMINA</t>
        </is>
      </c>
      <c r="F10057" t="inlineStr">
        <is>
          <t>SCA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38935-2024</t>
        </is>
      </c>
      <c r="B10058" s="1" t="n">
        <v>45548.3350462963</v>
      </c>
      <c r="C10058" s="1" t="n">
        <v>46145</v>
      </c>
      <c r="D10058" t="inlineStr">
        <is>
          <t>VÄSTERBOTTENS LÄN</t>
        </is>
      </c>
      <c r="E10058" t="inlineStr">
        <is>
          <t>SKELLEFTEÅ</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38948-2024</t>
        </is>
      </c>
      <c r="B10059" s="1" t="n">
        <v>45548.34556712963</v>
      </c>
      <c r="C10059" s="1" t="n">
        <v>46145</v>
      </c>
      <c r="D10059" t="inlineStr">
        <is>
          <t>VÄSTERBOTTENS LÄN</t>
        </is>
      </c>
      <c r="E10059" t="inlineStr">
        <is>
          <t>SORSELE</t>
        </is>
      </c>
      <c r="F10059" t="inlineStr">
        <is>
          <t>SCA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61348-2022</t>
        </is>
      </c>
      <c r="B10060" s="1" t="n">
        <v>44915.69402777778</v>
      </c>
      <c r="C10060" s="1" t="n">
        <v>46145</v>
      </c>
      <c r="D10060" t="inlineStr">
        <is>
          <t>VÄSTERBOTTENS LÄN</t>
        </is>
      </c>
      <c r="E10060" t="inlineStr">
        <is>
          <t>SKELLEFTEÅ</t>
        </is>
      </c>
      <c r="F10060" t="inlineStr">
        <is>
          <t>Sveaskog</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17754-2026</t>
        </is>
      </c>
      <c r="B10061" s="1" t="n">
        <v>46122.34618055556</v>
      </c>
      <c r="C10061" s="1" t="n">
        <v>46145</v>
      </c>
      <c r="D10061" t="inlineStr">
        <is>
          <t>VÄSTERBOTTENS LÄN</t>
        </is>
      </c>
      <c r="E10061" t="inlineStr">
        <is>
          <t>SKELLEFTEÅ</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17784-2026</t>
        </is>
      </c>
      <c r="B10062" s="1" t="n">
        <v>46122.37740740741</v>
      </c>
      <c r="C10062" s="1" t="n">
        <v>46145</v>
      </c>
      <c r="D10062" t="inlineStr">
        <is>
          <t>VÄSTERBOTTENS LÄN</t>
        </is>
      </c>
      <c r="E10062" t="inlineStr">
        <is>
          <t>VILHELMINA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53363-2021</t>
        </is>
      </c>
      <c r="B10063" s="1" t="n">
        <v>44468</v>
      </c>
      <c r="C10063" s="1" t="n">
        <v>46145</v>
      </c>
      <c r="D10063" t="inlineStr">
        <is>
          <t>VÄSTERBOTTENS LÄN</t>
        </is>
      </c>
      <c r="E10063" t="inlineStr">
        <is>
          <t>SORSELE</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8917-2022</t>
        </is>
      </c>
      <c r="B10064" s="1" t="n">
        <v>44615</v>
      </c>
      <c r="C10064" s="1" t="n">
        <v>46145</v>
      </c>
      <c r="D10064" t="inlineStr">
        <is>
          <t>VÄSTERBOTTENS LÄN</t>
        </is>
      </c>
      <c r="E10064" t="inlineStr">
        <is>
          <t>NORSJÖ</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14432-2022</t>
        </is>
      </c>
      <c r="B10065" s="1" t="n">
        <v>44652.92743055556</v>
      </c>
      <c r="C10065" s="1" t="n">
        <v>46145</v>
      </c>
      <c r="D10065" t="inlineStr">
        <is>
          <t>VÄSTERBOTTENS LÄN</t>
        </is>
      </c>
      <c r="E10065" t="inlineStr">
        <is>
          <t>UMEÅ</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18039-2026</t>
        </is>
      </c>
      <c r="B10066" s="1" t="n">
        <v>46125.40951388889</v>
      </c>
      <c r="C10066" s="1" t="n">
        <v>46145</v>
      </c>
      <c r="D10066" t="inlineStr">
        <is>
          <t>VÄSTERBOTTENS LÄN</t>
        </is>
      </c>
      <c r="E10066" t="inlineStr">
        <is>
          <t>NORDMALING</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30636-2024</t>
        </is>
      </c>
      <c r="B10067" s="1" t="n">
        <v>45495.56212962963</v>
      </c>
      <c r="C10067" s="1" t="n">
        <v>46145</v>
      </c>
      <c r="D10067" t="inlineStr">
        <is>
          <t>VÄSTERBOTTENS LÄN</t>
        </is>
      </c>
      <c r="E10067" t="inlineStr">
        <is>
          <t>LYCKSELE</t>
        </is>
      </c>
      <c r="F10067" t="inlineStr">
        <is>
          <t>Sveaskog</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21107-2023</t>
        </is>
      </c>
      <c r="B10068" s="1" t="n">
        <v>45061</v>
      </c>
      <c r="C10068" s="1" t="n">
        <v>46145</v>
      </c>
      <c r="D10068" t="inlineStr">
        <is>
          <t>VÄSTERBOTTENS LÄN</t>
        </is>
      </c>
      <c r="E10068" t="inlineStr">
        <is>
          <t>ÅSELE</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29454-2023</t>
        </is>
      </c>
      <c r="B10069" s="1" t="n">
        <v>45098</v>
      </c>
      <c r="C10069" s="1" t="n">
        <v>46145</v>
      </c>
      <c r="D10069" t="inlineStr">
        <is>
          <t>VÄSTERBOTTENS LÄN</t>
        </is>
      </c>
      <c r="E10069" t="inlineStr">
        <is>
          <t>UMEÅ</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17971-2026</t>
        </is>
      </c>
      <c r="B10070" s="1" t="n">
        <v>46123.51083333333</v>
      </c>
      <c r="C10070" s="1" t="n">
        <v>46145</v>
      </c>
      <c r="D10070" t="inlineStr">
        <is>
          <t>VÄSTERBOTTENS LÄN</t>
        </is>
      </c>
      <c r="E10070" t="inlineStr">
        <is>
          <t>DOROTEA</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42889-2024</t>
        </is>
      </c>
      <c r="B10071" s="1" t="n">
        <v>45566</v>
      </c>
      <c r="C10071" s="1" t="n">
        <v>46145</v>
      </c>
      <c r="D10071" t="inlineStr">
        <is>
          <t>VÄSTERBOTTENS LÄN</t>
        </is>
      </c>
      <c r="E10071" t="inlineStr">
        <is>
          <t>DOROTEA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31869-2023</t>
        </is>
      </c>
      <c r="B10072" s="1" t="n">
        <v>45118.62401620371</v>
      </c>
      <c r="C10072" s="1" t="n">
        <v>46145</v>
      </c>
      <c r="D10072" t="inlineStr">
        <is>
          <t>VÄSTERBOTTENS LÄN</t>
        </is>
      </c>
      <c r="E10072" t="inlineStr">
        <is>
          <t>VÄNNÄS</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18042-2026</t>
        </is>
      </c>
      <c r="B10073" s="1" t="n">
        <v>46125.41403935185</v>
      </c>
      <c r="C10073" s="1" t="n">
        <v>46145</v>
      </c>
      <c r="D10073" t="inlineStr">
        <is>
          <t>VÄSTERBOTTENS LÄN</t>
        </is>
      </c>
      <c r="E10073" t="inlineStr">
        <is>
          <t>NORDMALING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57021-2024</t>
        </is>
      </c>
      <c r="B10074" s="1" t="n">
        <v>45626</v>
      </c>
      <c r="C10074" s="1" t="n">
        <v>46145</v>
      </c>
      <c r="D10074" t="inlineStr">
        <is>
          <t>VÄSTERBOTTENS LÄN</t>
        </is>
      </c>
      <c r="E10074" t="inlineStr">
        <is>
          <t>SORSELE</t>
        </is>
      </c>
      <c r="G10074" t="n">
        <v>8.800000000000001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57022-2024</t>
        </is>
      </c>
      <c r="B10075" s="1" t="n">
        <v>45626</v>
      </c>
      <c r="C10075" s="1" t="n">
        <v>46145</v>
      </c>
      <c r="D10075" t="inlineStr">
        <is>
          <t>VÄSTERBOTTENS LÄN</t>
        </is>
      </c>
      <c r="E10075" t="inlineStr">
        <is>
          <t>SORSELE</t>
        </is>
      </c>
      <c r="G10075" t="n">
        <v>14.2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13439-2024</t>
        </is>
      </c>
      <c r="B10076" s="1" t="n">
        <v>45387</v>
      </c>
      <c r="C10076" s="1" t="n">
        <v>46145</v>
      </c>
      <c r="D10076" t="inlineStr">
        <is>
          <t>VÄSTERBOTTENS LÄN</t>
        </is>
      </c>
      <c r="E10076" t="inlineStr">
        <is>
          <t>VINDELN</t>
        </is>
      </c>
      <c r="F10076" t="inlineStr">
        <is>
          <t>Holmen skog AB</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2352-2025</t>
        </is>
      </c>
      <c r="B10077" s="1" t="n">
        <v>45673.67935185185</v>
      </c>
      <c r="C10077" s="1" t="n">
        <v>46145</v>
      </c>
      <c r="D10077" t="inlineStr">
        <is>
          <t>VÄSTERBOTTENS LÄN</t>
        </is>
      </c>
      <c r="E10077" t="inlineStr">
        <is>
          <t>LYCKSELE</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2331-2025</t>
        </is>
      </c>
      <c r="B10078" s="1" t="n">
        <v>45673.64859953704</v>
      </c>
      <c r="C10078" s="1" t="n">
        <v>46145</v>
      </c>
      <c r="D10078" t="inlineStr">
        <is>
          <t>VÄSTERBOTTENS LÄN</t>
        </is>
      </c>
      <c r="E10078" t="inlineStr">
        <is>
          <t>NORSJÖ</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2354-2025</t>
        </is>
      </c>
      <c r="B10079" s="1" t="n">
        <v>45673</v>
      </c>
      <c r="C10079" s="1" t="n">
        <v>46145</v>
      </c>
      <c r="D10079" t="inlineStr">
        <is>
          <t>VÄSTERBOTTENS LÄN</t>
        </is>
      </c>
      <c r="E10079" t="inlineStr">
        <is>
          <t>SKELLEFTEÅ</t>
        </is>
      </c>
      <c r="G10079" t="n">
        <v>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17807-2026</t>
        </is>
      </c>
      <c r="B10080" s="1" t="n">
        <v>46122.42211805555</v>
      </c>
      <c r="C10080" s="1" t="n">
        <v>46145</v>
      </c>
      <c r="D10080" t="inlineStr">
        <is>
          <t>VÄSTERBOTTENS LÄN</t>
        </is>
      </c>
      <c r="E10080" t="inlineStr">
        <is>
          <t>UMEÅ</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45366-2024</t>
        </is>
      </c>
      <c r="B10081" s="1" t="n">
        <v>45576.48979166667</v>
      </c>
      <c r="C10081" s="1" t="n">
        <v>46145</v>
      </c>
      <c r="D10081" t="inlineStr">
        <is>
          <t>VÄSTERBOTTENS LÄN</t>
        </is>
      </c>
      <c r="E10081" t="inlineStr">
        <is>
          <t>LYCKSELE</t>
        </is>
      </c>
      <c r="F10081" t="inlineStr">
        <is>
          <t>Sveaskog</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8801-2025</t>
        </is>
      </c>
      <c r="B10082" s="1" t="n">
        <v>45712.65678240741</v>
      </c>
      <c r="C10082" s="1" t="n">
        <v>46145</v>
      </c>
      <c r="D10082" t="inlineStr">
        <is>
          <t>VÄSTERBOTTENS LÄN</t>
        </is>
      </c>
      <c r="E10082" t="inlineStr">
        <is>
          <t>SKELLEFTEÅ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8821-2025</t>
        </is>
      </c>
      <c r="B10083" s="1" t="n">
        <v>45712.77956018518</v>
      </c>
      <c r="C10083" s="1" t="n">
        <v>46145</v>
      </c>
      <c r="D10083" t="inlineStr">
        <is>
          <t>VÄSTERBOTTENS LÄN</t>
        </is>
      </c>
      <c r="E10083" t="inlineStr">
        <is>
          <t>SKELLEFTEÅ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40618-2023</t>
        </is>
      </c>
      <c r="B10084" s="1" t="n">
        <v>45170</v>
      </c>
      <c r="C10084" s="1" t="n">
        <v>46145</v>
      </c>
      <c r="D10084" t="inlineStr">
        <is>
          <t>VÄSTERBOTTENS LÄN</t>
        </is>
      </c>
      <c r="E10084" t="inlineStr">
        <is>
          <t>MALÅ</t>
        </is>
      </c>
      <c r="F10084" t="inlineStr">
        <is>
          <t>Sveaskog</t>
        </is>
      </c>
      <c r="G10084" t="n">
        <v>23.4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9551-2025</t>
        </is>
      </c>
      <c r="B10085" s="1" t="n">
        <v>45715.59438657408</v>
      </c>
      <c r="C10085" s="1" t="n">
        <v>46145</v>
      </c>
      <c r="D10085" t="inlineStr">
        <is>
          <t>VÄSTERBOTTENS LÄN</t>
        </is>
      </c>
      <c r="E10085" t="inlineStr">
        <is>
          <t>LYCKSELE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54968-2024</t>
        </is>
      </c>
      <c r="B10086" s="1" t="n">
        <v>45620.4262962963</v>
      </c>
      <c r="C10086" s="1" t="n">
        <v>46145</v>
      </c>
      <c r="D10086" t="inlineStr">
        <is>
          <t>VÄSTERBOTTENS LÄN</t>
        </is>
      </c>
      <c r="E10086" t="inlineStr">
        <is>
          <t>ROBERTSFORS</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18157-2026</t>
        </is>
      </c>
      <c r="B10087" s="1" t="n">
        <v>46125.63638888889</v>
      </c>
      <c r="C10087" s="1" t="n">
        <v>46145</v>
      </c>
      <c r="D10087" t="inlineStr">
        <is>
          <t>VÄSTERBOTTENS LÄN</t>
        </is>
      </c>
      <c r="E10087" t="inlineStr">
        <is>
          <t>DOROTEA</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35189-2022</t>
        </is>
      </c>
      <c r="B10088" s="1" t="n">
        <v>44797</v>
      </c>
      <c r="C10088" s="1" t="n">
        <v>46145</v>
      </c>
      <c r="D10088" t="inlineStr">
        <is>
          <t>VÄSTERBOTTENS LÄN</t>
        </is>
      </c>
      <c r="E10088" t="inlineStr">
        <is>
          <t>SKELLEFTEÅ</t>
        </is>
      </c>
      <c r="F10088" t="inlineStr">
        <is>
          <t>Holmen skog AB</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18143-2026</t>
        </is>
      </c>
      <c r="B10089" s="1" t="n">
        <v>46125.61506944444</v>
      </c>
      <c r="C10089" s="1" t="n">
        <v>46145</v>
      </c>
      <c r="D10089" t="inlineStr">
        <is>
          <t>VÄSTERBOTTENS LÄN</t>
        </is>
      </c>
      <c r="E10089" t="inlineStr">
        <is>
          <t>DOROTEA</t>
        </is>
      </c>
      <c r="F10089" t="inlineStr">
        <is>
          <t>SCA</t>
        </is>
      </c>
      <c r="G10089" t="n">
        <v>10.1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18156-2026</t>
        </is>
      </c>
      <c r="B10090" s="1" t="n">
        <v>46125.63613425926</v>
      </c>
      <c r="C10090" s="1" t="n">
        <v>46145</v>
      </c>
      <c r="D10090" t="inlineStr">
        <is>
          <t>VÄSTERBOTTENS LÄN</t>
        </is>
      </c>
      <c r="E10090" t="inlineStr">
        <is>
          <t>VILHELMINA</t>
        </is>
      </c>
      <c r="F10090" t="inlineStr">
        <is>
          <t>SCA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11388-2026</t>
        </is>
      </c>
      <c r="B10091" s="1" t="n">
        <v>46083.42484953703</v>
      </c>
      <c r="C10091" s="1" t="n">
        <v>46145</v>
      </c>
      <c r="D10091" t="inlineStr">
        <is>
          <t>VÄSTERBOTTENS LÄN</t>
        </is>
      </c>
      <c r="E10091" t="inlineStr">
        <is>
          <t>SKELLEFTEÅ</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7001-2022</t>
        </is>
      </c>
      <c r="B10092" s="1" t="n">
        <v>44603</v>
      </c>
      <c r="C10092" s="1" t="n">
        <v>46145</v>
      </c>
      <c r="D10092" t="inlineStr">
        <is>
          <t>VÄSTERBOTTENS LÄN</t>
        </is>
      </c>
      <c r="E10092" t="inlineStr">
        <is>
          <t>LYCKSELE</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61132-2022</t>
        </is>
      </c>
      <c r="B10093" s="1" t="n">
        <v>44915.44849537037</v>
      </c>
      <c r="C10093" s="1" t="n">
        <v>46145</v>
      </c>
      <c r="D10093" t="inlineStr">
        <is>
          <t>VÄSTERBOTTENS LÄN</t>
        </is>
      </c>
      <c r="E10093" t="inlineStr">
        <is>
          <t>SKELLEFTEÅ</t>
        </is>
      </c>
      <c r="F10093" t="inlineStr">
        <is>
          <t>Sveaskog</t>
        </is>
      </c>
      <c r="G10093" t="n">
        <v>14.5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11402-2026</t>
        </is>
      </c>
      <c r="B10094" s="1" t="n">
        <v>46083.44861111111</v>
      </c>
      <c r="C10094" s="1" t="n">
        <v>46145</v>
      </c>
      <c r="D10094" t="inlineStr">
        <is>
          <t>VÄSTERBOTTENS LÄN</t>
        </is>
      </c>
      <c r="E10094" t="inlineStr">
        <is>
          <t>SORSELE</t>
        </is>
      </c>
      <c r="F10094" t="inlineStr">
        <is>
          <t>SCA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17765-2026</t>
        </is>
      </c>
      <c r="B10095" s="1" t="n">
        <v>46122.35976851852</v>
      </c>
      <c r="C10095" s="1" t="n">
        <v>46145</v>
      </c>
      <c r="D10095" t="inlineStr">
        <is>
          <t>VÄSTERBOTTENS LÄN</t>
        </is>
      </c>
      <c r="E10095" t="inlineStr">
        <is>
          <t>ROBERTSFORS</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11365-2026</t>
        </is>
      </c>
      <c r="B10096" s="1" t="n">
        <v>46083.365</v>
      </c>
      <c r="C10096" s="1" t="n">
        <v>46145</v>
      </c>
      <c r="D10096" t="inlineStr">
        <is>
          <t>VÄSTERBOTTENS LÄN</t>
        </is>
      </c>
      <c r="E10096" t="inlineStr">
        <is>
          <t>NORSJÖ</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62319-2022</t>
        </is>
      </c>
      <c r="B10097" s="1" t="n">
        <v>44923</v>
      </c>
      <c r="C10097" s="1" t="n">
        <v>46145</v>
      </c>
      <c r="D10097" t="inlineStr">
        <is>
          <t>VÄSTERBOTTENS LÄN</t>
        </is>
      </c>
      <c r="E10097" t="inlineStr">
        <is>
          <t>SKELLEFTEÅ</t>
        </is>
      </c>
      <c r="F10097" t="inlineStr">
        <is>
          <t>Sveaskog</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11963-2023</t>
        </is>
      </c>
      <c r="B10098" s="1" t="n">
        <v>44994</v>
      </c>
      <c r="C10098" s="1" t="n">
        <v>46145</v>
      </c>
      <c r="D10098" t="inlineStr">
        <is>
          <t>VÄSTERBOTTENS LÄN</t>
        </is>
      </c>
      <c r="E10098" t="inlineStr">
        <is>
          <t>SKELLEFTEÅ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25102-2021</t>
        </is>
      </c>
      <c r="B10099" s="1" t="n">
        <v>44341</v>
      </c>
      <c r="C10099" s="1" t="n">
        <v>46145</v>
      </c>
      <c r="D10099" t="inlineStr">
        <is>
          <t>VÄSTERBOTTENS LÄN</t>
        </is>
      </c>
      <c r="E10099" t="inlineStr">
        <is>
          <t>VILHELMINA</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17766-2026</t>
        </is>
      </c>
      <c r="B10100" s="1" t="n">
        <v>46122.36009259259</v>
      </c>
      <c r="C10100" s="1" t="n">
        <v>46145</v>
      </c>
      <c r="D10100" t="inlineStr">
        <is>
          <t>VÄSTERBOTTENS LÄN</t>
        </is>
      </c>
      <c r="E10100" t="inlineStr">
        <is>
          <t>VILHELMINA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53092-2024</t>
        </is>
      </c>
      <c r="B10101" s="1" t="n">
        <v>45611</v>
      </c>
      <c r="C10101" s="1" t="n">
        <v>46145</v>
      </c>
      <c r="D10101" t="inlineStr">
        <is>
          <t>VÄSTERBOTTENS LÄN</t>
        </is>
      </c>
      <c r="E10101" t="inlineStr">
        <is>
          <t>DOROTEA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17774-2026</t>
        </is>
      </c>
      <c r="B10102" s="1" t="n">
        <v>46122.36875</v>
      </c>
      <c r="C10102" s="1" t="n">
        <v>46145</v>
      </c>
      <c r="D10102" t="inlineStr">
        <is>
          <t>VÄSTERBOTTENS LÄN</t>
        </is>
      </c>
      <c r="E10102" t="inlineStr">
        <is>
          <t>VILHELMINA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44973-2023</t>
        </is>
      </c>
      <c r="B10103" s="1" t="n">
        <v>45190.92554398148</v>
      </c>
      <c r="C10103" s="1" t="n">
        <v>46145</v>
      </c>
      <c r="D10103" t="inlineStr">
        <is>
          <t>VÄSTERBOTTENS LÄN</t>
        </is>
      </c>
      <c r="E10103" t="inlineStr">
        <is>
          <t>DOROTEA</t>
        </is>
      </c>
      <c r="G10103" t="n">
        <v>23.9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44976-2023</t>
        </is>
      </c>
      <c r="B10104" s="1" t="n">
        <v>45190</v>
      </c>
      <c r="C10104" s="1" t="n">
        <v>46145</v>
      </c>
      <c r="D10104" t="inlineStr">
        <is>
          <t>VÄSTERBOTTENS LÄN</t>
        </is>
      </c>
      <c r="E10104" t="inlineStr">
        <is>
          <t>NORSJÖ</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36268-2023</t>
        </is>
      </c>
      <c r="B10105" s="1" t="n">
        <v>45151.94431712963</v>
      </c>
      <c r="C10105" s="1" t="n">
        <v>46145</v>
      </c>
      <c r="D10105" t="inlineStr">
        <is>
          <t>VÄSTERBOTTENS LÄN</t>
        </is>
      </c>
      <c r="E10105" t="inlineStr">
        <is>
          <t>VINDELN</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17842-2026</t>
        </is>
      </c>
      <c r="B10106" s="1" t="n">
        <v>46122.47021990741</v>
      </c>
      <c r="C10106" s="1" t="n">
        <v>46145</v>
      </c>
      <c r="D10106" t="inlineStr">
        <is>
          <t>VÄSTERBOTTENS LÄN</t>
        </is>
      </c>
      <c r="E10106" t="inlineStr">
        <is>
          <t>VINDELN</t>
        </is>
      </c>
      <c r="F10106" t="inlineStr">
        <is>
          <t>Holmen skog AB</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20322-2022</t>
        </is>
      </c>
      <c r="B10107" s="1" t="n">
        <v>44698</v>
      </c>
      <c r="C10107" s="1" t="n">
        <v>46145</v>
      </c>
      <c r="D10107" t="inlineStr">
        <is>
          <t>VÄSTERBOTTENS LÄN</t>
        </is>
      </c>
      <c r="E10107" t="inlineStr">
        <is>
          <t>VILHELMINA</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17753-2026</t>
        </is>
      </c>
      <c r="B10108" s="1" t="n">
        <v>46122.34603009259</v>
      </c>
      <c r="C10108" s="1" t="n">
        <v>46145</v>
      </c>
      <c r="D10108" t="inlineStr">
        <is>
          <t>VÄSTERBOTTENS LÄN</t>
        </is>
      </c>
      <c r="E10108" t="inlineStr">
        <is>
          <t>ROBERTSFORS</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49275-2023</t>
        </is>
      </c>
      <c r="B10109" s="1" t="n">
        <v>45210</v>
      </c>
      <c r="C10109" s="1" t="n">
        <v>46145</v>
      </c>
      <c r="D10109" t="inlineStr">
        <is>
          <t>VÄSTERBOTTENS LÄN</t>
        </is>
      </c>
      <c r="E10109" t="inlineStr">
        <is>
          <t>VINDELN</t>
        </is>
      </c>
      <c r="F10109" t="inlineStr">
        <is>
          <t>Sveaskog</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39275-2022</t>
        </is>
      </c>
      <c r="B10110" s="1" t="n">
        <v>44817</v>
      </c>
      <c r="C10110" s="1" t="n">
        <v>46145</v>
      </c>
      <c r="D10110" t="inlineStr">
        <is>
          <t>VÄSTERBOTTENS LÄN</t>
        </is>
      </c>
      <c r="E10110" t="inlineStr">
        <is>
          <t>STORUMAN</t>
        </is>
      </c>
      <c r="F10110" t="inlineStr">
        <is>
          <t>Sveaskog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8577-2026</t>
        </is>
      </c>
      <c r="B10111" s="1" t="n">
        <v>46065</v>
      </c>
      <c r="C10111" s="1" t="n">
        <v>46145</v>
      </c>
      <c r="D10111" t="inlineStr">
        <is>
          <t>VÄSTERBOTTENS LÄN</t>
        </is>
      </c>
      <c r="E10111" t="inlineStr">
        <is>
          <t>LYCKSELE</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28949-2023</t>
        </is>
      </c>
      <c r="B10112" s="1" t="n">
        <v>45104</v>
      </c>
      <c r="C10112" s="1" t="n">
        <v>46145</v>
      </c>
      <c r="D10112" t="inlineStr">
        <is>
          <t>VÄSTERBOTTENS LÄN</t>
        </is>
      </c>
      <c r="E10112" t="inlineStr">
        <is>
          <t>NORSJÖ</t>
        </is>
      </c>
      <c r="F10112" t="inlineStr">
        <is>
          <t>Sveaskog</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11509-2026</t>
        </is>
      </c>
      <c r="B10113" s="1" t="n">
        <v>46083.65679398148</v>
      </c>
      <c r="C10113" s="1" t="n">
        <v>46145</v>
      </c>
      <c r="D10113" t="inlineStr">
        <is>
          <t>VÄSTERBOTTENS LÄN</t>
        </is>
      </c>
      <c r="E10113" t="inlineStr">
        <is>
          <t>VINDELN</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27595-2023</t>
        </is>
      </c>
      <c r="B10114" s="1" t="n">
        <v>45097</v>
      </c>
      <c r="C10114" s="1" t="n">
        <v>46145</v>
      </c>
      <c r="D10114" t="inlineStr">
        <is>
          <t>VÄSTERBOTTENS LÄN</t>
        </is>
      </c>
      <c r="E10114" t="inlineStr">
        <is>
          <t>LYCKSELE</t>
        </is>
      </c>
      <c r="F10114" t="inlineStr">
        <is>
          <t>Holmen skog AB</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56518-2023</t>
        </is>
      </c>
      <c r="B10115" s="1" t="n">
        <v>45238</v>
      </c>
      <c r="C10115" s="1" t="n">
        <v>46145</v>
      </c>
      <c r="D10115" t="inlineStr">
        <is>
          <t>VÄSTERBOTTENS LÄN</t>
        </is>
      </c>
      <c r="E10115" t="inlineStr">
        <is>
          <t>LYCKSELE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2695-2023</t>
        </is>
      </c>
      <c r="B10116" s="1" t="n">
        <v>44944</v>
      </c>
      <c r="C10116" s="1" t="n">
        <v>46145</v>
      </c>
      <c r="D10116" t="inlineStr">
        <is>
          <t>VÄSTERBOTTENS LÄN</t>
        </is>
      </c>
      <c r="E10116" t="inlineStr">
        <is>
          <t>UMEÅ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2742-2023</t>
        </is>
      </c>
      <c r="B10117" s="1" t="n">
        <v>44943</v>
      </c>
      <c r="C10117" s="1" t="n">
        <v>46145</v>
      </c>
      <c r="D10117" t="inlineStr">
        <is>
          <t>VÄSTERBOTTENS LÄN</t>
        </is>
      </c>
      <c r="E10117" t="inlineStr">
        <is>
          <t>VILHELMINA</t>
        </is>
      </c>
      <c r="G10117" t="n">
        <v>34.8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56297-2023</t>
        </is>
      </c>
      <c r="B10118" s="1" t="n">
        <v>45242</v>
      </c>
      <c r="C10118" s="1" t="n">
        <v>46145</v>
      </c>
      <c r="D10118" t="inlineStr">
        <is>
          <t>VÄSTERBOTTENS LÄN</t>
        </is>
      </c>
      <c r="E10118" t="inlineStr">
        <is>
          <t>STORUMAN</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13432-2025</t>
        </is>
      </c>
      <c r="B10119" s="1" t="n">
        <v>45736.33638888889</v>
      </c>
      <c r="C10119" s="1" t="n">
        <v>46145</v>
      </c>
      <c r="D10119" t="inlineStr">
        <is>
          <t>VÄSTERBOTTENS LÄN</t>
        </is>
      </c>
      <c r="E10119" t="inlineStr">
        <is>
          <t>MALÅ</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54275-2024</t>
        </is>
      </c>
      <c r="B10120" s="1" t="n">
        <v>45616.83502314815</v>
      </c>
      <c r="C10120" s="1" t="n">
        <v>46145</v>
      </c>
      <c r="D10120" t="inlineStr">
        <is>
          <t>VÄSTERBOTTENS LÄN</t>
        </is>
      </c>
      <c r="E10120" t="inlineStr">
        <is>
          <t>LYCKSELE</t>
        </is>
      </c>
      <c r="F10120" t="inlineStr">
        <is>
          <t>Sveaskog</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5783-2025</t>
        </is>
      </c>
      <c r="B10121" s="1" t="n">
        <v>45694.63975694445</v>
      </c>
      <c r="C10121" s="1" t="n">
        <v>46145</v>
      </c>
      <c r="D10121" t="inlineStr">
        <is>
          <t>VÄSTERBOTTENS LÄN</t>
        </is>
      </c>
      <c r="E10121" t="inlineStr">
        <is>
          <t>SKELLEFTEÅ</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13753-2025</t>
        </is>
      </c>
      <c r="B10122" s="1" t="n">
        <v>45737.41443287037</v>
      </c>
      <c r="C10122" s="1" t="n">
        <v>46145</v>
      </c>
      <c r="D10122" t="inlineStr">
        <is>
          <t>VÄSTERBOTTENS LÄN</t>
        </is>
      </c>
      <c r="E10122" t="inlineStr">
        <is>
          <t>VINDELN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26894-2024</t>
        </is>
      </c>
      <c r="B10123" s="1" t="n">
        <v>45470.66340277778</v>
      </c>
      <c r="C10123" s="1" t="n">
        <v>46145</v>
      </c>
      <c r="D10123" t="inlineStr">
        <is>
          <t>VÄSTERBOTTENS LÄN</t>
        </is>
      </c>
      <c r="E10123" t="inlineStr">
        <is>
          <t>ROBERTSFORS</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26947-2024</t>
        </is>
      </c>
      <c r="B10124" s="1" t="n">
        <v>45470.9693287037</v>
      </c>
      <c r="C10124" s="1" t="n">
        <v>46145</v>
      </c>
      <c r="D10124" t="inlineStr">
        <is>
          <t>VÄSTERBOTTENS LÄN</t>
        </is>
      </c>
      <c r="E10124" t="inlineStr">
        <is>
          <t>VILHELMINA</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40822-2023</t>
        </is>
      </c>
      <c r="B10125" s="1" t="n">
        <v>45171</v>
      </c>
      <c r="C10125" s="1" t="n">
        <v>46145</v>
      </c>
      <c r="D10125" t="inlineStr">
        <is>
          <t>VÄSTERBOTTENS LÄN</t>
        </is>
      </c>
      <c r="E10125" t="inlineStr">
        <is>
          <t>MALÅ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11421-2026</t>
        </is>
      </c>
      <c r="B10126" s="1" t="n">
        <v>46083.47828703704</v>
      </c>
      <c r="C10126" s="1" t="n">
        <v>46145</v>
      </c>
      <c r="D10126" t="inlineStr">
        <is>
          <t>VÄSTERBOTTENS LÄN</t>
        </is>
      </c>
      <c r="E10126" t="inlineStr">
        <is>
          <t>ROBERTSFORS</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5147-2025</t>
        </is>
      </c>
      <c r="B10127" s="1" t="n">
        <v>45691.58826388889</v>
      </c>
      <c r="C10127" s="1" t="n">
        <v>46145</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16850-2023</t>
        </is>
      </c>
      <c r="B10128" s="1" t="n">
        <v>45029</v>
      </c>
      <c r="C10128" s="1" t="n">
        <v>46145</v>
      </c>
      <c r="D10128" t="inlineStr">
        <is>
          <t>VÄSTERBOTTENS LÄN</t>
        </is>
      </c>
      <c r="E10128" t="inlineStr">
        <is>
          <t>SORSELE</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11529-2026</t>
        </is>
      </c>
      <c r="B10129" s="1" t="n">
        <v>46083.69829861111</v>
      </c>
      <c r="C10129" s="1" t="n">
        <v>46145</v>
      </c>
      <c r="D10129" t="inlineStr">
        <is>
          <t>VÄSTERBOTTENS LÄN</t>
        </is>
      </c>
      <c r="E10129" t="inlineStr">
        <is>
          <t>DOROTEA</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57603-2024</t>
        </is>
      </c>
      <c r="B10130" s="1" t="n">
        <v>45630.53160879629</v>
      </c>
      <c r="C10130" s="1" t="n">
        <v>46145</v>
      </c>
      <c r="D10130" t="inlineStr">
        <is>
          <t>VÄSTERBOTTENS LÄN</t>
        </is>
      </c>
      <c r="E10130" t="inlineStr">
        <is>
          <t>SORSELE</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19462-2025</t>
        </is>
      </c>
      <c r="B10131" s="1" t="n">
        <v>45770.36570601852</v>
      </c>
      <c r="C10131" s="1" t="n">
        <v>46145</v>
      </c>
      <c r="D10131" t="inlineStr">
        <is>
          <t>VÄSTERBOTTENS LÄN</t>
        </is>
      </c>
      <c r="E10131" t="inlineStr">
        <is>
          <t>ÅSELE</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26557-2023</t>
        </is>
      </c>
      <c r="B10132" s="1" t="n">
        <v>45089</v>
      </c>
      <c r="C10132" s="1" t="n">
        <v>46145</v>
      </c>
      <c r="D10132" t="inlineStr">
        <is>
          <t>VÄSTERBOTTENS LÄN</t>
        </is>
      </c>
      <c r="E10132" t="inlineStr">
        <is>
          <t>VILHELMINA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14384-2025</t>
        </is>
      </c>
      <c r="B10133" s="1" t="n">
        <v>45741.41962962963</v>
      </c>
      <c r="C10133" s="1" t="n">
        <v>46145</v>
      </c>
      <c r="D10133" t="inlineStr">
        <is>
          <t>VÄSTERBOTTENS LÄN</t>
        </is>
      </c>
      <c r="E10133" t="inlineStr">
        <is>
          <t>SKELLEFTEÅ</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11224-2026</t>
        </is>
      </c>
      <c r="B10134" s="1" t="n">
        <v>46080.48056712963</v>
      </c>
      <c r="C10134" s="1" t="n">
        <v>46145</v>
      </c>
      <c r="D10134" t="inlineStr">
        <is>
          <t>VÄSTERBOTTENS LÄN</t>
        </is>
      </c>
      <c r="E10134" t="inlineStr">
        <is>
          <t>ROBERTSFORS</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42409-2024</t>
        </is>
      </c>
      <c r="B10135" s="1" t="n">
        <v>45565.36329861111</v>
      </c>
      <c r="C10135" s="1" t="n">
        <v>46145</v>
      </c>
      <c r="D10135" t="inlineStr">
        <is>
          <t>VÄSTERBOTTENS LÄN</t>
        </is>
      </c>
      <c r="E10135" t="inlineStr">
        <is>
          <t>VINDELN</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16921-2023</t>
        </is>
      </c>
      <c r="B10136" s="1" t="n">
        <v>45029</v>
      </c>
      <c r="C10136" s="1" t="n">
        <v>46145</v>
      </c>
      <c r="D10136" t="inlineStr">
        <is>
          <t>VÄSTERBOTTENS LÄN</t>
        </is>
      </c>
      <c r="E10136" t="inlineStr">
        <is>
          <t>ROBERTSFORS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11534-2026</t>
        </is>
      </c>
      <c r="B10137" s="1" t="n">
        <v>46083</v>
      </c>
      <c r="C10137" s="1" t="n">
        <v>46145</v>
      </c>
      <c r="D10137" t="inlineStr">
        <is>
          <t>VÄSTERBOTTENS LÄN</t>
        </is>
      </c>
      <c r="E10137" t="inlineStr">
        <is>
          <t>ÅSELE</t>
        </is>
      </c>
      <c r="G10137" t="n">
        <v>14.2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49171-2024</t>
        </is>
      </c>
      <c r="B10138" s="1" t="n">
        <v>45595.30685185185</v>
      </c>
      <c r="C10138" s="1" t="n">
        <v>46145</v>
      </c>
      <c r="D10138" t="inlineStr">
        <is>
          <t>VÄSTERBOTTENS LÄN</t>
        </is>
      </c>
      <c r="E10138" t="inlineStr">
        <is>
          <t>SKELLEFTEÅ</t>
        </is>
      </c>
      <c r="F10138" t="inlineStr">
        <is>
          <t>Sveaskog</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44626-2023</t>
        </is>
      </c>
      <c r="B10139" s="1" t="n">
        <v>45184</v>
      </c>
      <c r="C10139" s="1" t="n">
        <v>46145</v>
      </c>
      <c r="D10139" t="inlineStr">
        <is>
          <t>VÄSTERBOTTENS LÄN</t>
        </is>
      </c>
      <c r="E10139" t="inlineStr">
        <is>
          <t>MALÅ</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54874-2024</t>
        </is>
      </c>
      <c r="B10140" s="1" t="n">
        <v>45618.60230324074</v>
      </c>
      <c r="C10140" s="1" t="n">
        <v>46145</v>
      </c>
      <c r="D10140" t="inlineStr">
        <is>
          <t>VÄSTERBOTTENS LÄN</t>
        </is>
      </c>
      <c r="E10140" t="inlineStr">
        <is>
          <t>SKELLEFTEÅ</t>
        </is>
      </c>
      <c r="F10140" t="inlineStr">
        <is>
          <t>Sveaskog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54893-2024</t>
        </is>
      </c>
      <c r="B10141" s="1" t="n">
        <v>45618.63597222222</v>
      </c>
      <c r="C10141" s="1" t="n">
        <v>46145</v>
      </c>
      <c r="D10141" t="inlineStr">
        <is>
          <t>VÄSTERBOTTENS LÄN</t>
        </is>
      </c>
      <c r="E10141" t="inlineStr">
        <is>
          <t>NORDMALING</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41454-2023</t>
        </is>
      </c>
      <c r="B10142" s="1" t="n">
        <v>45175</v>
      </c>
      <c r="C10142" s="1" t="n">
        <v>46145</v>
      </c>
      <c r="D10142" t="inlineStr">
        <is>
          <t>VÄSTERBOTTENS LÄN</t>
        </is>
      </c>
      <c r="E10142" t="inlineStr">
        <is>
          <t>VINDELN</t>
        </is>
      </c>
      <c r="F10142" t="inlineStr">
        <is>
          <t>Naturvårdsverket</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39989-2023</t>
        </is>
      </c>
      <c r="B10143" s="1" t="n">
        <v>45167</v>
      </c>
      <c r="C10143" s="1" t="n">
        <v>46145</v>
      </c>
      <c r="D10143" t="inlineStr">
        <is>
          <t>VÄSTERBOTTENS LÄN</t>
        </is>
      </c>
      <c r="E10143" t="inlineStr">
        <is>
          <t>ÅSELE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39994-2023</t>
        </is>
      </c>
      <c r="B10144" s="1" t="n">
        <v>45168</v>
      </c>
      <c r="C10144" s="1" t="n">
        <v>46145</v>
      </c>
      <c r="D10144" t="inlineStr">
        <is>
          <t>VÄSTERBOTTENS LÄN</t>
        </is>
      </c>
      <c r="E10144" t="inlineStr">
        <is>
          <t>MALÅ</t>
        </is>
      </c>
      <c r="G10144" t="n">
        <v>27.9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11885-2026</t>
        </is>
      </c>
      <c r="B10145" s="1" t="n">
        <v>46085.51091435185</v>
      </c>
      <c r="C10145" s="1" t="n">
        <v>46145</v>
      </c>
      <c r="D10145" t="inlineStr">
        <is>
          <t>VÄSTERBOTTENS LÄN</t>
        </is>
      </c>
      <c r="E10145" t="inlineStr">
        <is>
          <t>SORSELE</t>
        </is>
      </c>
      <c r="F10145" t="inlineStr">
        <is>
          <t>SCA</t>
        </is>
      </c>
      <c r="G10145" t="n">
        <v>40.4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18365-2023</t>
        </is>
      </c>
      <c r="B10146" s="1" t="n">
        <v>45041</v>
      </c>
      <c r="C10146" s="1" t="n">
        <v>46145</v>
      </c>
      <c r="D10146" t="inlineStr">
        <is>
          <t>VÄSTERBOTTENS LÄN</t>
        </is>
      </c>
      <c r="E10146" t="inlineStr">
        <is>
          <t>LYCKSELE</t>
        </is>
      </c>
      <c r="F10146" t="inlineStr">
        <is>
          <t>SCA</t>
        </is>
      </c>
      <c r="G10146" t="n">
        <v>22.4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11886-2026</t>
        </is>
      </c>
      <c r="B10147" s="1" t="n">
        <v>46085.51328703704</v>
      </c>
      <c r="C10147" s="1" t="n">
        <v>46145</v>
      </c>
      <c r="D10147" t="inlineStr">
        <is>
          <t>VÄSTERBOTTENS LÄN</t>
        </is>
      </c>
      <c r="E10147" t="inlineStr">
        <is>
          <t>ÅSELE</t>
        </is>
      </c>
      <c r="G10147" t="n">
        <v>15.4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62937-2023</t>
        </is>
      </c>
      <c r="B10148" s="1" t="n">
        <v>45271</v>
      </c>
      <c r="C10148" s="1" t="n">
        <v>46145</v>
      </c>
      <c r="D10148" t="inlineStr">
        <is>
          <t>VÄSTERBOTTENS LÄN</t>
        </is>
      </c>
      <c r="E10148" t="inlineStr">
        <is>
          <t>ROBERTSFORS</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18404-2026</t>
        </is>
      </c>
      <c r="B10149" s="1" t="n">
        <v>46126.67255787037</v>
      </c>
      <c r="C10149" s="1" t="n">
        <v>46145</v>
      </c>
      <c r="D10149" t="inlineStr">
        <is>
          <t>VÄSTERBOTTENS LÄN</t>
        </is>
      </c>
      <c r="E10149" t="inlineStr">
        <is>
          <t>ROBERTSFORS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19422-2023</t>
        </is>
      </c>
      <c r="B10150" s="1" t="n">
        <v>45049</v>
      </c>
      <c r="C10150" s="1" t="n">
        <v>46145</v>
      </c>
      <c r="D10150" t="inlineStr">
        <is>
          <t>VÄSTERBOTTENS LÄN</t>
        </is>
      </c>
      <c r="E10150" t="inlineStr">
        <is>
          <t>SKELLEFTEÅ</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12004-2026</t>
        </is>
      </c>
      <c r="B10151" s="1" t="n">
        <v>46085.67744212963</v>
      </c>
      <c r="C10151" s="1" t="n">
        <v>46145</v>
      </c>
      <c r="D10151" t="inlineStr">
        <is>
          <t>VÄSTERBOTTENS LÄN</t>
        </is>
      </c>
      <c r="E10151" t="inlineStr">
        <is>
          <t>STORUMAN</t>
        </is>
      </c>
      <c r="F10151" t="inlineStr">
        <is>
          <t>Holmen skog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32420-2022</t>
        </is>
      </c>
      <c r="B10152" s="1" t="n">
        <v>44782</v>
      </c>
      <c r="C10152" s="1" t="n">
        <v>46145</v>
      </c>
      <c r="D10152" t="inlineStr">
        <is>
          <t>VÄSTERBOTTENS LÄN</t>
        </is>
      </c>
      <c r="E10152" t="inlineStr">
        <is>
          <t>SKELLEFTEÅ</t>
        </is>
      </c>
      <c r="F10152" t="inlineStr">
        <is>
          <t>Kommuner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32427-2022</t>
        </is>
      </c>
      <c r="B10153" s="1" t="n">
        <v>44782</v>
      </c>
      <c r="C10153" s="1" t="n">
        <v>46145</v>
      </c>
      <c r="D10153" t="inlineStr">
        <is>
          <t>VÄSTERBOTTENS LÄN</t>
        </is>
      </c>
      <c r="E10153" t="inlineStr">
        <is>
          <t>SKELLEFTEÅ</t>
        </is>
      </c>
      <c r="F10153" t="inlineStr">
        <is>
          <t>Kommuner</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3510-2026</t>
        </is>
      </c>
      <c r="B10154" s="1" t="n">
        <v>46042</v>
      </c>
      <c r="C10154" s="1" t="n">
        <v>46145</v>
      </c>
      <c r="D10154" t="inlineStr">
        <is>
          <t>VÄSTERBOTTENS LÄN</t>
        </is>
      </c>
      <c r="E10154" t="inlineStr">
        <is>
          <t>NORDMALING</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15717-2023</t>
        </is>
      </c>
      <c r="B10155" s="1" t="n">
        <v>45020</v>
      </c>
      <c r="C10155" s="1" t="n">
        <v>46145</v>
      </c>
      <c r="D10155" t="inlineStr">
        <is>
          <t>VÄSTERBOTTENS LÄN</t>
        </is>
      </c>
      <c r="E10155" t="inlineStr">
        <is>
          <t>SKELLEFTEÅ</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15806-2023</t>
        </is>
      </c>
      <c r="B10156" s="1" t="n">
        <v>45021</v>
      </c>
      <c r="C10156" s="1" t="n">
        <v>46145</v>
      </c>
      <c r="D10156" t="inlineStr">
        <is>
          <t>VÄSTERBOTTENS LÄN</t>
        </is>
      </c>
      <c r="E10156" t="inlineStr">
        <is>
          <t>SKELLEFTEÅ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18343-2026</t>
        </is>
      </c>
      <c r="B10157" s="1" t="n">
        <v>46126.55670138889</v>
      </c>
      <c r="C10157" s="1" t="n">
        <v>46145</v>
      </c>
      <c r="D10157" t="inlineStr">
        <is>
          <t>VÄSTERBOTTENS LÄN</t>
        </is>
      </c>
      <c r="E10157" t="inlineStr">
        <is>
          <t>SKELLEFTEÅ</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8539-2022</t>
        </is>
      </c>
      <c r="B10158" s="1" t="n">
        <v>44613</v>
      </c>
      <c r="C10158" s="1" t="n">
        <v>46145</v>
      </c>
      <c r="D10158" t="inlineStr">
        <is>
          <t>VÄSTERBOTTENS LÄN</t>
        </is>
      </c>
      <c r="E10158" t="inlineStr">
        <is>
          <t>SKELLEFTEÅ</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35437-2023</t>
        </is>
      </c>
      <c r="B10159" s="1" t="n">
        <v>45146</v>
      </c>
      <c r="C10159" s="1" t="n">
        <v>46145</v>
      </c>
      <c r="D10159" t="inlineStr">
        <is>
          <t>VÄSTERBOTTENS LÄN</t>
        </is>
      </c>
      <c r="E10159" t="inlineStr">
        <is>
          <t>SKELLEFTEÅ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36955-2023</t>
        </is>
      </c>
      <c r="B10160" s="1" t="n">
        <v>45154</v>
      </c>
      <c r="C10160" s="1" t="n">
        <v>46145</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36957-2023</t>
        </is>
      </c>
      <c r="B10161" s="1" t="n">
        <v>45154.92628472222</v>
      </c>
      <c r="C10161" s="1" t="n">
        <v>46145</v>
      </c>
      <c r="D10161" t="inlineStr">
        <is>
          <t>VÄSTERBOTTENS LÄN</t>
        </is>
      </c>
      <c r="E10161" t="inlineStr">
        <is>
          <t>VILHELMINA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18354-2026</t>
        </is>
      </c>
      <c r="B10162" s="1" t="n">
        <v>46126.57831018518</v>
      </c>
      <c r="C10162" s="1" t="n">
        <v>46145</v>
      </c>
      <c r="D10162" t="inlineStr">
        <is>
          <t>VÄSTERBOTTENS LÄN</t>
        </is>
      </c>
      <c r="E10162" t="inlineStr">
        <is>
          <t>SKELLEFTEÅ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18276-2026</t>
        </is>
      </c>
      <c r="B10163" s="1" t="n">
        <v>46126.40335648148</v>
      </c>
      <c r="C10163" s="1" t="n">
        <v>46145</v>
      </c>
      <c r="D10163" t="inlineStr">
        <is>
          <t>VÄSTERBOTTENS LÄN</t>
        </is>
      </c>
      <c r="E10163" t="inlineStr">
        <is>
          <t>ROBERTSFORS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18283-2026</t>
        </is>
      </c>
      <c r="B10164" s="1" t="n">
        <v>46126.42053240741</v>
      </c>
      <c r="C10164" s="1" t="n">
        <v>46145</v>
      </c>
      <c r="D10164" t="inlineStr">
        <is>
          <t>VÄSTERBOTTENS LÄN</t>
        </is>
      </c>
      <c r="E10164" t="inlineStr">
        <is>
          <t>NORSJÖ</t>
        </is>
      </c>
      <c r="F10164" t="inlineStr">
        <is>
          <t>Holmen skog AB</t>
        </is>
      </c>
      <c r="G10164" t="n">
        <v>16.6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52869-2022</t>
        </is>
      </c>
      <c r="B10165" s="1" t="n">
        <v>44875</v>
      </c>
      <c r="C10165" s="1" t="n">
        <v>46145</v>
      </c>
      <c r="D10165" t="inlineStr">
        <is>
          <t>VÄSTERBOTTENS LÄN</t>
        </is>
      </c>
      <c r="E10165" t="inlineStr">
        <is>
          <t>SKELLEFTEÅ</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18433-2026</t>
        </is>
      </c>
      <c r="B10166" s="1" t="n">
        <v>46127.33538194445</v>
      </c>
      <c r="C10166" s="1" t="n">
        <v>46145</v>
      </c>
      <c r="D10166" t="inlineStr">
        <is>
          <t>VÄSTERBOTTENS LÄN</t>
        </is>
      </c>
      <c r="E10166" t="inlineStr">
        <is>
          <t>SKELLEFTEÅ</t>
        </is>
      </c>
      <c r="G10166" t="n">
        <v>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56471-2023</t>
        </is>
      </c>
      <c r="B10167" s="1" t="n">
        <v>45243</v>
      </c>
      <c r="C10167" s="1" t="n">
        <v>46145</v>
      </c>
      <c r="D10167" t="inlineStr">
        <is>
          <t>VÄSTERBOTTENS LÄN</t>
        </is>
      </c>
      <c r="E10167" t="inlineStr">
        <is>
          <t>SKELLEFTEÅ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18589-2026</t>
        </is>
      </c>
      <c r="B10168" s="1" t="n">
        <v>46127.63484953704</v>
      </c>
      <c r="C10168" s="1" t="n">
        <v>46145</v>
      </c>
      <c r="D10168" t="inlineStr">
        <is>
          <t>VÄSTERBOTTENS LÄN</t>
        </is>
      </c>
      <c r="E10168" t="inlineStr">
        <is>
          <t>NORDMALING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18612-2026</t>
        </is>
      </c>
      <c r="B10169" s="1" t="n">
        <v>46127.66980324074</v>
      </c>
      <c r="C10169" s="1" t="n">
        <v>46145</v>
      </c>
      <c r="D10169" t="inlineStr">
        <is>
          <t>VÄSTERBOTTENS LÄN</t>
        </is>
      </c>
      <c r="E10169" t="inlineStr">
        <is>
          <t>SKELLEFTEÅ</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4478-2023</t>
        </is>
      </c>
      <c r="B10170" s="1" t="n">
        <v>44952</v>
      </c>
      <c r="C10170" s="1" t="n">
        <v>46145</v>
      </c>
      <c r="D10170" t="inlineStr">
        <is>
          <t>VÄSTERBOTTENS LÄN</t>
        </is>
      </c>
      <c r="E10170" t="inlineStr">
        <is>
          <t>ROBERTSFORS</t>
        </is>
      </c>
      <c r="G10170" t="n">
        <v>16.1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45807-2023</t>
        </is>
      </c>
      <c r="B10171" s="1" t="n">
        <v>45189</v>
      </c>
      <c r="C10171" s="1" t="n">
        <v>46145</v>
      </c>
      <c r="D10171" t="inlineStr">
        <is>
          <t>VÄSTERBOTTENS LÄN</t>
        </is>
      </c>
      <c r="E10171" t="inlineStr">
        <is>
          <t>MALÅ</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18279-2026</t>
        </is>
      </c>
      <c r="B10172" s="1" t="n">
        <v>46126.41038194444</v>
      </c>
      <c r="C10172" s="1" t="n">
        <v>46145</v>
      </c>
      <c r="D10172" t="inlineStr">
        <is>
          <t>VÄSTERBOTTENS LÄN</t>
        </is>
      </c>
      <c r="E10172" t="inlineStr">
        <is>
          <t>SKELLEFTEÅ</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25170-2024</t>
        </is>
      </c>
      <c r="B10173" s="1" t="n">
        <v>45462</v>
      </c>
      <c r="C10173" s="1" t="n">
        <v>46145</v>
      </c>
      <c r="D10173" t="inlineStr">
        <is>
          <t>VÄSTERBOTTENS LÄN</t>
        </is>
      </c>
      <c r="E10173" t="inlineStr">
        <is>
          <t>LYCKSELE</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11579-2026</t>
        </is>
      </c>
      <c r="B10174" s="1" t="n">
        <v>46084.39668981481</v>
      </c>
      <c r="C10174" s="1" t="n">
        <v>46145</v>
      </c>
      <c r="D10174" t="inlineStr">
        <is>
          <t>VÄSTERBOTTENS LÄN</t>
        </is>
      </c>
      <c r="E10174" t="inlineStr">
        <is>
          <t>BJURHOLM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34546-2024</t>
        </is>
      </c>
      <c r="B10175" s="1" t="n">
        <v>45525.78375</v>
      </c>
      <c r="C10175" s="1" t="n">
        <v>46145</v>
      </c>
      <c r="D10175" t="inlineStr">
        <is>
          <t>VÄSTERBOTTENS LÄN</t>
        </is>
      </c>
      <c r="E10175" t="inlineStr">
        <is>
          <t>NORSJÖ</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11595-2026</t>
        </is>
      </c>
      <c r="B10176" s="1" t="n">
        <v>46084.42113425926</v>
      </c>
      <c r="C10176" s="1" t="n">
        <v>46145</v>
      </c>
      <c r="D10176" t="inlineStr">
        <is>
          <t>VÄSTERBOTTENS LÄN</t>
        </is>
      </c>
      <c r="E10176" t="inlineStr">
        <is>
          <t>SKELLEFTEÅ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36851-2023</t>
        </is>
      </c>
      <c r="B10177" s="1" t="n">
        <v>45154.53600694444</v>
      </c>
      <c r="C10177" s="1" t="n">
        <v>46145</v>
      </c>
      <c r="D10177" t="inlineStr">
        <is>
          <t>VÄSTERBOTTENS LÄN</t>
        </is>
      </c>
      <c r="E10177" t="inlineStr">
        <is>
          <t>LYCKSELE</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37443-2023</t>
        </is>
      </c>
      <c r="B10178" s="1" t="n">
        <v>45147</v>
      </c>
      <c r="C10178" s="1" t="n">
        <v>46145</v>
      </c>
      <c r="D10178" t="inlineStr">
        <is>
          <t>VÄSTERBOTTENS LÄN</t>
        </is>
      </c>
      <c r="E10178" t="inlineStr">
        <is>
          <t>UMEÅ</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18339-2026</t>
        </is>
      </c>
      <c r="B10179" s="1" t="n">
        <v>46126</v>
      </c>
      <c r="C10179" s="1" t="n">
        <v>46145</v>
      </c>
      <c r="D10179" t="inlineStr">
        <is>
          <t>VÄSTERBOTTENS LÄN</t>
        </is>
      </c>
      <c r="E10179" t="inlineStr">
        <is>
          <t>SKELLEFTEÅ</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18347-2026</t>
        </is>
      </c>
      <c r="B10180" s="1" t="n">
        <v>46126.56467592593</v>
      </c>
      <c r="C10180" s="1" t="n">
        <v>46145</v>
      </c>
      <c r="D10180" t="inlineStr">
        <is>
          <t>VÄSTERBOTTENS LÄN</t>
        </is>
      </c>
      <c r="E10180" t="inlineStr">
        <is>
          <t>SKELLEFTEÅ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37491-2023</t>
        </is>
      </c>
      <c r="B10181" s="1" t="n">
        <v>45156</v>
      </c>
      <c r="C10181" s="1" t="n">
        <v>46145</v>
      </c>
      <c r="D10181" t="inlineStr">
        <is>
          <t>VÄSTERBOTTENS LÄN</t>
        </is>
      </c>
      <c r="E10181" t="inlineStr">
        <is>
          <t>LYCKSELE</t>
        </is>
      </c>
      <c r="F10181" t="inlineStr">
        <is>
          <t>SCA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66500-2021</t>
        </is>
      </c>
      <c r="B10182" s="1" t="n">
        <v>44519.3160300926</v>
      </c>
      <c r="C10182" s="1" t="n">
        <v>46145</v>
      </c>
      <c r="D10182" t="inlineStr">
        <is>
          <t>VÄSTERBOTTENS LÄN</t>
        </is>
      </c>
      <c r="E10182" t="inlineStr">
        <is>
          <t>SKELLEFTEÅ</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18430-2026</t>
        </is>
      </c>
      <c r="B10183" s="1" t="n">
        <v>46127.33053240741</v>
      </c>
      <c r="C10183" s="1" t="n">
        <v>46145</v>
      </c>
      <c r="D10183" t="inlineStr">
        <is>
          <t>VÄSTERBOTTENS LÄN</t>
        </is>
      </c>
      <c r="E10183" t="inlineStr">
        <is>
          <t>SKELLEFTEÅ</t>
        </is>
      </c>
      <c r="G10183" t="n">
        <v>8.800000000000001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58472-2024</t>
        </is>
      </c>
      <c r="B10184" s="1" t="n">
        <v>45635</v>
      </c>
      <c r="C10184" s="1" t="n">
        <v>46145</v>
      </c>
      <c r="D10184" t="inlineStr">
        <is>
          <t>VÄSTERBOTTENS LÄN</t>
        </is>
      </c>
      <c r="E10184" t="inlineStr">
        <is>
          <t>ÅSELE</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51710-2023</t>
        </is>
      </c>
      <c r="B10185" s="1" t="n">
        <v>45222</v>
      </c>
      <c r="C10185" s="1" t="n">
        <v>46145</v>
      </c>
      <c r="D10185" t="inlineStr">
        <is>
          <t>VÄSTERBOTTENS LÄN</t>
        </is>
      </c>
      <c r="E10185" t="inlineStr">
        <is>
          <t>MALÅ</t>
        </is>
      </c>
      <c r="F10185" t="inlineStr">
        <is>
          <t>Sveaskog</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4222-2025</t>
        </is>
      </c>
      <c r="B10186" s="1" t="n">
        <v>45685</v>
      </c>
      <c r="C10186" s="1" t="n">
        <v>46145</v>
      </c>
      <c r="D10186" t="inlineStr">
        <is>
          <t>VÄSTERBOTTENS LÄN</t>
        </is>
      </c>
      <c r="E10186" t="inlineStr">
        <is>
          <t>VINDELN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56415-2022</t>
        </is>
      </c>
      <c r="B10187" s="1" t="n">
        <v>44890</v>
      </c>
      <c r="C10187" s="1" t="n">
        <v>46145</v>
      </c>
      <c r="D10187" t="inlineStr">
        <is>
          <t>VÄSTERBOTTENS LÄN</t>
        </is>
      </c>
      <c r="E10187" t="inlineStr">
        <is>
          <t>SORSELE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58821-2023</t>
        </is>
      </c>
      <c r="B10188" s="1" t="n">
        <v>45247</v>
      </c>
      <c r="C10188" s="1" t="n">
        <v>46145</v>
      </c>
      <c r="D10188" t="inlineStr">
        <is>
          <t>VÄSTERBOTTENS LÄN</t>
        </is>
      </c>
      <c r="E10188" t="inlineStr">
        <is>
          <t>SKELLEFTEÅ</t>
        </is>
      </c>
      <c r="G10188" t="n">
        <v>15.6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11981-2026</t>
        </is>
      </c>
      <c r="B10189" s="1" t="n">
        <v>46085.64291666666</v>
      </c>
      <c r="C10189" s="1" t="n">
        <v>46145</v>
      </c>
      <c r="D10189" t="inlineStr">
        <is>
          <t>VÄSTERBOTTENS LÄN</t>
        </is>
      </c>
      <c r="E10189" t="inlineStr">
        <is>
          <t>SKELLEFTEÅ</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18233-2026</t>
        </is>
      </c>
      <c r="B10190" s="1" t="n">
        <v>46126.34219907408</v>
      </c>
      <c r="C10190" s="1" t="n">
        <v>46145</v>
      </c>
      <c r="D10190" t="inlineStr">
        <is>
          <t>VÄSTERBOTTENS LÄN</t>
        </is>
      </c>
      <c r="E10190" t="inlineStr">
        <is>
          <t>VÄNNÄS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24241-2022</t>
        </is>
      </c>
      <c r="B10191" s="1" t="n">
        <v>44725</v>
      </c>
      <c r="C10191" s="1" t="n">
        <v>46145</v>
      </c>
      <c r="D10191" t="inlineStr">
        <is>
          <t>VÄSTERBOTTENS LÄN</t>
        </is>
      </c>
      <c r="E10191" t="inlineStr">
        <is>
          <t>ROBERTSFORS</t>
        </is>
      </c>
      <c r="F10191" t="inlineStr">
        <is>
          <t>Holmen skog AB</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14096-2022</t>
        </is>
      </c>
      <c r="B10192" s="1" t="n">
        <v>44651</v>
      </c>
      <c r="C10192" s="1" t="n">
        <v>46145</v>
      </c>
      <c r="D10192" t="inlineStr">
        <is>
          <t>VÄSTERBOTTENS LÄN</t>
        </is>
      </c>
      <c r="E10192" t="inlineStr">
        <is>
          <t>SKELLEFTEÅ</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45113.94958333333</v>
      </c>
      <c r="C10193" s="1" t="n">
        <v>46145</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26038-2022</t>
        </is>
      </c>
      <c r="B10194" s="1" t="n">
        <v>44734.58537037037</v>
      </c>
      <c r="C10194" s="1" t="n">
        <v>46145</v>
      </c>
      <c r="D10194" t="inlineStr">
        <is>
          <t>VÄSTERBOTTENS LÄN</t>
        </is>
      </c>
      <c r="E10194" t="inlineStr">
        <is>
          <t>ROBERTSFORS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18476-2026</t>
        </is>
      </c>
      <c r="B10195" s="1" t="n">
        <v>46127.43947916666</v>
      </c>
      <c r="C10195" s="1" t="n">
        <v>46145</v>
      </c>
      <c r="D10195" t="inlineStr">
        <is>
          <t>VÄSTERBOTTENS LÄN</t>
        </is>
      </c>
      <c r="E10195" t="inlineStr">
        <is>
          <t>SKELLEFTEÅ</t>
        </is>
      </c>
      <c r="G10195" t="n">
        <v>11.7</v>
      </c>
      <c r="H10195" t="n">
        <v>0</v>
      </c>
      <c r="I10195" t="n">
        <v>0</v>
      </c>
      <c r="J10195" t="n">
        <v>0</v>
      </c>
      <c r="K10195" t="n">
        <v>0</v>
      </c>
      <c r="L10195" t="n">
        <v>0</v>
      </c>
      <c r="M10195" t="n">
        <v>0</v>
      </c>
      <c r="N10195" t="n">
        <v>0</v>
      </c>
      <c r="O10195" t="n">
        <v>0</v>
      </c>
      <c r="P10195" t="n">
        <v>0</v>
      </c>
      <c r="Q10195" t="n">
        <v>0</v>
      </c>
      <c r="R10195" s="2" t="inlineStr"/>
      <c r="U10195">
        <f>HYPERLINK("https://klasma.github.io/Logging_2482/knärot/A 18476-2026 karta knärot.png", "A 18476-2026")</f>
        <v/>
      </c>
      <c r="V10195">
        <f>HYPERLINK("https://klasma.github.io/Logging_2482/klagomål/A 18476-2026 FSC-klagomål.docx", "A 18476-2026")</f>
        <v/>
      </c>
      <c r="W10195">
        <f>HYPERLINK("https://klasma.github.io/Logging_2482/klagomålsmail/A 18476-2026 FSC-klagomål mail.docx", "A 18476-2026")</f>
        <v/>
      </c>
      <c r="X10195">
        <f>HYPERLINK("https://klasma.github.io/Logging_2482/tillsyn/A 18476-2026 tillsynsbegäran.docx", "A 18476-2026")</f>
        <v/>
      </c>
      <c r="Y10195">
        <f>HYPERLINK("https://klasma.github.io/Logging_2482/tillsynsmail/A 18476-2026 tillsynsbegäran mail.docx", "A 18476-2026")</f>
        <v/>
      </c>
    </row>
    <row r="10196" ht="15" customHeight="1">
      <c r="A10196" t="inlineStr">
        <is>
          <t>A 18478-2026</t>
        </is>
      </c>
      <c r="B10196" s="1" t="n">
        <v>46127.44158564815</v>
      </c>
      <c r="C10196" s="1" t="n">
        <v>46145</v>
      </c>
      <c r="D10196" t="inlineStr">
        <is>
          <t>VÄSTERBOTTENS LÄN</t>
        </is>
      </c>
      <c r="E10196" t="inlineStr">
        <is>
          <t>MALÅ</t>
        </is>
      </c>
      <c r="G10196" t="n">
        <v>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50018-2024</t>
        </is>
      </c>
      <c r="B10197" s="1" t="n">
        <v>45599</v>
      </c>
      <c r="C10197" s="1" t="n">
        <v>46145</v>
      </c>
      <c r="D10197" t="inlineStr">
        <is>
          <t>VÄSTERBOTTENS LÄN</t>
        </is>
      </c>
      <c r="E10197" t="inlineStr">
        <is>
          <t>LYCKSELE</t>
        </is>
      </c>
      <c r="F10197" t="inlineStr">
        <is>
          <t>Sveaskog</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34986-2023</t>
        </is>
      </c>
      <c r="B10198" s="1" t="n">
        <v>45142</v>
      </c>
      <c r="C10198" s="1" t="n">
        <v>46145</v>
      </c>
      <c r="D10198" t="inlineStr">
        <is>
          <t>VÄSTERBOTTENS LÄN</t>
        </is>
      </c>
      <c r="E10198" t="inlineStr">
        <is>
          <t>SKELLEFTEÅ</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9377-2025</t>
        </is>
      </c>
      <c r="B10199" s="1" t="n">
        <v>45715</v>
      </c>
      <c r="C10199" s="1" t="n">
        <v>46145</v>
      </c>
      <c r="D10199" t="inlineStr">
        <is>
          <t>VÄSTERBOTTENS LÄN</t>
        </is>
      </c>
      <c r="E10199" t="inlineStr">
        <is>
          <t>SORSELE</t>
        </is>
      </c>
      <c r="G10199" t="n">
        <v>24.4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2073-2024</t>
        </is>
      </c>
      <c r="B10200" s="1" t="n">
        <v>45309</v>
      </c>
      <c r="C10200" s="1" t="n">
        <v>46145</v>
      </c>
      <c r="D10200" t="inlineStr">
        <is>
          <t>VÄSTERBOTTENS LÄN</t>
        </is>
      </c>
      <c r="E10200" t="inlineStr">
        <is>
          <t>UMEÅ</t>
        </is>
      </c>
      <c r="F10200" t="inlineStr">
        <is>
          <t>Sveaskog</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9377-2025</t>
        </is>
      </c>
      <c r="B10201" s="1" t="n">
        <v>45715</v>
      </c>
      <c r="C10201" s="1" t="n">
        <v>46145</v>
      </c>
      <c r="D10201" t="inlineStr">
        <is>
          <t>VÄSTERBOTTENS LÄN</t>
        </is>
      </c>
      <c r="E10201" t="inlineStr">
        <is>
          <t>SORSELE</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8851-2024</t>
        </is>
      </c>
      <c r="B10202" s="1" t="n">
        <v>45356</v>
      </c>
      <c r="C10202" s="1" t="n">
        <v>46145</v>
      </c>
      <c r="D10202" t="inlineStr">
        <is>
          <t>VÄSTERBOTTENS LÄN</t>
        </is>
      </c>
      <c r="E10202" t="inlineStr">
        <is>
          <t>ÅSELE</t>
        </is>
      </c>
      <c r="F10202" t="inlineStr">
        <is>
          <t>Kommuner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38809-2023</t>
        </is>
      </c>
      <c r="B10203" s="1" t="n">
        <v>45161</v>
      </c>
      <c r="C10203" s="1" t="n">
        <v>46145</v>
      </c>
      <c r="D10203" t="inlineStr">
        <is>
          <t>VÄSTERBOTTENS LÄN</t>
        </is>
      </c>
      <c r="E10203" t="inlineStr">
        <is>
          <t>SKELLEFTEÅ</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18552-2026</t>
        </is>
      </c>
      <c r="B10204" s="1" t="n">
        <v>46127.57398148148</v>
      </c>
      <c r="C10204" s="1" t="n">
        <v>46145</v>
      </c>
      <c r="D10204" t="inlineStr">
        <is>
          <t>VÄSTERBOTTENS LÄN</t>
        </is>
      </c>
      <c r="E10204" t="inlineStr">
        <is>
          <t>UMEÅ</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18350-2026</t>
        </is>
      </c>
      <c r="B10205" s="1" t="n">
        <v>46126.56982638889</v>
      </c>
      <c r="C10205" s="1" t="n">
        <v>46145</v>
      </c>
      <c r="D10205" t="inlineStr">
        <is>
          <t>VÄSTERBOTTENS LÄN</t>
        </is>
      </c>
      <c r="E10205" t="inlineStr">
        <is>
          <t>SKELLEFTEÅ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18356-2026</t>
        </is>
      </c>
      <c r="B10206" s="1" t="n">
        <v>46126.58796296296</v>
      </c>
      <c r="C10206" s="1" t="n">
        <v>46145</v>
      </c>
      <c r="D10206" t="inlineStr">
        <is>
          <t>VÄSTERBOTTENS LÄN</t>
        </is>
      </c>
      <c r="E10206" t="inlineStr">
        <is>
          <t>UMEÅ</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65478-2021</t>
        </is>
      </c>
      <c r="B10207" s="1" t="n">
        <v>44516.34648148148</v>
      </c>
      <c r="C10207" s="1" t="n">
        <v>46145</v>
      </c>
      <c r="D10207" t="inlineStr">
        <is>
          <t>VÄSTERBOTTENS LÄN</t>
        </is>
      </c>
      <c r="E10207" t="inlineStr">
        <is>
          <t>ÅSELE</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59653-2024</t>
        </is>
      </c>
      <c r="B10208" s="1" t="n">
        <v>45639.34640046296</v>
      </c>
      <c r="C10208" s="1" t="n">
        <v>46145</v>
      </c>
      <c r="D10208" t="inlineStr">
        <is>
          <t>VÄSTERBOTTENS LÄN</t>
        </is>
      </c>
      <c r="E10208" t="inlineStr">
        <is>
          <t>DOROTEA</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11687-2026</t>
        </is>
      </c>
      <c r="B10209" s="1" t="n">
        <v>46084.58539351852</v>
      </c>
      <c r="C10209" s="1" t="n">
        <v>46145</v>
      </c>
      <c r="D10209" t="inlineStr">
        <is>
          <t>VÄSTERBOTTENS LÄN</t>
        </is>
      </c>
      <c r="E10209" t="inlineStr">
        <is>
          <t>BJURHOLM</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11704-2026</t>
        </is>
      </c>
      <c r="B10210" s="1" t="n">
        <v>46084.6153125</v>
      </c>
      <c r="C10210" s="1" t="n">
        <v>46145</v>
      </c>
      <c r="D10210" t="inlineStr">
        <is>
          <t>VÄSTERBOTTENS LÄN</t>
        </is>
      </c>
      <c r="E10210" t="inlineStr">
        <is>
          <t>MALÅ</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10357-2023</t>
        </is>
      </c>
      <c r="B10211" s="1" t="n">
        <v>44980</v>
      </c>
      <c r="C10211" s="1" t="n">
        <v>46145</v>
      </c>
      <c r="D10211" t="inlineStr">
        <is>
          <t>VÄSTERBOTTENS LÄN</t>
        </is>
      </c>
      <c r="E10211" t="inlineStr">
        <is>
          <t>UMEÅ</t>
        </is>
      </c>
      <c r="F10211" t="inlineStr">
        <is>
          <t>Kommuner</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5490-2023</t>
        </is>
      </c>
      <c r="B10212" s="1" t="n">
        <v>44957</v>
      </c>
      <c r="C10212" s="1" t="n">
        <v>46145</v>
      </c>
      <c r="D10212" t="inlineStr">
        <is>
          <t>VÄSTERBOTTENS LÄN</t>
        </is>
      </c>
      <c r="E10212" t="inlineStr">
        <is>
          <t>SKELLEFTEÅ</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59690-2024</t>
        </is>
      </c>
      <c r="B10213" s="1" t="n">
        <v>45639.40667824074</v>
      </c>
      <c r="C10213" s="1" t="n">
        <v>46145</v>
      </c>
      <c r="D10213" t="inlineStr">
        <is>
          <t>VÄSTERBOTTENS LÄN</t>
        </is>
      </c>
      <c r="E10213" t="inlineStr">
        <is>
          <t>ÅSELE</t>
        </is>
      </c>
      <c r="F10213" t="inlineStr">
        <is>
          <t>SCA</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11689-2026</t>
        </is>
      </c>
      <c r="B10214" s="1" t="n">
        <v>46084</v>
      </c>
      <c r="C10214" s="1" t="n">
        <v>46145</v>
      </c>
      <c r="D10214" t="inlineStr">
        <is>
          <t>VÄSTERBOTTENS LÄN</t>
        </is>
      </c>
      <c r="E10214" t="inlineStr">
        <is>
          <t>BJURHOLM</t>
        </is>
      </c>
      <c r="G10214" t="n">
        <v>3.9</v>
      </c>
      <c r="H10214" t="n">
        <v>0</v>
      </c>
      <c r="I10214" t="n">
        <v>0</v>
      </c>
      <c r="J10214" t="n">
        <v>0</v>
      </c>
      <c r="K10214" t="n">
        <v>0</v>
      </c>
      <c r="L10214" t="n">
        <v>0</v>
      </c>
      <c r="M10214" t="n">
        <v>0</v>
      </c>
      <c r="N10214" t="n">
        <v>0</v>
      </c>
      <c r="O10214" t="n">
        <v>0</v>
      </c>
      <c r="P10214" t="n">
        <v>0</v>
      </c>
      <c r="Q10214" t="n">
        <v>0</v>
      </c>
      <c r="R10214" s="2" t="inlineStr"/>
      <c r="U10214">
        <f>HYPERLINK("https://klasma.github.io/Logging_2403/knärot/A 11689-2026 karta knärot.png", "A 11689-2026")</f>
        <v/>
      </c>
      <c r="V10214">
        <f>HYPERLINK("https://klasma.github.io/Logging_2403/klagomål/A 11689-2026 FSC-klagomål.docx", "A 11689-2026")</f>
        <v/>
      </c>
      <c r="W10214">
        <f>HYPERLINK("https://klasma.github.io/Logging_2403/klagomålsmail/A 11689-2026 FSC-klagomål mail.docx", "A 11689-2026")</f>
        <v/>
      </c>
      <c r="X10214">
        <f>HYPERLINK("https://klasma.github.io/Logging_2403/tillsyn/A 11689-2026 tillsynsbegäran.docx", "A 11689-2026")</f>
        <v/>
      </c>
      <c r="Y10214">
        <f>HYPERLINK("https://klasma.github.io/Logging_2403/tillsynsmail/A 11689-2026 tillsynsbegäran mail.docx", "A 11689-2026")</f>
        <v/>
      </c>
    </row>
    <row r="10215" ht="15" customHeight="1">
      <c r="A10215" t="inlineStr">
        <is>
          <t>A 11690-2026</t>
        </is>
      </c>
      <c r="B10215" s="1" t="n">
        <v>46084.59228009259</v>
      </c>
      <c r="C10215" s="1" t="n">
        <v>46145</v>
      </c>
      <c r="D10215" t="inlineStr">
        <is>
          <t>VÄSTERBOTTENS LÄN</t>
        </is>
      </c>
      <c r="E10215" t="inlineStr">
        <is>
          <t>ÅSELE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538-2025</t>
        </is>
      </c>
      <c r="B10216" s="1" t="n">
        <v>45660</v>
      </c>
      <c r="C10216" s="1" t="n">
        <v>46145</v>
      </c>
      <c r="D10216" t="inlineStr">
        <is>
          <t>VÄSTERBOTTENS LÄN</t>
        </is>
      </c>
      <c r="E10216" t="inlineStr">
        <is>
          <t>MALÅ</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549-2025</t>
        </is>
      </c>
      <c r="B10217" s="1" t="n">
        <v>45660</v>
      </c>
      <c r="C10217" s="1" t="n">
        <v>46145</v>
      </c>
      <c r="D10217" t="inlineStr">
        <is>
          <t>VÄSTERBOTTENS LÄN</t>
        </is>
      </c>
      <c r="E10217" t="inlineStr">
        <is>
          <t>MALÅ</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11701-2026</t>
        </is>
      </c>
      <c r="B10218" s="1" t="n">
        <v>46084.61280092593</v>
      </c>
      <c r="C10218" s="1" t="n">
        <v>46145</v>
      </c>
      <c r="D10218" t="inlineStr">
        <is>
          <t>VÄSTERBOTTENS LÄN</t>
        </is>
      </c>
      <c r="E10218" t="inlineStr">
        <is>
          <t>VINDELN</t>
        </is>
      </c>
      <c r="G10218" t="n">
        <v>15.9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2260-2025</t>
        </is>
      </c>
      <c r="B10219" s="1" t="n">
        <v>45673.51790509259</v>
      </c>
      <c r="C10219" s="1" t="n">
        <v>46145</v>
      </c>
      <c r="D10219" t="inlineStr">
        <is>
          <t>VÄSTERBOTTENS LÄN</t>
        </is>
      </c>
      <c r="E10219" t="inlineStr">
        <is>
          <t>NORDMALING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26197-2022</t>
        </is>
      </c>
      <c r="B10220" s="1" t="n">
        <v>44735</v>
      </c>
      <c r="C10220" s="1" t="n">
        <v>46145</v>
      </c>
      <c r="D10220" t="inlineStr">
        <is>
          <t>VÄSTERBOTTENS LÄN</t>
        </is>
      </c>
      <c r="E10220" t="inlineStr">
        <is>
          <t>NORDMALING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18448-2023</t>
        </is>
      </c>
      <c r="B10221" s="1" t="n">
        <v>45042</v>
      </c>
      <c r="C10221" s="1" t="n">
        <v>46145</v>
      </c>
      <c r="D10221" t="inlineStr">
        <is>
          <t>VÄSTERBOTTENS LÄN</t>
        </is>
      </c>
      <c r="E10221" t="inlineStr">
        <is>
          <t>UMEÅ</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4956-2025</t>
        </is>
      </c>
      <c r="B10222" s="1" t="n">
        <v>45689.57166666666</v>
      </c>
      <c r="C10222" s="1" t="n">
        <v>46145</v>
      </c>
      <c r="D10222" t="inlineStr">
        <is>
          <t>VÄSTERBOTTENS LÄN</t>
        </is>
      </c>
      <c r="E10222" t="inlineStr">
        <is>
          <t>SKELLEFTEÅ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26034-2025</t>
        </is>
      </c>
      <c r="B10223" s="1" t="n">
        <v>45804</v>
      </c>
      <c r="C10223" s="1" t="n">
        <v>46145</v>
      </c>
      <c r="D10223" t="inlineStr">
        <is>
          <t>VÄSTERBOTTENS LÄN</t>
        </is>
      </c>
      <c r="E10223" t="inlineStr">
        <is>
          <t>SORSELE</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26038-2025</t>
        </is>
      </c>
      <c r="B10224" s="1" t="n">
        <v>45804</v>
      </c>
      <c r="C10224" s="1" t="n">
        <v>46145</v>
      </c>
      <c r="D10224" t="inlineStr">
        <is>
          <t>VÄSTERBOTTENS LÄN</t>
        </is>
      </c>
      <c r="E10224" t="inlineStr">
        <is>
          <t>SORSELE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59783-2024</t>
        </is>
      </c>
      <c r="B10225" s="1" t="n">
        <v>45639.57982638889</v>
      </c>
      <c r="C10225" s="1" t="n">
        <v>46145</v>
      </c>
      <c r="D10225" t="inlineStr">
        <is>
          <t>VÄSTERBOTTENS LÄN</t>
        </is>
      </c>
      <c r="E10225" t="inlineStr">
        <is>
          <t>SKELLEFTEÅ</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18581-2026</t>
        </is>
      </c>
      <c r="B10226" s="1" t="n">
        <v>46127.61515046296</v>
      </c>
      <c r="C10226" s="1" t="n">
        <v>46145</v>
      </c>
      <c r="D10226" t="inlineStr">
        <is>
          <t>VÄSTERBOTTENS LÄN</t>
        </is>
      </c>
      <c r="E10226" t="inlineStr">
        <is>
          <t>LYCKSELE</t>
        </is>
      </c>
      <c r="F10226" t="inlineStr">
        <is>
          <t>SCA</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54384-2021</t>
        </is>
      </c>
      <c r="B10227" s="1" t="n">
        <v>44473</v>
      </c>
      <c r="C10227" s="1" t="n">
        <v>46145</v>
      </c>
      <c r="D10227" t="inlineStr">
        <is>
          <t>VÄSTERBOTTENS LÄN</t>
        </is>
      </c>
      <c r="E10227" t="inlineStr">
        <is>
          <t>SKELLEFTEÅ</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18495-2026</t>
        </is>
      </c>
      <c r="B10228" s="1" t="n">
        <v>46127.46178240741</v>
      </c>
      <c r="C10228" s="1" t="n">
        <v>46145</v>
      </c>
      <c r="D10228" t="inlineStr">
        <is>
          <t>VÄSTERBOTTENS LÄN</t>
        </is>
      </c>
      <c r="E10228" t="inlineStr">
        <is>
          <t>MALÅ</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11753-2026</t>
        </is>
      </c>
      <c r="B10229" s="1" t="n">
        <v>46084.67715277777</v>
      </c>
      <c r="C10229" s="1" t="n">
        <v>46145</v>
      </c>
      <c r="D10229" t="inlineStr">
        <is>
          <t>VÄSTERBOTTENS LÄN</t>
        </is>
      </c>
      <c r="E10229" t="inlineStr">
        <is>
          <t>VINDELN</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9315-2023</t>
        </is>
      </c>
      <c r="B10230" s="1" t="n">
        <v>44980.68075231482</v>
      </c>
      <c r="C10230" s="1" t="n">
        <v>46145</v>
      </c>
      <c r="D10230" t="inlineStr">
        <is>
          <t>VÄSTERBOTTENS LÄN</t>
        </is>
      </c>
      <c r="E10230" t="inlineStr">
        <is>
          <t>ROBERTSFORS</t>
        </is>
      </c>
      <c r="F10230" t="inlineStr">
        <is>
          <t>Holmen skog AB</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11834-2026</t>
        </is>
      </c>
      <c r="B10231" s="1" t="n">
        <v>46085.43</v>
      </c>
      <c r="C10231" s="1" t="n">
        <v>46145</v>
      </c>
      <c r="D10231" t="inlineStr">
        <is>
          <t>VÄSTERBOTTENS LÄN</t>
        </is>
      </c>
      <c r="E10231" t="inlineStr">
        <is>
          <t>VINDELN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12784-2023</t>
        </is>
      </c>
      <c r="B10232" s="1" t="n">
        <v>45000</v>
      </c>
      <c r="C10232" s="1" t="n">
        <v>46145</v>
      </c>
      <c r="D10232" t="inlineStr">
        <is>
          <t>VÄSTERBOTTENS LÄN</t>
        </is>
      </c>
      <c r="E10232" t="inlineStr">
        <is>
          <t>VILHELMINA</t>
        </is>
      </c>
      <c r="G10232" t="n">
        <v>18.6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12789-2023</t>
        </is>
      </c>
      <c r="B10233" s="1" t="n">
        <v>45000</v>
      </c>
      <c r="C10233" s="1" t="n">
        <v>46145</v>
      </c>
      <c r="D10233" t="inlineStr">
        <is>
          <t>VÄSTERBOTTENS LÄN</t>
        </is>
      </c>
      <c r="E10233" t="inlineStr">
        <is>
          <t>MALÅ</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26036-2025</t>
        </is>
      </c>
      <c r="B10234" s="1" t="n">
        <v>45804</v>
      </c>
      <c r="C10234" s="1" t="n">
        <v>46145</v>
      </c>
      <c r="D10234" t="inlineStr">
        <is>
          <t>VÄSTERBOTTENS LÄN</t>
        </is>
      </c>
      <c r="E10234" t="inlineStr">
        <is>
          <t>SORSELE</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65011-2023</t>
        </is>
      </c>
      <c r="B10235" s="1" t="n">
        <v>45287.38302083333</v>
      </c>
      <c r="C10235" s="1" t="n">
        <v>46145</v>
      </c>
      <c r="D10235" t="inlineStr">
        <is>
          <t>VÄSTERBOTTENS LÄN</t>
        </is>
      </c>
      <c r="E10235" t="inlineStr">
        <is>
          <t>SKELLEFTEÅ</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54841-2023</t>
        </is>
      </c>
      <c r="B10236" s="1" t="n">
        <v>45236</v>
      </c>
      <c r="C10236" s="1" t="n">
        <v>46145</v>
      </c>
      <c r="D10236" t="inlineStr">
        <is>
          <t>VÄSTERBOTTENS LÄN</t>
        </is>
      </c>
      <c r="E10236" t="inlineStr">
        <is>
          <t>MALÅ</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17783-2023</t>
        </is>
      </c>
      <c r="B10237" s="1" t="n">
        <v>45036</v>
      </c>
      <c r="C10237" s="1" t="n">
        <v>46145</v>
      </c>
      <c r="D10237" t="inlineStr">
        <is>
          <t>VÄSTERBOTTENS LÄN</t>
        </is>
      </c>
      <c r="E10237" t="inlineStr">
        <is>
          <t>DOROTEA</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18310-2026</t>
        </is>
      </c>
      <c r="B10238" s="1" t="n">
        <v>46126.46927083333</v>
      </c>
      <c r="C10238" s="1" t="n">
        <v>46145</v>
      </c>
      <c r="D10238" t="inlineStr">
        <is>
          <t>VÄSTERBOTTENS LÄN</t>
        </is>
      </c>
      <c r="E10238" t="inlineStr">
        <is>
          <t>DOROTEA</t>
        </is>
      </c>
      <c r="F10238" t="inlineStr">
        <is>
          <t>SCA</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17367-2023</t>
        </is>
      </c>
      <c r="B10239" s="1" t="n">
        <v>45034</v>
      </c>
      <c r="C10239" s="1" t="n">
        <v>46145</v>
      </c>
      <c r="D10239" t="inlineStr">
        <is>
          <t>VÄSTERBOTTENS LÄN</t>
        </is>
      </c>
      <c r="E10239" t="inlineStr">
        <is>
          <t>SORSELE</t>
        </is>
      </c>
      <c r="F10239" t="inlineStr">
        <is>
          <t>Övriga statliga verk och myndigheter</t>
        </is>
      </c>
      <c r="G10239" t="n">
        <v>132.9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16183-2023</t>
        </is>
      </c>
      <c r="B10240" s="1" t="n">
        <v>45027</v>
      </c>
      <c r="C10240" s="1" t="n">
        <v>46145</v>
      </c>
      <c r="D10240" t="inlineStr">
        <is>
          <t>VÄSTERBOTTENS LÄN</t>
        </is>
      </c>
      <c r="E10240" t="inlineStr">
        <is>
          <t>SKELLEFTEÅ</t>
        </is>
      </c>
      <c r="G10240" t="n">
        <v>24.8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11995-2026</t>
        </is>
      </c>
      <c r="B10241" s="1" t="n">
        <v>46085.65921296296</v>
      </c>
      <c r="C10241" s="1" t="n">
        <v>46145</v>
      </c>
      <c r="D10241" t="inlineStr">
        <is>
          <t>VÄSTERBOTTENS LÄN</t>
        </is>
      </c>
      <c r="E10241" t="inlineStr">
        <is>
          <t>STORUMAN</t>
        </is>
      </c>
      <c r="F10241" t="inlineStr">
        <is>
          <t>Holmen skog AB</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33283-2021</t>
        </is>
      </c>
      <c r="B10242" s="1" t="n">
        <v>44377.38222222222</v>
      </c>
      <c r="C10242" s="1" t="n">
        <v>46145</v>
      </c>
      <c r="D10242" t="inlineStr">
        <is>
          <t>VÄSTERBOTTENS LÄN</t>
        </is>
      </c>
      <c r="E10242" t="inlineStr">
        <is>
          <t>SKELLEFTEÅ</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31699-2024</t>
        </is>
      </c>
      <c r="B10243" s="1" t="n">
        <v>45508.61318287037</v>
      </c>
      <c r="C10243" s="1" t="n">
        <v>46145</v>
      </c>
      <c r="D10243" t="inlineStr">
        <is>
          <t>VÄSTERBOTTENS LÄN</t>
        </is>
      </c>
      <c r="E10243" t="inlineStr">
        <is>
          <t>VÄNNÄS</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11837-2026</t>
        </is>
      </c>
      <c r="B10244" s="1" t="n">
        <v>46085.43328703703</v>
      </c>
      <c r="C10244" s="1" t="n">
        <v>46145</v>
      </c>
      <c r="D10244" t="inlineStr">
        <is>
          <t>VÄSTERBOTTENS LÄN</t>
        </is>
      </c>
      <c r="E10244" t="inlineStr">
        <is>
          <t>SKELLEFTEÅ</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11870-2026</t>
        </is>
      </c>
      <c r="B10245" s="1" t="n">
        <v>46085.49005787037</v>
      </c>
      <c r="C10245" s="1" t="n">
        <v>46145</v>
      </c>
      <c r="D10245" t="inlineStr">
        <is>
          <t>VÄSTERBOTTENS LÄN</t>
        </is>
      </c>
      <c r="E10245" t="inlineStr">
        <is>
          <t>LYCKSELE</t>
        </is>
      </c>
      <c r="F10245" t="inlineStr">
        <is>
          <t>SCA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18432-2026</t>
        </is>
      </c>
      <c r="B10246" s="1" t="n">
        <v>46127.33255787037</v>
      </c>
      <c r="C10246" s="1" t="n">
        <v>46145</v>
      </c>
      <c r="D10246" t="inlineStr">
        <is>
          <t>VÄSTERBOTTENS LÄN</t>
        </is>
      </c>
      <c r="E10246" t="inlineStr">
        <is>
          <t>SKELLEFTEÅ</t>
        </is>
      </c>
      <c r="G10246" t="n">
        <v>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18254-2026</t>
        </is>
      </c>
      <c r="B10247" s="1" t="n">
        <v>46126.36506944444</v>
      </c>
      <c r="C10247" s="1" t="n">
        <v>46145</v>
      </c>
      <c r="D10247" t="inlineStr">
        <is>
          <t>VÄSTERBOTTENS LÄN</t>
        </is>
      </c>
      <c r="E10247" t="inlineStr">
        <is>
          <t>DOROTEA</t>
        </is>
      </c>
      <c r="F10247" t="inlineStr">
        <is>
          <t>SCA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18371-2026</t>
        </is>
      </c>
      <c r="B10248" s="1" t="n">
        <v>46126.615625</v>
      </c>
      <c r="C10248" s="1" t="n">
        <v>46145</v>
      </c>
      <c r="D10248" t="inlineStr">
        <is>
          <t>VÄSTERBOTTENS LÄN</t>
        </is>
      </c>
      <c r="E10248" t="inlineStr">
        <is>
          <t>UMEÅ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11817-2026</t>
        </is>
      </c>
      <c r="B10249" s="1" t="n">
        <v>46085.3863425926</v>
      </c>
      <c r="C10249" s="1" t="n">
        <v>46145</v>
      </c>
      <c r="D10249" t="inlineStr">
        <is>
          <t>VÄSTERBOTTENS LÄN</t>
        </is>
      </c>
      <c r="E10249" t="inlineStr">
        <is>
          <t>DOROTEA</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5947-2023</t>
        </is>
      </c>
      <c r="B10250" s="1" t="n">
        <v>44963.92259259259</v>
      </c>
      <c r="C10250" s="1" t="n">
        <v>46145</v>
      </c>
      <c r="D10250" t="inlineStr">
        <is>
          <t>VÄSTERBOTTENS LÄN</t>
        </is>
      </c>
      <c r="E10250" t="inlineStr">
        <is>
          <t>VILHELMINA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11698-2026</t>
        </is>
      </c>
      <c r="B10251" s="1" t="n">
        <v>46084.60991898148</v>
      </c>
      <c r="C10251" s="1" t="n">
        <v>46145</v>
      </c>
      <c r="D10251" t="inlineStr">
        <is>
          <t>VÄSTERBOTTENS LÄN</t>
        </is>
      </c>
      <c r="E10251" t="inlineStr">
        <is>
          <t>VINDELN</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56965-2024</t>
        </is>
      </c>
      <c r="B10252" s="1" t="n">
        <v>45628.65949074074</v>
      </c>
      <c r="C10252" s="1" t="n">
        <v>46145</v>
      </c>
      <c r="D10252" t="inlineStr">
        <is>
          <t>VÄSTERBOTTENS LÄN</t>
        </is>
      </c>
      <c r="E10252" t="inlineStr">
        <is>
          <t>SKELLEFTEÅ</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61131-2022</t>
        </is>
      </c>
      <c r="B10253" s="1" t="n">
        <v>44915.44746527778</v>
      </c>
      <c r="C10253" s="1" t="n">
        <v>46145</v>
      </c>
      <c r="D10253" t="inlineStr">
        <is>
          <t>VÄSTERBOTTENS LÄN</t>
        </is>
      </c>
      <c r="E10253" t="inlineStr">
        <is>
          <t>LYCKSELE</t>
        </is>
      </c>
      <c r="F10253" t="inlineStr">
        <is>
          <t>Sveaskog</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18289-2026</t>
        </is>
      </c>
      <c r="B10254" s="1" t="n">
        <v>46126.43004629629</v>
      </c>
      <c r="C10254" s="1" t="n">
        <v>46145</v>
      </c>
      <c r="D10254" t="inlineStr">
        <is>
          <t>VÄSTERBOTTENS LÄN</t>
        </is>
      </c>
      <c r="E10254" t="inlineStr">
        <is>
          <t>ROBERTSFORS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18294-2026</t>
        </is>
      </c>
      <c r="B10255" s="1" t="n">
        <v>46126.4396875</v>
      </c>
      <c r="C10255" s="1" t="n">
        <v>46145</v>
      </c>
      <c r="D10255" t="inlineStr">
        <is>
          <t>VÄSTERBOTTENS LÄN</t>
        </is>
      </c>
      <c r="E10255" t="inlineStr">
        <is>
          <t>ROBERTSFORS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26033-2025</t>
        </is>
      </c>
      <c r="B10256" s="1" t="n">
        <v>45804</v>
      </c>
      <c r="C10256" s="1" t="n">
        <v>46145</v>
      </c>
      <c r="D10256" t="inlineStr">
        <is>
          <t>VÄSTERBOTTENS LÄN</t>
        </is>
      </c>
      <c r="E10256" t="inlineStr">
        <is>
          <t>SORSELE</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16526-2026</t>
        </is>
      </c>
      <c r="B10257" s="1" t="n">
        <v>46112</v>
      </c>
      <c r="C10257" s="1" t="n">
        <v>46145</v>
      </c>
      <c r="D10257" t="inlineStr">
        <is>
          <t>VÄSTERBOTTENS LÄN</t>
        </is>
      </c>
      <c r="E10257" t="inlineStr">
        <is>
          <t>ÅSELE</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22943-2024</t>
        </is>
      </c>
      <c r="B10258" s="1" t="n">
        <v>45448.94550925926</v>
      </c>
      <c r="C10258" s="1" t="n">
        <v>46145</v>
      </c>
      <c r="D10258" t="inlineStr">
        <is>
          <t>VÄSTERBOTTENS LÄN</t>
        </is>
      </c>
      <c r="E10258" t="inlineStr">
        <is>
          <t>DOROTEA</t>
        </is>
      </c>
      <c r="F10258" t="inlineStr">
        <is>
          <t>SCA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22944-2024</t>
        </is>
      </c>
      <c r="B10259" s="1" t="n">
        <v>45448.94559027778</v>
      </c>
      <c r="C10259" s="1" t="n">
        <v>46145</v>
      </c>
      <c r="D10259" t="inlineStr">
        <is>
          <t>VÄSTERBOTTENS LÄN</t>
        </is>
      </c>
      <c r="E10259" t="inlineStr">
        <is>
          <t>DOROTEA</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65179-2021</t>
        </is>
      </c>
      <c r="B10260" s="1" t="n">
        <v>44515</v>
      </c>
      <c r="C10260" s="1" t="n">
        <v>46145</v>
      </c>
      <c r="D10260" t="inlineStr">
        <is>
          <t>VÄSTERBOTTENS LÄN</t>
        </is>
      </c>
      <c r="E10260" t="inlineStr">
        <is>
          <t>VILHELMINA</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12101-2026</t>
        </is>
      </c>
      <c r="B10261" s="1" t="n">
        <v>46086.48527777778</v>
      </c>
      <c r="C10261" s="1" t="n">
        <v>46145</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12219-2026</t>
        </is>
      </c>
      <c r="B10262" s="1" t="n">
        <v>46087.36208333333</v>
      </c>
      <c r="C10262" s="1" t="n">
        <v>46145</v>
      </c>
      <c r="D10262" t="inlineStr">
        <is>
          <t>VÄSTERBOTTENS LÄN</t>
        </is>
      </c>
      <c r="E10262" t="inlineStr">
        <is>
          <t>SKELLEFTEÅ</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59531-2024</t>
        </is>
      </c>
      <c r="B10263" s="1" t="n">
        <v>45638.59567129629</v>
      </c>
      <c r="C10263" s="1" t="n">
        <v>46145</v>
      </c>
      <c r="D10263" t="inlineStr">
        <is>
          <t>VÄSTERBOTTENS LÄN</t>
        </is>
      </c>
      <c r="E10263" t="inlineStr">
        <is>
          <t>NORDMALING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24136-2023</t>
        </is>
      </c>
      <c r="B10264" s="1" t="n">
        <v>45076</v>
      </c>
      <c r="C10264" s="1" t="n">
        <v>46145</v>
      </c>
      <c r="D10264" t="inlineStr">
        <is>
          <t>VÄSTERBOTTENS LÄN</t>
        </is>
      </c>
      <c r="E10264" t="inlineStr">
        <is>
          <t>ROBERTSFORS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12299-2026</t>
        </is>
      </c>
      <c r="B10265" s="1" t="n">
        <v>46087.56365740741</v>
      </c>
      <c r="C10265" s="1" t="n">
        <v>46145</v>
      </c>
      <c r="D10265" t="inlineStr">
        <is>
          <t>VÄSTERBOTTENS LÄN</t>
        </is>
      </c>
      <c r="E10265" t="inlineStr">
        <is>
          <t>UMEÅ</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12302-2026</t>
        </is>
      </c>
      <c r="B10266" s="1" t="n">
        <v>46087.57357638889</v>
      </c>
      <c r="C10266" s="1" t="n">
        <v>46145</v>
      </c>
      <c r="D10266" t="inlineStr">
        <is>
          <t>VÄSTERBOTTENS LÄN</t>
        </is>
      </c>
      <c r="E10266" t="inlineStr">
        <is>
          <t>LYCKSELE</t>
        </is>
      </c>
      <c r="F10266" t="inlineStr">
        <is>
          <t>SCA</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18808-2026</t>
        </is>
      </c>
      <c r="B10267" s="1" t="n">
        <v>46128.63622685185</v>
      </c>
      <c r="C10267" s="1" t="n">
        <v>46145</v>
      </c>
      <c r="D10267" t="inlineStr">
        <is>
          <t>VÄSTERBOTTENS LÄN</t>
        </is>
      </c>
      <c r="E10267" t="inlineStr">
        <is>
          <t>SORSELE</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48751-2023</t>
        </is>
      </c>
      <c r="B10268" s="1" t="n">
        <v>45208.89429398148</v>
      </c>
      <c r="C10268" s="1" t="n">
        <v>46145</v>
      </c>
      <c r="D10268" t="inlineStr">
        <is>
          <t>VÄSTERBOTTENS LÄN</t>
        </is>
      </c>
      <c r="E10268" t="inlineStr">
        <is>
          <t>UMEÅ</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18949-2026</t>
        </is>
      </c>
      <c r="B10269" s="1" t="n">
        <v>46129.58550925926</v>
      </c>
      <c r="C10269" s="1" t="n">
        <v>46145</v>
      </c>
      <c r="D10269" t="inlineStr">
        <is>
          <t>VÄSTERBOTTENS LÄN</t>
        </is>
      </c>
      <c r="E10269" t="inlineStr">
        <is>
          <t>SKELLEFTEÅ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12389-2026</t>
        </is>
      </c>
      <c r="B10270" s="1" t="n">
        <v>46087</v>
      </c>
      <c r="C10270" s="1" t="n">
        <v>46145</v>
      </c>
      <c r="D10270" t="inlineStr">
        <is>
          <t>VÄSTERBOTTENS LÄN</t>
        </is>
      </c>
      <c r="E10270" t="inlineStr">
        <is>
          <t>VILHELMINA</t>
        </is>
      </c>
      <c r="F10270" t="inlineStr">
        <is>
          <t>Övriga Aktiebolag</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9853-2026</t>
        </is>
      </c>
      <c r="B10271" s="1" t="n">
        <v>46072</v>
      </c>
      <c r="C10271" s="1" t="n">
        <v>46145</v>
      </c>
      <c r="D10271" t="inlineStr">
        <is>
          <t>VÄSTERBOTTENS LÄN</t>
        </is>
      </c>
      <c r="E10271" t="inlineStr">
        <is>
          <t>NORDMALING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37599-2024</t>
        </is>
      </c>
      <c r="B10272" s="1" t="n">
        <v>45541</v>
      </c>
      <c r="C10272" s="1" t="n">
        <v>46145</v>
      </c>
      <c r="D10272" t="inlineStr">
        <is>
          <t>VÄSTERBOTTENS LÄN</t>
        </is>
      </c>
      <c r="E10272" t="inlineStr">
        <is>
          <t>LYCKSELE</t>
        </is>
      </c>
      <c r="F10272" t="inlineStr">
        <is>
          <t>Holmen skog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13487-2025</t>
        </is>
      </c>
      <c r="B10273" s="1" t="n">
        <v>45736.42761574074</v>
      </c>
      <c r="C10273" s="1" t="n">
        <v>46145</v>
      </c>
      <c r="D10273" t="inlineStr">
        <is>
          <t>VÄSTERBOTTENS LÄN</t>
        </is>
      </c>
      <c r="E10273" t="inlineStr">
        <is>
          <t>SKELLEFTEÅ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18688-2026</t>
        </is>
      </c>
      <c r="B10274" s="1" t="n">
        <v>46128.39265046296</v>
      </c>
      <c r="C10274" s="1" t="n">
        <v>46145</v>
      </c>
      <c r="D10274" t="inlineStr">
        <is>
          <t>VÄSTERBOTTENS LÄN</t>
        </is>
      </c>
      <c r="E10274" t="inlineStr">
        <is>
          <t>SKELLEFTEÅ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61985-2023</t>
        </is>
      </c>
      <c r="B10275" s="1" t="n">
        <v>45266.6125</v>
      </c>
      <c r="C10275" s="1" t="n">
        <v>46145</v>
      </c>
      <c r="D10275" t="inlineStr">
        <is>
          <t>VÄSTERBOTTENS LÄN</t>
        </is>
      </c>
      <c r="E10275" t="inlineStr">
        <is>
          <t>ÅSELE</t>
        </is>
      </c>
      <c r="F10275" t="inlineStr">
        <is>
          <t>Sveaskog</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12327-2026</t>
        </is>
      </c>
      <c r="B10276" s="1" t="n">
        <v>46087.61520833334</v>
      </c>
      <c r="C10276" s="1" t="n">
        <v>46145</v>
      </c>
      <c r="D10276" t="inlineStr">
        <is>
          <t>VÄSTERBOTTENS LÄN</t>
        </is>
      </c>
      <c r="E10276" t="inlineStr">
        <is>
          <t>LYCKSELE</t>
        </is>
      </c>
      <c r="F10276" t="inlineStr">
        <is>
          <t>SCA</t>
        </is>
      </c>
      <c r="G10276" t="n">
        <v>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55634-2023</t>
        </is>
      </c>
      <c r="B10277" s="1" t="n">
        <v>45238</v>
      </c>
      <c r="C10277" s="1" t="n">
        <v>46145</v>
      </c>
      <c r="D10277" t="inlineStr">
        <is>
          <t>VÄSTERBOTTENS LÄN</t>
        </is>
      </c>
      <c r="E10277" t="inlineStr">
        <is>
          <t>NORDMALING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12082-2026</t>
        </is>
      </c>
      <c r="B10278" s="1" t="n">
        <v>46086.44873842593</v>
      </c>
      <c r="C10278" s="1" t="n">
        <v>46145</v>
      </c>
      <c r="D10278" t="inlineStr">
        <is>
          <t>VÄSTERBOTTENS LÄN</t>
        </is>
      </c>
      <c r="E10278" t="inlineStr">
        <is>
          <t>DOROTEA</t>
        </is>
      </c>
      <c r="F10278" t="inlineStr">
        <is>
          <t>SCA</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58053-2022</t>
        </is>
      </c>
      <c r="B10279" s="1" t="n">
        <v>44900</v>
      </c>
      <c r="C10279" s="1" t="n">
        <v>46145</v>
      </c>
      <c r="D10279" t="inlineStr">
        <is>
          <t>VÄSTERBOTTENS LÄN</t>
        </is>
      </c>
      <c r="E10279" t="inlineStr">
        <is>
          <t>SKELLEFTEÅ</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40443-2024</t>
        </is>
      </c>
      <c r="B10280" s="1" t="n">
        <v>45555.48571759259</v>
      </c>
      <c r="C10280" s="1" t="n">
        <v>46145</v>
      </c>
      <c r="D10280" t="inlineStr">
        <is>
          <t>VÄSTERBOTTENS LÄN</t>
        </is>
      </c>
      <c r="E10280" t="inlineStr">
        <is>
          <t>VINDELN</t>
        </is>
      </c>
      <c r="F10280" t="inlineStr">
        <is>
          <t>Naturvårdsverket</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26546-2024</t>
        </is>
      </c>
      <c r="B10281" s="1" t="n">
        <v>45469.61939814815</v>
      </c>
      <c r="C10281" s="1" t="n">
        <v>46145</v>
      </c>
      <c r="D10281" t="inlineStr">
        <is>
          <t>VÄSTERBOTTENS LÄN</t>
        </is>
      </c>
      <c r="E10281" t="inlineStr">
        <is>
          <t>SKELLEFTEÅ</t>
        </is>
      </c>
      <c r="F10281" t="inlineStr">
        <is>
          <t>Sveaskog</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18651-2026</t>
        </is>
      </c>
      <c r="B10282" s="1" t="n">
        <v>46128.34509259259</v>
      </c>
      <c r="C10282" s="1" t="n">
        <v>46145</v>
      </c>
      <c r="D10282" t="inlineStr">
        <is>
          <t>VÄSTERBOTTENS LÄN</t>
        </is>
      </c>
      <c r="E10282" t="inlineStr">
        <is>
          <t>LYCKSELE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12292-2026</t>
        </is>
      </c>
      <c r="B10283" s="1" t="n">
        <v>46087.55512731482</v>
      </c>
      <c r="C10283" s="1" t="n">
        <v>46145</v>
      </c>
      <c r="D10283" t="inlineStr">
        <is>
          <t>VÄSTERBOTTENS LÄN</t>
        </is>
      </c>
      <c r="E10283" t="inlineStr">
        <is>
          <t>LYCKSELE</t>
        </is>
      </c>
      <c r="F10283" t="inlineStr">
        <is>
          <t>Holmen skog AB</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18737-2026</t>
        </is>
      </c>
      <c r="B10284" s="1" t="n">
        <v>46128.50192129629</v>
      </c>
      <c r="C10284" s="1" t="n">
        <v>46145</v>
      </c>
      <c r="D10284" t="inlineStr">
        <is>
          <t>VÄSTERBOTTENS LÄN</t>
        </is>
      </c>
      <c r="E10284" t="inlineStr">
        <is>
          <t>LYCKSELE</t>
        </is>
      </c>
      <c r="F10284" t="inlineStr">
        <is>
          <t>Holmen skog AB</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62087-2022</t>
        </is>
      </c>
      <c r="B10285" s="1" t="n">
        <v>44919</v>
      </c>
      <c r="C10285" s="1" t="n">
        <v>46145</v>
      </c>
      <c r="D10285" t="inlineStr">
        <is>
          <t>VÄSTERBOTTENS LÄN</t>
        </is>
      </c>
      <c r="E10285" t="inlineStr">
        <is>
          <t>BJURHOLM</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8852-2024</t>
        </is>
      </c>
      <c r="B10286" s="1" t="n">
        <v>45356</v>
      </c>
      <c r="C10286" s="1" t="n">
        <v>46145</v>
      </c>
      <c r="D10286" t="inlineStr">
        <is>
          <t>VÄSTERBOTTENS LÄN</t>
        </is>
      </c>
      <c r="E10286" t="inlineStr">
        <is>
          <t>DOROTEA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8919-2024</t>
        </is>
      </c>
      <c r="B10287" s="1" t="n">
        <v>45357</v>
      </c>
      <c r="C10287" s="1" t="n">
        <v>46145</v>
      </c>
      <c r="D10287" t="inlineStr">
        <is>
          <t>VÄSTERBOTTENS LÄN</t>
        </is>
      </c>
      <c r="E10287" t="inlineStr">
        <is>
          <t>SKELLEFTEÅ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38366-2024</t>
        </is>
      </c>
      <c r="B10288" s="1" t="n">
        <v>45545</v>
      </c>
      <c r="C10288" s="1" t="n">
        <v>46145</v>
      </c>
      <c r="D10288" t="inlineStr">
        <is>
          <t>VÄSTERBOTTENS LÄN</t>
        </is>
      </c>
      <c r="E10288" t="inlineStr">
        <is>
          <t>STORUMAN</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37629-2024</t>
        </is>
      </c>
      <c r="B10289" s="1" t="n">
        <v>45541.53135416667</v>
      </c>
      <c r="C10289" s="1" t="n">
        <v>46145</v>
      </c>
      <c r="D10289" t="inlineStr">
        <is>
          <t>VÄSTERBOTTENS LÄN</t>
        </is>
      </c>
      <c r="E10289" t="inlineStr">
        <is>
          <t>UMEÅ</t>
        </is>
      </c>
      <c r="F10289" t="inlineStr">
        <is>
          <t>Holmen skog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12083-2026</t>
        </is>
      </c>
      <c r="B10290" s="1" t="n">
        <v>46086.44909722222</v>
      </c>
      <c r="C10290" s="1" t="n">
        <v>46145</v>
      </c>
      <c r="D10290" t="inlineStr">
        <is>
          <t>VÄSTERBOTTENS LÄN</t>
        </is>
      </c>
      <c r="E10290" t="inlineStr">
        <is>
          <t>LYCKSELE</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58040-2023</t>
        </is>
      </c>
      <c r="B10291" s="1" t="n">
        <v>45247.67944444445</v>
      </c>
      <c r="C10291" s="1" t="n">
        <v>46145</v>
      </c>
      <c r="D10291" t="inlineStr">
        <is>
          <t>VÄSTERBOTTENS LÄN</t>
        </is>
      </c>
      <c r="E10291" t="inlineStr">
        <is>
          <t>LYCKSELE</t>
        </is>
      </c>
      <c r="F10291" t="inlineStr">
        <is>
          <t>Sveaskog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33438-2023</t>
        </is>
      </c>
      <c r="B10292" s="1" t="n">
        <v>45129.5255787037</v>
      </c>
      <c r="C10292" s="1" t="n">
        <v>46145</v>
      </c>
      <c r="D10292" t="inlineStr">
        <is>
          <t>VÄSTERBOTTENS LÄN</t>
        </is>
      </c>
      <c r="E10292" t="inlineStr">
        <is>
          <t>ROBERTSFORS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2705-2023</t>
        </is>
      </c>
      <c r="B10293" s="1" t="n">
        <v>44944.52116898148</v>
      </c>
      <c r="C10293" s="1" t="n">
        <v>46145</v>
      </c>
      <c r="D10293" t="inlineStr">
        <is>
          <t>VÄSTERBOTTENS LÄN</t>
        </is>
      </c>
      <c r="E10293" t="inlineStr">
        <is>
          <t>NORSJÖ</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2720-2023</t>
        </is>
      </c>
      <c r="B10294" s="1" t="n">
        <v>44944</v>
      </c>
      <c r="C10294" s="1" t="n">
        <v>46145</v>
      </c>
      <c r="D10294" t="inlineStr">
        <is>
          <t>VÄSTERBOTTENS LÄN</t>
        </is>
      </c>
      <c r="E10294" t="inlineStr">
        <is>
          <t>SKELLEFTEÅ</t>
        </is>
      </c>
      <c r="G10294" t="n">
        <v>31.7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26499-2024</t>
        </is>
      </c>
      <c r="B10295" s="1" t="n">
        <v>45469</v>
      </c>
      <c r="C10295" s="1" t="n">
        <v>46145</v>
      </c>
      <c r="D10295" t="inlineStr">
        <is>
          <t>VÄSTERBOTTENS LÄN</t>
        </is>
      </c>
      <c r="E10295" t="inlineStr">
        <is>
          <t>VILHELMINA</t>
        </is>
      </c>
      <c r="F10295" t="inlineStr">
        <is>
          <t>Sveaskog</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23760-2023</t>
        </is>
      </c>
      <c r="B10296" s="1" t="n">
        <v>45077</v>
      </c>
      <c r="C10296" s="1" t="n">
        <v>46145</v>
      </c>
      <c r="D10296" t="inlineStr">
        <is>
          <t>VÄSTERBOTTENS LÄN</t>
        </is>
      </c>
      <c r="E10296" t="inlineStr">
        <is>
          <t>SKELLEFTEÅ</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23761-2023</t>
        </is>
      </c>
      <c r="B10297" s="1" t="n">
        <v>45077</v>
      </c>
      <c r="C10297" s="1" t="n">
        <v>46145</v>
      </c>
      <c r="D10297" t="inlineStr">
        <is>
          <t>VÄSTERBOTTENS LÄN</t>
        </is>
      </c>
      <c r="E10297" t="inlineStr">
        <is>
          <t>SKELLEFTEÅ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26541-2024</t>
        </is>
      </c>
      <c r="B10298" s="1" t="n">
        <v>45469.61785879629</v>
      </c>
      <c r="C10298" s="1" t="n">
        <v>46145</v>
      </c>
      <c r="D10298" t="inlineStr">
        <is>
          <t>VÄSTERBOTTENS LÄN</t>
        </is>
      </c>
      <c r="E10298" t="inlineStr">
        <is>
          <t>NORSJÖ</t>
        </is>
      </c>
      <c r="F10298" t="inlineStr">
        <is>
          <t>Holmen skog AB</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34273-2024</t>
        </is>
      </c>
      <c r="B10299" s="1" t="n">
        <v>45524.61850694445</v>
      </c>
      <c r="C10299" s="1" t="n">
        <v>46145</v>
      </c>
      <c r="D10299" t="inlineStr">
        <is>
          <t>VÄSTERBOTTENS LÄN</t>
        </is>
      </c>
      <c r="E10299" t="inlineStr">
        <is>
          <t>LYCKSELE</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12425-2025</t>
        </is>
      </c>
      <c r="B10300" s="1" t="n">
        <v>45730</v>
      </c>
      <c r="C10300" s="1" t="n">
        <v>46145</v>
      </c>
      <c r="D10300" t="inlineStr">
        <is>
          <t>VÄSTERBOTTENS LÄN</t>
        </is>
      </c>
      <c r="E10300" t="inlineStr">
        <is>
          <t>VÄNNÄS</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12430-2025</t>
        </is>
      </c>
      <c r="B10301" s="1" t="n">
        <v>45730.46041666667</v>
      </c>
      <c r="C10301" s="1" t="n">
        <v>46145</v>
      </c>
      <c r="D10301" t="inlineStr">
        <is>
          <t>VÄSTERBOTTENS LÄN</t>
        </is>
      </c>
      <c r="E10301" t="inlineStr">
        <is>
          <t>LYCKSELE</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35181-2024</t>
        </is>
      </c>
      <c r="B10302" s="1" t="n">
        <v>45530.44527777778</v>
      </c>
      <c r="C10302" s="1" t="n">
        <v>46145</v>
      </c>
      <c r="D10302" t="inlineStr">
        <is>
          <t>VÄSTERBOTTENS LÄN</t>
        </is>
      </c>
      <c r="E10302" t="inlineStr">
        <is>
          <t>NORSJÖ</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61792-2022</t>
        </is>
      </c>
      <c r="B10303" s="1" t="n">
        <v>44917.53623842593</v>
      </c>
      <c r="C10303" s="1" t="n">
        <v>46145</v>
      </c>
      <c r="D10303" t="inlineStr">
        <is>
          <t>VÄSTERBOTTENS LÄN</t>
        </is>
      </c>
      <c r="E10303" t="inlineStr">
        <is>
          <t>SORSELE</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5394-2026</t>
        </is>
      </c>
      <c r="B10304" s="1" t="n">
        <v>46048</v>
      </c>
      <c r="C10304" s="1" t="n">
        <v>46145</v>
      </c>
      <c r="D10304" t="inlineStr">
        <is>
          <t>VÄSTERBOTTENS LÄN</t>
        </is>
      </c>
      <c r="E10304" t="inlineStr">
        <is>
          <t>STORUMAN</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49839-2023</t>
        </is>
      </c>
      <c r="B10305" s="1" t="n">
        <v>45210</v>
      </c>
      <c r="C10305" s="1" t="n">
        <v>46145</v>
      </c>
      <c r="D10305" t="inlineStr">
        <is>
          <t>VÄSTERBOTTENS LÄN</t>
        </is>
      </c>
      <c r="E10305" t="inlineStr">
        <is>
          <t>MALÅ</t>
        </is>
      </c>
      <c r="G10305" t="n">
        <v>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49840-2023</t>
        </is>
      </c>
      <c r="B10306" s="1" t="n">
        <v>45210</v>
      </c>
      <c r="C10306" s="1" t="n">
        <v>46145</v>
      </c>
      <c r="D10306" t="inlineStr">
        <is>
          <t>VÄSTERBOTTENS LÄN</t>
        </is>
      </c>
      <c r="E10306" t="inlineStr">
        <is>
          <t>MALÅ</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18789-2026</t>
        </is>
      </c>
      <c r="B10307" s="1" t="n">
        <v>46128.60142361111</v>
      </c>
      <c r="C10307" s="1" t="n">
        <v>46145</v>
      </c>
      <c r="D10307" t="inlineStr">
        <is>
          <t>VÄSTERBOTTENS LÄN</t>
        </is>
      </c>
      <c r="E10307" t="inlineStr">
        <is>
          <t>LYCKSELE</t>
        </is>
      </c>
      <c r="F10307" t="inlineStr">
        <is>
          <t>Holmen skog AB</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17751-2024</t>
        </is>
      </c>
      <c r="B10308" s="1" t="n">
        <v>45418.59936342593</v>
      </c>
      <c r="C10308" s="1" t="n">
        <v>46145</v>
      </c>
      <c r="D10308" t="inlineStr">
        <is>
          <t>VÄSTERBOTTENS LÄN</t>
        </is>
      </c>
      <c r="E10308" t="inlineStr">
        <is>
          <t>SKELLEFTEÅ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18816-2026</t>
        </is>
      </c>
      <c r="B10309" s="1" t="n">
        <v>46128.65743055556</v>
      </c>
      <c r="C10309" s="1" t="n">
        <v>46145</v>
      </c>
      <c r="D10309" t="inlineStr">
        <is>
          <t>VÄSTERBOTTENS LÄN</t>
        </is>
      </c>
      <c r="E10309" t="inlineStr">
        <is>
          <t>SORSELE</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18967-2026</t>
        </is>
      </c>
      <c r="B10310" s="1" t="n">
        <v>46127</v>
      </c>
      <c r="C10310" s="1" t="n">
        <v>46145</v>
      </c>
      <c r="D10310" t="inlineStr">
        <is>
          <t>VÄSTERBOTTENS LÄN</t>
        </is>
      </c>
      <c r="E10310" t="inlineStr">
        <is>
          <t>SKELLEFTEÅ</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64323-2023</t>
        </is>
      </c>
      <c r="B10311" s="1" t="n">
        <v>45280.40798611111</v>
      </c>
      <c r="C10311" s="1" t="n">
        <v>46145</v>
      </c>
      <c r="D10311" t="inlineStr">
        <is>
          <t>VÄSTERBOTTENS LÄN</t>
        </is>
      </c>
      <c r="E10311" t="inlineStr">
        <is>
          <t>SKELLEFTEÅ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49417-2022</t>
        </is>
      </c>
      <c r="B10312" s="1" t="n">
        <v>44859</v>
      </c>
      <c r="C10312" s="1" t="n">
        <v>46145</v>
      </c>
      <c r="D10312" t="inlineStr">
        <is>
          <t>VÄSTERBOTTENS LÄN</t>
        </is>
      </c>
      <c r="E10312" t="inlineStr">
        <is>
          <t>NORDMALING</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14689-2025</t>
        </is>
      </c>
      <c r="B10313" s="1" t="n">
        <v>45742</v>
      </c>
      <c r="C10313" s="1" t="n">
        <v>46145</v>
      </c>
      <c r="D10313" t="inlineStr">
        <is>
          <t>VÄSTERBOTTENS LÄN</t>
        </is>
      </c>
      <c r="E10313" t="inlineStr">
        <is>
          <t>NORDMALING</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8745-2023</t>
        </is>
      </c>
      <c r="B10314" s="1" t="n">
        <v>44972</v>
      </c>
      <c r="C10314" s="1" t="n">
        <v>46145</v>
      </c>
      <c r="D10314" t="inlineStr">
        <is>
          <t>VÄSTERBOTTENS LÄN</t>
        </is>
      </c>
      <c r="E10314" t="inlineStr">
        <is>
          <t>VILHELMINA</t>
        </is>
      </c>
      <c r="F10314" t="inlineStr">
        <is>
          <t>Allmännings- och besparingsskogar</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18814-2026</t>
        </is>
      </c>
      <c r="B10315" s="1" t="n">
        <v>46128.65696759259</v>
      </c>
      <c r="C10315" s="1" t="n">
        <v>46145</v>
      </c>
      <c r="D10315" t="inlineStr">
        <is>
          <t>VÄSTERBOTTENS LÄN</t>
        </is>
      </c>
      <c r="E10315" t="inlineStr">
        <is>
          <t>SORSELE</t>
        </is>
      </c>
      <c r="F10315" t="inlineStr">
        <is>
          <t>SCA</t>
        </is>
      </c>
      <c r="G10315" t="n">
        <v>16.6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18498-2025</t>
        </is>
      </c>
      <c r="B10316" s="1" t="n">
        <v>45763.35789351852</v>
      </c>
      <c r="C10316" s="1" t="n">
        <v>46145</v>
      </c>
      <c r="D10316" t="inlineStr">
        <is>
          <t>VÄSTERBOTTENS LÄN</t>
        </is>
      </c>
      <c r="E10316" t="inlineStr">
        <is>
          <t>SKELLEFTEÅ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49793-2024</t>
        </is>
      </c>
      <c r="B10317" s="1" t="n">
        <v>45597.3706712963</v>
      </c>
      <c r="C10317" s="1" t="n">
        <v>46145</v>
      </c>
      <c r="D10317" t="inlineStr">
        <is>
          <t>VÄSTERBOTTENS LÄN</t>
        </is>
      </c>
      <c r="E10317" t="inlineStr">
        <is>
          <t>UMEÅ</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18839-2026</t>
        </is>
      </c>
      <c r="B10318" s="1" t="n">
        <v>46129.29188657407</v>
      </c>
      <c r="C10318" s="1" t="n">
        <v>46145</v>
      </c>
      <c r="D10318" t="inlineStr">
        <is>
          <t>VÄSTERBOTTENS LÄN</t>
        </is>
      </c>
      <c r="E10318" t="inlineStr">
        <is>
          <t>NORDMALING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18908-2026</t>
        </is>
      </c>
      <c r="B10319" s="1" t="n">
        <v>46129.50280092593</v>
      </c>
      <c r="C10319" s="1" t="n">
        <v>46145</v>
      </c>
      <c r="D10319" t="inlineStr">
        <is>
          <t>VÄSTERBOTTENS LÄN</t>
        </is>
      </c>
      <c r="E10319" t="inlineStr">
        <is>
          <t>LYCKSELE</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42808-2022</t>
        </is>
      </c>
      <c r="B10320" s="1" t="n">
        <v>44832</v>
      </c>
      <c r="C10320" s="1" t="n">
        <v>46145</v>
      </c>
      <c r="D10320" t="inlineStr">
        <is>
          <t>VÄSTERBOTTENS LÄN</t>
        </is>
      </c>
      <c r="E10320" t="inlineStr">
        <is>
          <t>SKELLEFTEÅ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9864-2026</t>
        </is>
      </c>
      <c r="B10321" s="1" t="n">
        <v>46072</v>
      </c>
      <c r="C10321" s="1" t="n">
        <v>46145</v>
      </c>
      <c r="D10321" t="inlineStr">
        <is>
          <t>VÄSTERBOTTENS LÄN</t>
        </is>
      </c>
      <c r="E10321" t="inlineStr">
        <is>
          <t>NORDMALING</t>
        </is>
      </c>
      <c r="G10321" t="n">
        <v>16.8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34751-2022</t>
        </is>
      </c>
      <c r="B10322" s="1" t="n">
        <v>44795</v>
      </c>
      <c r="C10322" s="1" t="n">
        <v>46145</v>
      </c>
      <c r="D10322" t="inlineStr">
        <is>
          <t>VÄSTERBOTTENS LÄN</t>
        </is>
      </c>
      <c r="E10322" t="inlineStr">
        <is>
          <t>BJURHOLM</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19424-2023</t>
        </is>
      </c>
      <c r="B10323" s="1" t="n">
        <v>45049.92751157407</v>
      </c>
      <c r="C10323" s="1" t="n">
        <v>46145</v>
      </c>
      <c r="D10323" t="inlineStr">
        <is>
          <t>VÄSTERBOTTENS LÄN</t>
        </is>
      </c>
      <c r="E10323" t="inlineStr">
        <is>
          <t>SKELLEFTEÅ</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19428-2023</t>
        </is>
      </c>
      <c r="B10324" s="1" t="n">
        <v>45049.92771990741</v>
      </c>
      <c r="C10324" s="1" t="n">
        <v>46145</v>
      </c>
      <c r="D10324" t="inlineStr">
        <is>
          <t>VÄSTERBOTTENS LÄN</t>
        </is>
      </c>
      <c r="E10324" t="inlineStr">
        <is>
          <t>SKELLEFTEÅ</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4555-2024</t>
        </is>
      </c>
      <c r="B10325" s="1" t="n">
        <v>45327</v>
      </c>
      <c r="C10325" s="1" t="n">
        <v>46145</v>
      </c>
      <c r="D10325" t="inlineStr">
        <is>
          <t>VÄSTERBOTTENS LÄN</t>
        </is>
      </c>
      <c r="E10325" t="inlineStr">
        <is>
          <t>SORSELE</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19657-2025</t>
        </is>
      </c>
      <c r="B10326" s="1" t="n">
        <v>45770.67743055556</v>
      </c>
      <c r="C10326" s="1" t="n">
        <v>46145</v>
      </c>
      <c r="D10326" t="inlineStr">
        <is>
          <t>VÄSTERBOTTENS LÄN</t>
        </is>
      </c>
      <c r="E10326" t="inlineStr">
        <is>
          <t>DOROTEA</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19658-2025</t>
        </is>
      </c>
      <c r="B10327" s="1" t="n">
        <v>45770</v>
      </c>
      <c r="C10327" s="1" t="n">
        <v>46145</v>
      </c>
      <c r="D10327" t="inlineStr">
        <is>
          <t>VÄSTERBOTTENS LÄN</t>
        </is>
      </c>
      <c r="E10327" t="inlineStr">
        <is>
          <t>SKELLEFTEÅ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59736-2021</t>
        </is>
      </c>
      <c r="B10328" s="1" t="n">
        <v>44494.44145833333</v>
      </c>
      <c r="C10328" s="1" t="n">
        <v>46145</v>
      </c>
      <c r="D10328" t="inlineStr">
        <is>
          <t>VÄSTERBOTTENS LÄN</t>
        </is>
      </c>
      <c r="E10328" t="inlineStr">
        <is>
          <t>SKELLEFTEÅ</t>
        </is>
      </c>
      <c r="F10328" t="inlineStr">
        <is>
          <t>Sveaskog</t>
        </is>
      </c>
      <c r="G10328" t="n">
        <v>13.1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31474-2024</t>
        </is>
      </c>
      <c r="B10329" s="1" t="n">
        <v>45505.95200231481</v>
      </c>
      <c r="C10329" s="1" t="n">
        <v>46145</v>
      </c>
      <c r="D10329" t="inlineStr">
        <is>
          <t>VÄSTERBOTTENS LÄN</t>
        </is>
      </c>
      <c r="E10329" t="inlineStr">
        <is>
          <t>ÅSELE</t>
        </is>
      </c>
      <c r="F10329" t="inlineStr">
        <is>
          <t>SCA</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18683-2026</t>
        </is>
      </c>
      <c r="B10330" s="1" t="n">
        <v>46128.38637731481</v>
      </c>
      <c r="C10330" s="1" t="n">
        <v>46145</v>
      </c>
      <c r="D10330" t="inlineStr">
        <is>
          <t>VÄSTERBOTTENS LÄN</t>
        </is>
      </c>
      <c r="E10330" t="inlineStr">
        <is>
          <t>ÅSELE</t>
        </is>
      </c>
      <c r="G10330" t="n">
        <v>19.7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18684-2026</t>
        </is>
      </c>
      <c r="B10331" s="1" t="n">
        <v>46128.38644675926</v>
      </c>
      <c r="C10331" s="1" t="n">
        <v>46145</v>
      </c>
      <c r="D10331" t="inlineStr">
        <is>
          <t>VÄSTERBOTTENS LÄN</t>
        </is>
      </c>
      <c r="E10331" t="inlineStr">
        <is>
          <t>ÅSELE</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37669-2022</t>
        </is>
      </c>
      <c r="B10332" s="1" t="n">
        <v>44810</v>
      </c>
      <c r="C10332" s="1" t="n">
        <v>46145</v>
      </c>
      <c r="D10332" t="inlineStr">
        <is>
          <t>VÄSTERBOTTENS LÄN</t>
        </is>
      </c>
      <c r="E10332" t="inlineStr">
        <is>
          <t>SKELLEFTEÅ</t>
        </is>
      </c>
      <c r="G10332" t="n">
        <v>10.9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61033-2022</t>
        </is>
      </c>
      <c r="B10333" s="1" t="n">
        <v>44914</v>
      </c>
      <c r="C10333" s="1" t="n">
        <v>46145</v>
      </c>
      <c r="D10333" t="inlineStr">
        <is>
          <t>VÄSTERBOTTENS LÄN</t>
        </is>
      </c>
      <c r="E10333" t="inlineStr">
        <is>
          <t>NORSJÖ</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12088-2026</t>
        </is>
      </c>
      <c r="B10334" s="1" t="n">
        <v>46086.46201388889</v>
      </c>
      <c r="C10334" s="1" t="n">
        <v>46145</v>
      </c>
      <c r="D10334" t="inlineStr">
        <is>
          <t>VÄSTERBOTTENS LÄN</t>
        </is>
      </c>
      <c r="E10334" t="inlineStr">
        <is>
          <t>ÅSELE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20574-2023</t>
        </is>
      </c>
      <c r="B10335" s="1" t="n">
        <v>45057</v>
      </c>
      <c r="C10335" s="1" t="n">
        <v>46145</v>
      </c>
      <c r="D10335" t="inlineStr">
        <is>
          <t>VÄSTERBOTTENS LÄN</t>
        </is>
      </c>
      <c r="E10335" t="inlineStr">
        <is>
          <t>VINDELN</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16719-2025</t>
        </is>
      </c>
      <c r="B10336" s="1" t="n">
        <v>45754.49008101852</v>
      </c>
      <c r="C10336" s="1" t="n">
        <v>46145</v>
      </c>
      <c r="D10336" t="inlineStr">
        <is>
          <t>VÄSTERBOTTENS LÄN</t>
        </is>
      </c>
      <c r="E10336" t="inlineStr">
        <is>
          <t>VILHELMINA</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18786-2026</t>
        </is>
      </c>
      <c r="B10337" s="1" t="n">
        <v>46128.59755787037</v>
      </c>
      <c r="C10337" s="1" t="n">
        <v>46145</v>
      </c>
      <c r="D10337" t="inlineStr">
        <is>
          <t>VÄSTERBOTTENS LÄN</t>
        </is>
      </c>
      <c r="E10337" t="inlineStr">
        <is>
          <t>NORDMALING</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18788-2026</t>
        </is>
      </c>
      <c r="B10338" s="1" t="n">
        <v>46128.6003587963</v>
      </c>
      <c r="C10338" s="1" t="n">
        <v>46145</v>
      </c>
      <c r="D10338" t="inlineStr">
        <is>
          <t>VÄSTERBOTTENS LÄN</t>
        </is>
      </c>
      <c r="E10338" t="inlineStr">
        <is>
          <t>NORDMALING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18730-2026</t>
        </is>
      </c>
      <c r="B10339" s="1" t="n">
        <v>46128.49055555555</v>
      </c>
      <c r="C10339" s="1" t="n">
        <v>46145</v>
      </c>
      <c r="D10339" t="inlineStr">
        <is>
          <t>VÄSTERBOTTENS LÄN</t>
        </is>
      </c>
      <c r="E10339" t="inlineStr">
        <is>
          <t>ÅSELE</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17010-2025</t>
        </is>
      </c>
      <c r="B10340" s="1" t="n">
        <v>45754</v>
      </c>
      <c r="C10340" s="1" t="n">
        <v>46145</v>
      </c>
      <c r="D10340" t="inlineStr">
        <is>
          <t>VÄSTERBOTTENS LÄN</t>
        </is>
      </c>
      <c r="E10340" t="inlineStr">
        <is>
          <t>SKELLEFTEÅ</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62249-2022</t>
        </is>
      </c>
      <c r="B10341" s="1" t="n">
        <v>44922.92351851852</v>
      </c>
      <c r="C10341" s="1" t="n">
        <v>46145</v>
      </c>
      <c r="D10341" t="inlineStr">
        <is>
          <t>VÄSTERBOTTENS LÄN</t>
        </is>
      </c>
      <c r="E10341" t="inlineStr">
        <is>
          <t>SKELLEFTEÅ</t>
        </is>
      </c>
      <c r="G10341" t="n">
        <v>18.2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8245-2024</t>
        </is>
      </c>
      <c r="B10342" s="1" t="n">
        <v>45351.98571759259</v>
      </c>
      <c r="C10342" s="1" t="n">
        <v>46145</v>
      </c>
      <c r="D10342" t="inlineStr">
        <is>
          <t>VÄSTERBOTTENS LÄN</t>
        </is>
      </c>
      <c r="E10342" t="inlineStr">
        <is>
          <t>DOROTEA</t>
        </is>
      </c>
      <c r="F10342" t="inlineStr">
        <is>
          <t>SCA</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8246-2024</t>
        </is>
      </c>
      <c r="B10343" s="1" t="n">
        <v>45351.98583333333</v>
      </c>
      <c r="C10343" s="1" t="n">
        <v>46145</v>
      </c>
      <c r="D10343" t="inlineStr">
        <is>
          <t>VÄSTERBOTTENS LÄN</t>
        </is>
      </c>
      <c r="E10343" t="inlineStr">
        <is>
          <t>DOROTEA</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18946-2026</t>
        </is>
      </c>
      <c r="B10344" s="1" t="n">
        <v>46129.581875</v>
      </c>
      <c r="C10344" s="1" t="n">
        <v>46145</v>
      </c>
      <c r="D10344" t="inlineStr">
        <is>
          <t>VÄSTERBOTTENS LÄN</t>
        </is>
      </c>
      <c r="E10344" t="inlineStr">
        <is>
          <t>SKELLEFTEÅ</t>
        </is>
      </c>
      <c r="G10344" t="n">
        <v>20.1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18954-2026</t>
        </is>
      </c>
      <c r="B10345" s="1" t="n">
        <v>46127</v>
      </c>
      <c r="C10345" s="1" t="n">
        <v>46145</v>
      </c>
      <c r="D10345" t="inlineStr">
        <is>
          <t>VÄSTERBOTTENS LÄN</t>
        </is>
      </c>
      <c r="E10345" t="inlineStr">
        <is>
          <t>SKELLEFTEÅ</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18876-2026</t>
        </is>
      </c>
      <c r="B10346" s="1" t="n">
        <v>46129.41907407407</v>
      </c>
      <c r="C10346" s="1" t="n">
        <v>46145</v>
      </c>
      <c r="D10346" t="inlineStr">
        <is>
          <t>VÄSTERBOTTENS LÄN</t>
        </is>
      </c>
      <c r="E10346" t="inlineStr">
        <is>
          <t>NORSJÖ</t>
        </is>
      </c>
      <c r="F10346" t="inlineStr">
        <is>
          <t>Holmen skog AB</t>
        </is>
      </c>
      <c r="G10346" t="n">
        <v>15.2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18711-2026</t>
        </is>
      </c>
      <c r="B10347" s="1" t="n">
        <v>46128.45270833333</v>
      </c>
      <c r="C10347" s="1" t="n">
        <v>46145</v>
      </c>
      <c r="D10347" t="inlineStr">
        <is>
          <t>VÄSTERBOTTENS LÄN</t>
        </is>
      </c>
      <c r="E10347" t="inlineStr">
        <is>
          <t>VINDELN</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59135-2022</t>
        </is>
      </c>
      <c r="B10348" s="1" t="n">
        <v>44904.44421296296</v>
      </c>
      <c r="C10348" s="1" t="n">
        <v>46145</v>
      </c>
      <c r="D10348" t="inlineStr">
        <is>
          <t>VÄSTERBOTTENS LÄN</t>
        </is>
      </c>
      <c r="E10348" t="inlineStr">
        <is>
          <t>NORSJÖ</t>
        </is>
      </c>
      <c r="F10348" t="inlineStr">
        <is>
          <t>Sveaskog</t>
        </is>
      </c>
      <c r="G10348" t="n">
        <v>10.7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18719-2026</t>
        </is>
      </c>
      <c r="B10349" s="1" t="n">
        <v>46128.4693287037</v>
      </c>
      <c r="C10349" s="1" t="n">
        <v>46145</v>
      </c>
      <c r="D10349" t="inlineStr">
        <is>
          <t>VÄSTERBOTTENS LÄN</t>
        </is>
      </c>
      <c r="E10349" t="inlineStr">
        <is>
          <t>NORSJÖ</t>
        </is>
      </c>
      <c r="G10349" t="n">
        <v>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18931-2026</t>
        </is>
      </c>
      <c r="B10350" s="1" t="n">
        <v>46129.56761574074</v>
      </c>
      <c r="C10350" s="1" t="n">
        <v>46145</v>
      </c>
      <c r="D10350" t="inlineStr">
        <is>
          <t>VÄSTERBOTTENS LÄN</t>
        </is>
      </c>
      <c r="E10350" t="inlineStr">
        <is>
          <t>NORDMALING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18934-2026</t>
        </is>
      </c>
      <c r="B10351" s="1" t="n">
        <v>46129.56834490741</v>
      </c>
      <c r="C10351" s="1" t="n">
        <v>46145</v>
      </c>
      <c r="D10351" t="inlineStr">
        <is>
          <t>VÄSTERBOTTENS LÄN</t>
        </is>
      </c>
      <c r="E10351" t="inlineStr">
        <is>
          <t>SKELLEFTEÅ</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35102-2023</t>
        </is>
      </c>
      <c r="B10352" s="1" t="n">
        <v>45145.46237268519</v>
      </c>
      <c r="C10352" s="1" t="n">
        <v>46145</v>
      </c>
      <c r="D10352" t="inlineStr">
        <is>
          <t>VÄSTERBOTTENS LÄN</t>
        </is>
      </c>
      <c r="E10352" t="inlineStr">
        <is>
          <t>SKELLEFTEÅ</t>
        </is>
      </c>
      <c r="F10352" t="inlineStr">
        <is>
          <t>Holmen skog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35227-2023</t>
        </is>
      </c>
      <c r="B10353" s="1" t="n">
        <v>45145.64986111111</v>
      </c>
      <c r="C10353" s="1" t="n">
        <v>46145</v>
      </c>
      <c r="D10353" t="inlineStr">
        <is>
          <t>VÄSTERBOTTENS LÄN</t>
        </is>
      </c>
      <c r="E10353" t="inlineStr">
        <is>
          <t>LYCKSELE</t>
        </is>
      </c>
      <c r="F10353" t="inlineStr">
        <is>
          <t>Sveaskog</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12066-2026</t>
        </is>
      </c>
      <c r="B10354" s="1" t="n">
        <v>46086.40385416667</v>
      </c>
      <c r="C10354" s="1" t="n">
        <v>46145</v>
      </c>
      <c r="D10354" t="inlineStr">
        <is>
          <t>VÄSTERBOTTENS LÄN</t>
        </is>
      </c>
      <c r="E10354" t="inlineStr">
        <is>
          <t>SKELLEFTEÅ</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41728-2023</t>
        </is>
      </c>
      <c r="B10355" s="1" t="n">
        <v>45176</v>
      </c>
      <c r="C10355" s="1" t="n">
        <v>46145</v>
      </c>
      <c r="D10355" t="inlineStr">
        <is>
          <t>VÄSTERBOTTENS LÄN</t>
        </is>
      </c>
      <c r="E10355" t="inlineStr">
        <is>
          <t>LYCKSELE</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63771-2023</t>
        </is>
      </c>
      <c r="B10356" s="1" t="n">
        <v>45278</v>
      </c>
      <c r="C10356" s="1" t="n">
        <v>46145</v>
      </c>
      <c r="D10356" t="inlineStr">
        <is>
          <t>VÄSTERBOTTENS LÄN</t>
        </is>
      </c>
      <c r="E10356" t="inlineStr">
        <is>
          <t>ROBERTSFORS</t>
        </is>
      </c>
      <c r="F10356" t="inlineStr">
        <is>
          <t>Sveaskog</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18935-2026</t>
        </is>
      </c>
      <c r="B10357" s="1" t="n">
        <v>46129.56868055555</v>
      </c>
      <c r="C10357" s="1" t="n">
        <v>46145</v>
      </c>
      <c r="D10357" t="inlineStr">
        <is>
          <t>VÄSTERBOTTENS LÄN</t>
        </is>
      </c>
      <c r="E10357" t="inlineStr">
        <is>
          <t>SKELLEFTEÅ</t>
        </is>
      </c>
      <c r="F10357" t="inlineStr">
        <is>
          <t>Holmen skog AB</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18986-2026</t>
        </is>
      </c>
      <c r="B10358" s="1" t="n">
        <v>46129.63310185185</v>
      </c>
      <c r="C10358" s="1" t="n">
        <v>46145</v>
      </c>
      <c r="D10358" t="inlineStr">
        <is>
          <t>VÄSTERBOTTENS LÄN</t>
        </is>
      </c>
      <c r="E10358" t="inlineStr">
        <is>
          <t>SKELLEFTEÅ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50278-2024</t>
        </is>
      </c>
      <c r="B10359" s="1" t="n">
        <v>45600.60490740741</v>
      </c>
      <c r="C10359" s="1" t="n">
        <v>46145</v>
      </c>
      <c r="D10359" t="inlineStr">
        <is>
          <t>VÄSTERBOTTENS LÄN</t>
        </is>
      </c>
      <c r="E10359" t="inlineStr">
        <is>
          <t>VINDELN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5006-2024</t>
        </is>
      </c>
      <c r="B10360" s="1" t="n">
        <v>45329</v>
      </c>
      <c r="C10360" s="1" t="n">
        <v>46145</v>
      </c>
      <c r="D10360" t="inlineStr">
        <is>
          <t>VÄSTERBOTTENS LÄN</t>
        </is>
      </c>
      <c r="E10360" t="inlineStr">
        <is>
          <t>ÅSELE</t>
        </is>
      </c>
      <c r="F10360" t="inlineStr">
        <is>
          <t>Övriga Aktiebolag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50615-2024</t>
        </is>
      </c>
      <c r="B10361" s="1" t="n">
        <v>45601</v>
      </c>
      <c r="C10361" s="1" t="n">
        <v>46145</v>
      </c>
      <c r="D10361" t="inlineStr">
        <is>
          <t>VÄSTERBOTTENS LÄN</t>
        </is>
      </c>
      <c r="E10361" t="inlineStr">
        <is>
          <t>VINDELN</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18689-2026</t>
        </is>
      </c>
      <c r="B10362" s="1" t="n">
        <v>46128.39429398148</v>
      </c>
      <c r="C10362" s="1" t="n">
        <v>46145</v>
      </c>
      <c r="D10362" t="inlineStr">
        <is>
          <t>VÄSTERBOTTENS LÄN</t>
        </is>
      </c>
      <c r="E10362" t="inlineStr">
        <is>
          <t>SKELLEFTEÅ</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5013-2024</t>
        </is>
      </c>
      <c r="B10363" s="1" t="n">
        <v>45329</v>
      </c>
      <c r="C10363" s="1" t="n">
        <v>46145</v>
      </c>
      <c r="D10363" t="inlineStr">
        <is>
          <t>VÄSTERBOTTENS LÄN</t>
        </is>
      </c>
      <c r="E10363" t="inlineStr">
        <is>
          <t>ÅSELE</t>
        </is>
      </c>
      <c r="F10363" t="inlineStr">
        <is>
          <t>Övriga Aktiebolag</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49031-2024</t>
        </is>
      </c>
      <c r="B10364" s="1" t="n">
        <v>45594.53015046296</v>
      </c>
      <c r="C10364" s="1" t="n">
        <v>46145</v>
      </c>
      <c r="D10364" t="inlineStr">
        <is>
          <t>VÄSTERBOTTENS LÄN</t>
        </is>
      </c>
      <c r="E10364" t="inlineStr">
        <is>
          <t>ROBERTSFORS</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12418-2026</t>
        </is>
      </c>
      <c r="B10365" s="1" t="n">
        <v>46090</v>
      </c>
      <c r="C10365" s="1" t="n">
        <v>46145</v>
      </c>
      <c r="D10365" t="inlineStr">
        <is>
          <t>VÄSTERBOTTENS LÄN</t>
        </is>
      </c>
      <c r="E10365" t="inlineStr">
        <is>
          <t>ÅSELE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56539-2024</t>
        </is>
      </c>
      <c r="B10366" s="1" t="n">
        <v>45625</v>
      </c>
      <c r="C10366" s="1" t="n">
        <v>46145</v>
      </c>
      <c r="D10366" t="inlineStr">
        <is>
          <t>VÄSTERBOTTENS LÄN</t>
        </is>
      </c>
      <c r="E10366" t="inlineStr">
        <is>
          <t>SKELLEFTEÅ</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10586-2025</t>
        </is>
      </c>
      <c r="B10367" s="1" t="n">
        <v>45721.5528587963</v>
      </c>
      <c r="C10367" s="1" t="n">
        <v>46145</v>
      </c>
      <c r="D10367" t="inlineStr">
        <is>
          <t>VÄSTERBOTTENS LÄN</t>
        </is>
      </c>
      <c r="E10367" t="inlineStr">
        <is>
          <t>LYCKSELE</t>
        </is>
      </c>
      <c r="F10367" t="inlineStr">
        <is>
          <t>SCA</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12443-2026</t>
        </is>
      </c>
      <c r="B10368" s="1" t="n">
        <v>46090.47888888889</v>
      </c>
      <c r="C10368" s="1" t="n">
        <v>46145</v>
      </c>
      <c r="D10368" t="inlineStr">
        <is>
          <t>VÄSTERBOTTENS LÄN</t>
        </is>
      </c>
      <c r="E10368" t="inlineStr">
        <is>
          <t>SKELLEFTEÅ</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12457-2026</t>
        </is>
      </c>
      <c r="B10369" s="1" t="n">
        <v>46090</v>
      </c>
      <c r="C10369" s="1" t="n">
        <v>46145</v>
      </c>
      <c r="D10369" t="inlineStr">
        <is>
          <t>VÄSTERBOTTENS LÄN</t>
        </is>
      </c>
      <c r="E10369" t="inlineStr">
        <is>
          <t>LYCKSELE</t>
        </is>
      </c>
      <c r="G10369" t="n">
        <v>30.3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12471-2026</t>
        </is>
      </c>
      <c r="B10370" s="1" t="n">
        <v>46090.54347222222</v>
      </c>
      <c r="C10370" s="1" t="n">
        <v>46145</v>
      </c>
      <c r="D10370" t="inlineStr">
        <is>
          <t>VÄSTERBOTTENS LÄN</t>
        </is>
      </c>
      <c r="E10370" t="inlineStr">
        <is>
          <t>LYCKSELE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19103-2026</t>
        </is>
      </c>
      <c r="B10371" s="1" t="n">
        <v>46132.44097222222</v>
      </c>
      <c r="C10371" s="1" t="n">
        <v>46145</v>
      </c>
      <c r="D10371" t="inlineStr">
        <is>
          <t>VÄSTERBOTTENS LÄN</t>
        </is>
      </c>
      <c r="E10371" t="inlineStr">
        <is>
          <t>ROBERTSFORS</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19136-2026</t>
        </is>
      </c>
      <c r="B10372" s="1" t="n">
        <v>46132.49788194444</v>
      </c>
      <c r="C10372" s="1" t="n">
        <v>46145</v>
      </c>
      <c r="D10372" t="inlineStr">
        <is>
          <t>VÄSTERBOTTENS LÄN</t>
        </is>
      </c>
      <c r="E10372" t="inlineStr">
        <is>
          <t>BJURHOLM</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32227-2024</t>
        </is>
      </c>
      <c r="B10373" s="1" t="n">
        <v>45511.92836805555</v>
      </c>
      <c r="C10373" s="1" t="n">
        <v>46145</v>
      </c>
      <c r="D10373" t="inlineStr">
        <is>
          <t>VÄSTERBOTTENS LÄN</t>
        </is>
      </c>
      <c r="E10373" t="inlineStr">
        <is>
          <t>NORSJÖ</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32229-2024</t>
        </is>
      </c>
      <c r="B10374" s="1" t="n">
        <v>45511.9284837963</v>
      </c>
      <c r="C10374" s="1" t="n">
        <v>46145</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32231-2024</t>
        </is>
      </c>
      <c r="B10375" s="1" t="n">
        <v>45511.92864583333</v>
      </c>
      <c r="C10375" s="1" t="n">
        <v>46145</v>
      </c>
      <c r="D10375" t="inlineStr">
        <is>
          <t>VÄSTERBOTTENS LÄN</t>
        </is>
      </c>
      <c r="E10375" t="inlineStr">
        <is>
          <t>NORSJÖ</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19316-2026</t>
        </is>
      </c>
      <c r="B10376" s="1" t="n">
        <v>46133.39229166666</v>
      </c>
      <c r="C10376" s="1" t="n">
        <v>46145</v>
      </c>
      <c r="D10376" t="inlineStr">
        <is>
          <t>VÄSTERBOTTENS LÄN</t>
        </is>
      </c>
      <c r="E10376" t="inlineStr">
        <is>
          <t>SKELLEFTEÅ</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19325-2026</t>
        </is>
      </c>
      <c r="B10377" s="1" t="n">
        <v>46133.40503472222</v>
      </c>
      <c r="C10377" s="1" t="n">
        <v>46145</v>
      </c>
      <c r="D10377" t="inlineStr">
        <is>
          <t>VÄSTERBOTTENS LÄN</t>
        </is>
      </c>
      <c r="E10377" t="inlineStr">
        <is>
          <t>LYCKSELE</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19326-2026</t>
        </is>
      </c>
      <c r="B10378" s="1" t="n">
        <v>46133.40694444445</v>
      </c>
      <c r="C10378" s="1" t="n">
        <v>46145</v>
      </c>
      <c r="D10378" t="inlineStr">
        <is>
          <t>VÄSTERBOTTENS LÄN</t>
        </is>
      </c>
      <c r="E10378" t="inlineStr">
        <is>
          <t>BJURHOLM</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19349-2026</t>
        </is>
      </c>
      <c r="B10379" s="1" t="n">
        <v>46133.46409722222</v>
      </c>
      <c r="C10379" s="1" t="n">
        <v>46145</v>
      </c>
      <c r="D10379" t="inlineStr">
        <is>
          <t>VÄSTERBOTTENS LÄN</t>
        </is>
      </c>
      <c r="E10379" t="inlineStr">
        <is>
          <t>MALÅ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63244-2025</t>
        </is>
      </c>
      <c r="B10380" s="1" t="n">
        <v>46010.5324537037</v>
      </c>
      <c r="C10380" s="1" t="n">
        <v>46145</v>
      </c>
      <c r="D10380" t="inlineStr">
        <is>
          <t>VÄSTERBOTTENS LÄN</t>
        </is>
      </c>
      <c r="E10380" t="inlineStr">
        <is>
          <t>UMEÅ</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12045-2024</t>
        </is>
      </c>
      <c r="B10381" s="1" t="n">
        <v>45377</v>
      </c>
      <c r="C10381" s="1" t="n">
        <v>46145</v>
      </c>
      <c r="D10381" t="inlineStr">
        <is>
          <t>VÄSTERBOTTENS LÄN</t>
        </is>
      </c>
      <c r="E10381" t="inlineStr">
        <is>
          <t>SKELLEFTEÅ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12383-2026</t>
        </is>
      </c>
      <c r="B10382" s="1" t="n">
        <v>46090.36493055556</v>
      </c>
      <c r="C10382" s="1" t="n">
        <v>46145</v>
      </c>
      <c r="D10382" t="inlineStr">
        <is>
          <t>VÄSTERBOTTENS LÄN</t>
        </is>
      </c>
      <c r="E10382" t="inlineStr">
        <is>
          <t>NORSJÖ</t>
        </is>
      </c>
      <c r="G10382" t="n">
        <v>13.7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30306-2024</t>
        </is>
      </c>
      <c r="B10383" s="1" t="n">
        <v>45490.69914351852</v>
      </c>
      <c r="C10383" s="1" t="n">
        <v>46145</v>
      </c>
      <c r="D10383" t="inlineStr">
        <is>
          <t>VÄSTERBOTTENS LÄN</t>
        </is>
      </c>
      <c r="E10383" t="inlineStr">
        <is>
          <t>LYCKSELE</t>
        </is>
      </c>
      <c r="F10383" t="inlineStr">
        <is>
          <t>Holmen skog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68665-2021</t>
        </is>
      </c>
      <c r="B10384" s="1" t="n">
        <v>44529</v>
      </c>
      <c r="C10384" s="1" t="n">
        <v>46145</v>
      </c>
      <c r="D10384" t="inlineStr">
        <is>
          <t>VÄSTERBOTTENS LÄN</t>
        </is>
      </c>
      <c r="E10384" t="inlineStr">
        <is>
          <t>LYCKSELE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19198-2026</t>
        </is>
      </c>
      <c r="B10385" s="1" t="n">
        <v>46132.61269675926</v>
      </c>
      <c r="C10385" s="1" t="n">
        <v>46145</v>
      </c>
      <c r="D10385" t="inlineStr">
        <is>
          <t>VÄSTERBOTTENS LÄN</t>
        </is>
      </c>
      <c r="E10385" t="inlineStr">
        <is>
          <t>SKELLEFTEÅ</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10918-2023</t>
        </is>
      </c>
      <c r="B10386" s="1" t="n">
        <v>44991</v>
      </c>
      <c r="C10386" s="1" t="n">
        <v>46145</v>
      </c>
      <c r="D10386" t="inlineStr">
        <is>
          <t>VÄSTERBOTTENS LÄN</t>
        </is>
      </c>
      <c r="E10386" t="inlineStr">
        <is>
          <t>BJURHOLM</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8733-2023</t>
        </is>
      </c>
      <c r="B10387" s="1" t="n">
        <v>44972</v>
      </c>
      <c r="C10387" s="1" t="n">
        <v>46145</v>
      </c>
      <c r="D10387" t="inlineStr">
        <is>
          <t>VÄSTERBOTTENS LÄN</t>
        </is>
      </c>
      <c r="E10387" t="inlineStr">
        <is>
          <t>VILHELMINA</t>
        </is>
      </c>
      <c r="F10387" t="inlineStr">
        <is>
          <t>Allmännings- och besparingsskogar</t>
        </is>
      </c>
      <c r="G10387" t="n">
        <v>20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8759-2023</t>
        </is>
      </c>
      <c r="B10388" s="1" t="n">
        <v>44972</v>
      </c>
      <c r="C10388" s="1" t="n">
        <v>46145</v>
      </c>
      <c r="D10388" t="inlineStr">
        <is>
          <t>VÄSTERBOTTENS LÄN</t>
        </is>
      </c>
      <c r="E10388" t="inlineStr">
        <is>
          <t>VILHELMINA</t>
        </is>
      </c>
      <c r="F10388" t="inlineStr">
        <is>
          <t>Allmännings- och besparingsskogar</t>
        </is>
      </c>
      <c r="G10388" t="n">
        <v>23.4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15384-2024</t>
        </is>
      </c>
      <c r="B10389" s="1" t="n">
        <v>45400</v>
      </c>
      <c r="C10389" s="1" t="n">
        <v>46145</v>
      </c>
      <c r="D10389" t="inlineStr">
        <is>
          <t>VÄSTERBOTTENS LÄN</t>
        </is>
      </c>
      <c r="E10389" t="inlineStr">
        <is>
          <t>STORUMAN</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22205-2024</t>
        </is>
      </c>
      <c r="B10390" s="1" t="n">
        <v>45446.37524305555</v>
      </c>
      <c r="C10390" s="1" t="n">
        <v>46145</v>
      </c>
      <c r="D10390" t="inlineStr">
        <is>
          <t>VÄSTERBOTTENS LÄN</t>
        </is>
      </c>
      <c r="E10390" t="inlineStr">
        <is>
          <t>SKELLEFTEÅ</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12377-2026</t>
        </is>
      </c>
      <c r="B10391" s="1" t="n">
        <v>46090.34473379629</v>
      </c>
      <c r="C10391" s="1" t="n">
        <v>46145</v>
      </c>
      <c r="D10391" t="inlineStr">
        <is>
          <t>VÄSTERBOTTENS LÄN</t>
        </is>
      </c>
      <c r="E10391" t="inlineStr">
        <is>
          <t>SKELLEFTEÅ</t>
        </is>
      </c>
      <c r="G10391" t="n">
        <v>20.5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19077-2026</t>
        </is>
      </c>
      <c r="B10392" s="1" t="n">
        <v>46132.38697916667</v>
      </c>
      <c r="C10392" s="1" t="n">
        <v>46145</v>
      </c>
      <c r="D10392" t="inlineStr">
        <is>
          <t>VÄSTERBOTTENS LÄN</t>
        </is>
      </c>
      <c r="E10392" t="inlineStr">
        <is>
          <t>ROBERTSFORS</t>
        </is>
      </c>
      <c r="F10392" t="inlineStr">
        <is>
          <t>Holmen skog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6225-2023</t>
        </is>
      </c>
      <c r="B10393" s="1" t="n">
        <v>44964.87805555556</v>
      </c>
      <c r="C10393" s="1" t="n">
        <v>46145</v>
      </c>
      <c r="D10393" t="inlineStr">
        <is>
          <t>VÄSTERBOTTENS LÄN</t>
        </is>
      </c>
      <c r="E10393" t="inlineStr">
        <is>
          <t>NORDMALING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4008-2024</t>
        </is>
      </c>
      <c r="B10394" s="1" t="n">
        <v>45323</v>
      </c>
      <c r="C10394" s="1" t="n">
        <v>46145</v>
      </c>
      <c r="D10394" t="inlineStr">
        <is>
          <t>VÄSTERBOTTENS LÄN</t>
        </is>
      </c>
      <c r="E10394" t="inlineStr">
        <is>
          <t>SKELLEFTEÅ</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51724-2024</t>
        </is>
      </c>
      <c r="B10395" s="1" t="n">
        <v>45607.38243055555</v>
      </c>
      <c r="C10395" s="1" t="n">
        <v>46145</v>
      </c>
      <c r="D10395" t="inlineStr">
        <is>
          <t>VÄSTERBOTTENS LÄN</t>
        </is>
      </c>
      <c r="E10395" t="inlineStr">
        <is>
          <t>NORSJÖ</t>
        </is>
      </c>
      <c r="F10395" t="inlineStr">
        <is>
          <t>Holmen skog AB</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12688-2026</t>
        </is>
      </c>
      <c r="B10396" s="1" t="n">
        <v>46091.56822916667</v>
      </c>
      <c r="C10396" s="1" t="n">
        <v>46145</v>
      </c>
      <c r="D10396" t="inlineStr">
        <is>
          <t>VÄSTERBOTTENS LÄN</t>
        </is>
      </c>
      <c r="E10396" t="inlineStr">
        <is>
          <t>SKELLEFTEÅ</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31372-2024</t>
        </is>
      </c>
      <c r="B10397" s="1" t="n">
        <v>45503</v>
      </c>
      <c r="C10397" s="1" t="n">
        <v>46145</v>
      </c>
      <c r="D10397" t="inlineStr">
        <is>
          <t>VÄSTERBOTTENS LÄN</t>
        </is>
      </c>
      <c r="E10397" t="inlineStr">
        <is>
          <t>LYCKSELE</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57577-2022</t>
        </is>
      </c>
      <c r="B10398" s="1" t="n">
        <v>44896.92947916667</v>
      </c>
      <c r="C10398" s="1" t="n">
        <v>46145</v>
      </c>
      <c r="D10398" t="inlineStr">
        <is>
          <t>VÄSTERBOTTENS LÄN</t>
        </is>
      </c>
      <c r="E10398" t="inlineStr">
        <is>
          <t>SKELLEFTEÅ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56258-2024</t>
        </is>
      </c>
      <c r="B10399" s="1" t="n">
        <v>45624.64472222222</v>
      </c>
      <c r="C10399" s="1" t="n">
        <v>46145</v>
      </c>
      <c r="D10399" t="inlineStr">
        <is>
          <t>VÄSTERBOTTENS LÄN</t>
        </is>
      </c>
      <c r="E10399" t="inlineStr">
        <is>
          <t>VÄNNÄS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56262-2024</t>
        </is>
      </c>
      <c r="B10400" s="1" t="n">
        <v>45624.65004629629</v>
      </c>
      <c r="C10400" s="1" t="n">
        <v>46145</v>
      </c>
      <c r="D10400" t="inlineStr">
        <is>
          <t>VÄSTERBOTTENS LÄN</t>
        </is>
      </c>
      <c r="E10400" t="inlineStr">
        <is>
          <t>VÄNNÄS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40087-2023</t>
        </is>
      </c>
      <c r="B10401" s="1" t="n">
        <v>45168</v>
      </c>
      <c r="C10401" s="1" t="n">
        <v>46145</v>
      </c>
      <c r="D10401" t="inlineStr">
        <is>
          <t>VÄSTERBOTTENS LÄN</t>
        </is>
      </c>
      <c r="E10401" t="inlineStr">
        <is>
          <t>NORSJÖ</t>
        </is>
      </c>
      <c r="F10401" t="inlineStr">
        <is>
          <t>Sveaskog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52584-2024</t>
        </is>
      </c>
      <c r="B10402" s="1" t="n">
        <v>45609.67881944445</v>
      </c>
      <c r="C10402" s="1" t="n">
        <v>46145</v>
      </c>
      <c r="D10402" t="inlineStr">
        <is>
          <t>VÄSTERBOTTENS LÄN</t>
        </is>
      </c>
      <c r="E10402" t="inlineStr">
        <is>
          <t>BJURHOLM</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57883-2023</t>
        </is>
      </c>
      <c r="B10403" s="1" t="n">
        <v>45247.47055555556</v>
      </c>
      <c r="C10403" s="1" t="n">
        <v>46145</v>
      </c>
      <c r="D10403" t="inlineStr">
        <is>
          <t>VÄSTERBOTTENS LÄN</t>
        </is>
      </c>
      <c r="E10403" t="inlineStr">
        <is>
          <t>UMEÅ</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6837-2022</t>
        </is>
      </c>
      <c r="B10404" s="1" t="n">
        <v>44602</v>
      </c>
      <c r="C10404" s="1" t="n">
        <v>46145</v>
      </c>
      <c r="D10404" t="inlineStr">
        <is>
          <t>VÄSTERBOTTENS LÄN</t>
        </is>
      </c>
      <c r="E10404" t="inlineStr">
        <is>
          <t>SKELLEFTEÅ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19076-2026</t>
        </is>
      </c>
      <c r="B10405" s="1" t="n">
        <v>46132.38621527778</v>
      </c>
      <c r="C10405" s="1" t="n">
        <v>46145</v>
      </c>
      <c r="D10405" t="inlineStr">
        <is>
          <t>VÄSTERBOTTENS LÄN</t>
        </is>
      </c>
      <c r="E10405" t="inlineStr">
        <is>
          <t>VILHELMINA</t>
        </is>
      </c>
      <c r="F10405" t="inlineStr">
        <is>
          <t>SCA</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59693-2024</t>
        </is>
      </c>
      <c r="B10406" s="1" t="n">
        <v>45639</v>
      </c>
      <c r="C10406" s="1" t="n">
        <v>46145</v>
      </c>
      <c r="D10406" t="inlineStr">
        <is>
          <t>VÄSTERBOTTENS LÄN</t>
        </is>
      </c>
      <c r="E10406" t="inlineStr">
        <is>
          <t>VILHELMINA</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19357-2026</t>
        </is>
      </c>
      <c r="B10407" s="1" t="n">
        <v>46133.49539351852</v>
      </c>
      <c r="C10407" s="1" t="n">
        <v>46145</v>
      </c>
      <c r="D10407" t="inlineStr">
        <is>
          <t>VÄSTERBOTTENS LÄN</t>
        </is>
      </c>
      <c r="E10407" t="inlineStr">
        <is>
          <t>VÄNNÄS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19430-2026</t>
        </is>
      </c>
      <c r="B10408" s="1" t="n">
        <v>46133.6180787037</v>
      </c>
      <c r="C10408" s="1" t="n">
        <v>46145</v>
      </c>
      <c r="D10408" t="inlineStr">
        <is>
          <t>VÄSTERBOTTENS LÄN</t>
        </is>
      </c>
      <c r="E10408" t="inlineStr">
        <is>
          <t>SKELLEFTEÅ</t>
        </is>
      </c>
      <c r="F10408" t="inlineStr">
        <is>
          <t>Holmen skog AB</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19445-2026</t>
        </is>
      </c>
      <c r="B10409" s="1" t="n">
        <v>46133.65747685185</v>
      </c>
      <c r="C10409" s="1" t="n">
        <v>46145</v>
      </c>
      <c r="D10409" t="inlineStr">
        <is>
          <t>VÄSTERBOTTENS LÄN</t>
        </is>
      </c>
      <c r="E10409" t="inlineStr">
        <is>
          <t>DOROTEA</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60209-2024</t>
        </is>
      </c>
      <c r="B10410" s="1" t="n">
        <v>45642</v>
      </c>
      <c r="C10410" s="1" t="n">
        <v>46145</v>
      </c>
      <c r="D10410" t="inlineStr">
        <is>
          <t>VÄSTERBOTTENS LÄN</t>
        </is>
      </c>
      <c r="E10410" t="inlineStr">
        <is>
          <t>SKELLEFTEÅ</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23216-2024</t>
        </is>
      </c>
      <c r="B10411" s="1" t="n">
        <v>45452</v>
      </c>
      <c r="C10411" s="1" t="n">
        <v>46145</v>
      </c>
      <c r="D10411" t="inlineStr">
        <is>
          <t>VÄSTERBOTTENS LÄN</t>
        </is>
      </c>
      <c r="E10411" t="inlineStr">
        <is>
          <t>VINDELN</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36972-2023</t>
        </is>
      </c>
      <c r="B10412" s="1" t="n">
        <v>45154</v>
      </c>
      <c r="C10412" s="1" t="n">
        <v>46145</v>
      </c>
      <c r="D10412" t="inlineStr">
        <is>
          <t>VÄSTERBOTTENS LÄN</t>
        </is>
      </c>
      <c r="E10412" t="inlineStr">
        <is>
          <t>VILHELMINA</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12648-2026</t>
        </is>
      </c>
      <c r="B10413" s="1" t="n">
        <v>46091.47827546296</v>
      </c>
      <c r="C10413" s="1" t="n">
        <v>46145</v>
      </c>
      <c r="D10413" t="inlineStr">
        <is>
          <t>VÄSTERBOTTENS LÄN</t>
        </is>
      </c>
      <c r="E10413" t="inlineStr">
        <is>
          <t>UMEÅ</t>
        </is>
      </c>
      <c r="F10413" t="inlineStr">
        <is>
          <t>Kommuner</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42787-2023</t>
        </is>
      </c>
      <c r="B10414" s="1" t="n">
        <v>45181</v>
      </c>
      <c r="C10414" s="1" t="n">
        <v>46145</v>
      </c>
      <c r="D10414" t="inlineStr">
        <is>
          <t>VÄSTERBOTTENS LÄN</t>
        </is>
      </c>
      <c r="E10414" t="inlineStr">
        <is>
          <t>SKELLEFTEÅ</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19298-2026</t>
        </is>
      </c>
      <c r="B10415" s="1" t="n">
        <v>46133.34440972222</v>
      </c>
      <c r="C10415" s="1" t="n">
        <v>46145</v>
      </c>
      <c r="D10415" t="inlineStr">
        <is>
          <t>VÄSTERBOTTENS LÄN</t>
        </is>
      </c>
      <c r="E10415" t="inlineStr">
        <is>
          <t>DOROTEA</t>
        </is>
      </c>
      <c r="F10415" t="inlineStr">
        <is>
          <t>SCA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37326-2023</t>
        </is>
      </c>
      <c r="B10416" s="1" t="n">
        <v>45154</v>
      </c>
      <c r="C10416" s="1" t="n">
        <v>46145</v>
      </c>
      <c r="D10416" t="inlineStr">
        <is>
          <t>VÄSTERBOTTENS LÄN</t>
        </is>
      </c>
      <c r="E10416" t="inlineStr">
        <is>
          <t>MALÅ</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17110-2023</t>
        </is>
      </c>
      <c r="B10417" s="1" t="n">
        <v>45030</v>
      </c>
      <c r="C10417" s="1" t="n">
        <v>46145</v>
      </c>
      <c r="D10417" t="inlineStr">
        <is>
          <t>VÄSTERBOTTENS LÄN</t>
        </is>
      </c>
      <c r="E10417" t="inlineStr">
        <is>
          <t>UMEÅ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62553-2021</t>
        </is>
      </c>
      <c r="B10418" s="1" t="n">
        <v>44501</v>
      </c>
      <c r="C10418" s="1" t="n">
        <v>46145</v>
      </c>
      <c r="D10418" t="inlineStr">
        <is>
          <t>VÄSTERBOTTENS LÄN</t>
        </is>
      </c>
      <c r="E10418" t="inlineStr">
        <is>
          <t>VÄNNÄS</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27382-2024</t>
        </is>
      </c>
      <c r="B10419" s="1" t="n">
        <v>45473.9594212963</v>
      </c>
      <c r="C10419" s="1" t="n">
        <v>46145</v>
      </c>
      <c r="D10419" t="inlineStr">
        <is>
          <t>VÄSTERBOTTENS LÄN</t>
        </is>
      </c>
      <c r="E10419" t="inlineStr">
        <is>
          <t>NORDMALING</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44426-2023</t>
        </is>
      </c>
      <c r="B10420" s="1" t="n">
        <v>45188</v>
      </c>
      <c r="C10420" s="1" t="n">
        <v>46145</v>
      </c>
      <c r="D10420" t="inlineStr">
        <is>
          <t>VÄSTERBOTTENS LÄN</t>
        </is>
      </c>
      <c r="E10420" t="inlineStr">
        <is>
          <t>MALÅ</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44488-2023</t>
        </is>
      </c>
      <c r="B10421" s="1" t="n">
        <v>45189.44546296296</v>
      </c>
      <c r="C10421" s="1" t="n">
        <v>46145</v>
      </c>
      <c r="D10421" t="inlineStr">
        <is>
          <t>VÄSTERBOTTENS LÄN</t>
        </is>
      </c>
      <c r="E10421" t="inlineStr">
        <is>
          <t>BJURHOLM</t>
        </is>
      </c>
      <c r="F10421" t="inlineStr">
        <is>
          <t>Holmen skog AB</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37901-2023</t>
        </is>
      </c>
      <c r="B10422" s="1" t="n">
        <v>45160.4729050926</v>
      </c>
      <c r="C10422" s="1" t="n">
        <v>46145</v>
      </c>
      <c r="D10422" t="inlineStr">
        <is>
          <t>VÄSTERBOTTENS LÄN</t>
        </is>
      </c>
      <c r="E10422" t="inlineStr">
        <is>
          <t>ROBERTSFORS</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15750-2023</t>
        </is>
      </c>
      <c r="B10423" s="1" t="n">
        <v>45021.6141087963</v>
      </c>
      <c r="C10423" s="1" t="n">
        <v>46145</v>
      </c>
      <c r="D10423" t="inlineStr">
        <is>
          <t>VÄSTERBOTTENS LÄN</t>
        </is>
      </c>
      <c r="E10423" t="inlineStr">
        <is>
          <t>NORDMALING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82-2025</t>
        </is>
      </c>
      <c r="B10424" s="1" t="n">
        <v>45659</v>
      </c>
      <c r="C10424" s="1" t="n">
        <v>46145</v>
      </c>
      <c r="D10424" t="inlineStr">
        <is>
          <t>VÄSTERBOTTENS LÄN</t>
        </is>
      </c>
      <c r="E10424" t="inlineStr">
        <is>
          <t>BJURHOLM</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3885-2025</t>
        </is>
      </c>
      <c r="B10425" s="1" t="n">
        <v>45684.36349537037</v>
      </c>
      <c r="C10425" s="1" t="n">
        <v>46145</v>
      </c>
      <c r="D10425" t="inlineStr">
        <is>
          <t>VÄSTERBOTTENS LÄN</t>
        </is>
      </c>
      <c r="E10425" t="inlineStr">
        <is>
          <t>VINDELN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12617-2026</t>
        </is>
      </c>
      <c r="B10426" s="1" t="n">
        <v>46091.41554398148</v>
      </c>
      <c r="C10426" s="1" t="n">
        <v>46145</v>
      </c>
      <c r="D10426" t="inlineStr">
        <is>
          <t>VÄSTERBOTTENS LÄN</t>
        </is>
      </c>
      <c r="E10426" t="inlineStr">
        <is>
          <t>UMEÅ</t>
        </is>
      </c>
      <c r="F10426" t="inlineStr">
        <is>
          <t>Kommuner</t>
        </is>
      </c>
      <c r="G10426" t="n">
        <v>14.8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18377-2025</t>
        </is>
      </c>
      <c r="B10427" s="1" t="n">
        <v>45762.57496527778</v>
      </c>
      <c r="C10427" s="1" t="n">
        <v>46145</v>
      </c>
      <c r="D10427" t="inlineStr">
        <is>
          <t>VÄSTERBOTTENS LÄN</t>
        </is>
      </c>
      <c r="E10427" t="inlineStr">
        <is>
          <t>VÄNNÄS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4462-2023</t>
        </is>
      </c>
      <c r="B10428" s="1" t="n">
        <v>44952</v>
      </c>
      <c r="C10428" s="1" t="n">
        <v>46145</v>
      </c>
      <c r="D10428" t="inlineStr">
        <is>
          <t>VÄSTERBOTTENS LÄN</t>
        </is>
      </c>
      <c r="E10428" t="inlineStr">
        <is>
          <t>ÅSELE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19126-2026</t>
        </is>
      </c>
      <c r="B10429" s="1" t="n">
        <v>46132.48385416667</v>
      </c>
      <c r="C10429" s="1" t="n">
        <v>46145</v>
      </c>
      <c r="D10429" t="inlineStr">
        <is>
          <t>VÄSTERBOTTENS LÄN</t>
        </is>
      </c>
      <c r="E10429" t="inlineStr">
        <is>
          <t>ROBERTSFORS</t>
        </is>
      </c>
      <c r="F10429" t="inlineStr">
        <is>
          <t>Holmen skog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19158-2026</t>
        </is>
      </c>
      <c r="B10430" s="1" t="n">
        <v>46132.55716435185</v>
      </c>
      <c r="C10430" s="1" t="n">
        <v>46145</v>
      </c>
      <c r="D10430" t="inlineStr">
        <is>
          <t>VÄSTERBOTTENS LÄN</t>
        </is>
      </c>
      <c r="E10430" t="inlineStr">
        <is>
          <t>NORDMALING</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41792-2023</t>
        </is>
      </c>
      <c r="B10431" s="1" t="n">
        <v>45176</v>
      </c>
      <c r="C10431" s="1" t="n">
        <v>46145</v>
      </c>
      <c r="D10431" t="inlineStr">
        <is>
          <t>VÄSTERBOTTENS LÄN</t>
        </is>
      </c>
      <c r="E10431" t="inlineStr">
        <is>
          <t>MALÅ</t>
        </is>
      </c>
      <c r="F10431" t="inlineStr">
        <is>
          <t>Sveaskog</t>
        </is>
      </c>
      <c r="G10431" t="n">
        <v>10.7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19177-2026</t>
        </is>
      </c>
      <c r="B10432" s="1" t="n">
        <v>46132.59511574074</v>
      </c>
      <c r="C10432" s="1" t="n">
        <v>46145</v>
      </c>
      <c r="D10432" t="inlineStr">
        <is>
          <t>VÄSTERBOTTENS LÄN</t>
        </is>
      </c>
      <c r="E10432" t="inlineStr">
        <is>
          <t>ÅSELE</t>
        </is>
      </c>
      <c r="F10432" t="inlineStr">
        <is>
          <t>SCA</t>
        </is>
      </c>
      <c r="G10432" t="n">
        <v>31.9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19184-2026</t>
        </is>
      </c>
      <c r="B10433" s="1" t="n">
        <v>46132.59685185185</v>
      </c>
      <c r="C10433" s="1" t="n">
        <v>46145</v>
      </c>
      <c r="D10433" t="inlineStr">
        <is>
          <t>VÄSTERBOTTENS LÄN</t>
        </is>
      </c>
      <c r="E10433" t="inlineStr">
        <is>
          <t>ÅSELE</t>
        </is>
      </c>
      <c r="F10433" t="inlineStr">
        <is>
          <t>SCA</t>
        </is>
      </c>
      <c r="G10433" t="n">
        <v>47.2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19195-2026</t>
        </is>
      </c>
      <c r="B10434" s="1" t="n">
        <v>46132.60884259259</v>
      </c>
      <c r="C10434" s="1" t="n">
        <v>46145</v>
      </c>
      <c r="D10434" t="inlineStr">
        <is>
          <t>VÄSTERBOTTENS LÄN</t>
        </is>
      </c>
      <c r="E10434" t="inlineStr">
        <is>
          <t>SKELLEFTEÅ</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7745-2024</t>
        </is>
      </c>
      <c r="B10435" s="1" t="n">
        <v>45348</v>
      </c>
      <c r="C10435" s="1" t="n">
        <v>46145</v>
      </c>
      <c r="D10435" t="inlineStr">
        <is>
          <t>VÄSTERBOTTENS LÄN</t>
        </is>
      </c>
      <c r="E10435" t="inlineStr">
        <is>
          <t>SKELLEFTEÅ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27370-2023</t>
        </is>
      </c>
      <c r="B10436" s="1" t="n">
        <v>45096.93837962963</v>
      </c>
      <c r="C10436" s="1" t="n">
        <v>46145</v>
      </c>
      <c r="D10436" t="inlineStr">
        <is>
          <t>VÄSTERBOTTENS LÄN</t>
        </is>
      </c>
      <c r="E10436" t="inlineStr">
        <is>
          <t>NORDMALING</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64716-2023</t>
        </is>
      </c>
      <c r="B10437" s="1" t="n">
        <v>45281</v>
      </c>
      <c r="C10437" s="1" t="n">
        <v>46145</v>
      </c>
      <c r="D10437" t="inlineStr">
        <is>
          <t>VÄSTERBOTTENS LÄN</t>
        </is>
      </c>
      <c r="E10437" t="inlineStr">
        <is>
          <t>SKELLEFTEÅ</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51949-2025</t>
        </is>
      </c>
      <c r="B10438" s="1" t="n">
        <v>45952</v>
      </c>
      <c r="C10438" s="1" t="n">
        <v>46145</v>
      </c>
      <c r="D10438" t="inlineStr">
        <is>
          <t>VÄSTERBOTTENS LÄN</t>
        </is>
      </c>
      <c r="E10438" t="inlineStr">
        <is>
          <t>STORUMAN</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47548-2024</t>
        </is>
      </c>
      <c r="B10439" s="1" t="n">
        <v>45587</v>
      </c>
      <c r="C10439" s="1" t="n">
        <v>46145</v>
      </c>
      <c r="D10439" t="inlineStr">
        <is>
          <t>VÄSTERBOTTENS LÄN</t>
        </is>
      </c>
      <c r="E10439" t="inlineStr">
        <is>
          <t>VILHELMINA</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2393-2025</t>
        </is>
      </c>
      <c r="B10440" s="1" t="n">
        <v>45674.33457175926</v>
      </c>
      <c r="C10440" s="1" t="n">
        <v>46145</v>
      </c>
      <c r="D10440" t="inlineStr">
        <is>
          <t>VÄSTERBOTTENS LÄN</t>
        </is>
      </c>
      <c r="E10440" t="inlineStr">
        <is>
          <t>SKELLEFTEÅ</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39148-2023</t>
        </is>
      </c>
      <c r="B10441" s="1" t="n">
        <v>45166</v>
      </c>
      <c r="C10441" s="1" t="n">
        <v>46145</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19194-2026</t>
        </is>
      </c>
      <c r="B10442" s="1" t="n">
        <v>46132.60592592593</v>
      </c>
      <c r="C10442" s="1" t="n">
        <v>46145</v>
      </c>
      <c r="D10442" t="inlineStr">
        <is>
          <t>VÄSTERBOTTENS LÄN</t>
        </is>
      </c>
      <c r="E10442" t="inlineStr">
        <is>
          <t>SKELLEFTEÅ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19221-2026</t>
        </is>
      </c>
      <c r="B10443" s="1" t="n">
        <v>46132.63854166667</v>
      </c>
      <c r="C10443" s="1" t="n">
        <v>46145</v>
      </c>
      <c r="D10443" t="inlineStr">
        <is>
          <t>VÄSTERBOTTENS LÄN</t>
        </is>
      </c>
      <c r="E10443" t="inlineStr">
        <is>
          <t>BJURHOLM</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56891-2023</t>
        </is>
      </c>
      <c r="B10444" s="1" t="n">
        <v>45239</v>
      </c>
      <c r="C10444" s="1" t="n">
        <v>46145</v>
      </c>
      <c r="D10444" t="inlineStr">
        <is>
          <t>VÄSTERBOTTENS LÄN</t>
        </is>
      </c>
      <c r="E10444" t="inlineStr">
        <is>
          <t>VILHELMINA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12815-2026</t>
        </is>
      </c>
      <c r="B10445" s="1" t="n">
        <v>46091</v>
      </c>
      <c r="C10445" s="1" t="n">
        <v>46145</v>
      </c>
      <c r="D10445" t="inlineStr">
        <is>
          <t>VÄSTERBOTTENS LÄN</t>
        </is>
      </c>
      <c r="E10445" t="inlineStr">
        <is>
          <t>STORUMAN</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35921-2023</t>
        </is>
      </c>
      <c r="B10446" s="1" t="n">
        <v>45148</v>
      </c>
      <c r="C10446" s="1" t="n">
        <v>46145</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35971-2023</t>
        </is>
      </c>
      <c r="B10447" s="1" t="n">
        <v>45148</v>
      </c>
      <c r="C10447" s="1" t="n">
        <v>46145</v>
      </c>
      <c r="D10447" t="inlineStr">
        <is>
          <t>VÄSTERBOTTENS LÄN</t>
        </is>
      </c>
      <c r="E10447" t="inlineStr">
        <is>
          <t>ÅSELE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26540-2024</t>
        </is>
      </c>
      <c r="B10448" s="1" t="n">
        <v>45469.61787037037</v>
      </c>
      <c r="C10448" s="1" t="n">
        <v>46145</v>
      </c>
      <c r="D10448" t="inlineStr">
        <is>
          <t>VÄSTERBOTTENS LÄN</t>
        </is>
      </c>
      <c r="E10448" t="inlineStr">
        <is>
          <t>VINDELN</t>
        </is>
      </c>
      <c r="F10448" t="inlineStr">
        <is>
          <t>Holmen skog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33698-2023</t>
        </is>
      </c>
      <c r="B10449" s="1" t="n">
        <v>45132.71641203704</v>
      </c>
      <c r="C10449" s="1" t="n">
        <v>46145</v>
      </c>
      <c r="D10449" t="inlineStr">
        <is>
          <t>VÄSTERBOTTENS LÄN</t>
        </is>
      </c>
      <c r="E10449" t="inlineStr">
        <is>
          <t>VINDELN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33702-2023</t>
        </is>
      </c>
      <c r="B10450" s="1" t="n">
        <v>45132</v>
      </c>
      <c r="C10450" s="1" t="n">
        <v>46145</v>
      </c>
      <c r="D10450" t="inlineStr">
        <is>
          <t>VÄSTERBOTTENS LÄN</t>
        </is>
      </c>
      <c r="E10450" t="inlineStr">
        <is>
          <t>VINDELN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19143-2026</t>
        </is>
      </c>
      <c r="B10451" s="1" t="n">
        <v>46132</v>
      </c>
      <c r="C10451" s="1" t="n">
        <v>46145</v>
      </c>
      <c r="D10451" t="inlineStr">
        <is>
          <t>VÄSTERBOTTENS LÄN</t>
        </is>
      </c>
      <c r="E10451" t="inlineStr">
        <is>
          <t>NORDMALING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29962-2024</t>
        </is>
      </c>
      <c r="B10452" s="1" t="n">
        <v>45488.46452546296</v>
      </c>
      <c r="C10452" s="1" t="n">
        <v>46145</v>
      </c>
      <c r="D10452" t="inlineStr">
        <is>
          <t>VÄSTERBOTTENS LÄN</t>
        </is>
      </c>
      <c r="E10452" t="inlineStr">
        <is>
          <t>ÅSELE</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24875-2023</t>
        </is>
      </c>
      <c r="B10453" s="1" t="n">
        <v>45078</v>
      </c>
      <c r="C10453" s="1" t="n">
        <v>46145</v>
      </c>
      <c r="D10453" t="inlineStr">
        <is>
          <t>VÄSTERBOTTENS LÄN</t>
        </is>
      </c>
      <c r="E10453" t="inlineStr">
        <is>
          <t>UMEÅ</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19147-2026</t>
        </is>
      </c>
      <c r="B10454" s="1" t="n">
        <v>46132</v>
      </c>
      <c r="C10454" s="1" t="n">
        <v>46145</v>
      </c>
      <c r="D10454" t="inlineStr">
        <is>
          <t>VÄSTERBOTTENS LÄN</t>
        </is>
      </c>
      <c r="E10454" t="inlineStr">
        <is>
          <t>NORDMALING</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19351-2026</t>
        </is>
      </c>
      <c r="B10455" s="1" t="n">
        <v>46133.4715625</v>
      </c>
      <c r="C10455" s="1" t="n">
        <v>46145</v>
      </c>
      <c r="D10455" t="inlineStr">
        <is>
          <t>VÄSTERBOTTENS LÄN</t>
        </is>
      </c>
      <c r="E10455" t="inlineStr">
        <is>
          <t>MALÅ</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27929-2024</t>
        </is>
      </c>
      <c r="B10456" s="1" t="n">
        <v>45475.94980324074</v>
      </c>
      <c r="C10456" s="1" t="n">
        <v>46145</v>
      </c>
      <c r="D10456" t="inlineStr">
        <is>
          <t>VÄSTERBOTTENS LÄN</t>
        </is>
      </c>
      <c r="E10456" t="inlineStr">
        <is>
          <t>LYCKSELE</t>
        </is>
      </c>
      <c r="F10456" t="inlineStr">
        <is>
          <t>Naturvårdsverket</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27932-2024</t>
        </is>
      </c>
      <c r="B10457" s="1" t="n">
        <v>45475.95016203704</v>
      </c>
      <c r="C10457" s="1" t="n">
        <v>46145</v>
      </c>
      <c r="D10457" t="inlineStr">
        <is>
          <t>VÄSTERBOTTENS LÄN</t>
        </is>
      </c>
      <c r="E10457" t="inlineStr">
        <is>
          <t>LYCKSELE</t>
        </is>
      </c>
      <c r="F10457" t="inlineStr">
        <is>
          <t>Naturvårdsverket</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21109-2023</t>
        </is>
      </c>
      <c r="B10458" s="1" t="n">
        <v>45061.94275462963</v>
      </c>
      <c r="C10458" s="1" t="n">
        <v>46145</v>
      </c>
      <c r="D10458" t="inlineStr">
        <is>
          <t>VÄSTERBOTTENS LÄN</t>
        </is>
      </c>
      <c r="E10458" t="inlineStr">
        <is>
          <t>LYCKSELE</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44380-2022</t>
        </is>
      </c>
      <c r="B10459" s="1" t="n">
        <v>44838</v>
      </c>
      <c r="C10459" s="1" t="n">
        <v>46145</v>
      </c>
      <c r="D10459" t="inlineStr">
        <is>
          <t>VÄSTERBOTTENS LÄN</t>
        </is>
      </c>
      <c r="E10459" t="inlineStr">
        <is>
          <t>DOROTEA</t>
        </is>
      </c>
      <c r="G10459" t="n">
        <v>12.5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44398-2022</t>
        </is>
      </c>
      <c r="B10460" s="1" t="n">
        <v>44839</v>
      </c>
      <c r="C10460" s="1" t="n">
        <v>46145</v>
      </c>
      <c r="D10460" t="inlineStr">
        <is>
          <t>VÄSTERBOTTENS LÄN</t>
        </is>
      </c>
      <c r="E10460" t="inlineStr">
        <is>
          <t>SKELLEFTEÅ</t>
        </is>
      </c>
      <c r="F10460" t="inlineStr">
        <is>
          <t>Sveaskog</t>
        </is>
      </c>
      <c r="G10460" t="n">
        <v>22.3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52386-2023</t>
        </is>
      </c>
      <c r="B10461" s="1" t="n">
        <v>45224.88442129629</v>
      </c>
      <c r="C10461" s="1" t="n">
        <v>46145</v>
      </c>
      <c r="D10461" t="inlineStr">
        <is>
          <t>VÄSTERBOTTENS LÄN</t>
        </is>
      </c>
      <c r="E10461" t="inlineStr">
        <is>
          <t>BJURHOLM</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4004-2025</t>
        </is>
      </c>
      <c r="B10462" s="1" t="n">
        <v>45684</v>
      </c>
      <c r="C10462" s="1" t="n">
        <v>46145</v>
      </c>
      <c r="D10462" t="inlineStr">
        <is>
          <t>VÄSTERBOTTENS LÄN</t>
        </is>
      </c>
      <c r="E10462" t="inlineStr">
        <is>
          <t>VINDELN</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59561-2024</t>
        </is>
      </c>
      <c r="B10463" s="1" t="n">
        <v>45638.63717592593</v>
      </c>
      <c r="C10463" s="1" t="n">
        <v>46145</v>
      </c>
      <c r="D10463" t="inlineStr">
        <is>
          <t>VÄSTERBOTTENS LÄN</t>
        </is>
      </c>
      <c r="E10463" t="inlineStr">
        <is>
          <t>MALÅ</t>
        </is>
      </c>
      <c r="G10463" t="n">
        <v>11.4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59569-2024</t>
        </is>
      </c>
      <c r="B10464" s="1" t="n">
        <v>45638.64100694445</v>
      </c>
      <c r="C10464" s="1" t="n">
        <v>46145</v>
      </c>
      <c r="D10464" t="inlineStr">
        <is>
          <t>VÄSTERBOTTENS LÄN</t>
        </is>
      </c>
      <c r="E10464" t="inlineStr">
        <is>
          <t>LYCKSELE</t>
        </is>
      </c>
      <c r="F10464" t="inlineStr">
        <is>
          <t>Holmen skog AB</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52493-2023</t>
        </is>
      </c>
      <c r="B10465" s="1" t="n">
        <v>45225.45331018518</v>
      </c>
      <c r="C10465" s="1" t="n">
        <v>46145</v>
      </c>
      <c r="D10465" t="inlineStr">
        <is>
          <t>VÄSTERBOTTENS LÄN</t>
        </is>
      </c>
      <c r="E10465" t="inlineStr">
        <is>
          <t>SKELLEFTEÅ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12405-2026</t>
        </is>
      </c>
      <c r="B10466" s="1" t="n">
        <v>46090</v>
      </c>
      <c r="C10466" s="1" t="n">
        <v>46145</v>
      </c>
      <c r="D10466" t="inlineStr">
        <is>
          <t>VÄSTERBOTTENS LÄN</t>
        </is>
      </c>
      <c r="E10466" t="inlineStr">
        <is>
          <t>ÅSELE</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50945-2024</t>
        </is>
      </c>
      <c r="B10467" s="1" t="n">
        <v>45602</v>
      </c>
      <c r="C10467" s="1" t="n">
        <v>46145</v>
      </c>
      <c r="D10467" t="inlineStr">
        <is>
          <t>VÄSTERBOTTENS LÄN</t>
        </is>
      </c>
      <c r="E10467" t="inlineStr">
        <is>
          <t>SORSELE</t>
        </is>
      </c>
      <c r="G10467" t="n">
        <v>12.7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26358-2023</t>
        </is>
      </c>
      <c r="B10468" s="1" t="n">
        <v>45091</v>
      </c>
      <c r="C10468" s="1" t="n">
        <v>46145</v>
      </c>
      <c r="D10468" t="inlineStr">
        <is>
          <t>VÄSTERBOTTENS LÄN</t>
        </is>
      </c>
      <c r="E10468" t="inlineStr">
        <is>
          <t>LYCKSELE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19154-2026</t>
        </is>
      </c>
      <c r="B10469" s="1" t="n">
        <v>46132.55072916667</v>
      </c>
      <c r="C10469" s="1" t="n">
        <v>46145</v>
      </c>
      <c r="D10469" t="inlineStr">
        <is>
          <t>VÄSTERBOTTENS LÄN</t>
        </is>
      </c>
      <c r="E10469" t="inlineStr">
        <is>
          <t>NORDMALING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19046-2026</t>
        </is>
      </c>
      <c r="B10470" s="1" t="n">
        <v>46132.3443287037</v>
      </c>
      <c r="C10470" s="1" t="n">
        <v>46145</v>
      </c>
      <c r="D10470" t="inlineStr">
        <is>
          <t>VÄSTERBOTTENS LÄN</t>
        </is>
      </c>
      <c r="E10470" t="inlineStr">
        <is>
          <t>DOROTEA</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42136-2025</t>
        </is>
      </c>
      <c r="B10471" s="1" t="n">
        <v>45904</v>
      </c>
      <c r="C10471" s="1" t="n">
        <v>46145</v>
      </c>
      <c r="D10471" t="inlineStr">
        <is>
          <t>VÄSTERBOTTENS LÄN</t>
        </is>
      </c>
      <c r="E10471" t="inlineStr">
        <is>
          <t>SKELLEFTEÅ</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19140-2026</t>
        </is>
      </c>
      <c r="B10472" s="1" t="n">
        <v>46132.51108796296</v>
      </c>
      <c r="C10472" s="1" t="n">
        <v>46145</v>
      </c>
      <c r="D10472" t="inlineStr">
        <is>
          <t>VÄSTERBOTTENS LÄN</t>
        </is>
      </c>
      <c r="E10472" t="inlineStr">
        <is>
          <t>VILHELMINA</t>
        </is>
      </c>
      <c r="F10472" t="inlineStr">
        <is>
          <t>SCA</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34508-2023</t>
        </is>
      </c>
      <c r="B10473" s="1" t="n">
        <v>45133</v>
      </c>
      <c r="C10473" s="1" t="n">
        <v>46145</v>
      </c>
      <c r="D10473" t="inlineStr">
        <is>
          <t>VÄSTERBOTTENS LÄN</t>
        </is>
      </c>
      <c r="E10473" t="inlineStr">
        <is>
          <t>SKELLEFTEÅ</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18881-2026</t>
        </is>
      </c>
      <c r="B10474" s="1" t="n">
        <v>46129</v>
      </c>
      <c r="C10474" s="1" t="n">
        <v>46145</v>
      </c>
      <c r="D10474" t="inlineStr">
        <is>
          <t>VÄSTERBOTTENS LÄN</t>
        </is>
      </c>
      <c r="E10474" t="inlineStr">
        <is>
          <t>NORDMALING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16081-2024</t>
        </is>
      </c>
      <c r="B10475" s="1" t="n">
        <v>45406</v>
      </c>
      <c r="C10475" s="1" t="n">
        <v>46145</v>
      </c>
      <c r="D10475" t="inlineStr">
        <is>
          <t>VÄSTERBOTTENS LÄN</t>
        </is>
      </c>
      <c r="E10475" t="inlineStr">
        <is>
          <t>BJURHOLM</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18897-2026</t>
        </is>
      </c>
      <c r="B10476" s="1" t="n">
        <v>46129</v>
      </c>
      <c r="C10476" s="1" t="n">
        <v>46145</v>
      </c>
      <c r="D10476" t="inlineStr">
        <is>
          <t>VÄSTERBOTTENS LÄN</t>
        </is>
      </c>
      <c r="E10476" t="inlineStr">
        <is>
          <t>NORDMALING</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45927-2024</t>
        </is>
      </c>
      <c r="B10477" s="1" t="n">
        <v>45580</v>
      </c>
      <c r="C10477" s="1" t="n">
        <v>46145</v>
      </c>
      <c r="D10477" t="inlineStr">
        <is>
          <t>VÄSTERBOTTENS LÄN</t>
        </is>
      </c>
      <c r="E10477" t="inlineStr">
        <is>
          <t>ROBERTSFORS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18958-2026</t>
        </is>
      </c>
      <c r="B10478" s="1" t="n">
        <v>46129</v>
      </c>
      <c r="C10478" s="1" t="n">
        <v>46145</v>
      </c>
      <c r="D10478" t="inlineStr">
        <is>
          <t>VÄSTERBOTTENS LÄN</t>
        </is>
      </c>
      <c r="E10478" t="inlineStr">
        <is>
          <t>ÅSELE</t>
        </is>
      </c>
      <c r="F10478" t="inlineStr">
        <is>
          <t>SCA</t>
        </is>
      </c>
      <c r="G10478" t="n">
        <v>27.7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18959-2026</t>
        </is>
      </c>
      <c r="B10479" s="1" t="n">
        <v>46129</v>
      </c>
      <c r="C10479" s="1" t="n">
        <v>46145</v>
      </c>
      <c r="D10479" t="inlineStr">
        <is>
          <t>VÄSTERBOTTENS LÄN</t>
        </is>
      </c>
      <c r="E10479" t="inlineStr">
        <is>
          <t>ÅSELE</t>
        </is>
      </c>
      <c r="F10479" t="inlineStr">
        <is>
          <t>SCA</t>
        </is>
      </c>
      <c r="G10479" t="n">
        <v>21.1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12662-2026</t>
        </is>
      </c>
      <c r="B10480" s="1" t="n">
        <v>46091.5108912037</v>
      </c>
      <c r="C10480" s="1" t="n">
        <v>46145</v>
      </c>
      <c r="D10480" t="inlineStr">
        <is>
          <t>VÄSTERBOTTENS LÄN</t>
        </is>
      </c>
      <c r="E10480" t="inlineStr">
        <is>
          <t>LYCKSELE</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33661-2023</t>
        </is>
      </c>
      <c r="B10481" s="1" t="n">
        <v>45119</v>
      </c>
      <c r="C10481" s="1" t="n">
        <v>46145</v>
      </c>
      <c r="D10481" t="inlineStr">
        <is>
          <t>VÄSTERBOTTENS LÄN</t>
        </is>
      </c>
      <c r="E10481" t="inlineStr">
        <is>
          <t>VILHELMINA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18957-2026</t>
        </is>
      </c>
      <c r="B10482" s="1" t="n">
        <v>46129</v>
      </c>
      <c r="C10482" s="1" t="n">
        <v>46145</v>
      </c>
      <c r="D10482" t="inlineStr">
        <is>
          <t>VÄSTERBOTTENS LÄN</t>
        </is>
      </c>
      <c r="E10482" t="inlineStr">
        <is>
          <t>ÅSELE</t>
        </is>
      </c>
      <c r="F10482" t="inlineStr">
        <is>
          <t>SCA</t>
        </is>
      </c>
      <c r="G10482" t="n">
        <v>24.3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44734-2022</t>
        </is>
      </c>
      <c r="B10483" s="1" t="n">
        <v>44840</v>
      </c>
      <c r="C10483" s="1" t="n">
        <v>46145</v>
      </c>
      <c r="D10483" t="inlineStr">
        <is>
          <t>VÄSTERBOTTENS LÄN</t>
        </is>
      </c>
      <c r="E10483" t="inlineStr">
        <is>
          <t>VINDELN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12620-2026</t>
        </is>
      </c>
      <c r="B10484" s="1" t="n">
        <v>46091.42802083334</v>
      </c>
      <c r="C10484" s="1" t="n">
        <v>46145</v>
      </c>
      <c r="D10484" t="inlineStr">
        <is>
          <t>VÄSTERBOTTENS LÄN</t>
        </is>
      </c>
      <c r="E10484" t="inlineStr">
        <is>
          <t>VINDELN</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52497-2022</t>
        </is>
      </c>
      <c r="B10485" s="1" t="n">
        <v>44869</v>
      </c>
      <c r="C10485" s="1" t="n">
        <v>46145</v>
      </c>
      <c r="D10485" t="inlineStr">
        <is>
          <t>VÄSTERBOTTENS LÄN</t>
        </is>
      </c>
      <c r="E10485" t="inlineStr">
        <is>
          <t>SKELLEFTEÅ</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24691-2023</t>
        </is>
      </c>
      <c r="B10486" s="1" t="n">
        <v>45077</v>
      </c>
      <c r="C10486" s="1" t="n">
        <v>46145</v>
      </c>
      <c r="D10486" t="inlineStr">
        <is>
          <t>VÄSTERBOTTENS LÄN</t>
        </is>
      </c>
      <c r="E10486" t="inlineStr">
        <is>
          <t>STORUMAN</t>
        </is>
      </c>
      <c r="G10486" t="n">
        <v>929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19058-2026</t>
        </is>
      </c>
      <c r="B10487" s="1" t="n">
        <v>46132.36519675926</v>
      </c>
      <c r="C10487" s="1" t="n">
        <v>46145</v>
      </c>
      <c r="D10487" t="inlineStr">
        <is>
          <t>VÄSTERBOTTENS LÄN</t>
        </is>
      </c>
      <c r="E10487" t="inlineStr">
        <is>
          <t>LYCKSELE</t>
        </is>
      </c>
      <c r="F10487" t="inlineStr">
        <is>
          <t>SCA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12436-2026</t>
        </is>
      </c>
      <c r="B10488" s="1" t="n">
        <v>46090.46927083333</v>
      </c>
      <c r="C10488" s="1" t="n">
        <v>46145</v>
      </c>
      <c r="D10488" t="inlineStr">
        <is>
          <t>VÄSTERBOTTENS LÄN</t>
        </is>
      </c>
      <c r="E10488" t="inlineStr">
        <is>
          <t>LYCKSELE</t>
        </is>
      </c>
      <c r="F10488" t="inlineStr">
        <is>
          <t>SCA</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19290-2026</t>
        </is>
      </c>
      <c r="B10489" s="1" t="n">
        <v>46133.3209375</v>
      </c>
      <c r="C10489" s="1" t="n">
        <v>46145</v>
      </c>
      <c r="D10489" t="inlineStr">
        <is>
          <t>VÄSTERBOTTENS LÄN</t>
        </is>
      </c>
      <c r="E10489" t="inlineStr">
        <is>
          <t>MALÅ</t>
        </is>
      </c>
      <c r="F10489" t="inlineStr">
        <is>
          <t>Sveaskog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18956-2026</t>
        </is>
      </c>
      <c r="B10490" s="1" t="n">
        <v>46129</v>
      </c>
      <c r="C10490" s="1" t="n">
        <v>46145</v>
      </c>
      <c r="D10490" t="inlineStr">
        <is>
          <t>VÄSTERBOTTENS LÄN</t>
        </is>
      </c>
      <c r="E10490" t="inlineStr">
        <is>
          <t>ÅSELE</t>
        </is>
      </c>
      <c r="F10490" t="inlineStr">
        <is>
          <t>SCA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11078-2024</t>
        </is>
      </c>
      <c r="B10491" s="1" t="n">
        <v>45370</v>
      </c>
      <c r="C10491" s="1" t="n">
        <v>46145</v>
      </c>
      <c r="D10491" t="inlineStr">
        <is>
          <t>VÄSTERBOTTENS LÄN</t>
        </is>
      </c>
      <c r="E10491" t="inlineStr">
        <is>
          <t>SKELLEFTEÅ</t>
        </is>
      </c>
      <c r="G10491" t="n">
        <v>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59598-2025</t>
        </is>
      </c>
      <c r="B10492" s="1" t="n">
        <v>45992</v>
      </c>
      <c r="C10492" s="1" t="n">
        <v>46145</v>
      </c>
      <c r="D10492" t="inlineStr">
        <is>
          <t>VÄSTERBOTTENS LÄN</t>
        </is>
      </c>
      <c r="E10492" t="inlineStr">
        <is>
          <t>STORUMAN</t>
        </is>
      </c>
      <c r="G10492" t="n">
        <v>16.8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12735-2026</t>
        </is>
      </c>
      <c r="B10493" s="1" t="n">
        <v>46091.63605324074</v>
      </c>
      <c r="C10493" s="1" t="n">
        <v>46145</v>
      </c>
      <c r="D10493" t="inlineStr">
        <is>
          <t>VÄSTERBOTTENS LÄN</t>
        </is>
      </c>
      <c r="E10493" t="inlineStr">
        <is>
          <t>LYCKSELE</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14663-2024</t>
        </is>
      </c>
      <c r="B10494" s="1" t="n">
        <v>45397.41376157408</v>
      </c>
      <c r="C10494" s="1" t="n">
        <v>46145</v>
      </c>
      <c r="D10494" t="inlineStr">
        <is>
          <t>VÄSTERBOTTENS LÄN</t>
        </is>
      </c>
      <c r="E10494" t="inlineStr">
        <is>
          <t>SKELLEFTEÅ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23427-2024</t>
        </is>
      </c>
      <c r="B10495" s="1" t="n">
        <v>45453</v>
      </c>
      <c r="C10495" s="1" t="n">
        <v>46145</v>
      </c>
      <c r="D10495" t="inlineStr">
        <is>
          <t>VÄSTERBOTTENS LÄN</t>
        </is>
      </c>
      <c r="E10495" t="inlineStr">
        <is>
          <t>VINDELN</t>
        </is>
      </c>
      <c r="F10495" t="inlineStr">
        <is>
          <t>Sveaskog</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23523-2024</t>
        </is>
      </c>
      <c r="B10496" s="1" t="n">
        <v>45453.92482638889</v>
      </c>
      <c r="C10496" s="1" t="n">
        <v>46145</v>
      </c>
      <c r="D10496" t="inlineStr">
        <is>
          <t>VÄSTERBOTTENS LÄN</t>
        </is>
      </c>
      <c r="E10496" t="inlineStr">
        <is>
          <t>VINDELN</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44371-2023</t>
        </is>
      </c>
      <c r="B10497" s="1" t="n">
        <v>45188</v>
      </c>
      <c r="C10497" s="1" t="n">
        <v>46145</v>
      </c>
      <c r="D10497" t="inlineStr">
        <is>
          <t>VÄSTERBOTTENS LÄN</t>
        </is>
      </c>
      <c r="E10497" t="inlineStr">
        <is>
          <t>VILHELMINA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28888-2024</t>
        </is>
      </c>
      <c r="B10498" s="1" t="n">
        <v>45479</v>
      </c>
      <c r="C10498" s="1" t="n">
        <v>46145</v>
      </c>
      <c r="D10498" t="inlineStr">
        <is>
          <t>VÄSTERBOTTENS LÄN</t>
        </is>
      </c>
      <c r="E10498" t="inlineStr">
        <is>
          <t>BJURHOLM</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11385-2026</t>
        </is>
      </c>
      <c r="B10499" s="1" t="n">
        <v>46083</v>
      </c>
      <c r="C10499" s="1" t="n">
        <v>46145</v>
      </c>
      <c r="D10499" t="inlineStr">
        <is>
          <t>VÄSTERBOTTENS LÄN</t>
        </is>
      </c>
      <c r="E10499" t="inlineStr">
        <is>
          <t>NORSJÖ</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41003-2023</t>
        </is>
      </c>
      <c r="B10500" s="1" t="n">
        <v>45161</v>
      </c>
      <c r="C10500" s="1" t="n">
        <v>46145</v>
      </c>
      <c r="D10500" t="inlineStr">
        <is>
          <t>VÄSTERBOTTENS LÄN</t>
        </is>
      </c>
      <c r="E10500" t="inlineStr">
        <is>
          <t>NORSJÖ</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41006-2023</t>
        </is>
      </c>
      <c r="B10501" s="1" t="n">
        <v>45173</v>
      </c>
      <c r="C10501" s="1" t="n">
        <v>46145</v>
      </c>
      <c r="D10501" t="inlineStr">
        <is>
          <t>VÄSTERBOTTENS LÄN</t>
        </is>
      </c>
      <c r="E10501" t="inlineStr">
        <is>
          <t>SKELLEFTEÅ</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12452-2026</t>
        </is>
      </c>
      <c r="B10502" s="1" t="n">
        <v>46090.49987268518</v>
      </c>
      <c r="C10502" s="1" t="n">
        <v>46145</v>
      </c>
      <c r="D10502" t="inlineStr">
        <is>
          <t>VÄSTERBOTTENS LÄN</t>
        </is>
      </c>
      <c r="E10502" t="inlineStr">
        <is>
          <t>STORUMAN</t>
        </is>
      </c>
      <c r="F10502" t="inlineStr">
        <is>
          <t>Holmen skog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58440-2024</t>
        </is>
      </c>
      <c r="B10503" s="1" t="n">
        <v>45635.31018518518</v>
      </c>
      <c r="C10503" s="1" t="n">
        <v>46145</v>
      </c>
      <c r="D10503" t="inlineStr">
        <is>
          <t>VÄSTERBOTTENS LÄN</t>
        </is>
      </c>
      <c r="E10503" t="inlineStr">
        <is>
          <t>UMEÅ</t>
        </is>
      </c>
      <c r="F10503" t="inlineStr">
        <is>
          <t>Holmen skog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19055-2026</t>
        </is>
      </c>
      <c r="B10504" s="1" t="n">
        <v>46132.35939814815</v>
      </c>
      <c r="C10504" s="1" t="n">
        <v>46145</v>
      </c>
      <c r="D10504" t="inlineStr">
        <is>
          <t>VÄSTERBOTTENS LÄN</t>
        </is>
      </c>
      <c r="E10504" t="inlineStr">
        <is>
          <t>SKELLEFTEÅ</t>
        </is>
      </c>
      <c r="F10504" t="inlineStr">
        <is>
          <t>Holmen skog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52772-2024</t>
        </is>
      </c>
      <c r="B10505" s="1" t="n">
        <v>45610</v>
      </c>
      <c r="C10505" s="1" t="n">
        <v>46145</v>
      </c>
      <c r="D10505" t="inlineStr">
        <is>
          <t>VÄSTERBOTTENS LÄN</t>
        </is>
      </c>
      <c r="E10505" t="inlineStr">
        <is>
          <t>ÅSELE</t>
        </is>
      </c>
      <c r="F10505" t="inlineStr">
        <is>
          <t>SCA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12444-2026</t>
        </is>
      </c>
      <c r="B10506" s="1" t="n">
        <v>46090.47935185185</v>
      </c>
      <c r="C10506" s="1" t="n">
        <v>46145</v>
      </c>
      <c r="D10506" t="inlineStr">
        <is>
          <t>VÄSTERBOTTENS LÄN</t>
        </is>
      </c>
      <c r="E10506" t="inlineStr">
        <is>
          <t>STORUMAN</t>
        </is>
      </c>
      <c r="F10506" t="inlineStr">
        <is>
          <t>Holmen skog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12502-2026</t>
        </is>
      </c>
      <c r="B10507" s="1" t="n">
        <v>46090.57585648148</v>
      </c>
      <c r="C10507" s="1" t="n">
        <v>46145</v>
      </c>
      <c r="D10507" t="inlineStr">
        <is>
          <t>VÄSTERBOTTENS LÄN</t>
        </is>
      </c>
      <c r="E10507" t="inlineStr">
        <is>
          <t>LYCKSELE</t>
        </is>
      </c>
      <c r="F10507" t="inlineStr">
        <is>
          <t>Holmen skog AB</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12717-2026</t>
        </is>
      </c>
      <c r="B10508" s="1" t="n">
        <v>46091.59783564815</v>
      </c>
      <c r="C10508" s="1" t="n">
        <v>46145</v>
      </c>
      <c r="D10508" t="inlineStr">
        <is>
          <t>VÄSTERBOTTENS LÄN</t>
        </is>
      </c>
      <c r="E10508" t="inlineStr">
        <is>
          <t>SKELLEFTEÅ</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12721-2026</t>
        </is>
      </c>
      <c r="B10509" s="1" t="n">
        <v>46091.60695601852</v>
      </c>
      <c r="C10509" s="1" t="n">
        <v>46145</v>
      </c>
      <c r="D10509" t="inlineStr">
        <is>
          <t>VÄSTERBOTTENS LÄN</t>
        </is>
      </c>
      <c r="E10509" t="inlineStr">
        <is>
          <t>VINDELN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12741-2026</t>
        </is>
      </c>
      <c r="B10510" s="1" t="n">
        <v>46091.64914351852</v>
      </c>
      <c r="C10510" s="1" t="n">
        <v>46145</v>
      </c>
      <c r="D10510" t="inlineStr">
        <is>
          <t>VÄSTERBOTTENS LÄN</t>
        </is>
      </c>
      <c r="E10510" t="inlineStr">
        <is>
          <t>VINDELN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36267-2023</t>
        </is>
      </c>
      <c r="B10511" s="1" t="n">
        <v>45151.94417824074</v>
      </c>
      <c r="C10511" s="1" t="n">
        <v>46145</v>
      </c>
      <c r="D10511" t="inlineStr">
        <is>
          <t>VÄSTERBOTTENS LÄN</t>
        </is>
      </c>
      <c r="E10511" t="inlineStr">
        <is>
          <t>LYCKSELE</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21152-2024</t>
        </is>
      </c>
      <c r="B10512" s="1" t="n">
        <v>45440</v>
      </c>
      <c r="C10512" s="1" t="n">
        <v>46145</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28148-2023</t>
        </is>
      </c>
      <c r="B10513" s="1" t="n">
        <v>45099.48684027778</v>
      </c>
      <c r="C10513" s="1" t="n">
        <v>46145</v>
      </c>
      <c r="D10513" t="inlineStr">
        <is>
          <t>VÄSTERBOTTENS LÄN</t>
        </is>
      </c>
      <c r="E10513" t="inlineStr">
        <is>
          <t>SKELLEFTEÅ</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3705-2023</t>
        </is>
      </c>
      <c r="B10514" s="1" t="n">
        <v>44950.95469907407</v>
      </c>
      <c r="C10514" s="1" t="n">
        <v>46145</v>
      </c>
      <c r="D10514" t="inlineStr">
        <is>
          <t>VÄSTERBOTTENS LÄN</t>
        </is>
      </c>
      <c r="E10514" t="inlineStr">
        <is>
          <t>BJURHOLM</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12602-2026</t>
        </is>
      </c>
      <c r="B10515" s="1" t="n">
        <v>46091.34438657408</v>
      </c>
      <c r="C10515" s="1" t="n">
        <v>46145</v>
      </c>
      <c r="D10515" t="inlineStr">
        <is>
          <t>VÄSTERBOTTENS LÄN</t>
        </is>
      </c>
      <c r="E10515" t="inlineStr">
        <is>
          <t>DOROTEA</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31541-2024</t>
        </is>
      </c>
      <c r="B10516" s="1" t="n">
        <v>45505</v>
      </c>
      <c r="C10516" s="1" t="n">
        <v>46145</v>
      </c>
      <c r="D10516" t="inlineStr">
        <is>
          <t>VÄSTERBOTTENS LÄN</t>
        </is>
      </c>
      <c r="E10516" t="inlineStr">
        <is>
          <t>ÅSELE</t>
        </is>
      </c>
      <c r="F10516" t="inlineStr">
        <is>
          <t>SCA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19458-2026</t>
        </is>
      </c>
      <c r="B10517" s="1" t="n">
        <v>46129</v>
      </c>
      <c r="C10517" s="1" t="n">
        <v>46145</v>
      </c>
      <c r="D10517" t="inlineStr">
        <is>
          <t>VÄSTERBOTTENS LÄN</t>
        </is>
      </c>
      <c r="E10517" t="inlineStr">
        <is>
          <t>ÅSELE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33349-2023</t>
        </is>
      </c>
      <c r="B10518" s="1" t="n">
        <v>45117</v>
      </c>
      <c r="C10518" s="1" t="n">
        <v>46145</v>
      </c>
      <c r="D10518" t="inlineStr">
        <is>
          <t>VÄSTERBOTTENS LÄN</t>
        </is>
      </c>
      <c r="E10518" t="inlineStr">
        <is>
          <t>VILHELMINA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18894-2026</t>
        </is>
      </c>
      <c r="B10519" s="1" t="n">
        <v>46129</v>
      </c>
      <c r="C10519" s="1" t="n">
        <v>46145</v>
      </c>
      <c r="D10519" t="inlineStr">
        <is>
          <t>VÄSTERBOTTENS LÄN</t>
        </is>
      </c>
      <c r="E10519" t="inlineStr">
        <is>
          <t>NORDMALING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49428-2022</t>
        </is>
      </c>
      <c r="B10520" s="1" t="n">
        <v>44859</v>
      </c>
      <c r="C10520" s="1" t="n">
        <v>46145</v>
      </c>
      <c r="D10520" t="inlineStr">
        <is>
          <t>VÄSTERBOTTENS LÄN</t>
        </is>
      </c>
      <c r="E10520" t="inlineStr">
        <is>
          <t>ÅSELE</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59381-2023</t>
        </is>
      </c>
      <c r="B10521" s="1" t="n">
        <v>45253.8090162037</v>
      </c>
      <c r="C10521" s="1" t="n">
        <v>46145</v>
      </c>
      <c r="D10521" t="inlineStr">
        <is>
          <t>VÄSTERBOTTENS LÄN</t>
        </is>
      </c>
      <c r="E10521" t="inlineStr">
        <is>
          <t>BJURHOLM</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59395-2023</t>
        </is>
      </c>
      <c r="B10522" s="1" t="n">
        <v>45253</v>
      </c>
      <c r="C10522" s="1" t="n">
        <v>46145</v>
      </c>
      <c r="D10522" t="inlineStr">
        <is>
          <t>VÄSTERBOTTENS LÄN</t>
        </is>
      </c>
      <c r="E10522" t="inlineStr">
        <is>
          <t>DOROTEA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59397-2023</t>
        </is>
      </c>
      <c r="B10523" s="1" t="n">
        <v>45253</v>
      </c>
      <c r="C10523" s="1" t="n">
        <v>46145</v>
      </c>
      <c r="D10523" t="inlineStr">
        <is>
          <t>VÄSTERBOTTENS LÄN</t>
        </is>
      </c>
      <c r="E10523" t="inlineStr">
        <is>
          <t>DOROTEA</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15430-2024</t>
        </is>
      </c>
      <c r="B10524" s="1" t="n">
        <v>45401</v>
      </c>
      <c r="C10524" s="1" t="n">
        <v>46145</v>
      </c>
      <c r="D10524" t="inlineStr">
        <is>
          <t>VÄSTERBOTTENS LÄN</t>
        </is>
      </c>
      <c r="E10524" t="inlineStr">
        <is>
          <t>UMEÅ</t>
        </is>
      </c>
      <c r="F10524" t="inlineStr">
        <is>
          <t>Holmen skog AB</t>
        </is>
      </c>
      <c r="G10524" t="n">
        <v>37.4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12629-2026</t>
        </is>
      </c>
      <c r="B10525" s="1" t="n">
        <v>46091.44770833333</v>
      </c>
      <c r="C10525" s="1" t="n">
        <v>46145</v>
      </c>
      <c r="D10525" t="inlineStr">
        <is>
          <t>VÄSTERBOTTENS LÄN</t>
        </is>
      </c>
      <c r="E10525" t="inlineStr">
        <is>
          <t>SKELLEFTEÅ</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61586-2024</t>
        </is>
      </c>
      <c r="B10526" s="1" t="n">
        <v>45646.62806712963</v>
      </c>
      <c r="C10526" s="1" t="n">
        <v>46145</v>
      </c>
      <c r="D10526" t="inlineStr">
        <is>
          <t>VÄSTERBOTTENS LÄN</t>
        </is>
      </c>
      <c r="E10526" t="inlineStr">
        <is>
          <t>VINDELN</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25453-2024</t>
        </is>
      </c>
      <c r="B10527" s="1" t="n">
        <v>45463.42144675926</v>
      </c>
      <c r="C10527" s="1" t="n">
        <v>46145</v>
      </c>
      <c r="D10527" t="inlineStr">
        <is>
          <t>VÄSTERBOTTENS LÄN</t>
        </is>
      </c>
      <c r="E10527" t="inlineStr">
        <is>
          <t>VÄNNÄS</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4104-2023</t>
        </is>
      </c>
      <c r="B10528" s="1" t="n">
        <v>44952</v>
      </c>
      <c r="C10528" s="1" t="n">
        <v>46145</v>
      </c>
      <c r="D10528" t="inlineStr">
        <is>
          <t>VÄSTERBOTTENS LÄN</t>
        </is>
      </c>
      <c r="E10528" t="inlineStr">
        <is>
          <t>SKELLEFTEÅ</t>
        </is>
      </c>
      <c r="F10528" t="inlineStr">
        <is>
          <t>Sveaskog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19286-2026</t>
        </is>
      </c>
      <c r="B10529" s="1" t="n">
        <v>46133.31493055556</v>
      </c>
      <c r="C10529" s="1" t="n">
        <v>46145</v>
      </c>
      <c r="D10529" t="inlineStr">
        <is>
          <t>VÄSTERBOTTENS LÄN</t>
        </is>
      </c>
      <c r="E10529" t="inlineStr">
        <is>
          <t>MALÅ</t>
        </is>
      </c>
      <c r="F10529" t="inlineStr">
        <is>
          <t>Sveaskog</t>
        </is>
      </c>
      <c r="G10529" t="n">
        <v>55.9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19294-2026</t>
        </is>
      </c>
      <c r="B10530" s="1" t="n">
        <v>46133.33016203704</v>
      </c>
      <c r="C10530" s="1" t="n">
        <v>46145</v>
      </c>
      <c r="D10530" t="inlineStr">
        <is>
          <t>VÄSTERBOTTENS LÄN</t>
        </is>
      </c>
      <c r="E10530" t="inlineStr">
        <is>
          <t>ROBERTSFORS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54509-2024</t>
        </is>
      </c>
      <c r="B10531" s="1" t="n">
        <v>45617.58597222222</v>
      </c>
      <c r="C10531" s="1" t="n">
        <v>46145</v>
      </c>
      <c r="D10531" t="inlineStr">
        <is>
          <t>VÄSTERBOTTENS LÄN</t>
        </is>
      </c>
      <c r="E10531" t="inlineStr">
        <is>
          <t>UMEÅ</t>
        </is>
      </c>
      <c r="F10531" t="inlineStr">
        <is>
          <t>Holmen skog AB</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17506-2024</t>
        </is>
      </c>
      <c r="B10532" s="1" t="n">
        <v>45415</v>
      </c>
      <c r="C10532" s="1" t="n">
        <v>46145</v>
      </c>
      <c r="D10532" t="inlineStr">
        <is>
          <t>VÄSTERBOTTENS LÄN</t>
        </is>
      </c>
      <c r="E10532" t="inlineStr">
        <is>
          <t>SKELLEFTEÅ</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408-2023</t>
        </is>
      </c>
      <c r="B10533" s="1" t="n">
        <v>44924</v>
      </c>
      <c r="C10533" s="1" t="n">
        <v>46145</v>
      </c>
      <c r="D10533" t="inlineStr">
        <is>
          <t>VÄSTERBOTTENS LÄN</t>
        </is>
      </c>
      <c r="E10533" t="inlineStr">
        <is>
          <t>LYCKSELE</t>
        </is>
      </c>
      <c r="G10533" t="n">
        <v>11.9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18849-2026</t>
        </is>
      </c>
      <c r="B10534" s="1" t="n">
        <v>46129</v>
      </c>
      <c r="C10534" s="1" t="n">
        <v>46145</v>
      </c>
      <c r="D10534" t="inlineStr">
        <is>
          <t>VÄSTERBOTTENS LÄN</t>
        </is>
      </c>
      <c r="E10534" t="inlineStr">
        <is>
          <t>VILHELMINA</t>
        </is>
      </c>
      <c r="F10534" t="inlineStr">
        <is>
          <t>SCA</t>
        </is>
      </c>
      <c r="G10534" t="n">
        <v>9.4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19062-2026</t>
        </is>
      </c>
      <c r="B10535" s="1" t="n">
        <v>46132.36584490741</v>
      </c>
      <c r="C10535" s="1" t="n">
        <v>46145</v>
      </c>
      <c r="D10535" t="inlineStr">
        <is>
          <t>VÄSTERBOTTENS LÄN</t>
        </is>
      </c>
      <c r="E10535" t="inlineStr">
        <is>
          <t>LYCKSELE</t>
        </is>
      </c>
      <c r="F10535" t="inlineStr">
        <is>
          <t>SCA</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19446-2026</t>
        </is>
      </c>
      <c r="B10536" s="1" t="n">
        <v>46133.65810185186</v>
      </c>
      <c r="C10536" s="1" t="n">
        <v>46145</v>
      </c>
      <c r="D10536" t="inlineStr">
        <is>
          <t>VÄSTERBOTTENS LÄN</t>
        </is>
      </c>
      <c r="E10536" t="inlineStr">
        <is>
          <t>DOROTEA</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12384-2026</t>
        </is>
      </c>
      <c r="B10537" s="1" t="n">
        <v>46090.36501157407</v>
      </c>
      <c r="C10537" s="1" t="n">
        <v>46145</v>
      </c>
      <c r="D10537" t="inlineStr">
        <is>
          <t>VÄSTERBOTTENS LÄN</t>
        </is>
      </c>
      <c r="E10537" t="inlineStr">
        <is>
          <t>NORSJÖ</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12402-2026</t>
        </is>
      </c>
      <c r="B10538" s="1" t="n">
        <v>46090.39725694444</v>
      </c>
      <c r="C10538" s="1" t="n">
        <v>46145</v>
      </c>
      <c r="D10538" t="inlineStr">
        <is>
          <t>VÄSTERBOTTENS LÄN</t>
        </is>
      </c>
      <c r="E10538" t="inlineStr">
        <is>
          <t>SKELLEFTEÅ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19315-2026</t>
        </is>
      </c>
      <c r="B10539" s="1" t="n">
        <v>46133.39100694445</v>
      </c>
      <c r="C10539" s="1" t="n">
        <v>46145</v>
      </c>
      <c r="D10539" t="inlineStr">
        <is>
          <t>VÄSTERBOTTENS LÄN</t>
        </is>
      </c>
      <c r="E10539" t="inlineStr">
        <is>
          <t>SKELLEFTEÅ</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19319-2026</t>
        </is>
      </c>
      <c r="B10540" s="1" t="n">
        <v>46133.39450231481</v>
      </c>
      <c r="C10540" s="1" t="n">
        <v>46145</v>
      </c>
      <c r="D10540" t="inlineStr">
        <is>
          <t>VÄSTERBOTTENS LÄN</t>
        </is>
      </c>
      <c r="E10540" t="inlineStr">
        <is>
          <t>SKELLEFTEÅ</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6723-2024</t>
        </is>
      </c>
      <c r="B10541" s="1" t="n">
        <v>45342.37591435185</v>
      </c>
      <c r="C10541" s="1" t="n">
        <v>46145</v>
      </c>
      <c r="D10541" t="inlineStr">
        <is>
          <t>VÄSTERBOTTENS LÄN</t>
        </is>
      </c>
      <c r="E10541" t="inlineStr">
        <is>
          <t>SKELLEFTEÅ</t>
        </is>
      </c>
      <c r="F10541" t="inlineStr">
        <is>
          <t>Sveaskog</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19178-2026</t>
        </is>
      </c>
      <c r="B10542" s="1" t="n">
        <v>46132.59528935186</v>
      </c>
      <c r="C10542" s="1" t="n">
        <v>46145</v>
      </c>
      <c r="D10542" t="inlineStr">
        <is>
          <t>VÄSTERBOTTENS LÄN</t>
        </is>
      </c>
      <c r="E10542" t="inlineStr">
        <is>
          <t>VILHELMINA</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19215-2026</t>
        </is>
      </c>
      <c r="B10543" s="1" t="n">
        <v>46132.62886574074</v>
      </c>
      <c r="C10543" s="1" t="n">
        <v>46145</v>
      </c>
      <c r="D10543" t="inlineStr">
        <is>
          <t>VÄSTERBOTTENS LÄN</t>
        </is>
      </c>
      <c r="E10543" t="inlineStr">
        <is>
          <t>LYCKSELE</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512-2025</t>
        </is>
      </c>
      <c r="B10544" s="1" t="n">
        <v>45660</v>
      </c>
      <c r="C10544" s="1" t="n">
        <v>46145</v>
      </c>
      <c r="D10544" t="inlineStr">
        <is>
          <t>VÄSTERBOTTENS LÄN</t>
        </is>
      </c>
      <c r="E10544" t="inlineStr">
        <is>
          <t>STORUMAN</t>
        </is>
      </c>
      <c r="G10544" t="n">
        <v>18.5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560-2025</t>
        </is>
      </c>
      <c r="B10545" s="1" t="n">
        <v>45660</v>
      </c>
      <c r="C10545" s="1" t="n">
        <v>46145</v>
      </c>
      <c r="D10545" t="inlineStr">
        <is>
          <t>VÄSTERBOTTENS LÄN</t>
        </is>
      </c>
      <c r="E10545" t="inlineStr">
        <is>
          <t>SKELLEFTEÅ</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19218-2026</t>
        </is>
      </c>
      <c r="B10546" s="1" t="n">
        <v>46132.63306712963</v>
      </c>
      <c r="C10546" s="1" t="n">
        <v>46145</v>
      </c>
      <c r="D10546" t="inlineStr">
        <is>
          <t>VÄSTERBOTTENS LÄN</t>
        </is>
      </c>
      <c r="E10546" t="inlineStr">
        <is>
          <t>BJURHOLM</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12615-2026</t>
        </is>
      </c>
      <c r="B10547" s="1" t="n">
        <v>46091.4140625</v>
      </c>
      <c r="C10547" s="1" t="n">
        <v>46145</v>
      </c>
      <c r="D10547" t="inlineStr">
        <is>
          <t>VÄSTERBOTTENS LÄN</t>
        </is>
      </c>
      <c r="E10547" t="inlineStr">
        <is>
          <t>SKELLEFTEÅ</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12618-2026</t>
        </is>
      </c>
      <c r="B10548" s="1" t="n">
        <v>46091.42766203704</v>
      </c>
      <c r="C10548" s="1" t="n">
        <v>46145</v>
      </c>
      <c r="D10548" t="inlineStr">
        <is>
          <t>VÄSTERBOTTENS LÄN</t>
        </is>
      </c>
      <c r="E10548" t="inlineStr">
        <is>
          <t>LYCKSELE</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62328-2025</t>
        </is>
      </c>
      <c r="B10549" s="1" t="n">
        <v>46003</v>
      </c>
      <c r="C10549" s="1" t="n">
        <v>46145</v>
      </c>
      <c r="D10549" t="inlineStr">
        <is>
          <t>VÄSTERBOTTENS LÄN</t>
        </is>
      </c>
      <c r="E10549" t="inlineStr">
        <is>
          <t>SKELLEFTEÅ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12802-2026</t>
        </is>
      </c>
      <c r="B10550" s="1" t="n">
        <v>46091</v>
      </c>
      <c r="C10550" s="1" t="n">
        <v>46145</v>
      </c>
      <c r="D10550" t="inlineStr">
        <is>
          <t>VÄSTERBOTTENS LÄN</t>
        </is>
      </c>
      <c r="E10550" t="inlineStr">
        <is>
          <t>STORUMAN</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25018-2024</t>
        </is>
      </c>
      <c r="B10551" s="1" t="n">
        <v>45461.92976851852</v>
      </c>
      <c r="C10551" s="1" t="n">
        <v>46145</v>
      </c>
      <c r="D10551" t="inlineStr">
        <is>
          <t>VÄSTERBOTTENS LÄN</t>
        </is>
      </c>
      <c r="E10551" t="inlineStr">
        <is>
          <t>STORUMAN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25020-2024</t>
        </is>
      </c>
      <c r="B10552" s="1" t="n">
        <v>45461.9625</v>
      </c>
      <c r="C10552" s="1" t="n">
        <v>46145</v>
      </c>
      <c r="D10552" t="inlineStr">
        <is>
          <t>VÄSTERBOTTENS LÄN</t>
        </is>
      </c>
      <c r="E10552" t="inlineStr">
        <is>
          <t>LYCKSELE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52245-2024</t>
        </is>
      </c>
      <c r="B10553" s="1" t="n">
        <v>45608.62322916667</v>
      </c>
      <c r="C10553" s="1" t="n">
        <v>46145</v>
      </c>
      <c r="D10553" t="inlineStr">
        <is>
          <t>VÄSTERBOTTENS LÄN</t>
        </is>
      </c>
      <c r="E10553" t="inlineStr">
        <is>
          <t>SKELLEFTEÅ</t>
        </is>
      </c>
      <c r="G10553" t="n">
        <v>6.5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52255-2024</t>
        </is>
      </c>
      <c r="B10554" s="1" t="n">
        <v>45608.64011574074</v>
      </c>
      <c r="C10554" s="1" t="n">
        <v>46145</v>
      </c>
      <c r="D10554" t="inlineStr">
        <is>
          <t>VÄSTERBOTTENS LÄN</t>
        </is>
      </c>
      <c r="E10554" t="inlineStr">
        <is>
          <t>VÄNNÄS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5302-2025</t>
        </is>
      </c>
      <c r="B10555" s="1" t="n">
        <v>45692.47335648148</v>
      </c>
      <c r="C10555" s="1" t="n">
        <v>46145</v>
      </c>
      <c r="D10555" t="inlineStr">
        <is>
          <t>VÄSTERBOTTENS LÄN</t>
        </is>
      </c>
      <c r="E10555" t="inlineStr">
        <is>
          <t>UMEÅ</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20276-2025</t>
        </is>
      </c>
      <c r="B10556" s="1" t="n">
        <v>45774.32366898148</v>
      </c>
      <c r="C10556" s="1" t="n">
        <v>46145</v>
      </c>
      <c r="D10556" t="inlineStr">
        <is>
          <t>VÄSTERBOTTENS LÄN</t>
        </is>
      </c>
      <c r="E10556" t="inlineStr">
        <is>
          <t>ÅSELE</t>
        </is>
      </c>
      <c r="G10556" t="n">
        <v>16.3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20390-2025</t>
        </is>
      </c>
      <c r="B10557" s="1" t="n">
        <v>45775.44846064815</v>
      </c>
      <c r="C10557" s="1" t="n">
        <v>46145</v>
      </c>
      <c r="D10557" t="inlineStr">
        <is>
          <t>VÄSTERBOTTENS LÄN</t>
        </is>
      </c>
      <c r="E10557" t="inlineStr">
        <is>
          <t>VINDELN</t>
        </is>
      </c>
      <c r="F10557" t="inlineStr">
        <is>
          <t>SCA</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12585-2026</t>
        </is>
      </c>
      <c r="B10558" s="1" t="n">
        <v>46090.68695601852</v>
      </c>
      <c r="C10558" s="1" t="n">
        <v>46145</v>
      </c>
      <c r="D10558" t="inlineStr">
        <is>
          <t>VÄSTERBOTTENS LÄN</t>
        </is>
      </c>
      <c r="E10558" t="inlineStr">
        <is>
          <t>SKELLEFTEÅ</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6800-2025</t>
        </is>
      </c>
      <c r="B10559" s="1" t="n">
        <v>45700.67916666667</v>
      </c>
      <c r="C10559" s="1" t="n">
        <v>46145</v>
      </c>
      <c r="D10559" t="inlineStr">
        <is>
          <t>VÄSTERBOTTENS LÄN</t>
        </is>
      </c>
      <c r="E10559" t="inlineStr">
        <is>
          <t>LYCKSELE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12701-2026</t>
        </is>
      </c>
      <c r="B10560" s="1" t="n">
        <v>46091.58101851852</v>
      </c>
      <c r="C10560" s="1" t="n">
        <v>46145</v>
      </c>
      <c r="D10560" t="inlineStr">
        <is>
          <t>VÄSTERBOTTENS LÄN</t>
        </is>
      </c>
      <c r="E10560" t="inlineStr">
        <is>
          <t>SKELLEFTEÅ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15159-2025</t>
        </is>
      </c>
      <c r="B10561" s="1" t="n">
        <v>45744.47206018519</v>
      </c>
      <c r="C10561" s="1" t="n">
        <v>46145</v>
      </c>
      <c r="D10561" t="inlineStr">
        <is>
          <t>VÄSTERBOTTENS LÄN</t>
        </is>
      </c>
      <c r="E10561" t="inlineStr">
        <is>
          <t>ROBERTSFORS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26980-2024</t>
        </is>
      </c>
      <c r="B10562" s="1" t="n">
        <v>45471</v>
      </c>
      <c r="C10562" s="1" t="n">
        <v>46145</v>
      </c>
      <c r="D10562" t="inlineStr">
        <is>
          <t>VÄSTERBOTTENS LÄN</t>
        </is>
      </c>
      <c r="E10562" t="inlineStr">
        <is>
          <t>ÅSELE</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19223-2026</t>
        </is>
      </c>
      <c r="B10563" s="1" t="n">
        <v>46132.64212962963</v>
      </c>
      <c r="C10563" s="1" t="n">
        <v>46145</v>
      </c>
      <c r="D10563" t="inlineStr">
        <is>
          <t>VÄSTERBOTTENS LÄN</t>
        </is>
      </c>
      <c r="E10563" t="inlineStr">
        <is>
          <t>BJURHOLM</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20759-2023</t>
        </is>
      </c>
      <c r="B10564" s="1" t="n">
        <v>45055</v>
      </c>
      <c r="C10564" s="1" t="n">
        <v>46145</v>
      </c>
      <c r="D10564" t="inlineStr">
        <is>
          <t>VÄSTERBOTTENS LÄN</t>
        </is>
      </c>
      <c r="E10564" t="inlineStr">
        <is>
          <t>DOROTEA</t>
        </is>
      </c>
      <c r="F10564" t="inlineStr">
        <is>
          <t>Övriga statliga verk och myndigheter</t>
        </is>
      </c>
      <c r="G10564" t="n">
        <v>13.9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39185-2024</t>
        </is>
      </c>
      <c r="B10565" s="1" t="n">
        <v>45548</v>
      </c>
      <c r="C10565" s="1" t="n">
        <v>46145</v>
      </c>
      <c r="D10565" t="inlineStr">
        <is>
          <t>VÄSTERBOTTENS LÄN</t>
        </is>
      </c>
      <c r="E10565" t="inlineStr">
        <is>
          <t>VÄNNÄS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30425-2024</t>
        </is>
      </c>
      <c r="B10566" s="1" t="n">
        <v>45491.67836805555</v>
      </c>
      <c r="C10566" s="1" t="n">
        <v>46145</v>
      </c>
      <c r="D10566" t="inlineStr">
        <is>
          <t>VÄSTERBOTTENS LÄN</t>
        </is>
      </c>
      <c r="E10566" t="inlineStr">
        <is>
          <t>LYCKSELE</t>
        </is>
      </c>
      <c r="F10566" t="inlineStr">
        <is>
          <t>Sveaskog</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55810-2022</t>
        </is>
      </c>
      <c r="B10567" s="1" t="n">
        <v>44888.65146990741</v>
      </c>
      <c r="C10567" s="1" t="n">
        <v>46145</v>
      </c>
      <c r="D10567" t="inlineStr">
        <is>
          <t>VÄSTERBOTTENS LÄN</t>
        </is>
      </c>
      <c r="E10567" t="inlineStr">
        <is>
          <t>NORDMALING</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55459-2024</t>
        </is>
      </c>
      <c r="B10568" s="1" t="n">
        <v>45622.42745370371</v>
      </c>
      <c r="C10568" s="1" t="n">
        <v>46145</v>
      </c>
      <c r="D10568" t="inlineStr">
        <is>
          <t>VÄSTERBOTTENS LÄN</t>
        </is>
      </c>
      <c r="E10568" t="inlineStr">
        <is>
          <t>BJURHOLM</t>
        </is>
      </c>
      <c r="F10568" t="inlineStr">
        <is>
          <t>SCA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49356-2024</t>
        </is>
      </c>
      <c r="B10569" s="1" t="n">
        <v>45595</v>
      </c>
      <c r="C10569" s="1" t="n">
        <v>46145</v>
      </c>
      <c r="D10569" t="inlineStr">
        <is>
          <t>VÄSTERBOTTENS LÄN</t>
        </is>
      </c>
      <c r="E10569" t="inlineStr">
        <is>
          <t>SKELLEFTEÅ</t>
        </is>
      </c>
      <c r="F10569" t="inlineStr">
        <is>
          <t>Sveaskog</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34317-2024</t>
        </is>
      </c>
      <c r="B10570" s="1" t="n">
        <v>45524.70659722222</v>
      </c>
      <c r="C10570" s="1" t="n">
        <v>46145</v>
      </c>
      <c r="D10570" t="inlineStr">
        <is>
          <t>VÄSTERBOTTENS LÄN</t>
        </is>
      </c>
      <c r="E10570" t="inlineStr">
        <is>
          <t>NORSJÖ</t>
        </is>
      </c>
      <c r="F10570" t="inlineStr">
        <is>
          <t>Holmen skog AB</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19574-2026</t>
        </is>
      </c>
      <c r="B10571" s="1" t="n">
        <v>46134.44873842593</v>
      </c>
      <c r="C10571" s="1" t="n">
        <v>46145</v>
      </c>
      <c r="D10571" t="inlineStr">
        <is>
          <t>VÄSTERBOTTENS LÄN</t>
        </is>
      </c>
      <c r="E10571" t="inlineStr">
        <is>
          <t>STORUMAN</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19611-2026</t>
        </is>
      </c>
      <c r="B10572" s="1" t="n">
        <v>46132</v>
      </c>
      <c r="C10572" s="1" t="n">
        <v>46145</v>
      </c>
      <c r="D10572" t="inlineStr">
        <is>
          <t>VÄSTERBOTTENS LÄN</t>
        </is>
      </c>
      <c r="E10572" t="inlineStr">
        <is>
          <t>ÅSELE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37841-2023</t>
        </is>
      </c>
      <c r="B10573" s="1" t="n">
        <v>45156</v>
      </c>
      <c r="C10573" s="1" t="n">
        <v>46145</v>
      </c>
      <c r="D10573" t="inlineStr">
        <is>
          <t>VÄSTERBOTTENS LÄN</t>
        </is>
      </c>
      <c r="E10573" t="inlineStr">
        <is>
          <t>NORSJÖ</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63010-2023</t>
        </is>
      </c>
      <c r="B10574" s="1" t="n">
        <v>45272</v>
      </c>
      <c r="C10574" s="1" t="n">
        <v>46145</v>
      </c>
      <c r="D10574" t="inlineStr">
        <is>
          <t>VÄSTERBOTTENS LÄN</t>
        </is>
      </c>
      <c r="E10574" t="inlineStr">
        <is>
          <t>SKELLEFTEÅ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23633-2024</t>
        </is>
      </c>
      <c r="B10575" s="1" t="n">
        <v>45454</v>
      </c>
      <c r="C10575" s="1" t="n">
        <v>46145</v>
      </c>
      <c r="D10575" t="inlineStr">
        <is>
          <t>VÄSTERBOTTENS LÄN</t>
        </is>
      </c>
      <c r="E10575" t="inlineStr">
        <is>
          <t>MALÅ</t>
        </is>
      </c>
      <c r="G10575" t="n">
        <v>11.8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28954-2024</t>
        </is>
      </c>
      <c r="B10576" s="1" t="n">
        <v>45481.40775462963</v>
      </c>
      <c r="C10576" s="1" t="n">
        <v>46145</v>
      </c>
      <c r="D10576" t="inlineStr">
        <is>
          <t>VÄSTERBOTTENS LÄN</t>
        </is>
      </c>
      <c r="E10576" t="inlineStr">
        <is>
          <t>ÅSELE</t>
        </is>
      </c>
      <c r="F10576" t="inlineStr">
        <is>
          <t>Sveaskog</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19639-2026</t>
        </is>
      </c>
      <c r="B10577" s="1" t="n">
        <v>46134.57402777778</v>
      </c>
      <c r="C10577" s="1" t="n">
        <v>46145</v>
      </c>
      <c r="D10577" t="inlineStr">
        <is>
          <t>VÄSTERBOTTENS LÄN</t>
        </is>
      </c>
      <c r="E10577" t="inlineStr">
        <is>
          <t>VINDELN</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19640-2026</t>
        </is>
      </c>
      <c r="B10578" s="1" t="n">
        <v>46134.5741087963</v>
      </c>
      <c r="C10578" s="1" t="n">
        <v>46145</v>
      </c>
      <c r="D10578" t="inlineStr">
        <is>
          <t>VÄSTERBOTTENS LÄN</t>
        </is>
      </c>
      <c r="E10578" t="inlineStr">
        <is>
          <t>VINDELN</t>
        </is>
      </c>
      <c r="F10578" t="inlineStr">
        <is>
          <t>SCA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45325-2024</t>
        </is>
      </c>
      <c r="B10579" s="1" t="n">
        <v>45576.45346064815</v>
      </c>
      <c r="C10579" s="1" t="n">
        <v>46145</v>
      </c>
      <c r="D10579" t="inlineStr">
        <is>
          <t>VÄSTERBOTTENS LÄN</t>
        </is>
      </c>
      <c r="E10579" t="inlineStr">
        <is>
          <t>UMEÅ</t>
        </is>
      </c>
      <c r="F10579" t="inlineStr">
        <is>
          <t>Holmen skog AB</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45330-2024</t>
        </is>
      </c>
      <c r="B10580" s="1" t="n">
        <v>45576.45649305556</v>
      </c>
      <c r="C10580" s="1" t="n">
        <v>46145</v>
      </c>
      <c r="D10580" t="inlineStr">
        <is>
          <t>VÄSTERBOTTENS LÄN</t>
        </is>
      </c>
      <c r="E10580" t="inlineStr">
        <is>
          <t>LYCKSELE</t>
        </is>
      </c>
      <c r="F10580" t="inlineStr">
        <is>
          <t>Sveaskog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27322-2023</t>
        </is>
      </c>
      <c r="B10581" s="1" t="n">
        <v>45096</v>
      </c>
      <c r="C10581" s="1" t="n">
        <v>46145</v>
      </c>
      <c r="D10581" t="inlineStr">
        <is>
          <t>VÄSTERBOTTENS LÄN</t>
        </is>
      </c>
      <c r="E10581" t="inlineStr">
        <is>
          <t>SKELLEFTEÅ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67677-2021</t>
        </is>
      </c>
      <c r="B10582" s="1" t="n">
        <v>44524.9221412037</v>
      </c>
      <c r="C10582" s="1" t="n">
        <v>46145</v>
      </c>
      <c r="D10582" t="inlineStr">
        <is>
          <t>VÄSTERBOTTENS LÄN</t>
        </is>
      </c>
      <c r="E10582" t="inlineStr">
        <is>
          <t>NORSJÖ</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67679-2021</t>
        </is>
      </c>
      <c r="B10583" s="1" t="n">
        <v>44524</v>
      </c>
      <c r="C10583" s="1" t="n">
        <v>46145</v>
      </c>
      <c r="D10583" t="inlineStr">
        <is>
          <t>VÄSTERBOTTENS LÄN</t>
        </is>
      </c>
      <c r="E10583" t="inlineStr">
        <is>
          <t>MALÅ</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67686-2021</t>
        </is>
      </c>
      <c r="B10584" s="1" t="n">
        <v>44524</v>
      </c>
      <c r="C10584" s="1" t="n">
        <v>46145</v>
      </c>
      <c r="D10584" t="inlineStr">
        <is>
          <t>VÄSTERBOTTENS LÄN</t>
        </is>
      </c>
      <c r="E10584" t="inlineStr">
        <is>
          <t>DOROTEA</t>
        </is>
      </c>
      <c r="F10584" t="inlineStr">
        <is>
          <t>SCA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47131-2024</t>
        </is>
      </c>
      <c r="B10585" s="1" t="n">
        <v>45586.57693287037</v>
      </c>
      <c r="C10585" s="1" t="n">
        <v>46145</v>
      </c>
      <c r="D10585" t="inlineStr">
        <is>
          <t>VÄSTERBOTTENS LÄN</t>
        </is>
      </c>
      <c r="E10585" t="inlineStr">
        <is>
          <t>LYCKSELE</t>
        </is>
      </c>
      <c r="F10585" t="inlineStr">
        <is>
          <t>Sveaskog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13164-2026</t>
        </is>
      </c>
      <c r="B10586" s="1" t="n">
        <v>46093</v>
      </c>
      <c r="C10586" s="1" t="n">
        <v>46145</v>
      </c>
      <c r="D10586" t="inlineStr">
        <is>
          <t>VÄSTERBOTTENS LÄN</t>
        </is>
      </c>
      <c r="E10586" t="inlineStr">
        <is>
          <t>ÅSELE</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58450-2024</t>
        </is>
      </c>
      <c r="B10587" s="1" t="n">
        <v>45635.34425925926</v>
      </c>
      <c r="C10587" s="1" t="n">
        <v>46145</v>
      </c>
      <c r="D10587" t="inlineStr">
        <is>
          <t>VÄSTERBOTTENS LÄN</t>
        </is>
      </c>
      <c r="E10587" t="inlineStr">
        <is>
          <t>VILHELMINA</t>
        </is>
      </c>
      <c r="F10587" t="inlineStr">
        <is>
          <t>SCA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2087-2025</t>
        </is>
      </c>
      <c r="B10588" s="1" t="n">
        <v>45672.59090277777</v>
      </c>
      <c r="C10588" s="1" t="n">
        <v>46145</v>
      </c>
      <c r="D10588" t="inlineStr">
        <is>
          <t>VÄSTERBOTTENS LÄN</t>
        </is>
      </c>
      <c r="E10588" t="inlineStr">
        <is>
          <t>SKELLEFTEÅ</t>
        </is>
      </c>
      <c r="F10588" t="inlineStr">
        <is>
          <t>Holmen skog AB</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13236-2026</t>
        </is>
      </c>
      <c r="B10589" s="1" t="n">
        <v>46093.63917824074</v>
      </c>
      <c r="C10589" s="1" t="n">
        <v>46145</v>
      </c>
      <c r="D10589" t="inlineStr">
        <is>
          <t>VÄSTERBOTTENS LÄN</t>
        </is>
      </c>
      <c r="E10589" t="inlineStr">
        <is>
          <t>SORSELE</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13279-2026</t>
        </is>
      </c>
      <c r="B10590" s="1" t="n">
        <v>46093.7465162037</v>
      </c>
      <c r="C10590" s="1" t="n">
        <v>46145</v>
      </c>
      <c r="D10590" t="inlineStr">
        <is>
          <t>VÄSTERBOTTENS LÄN</t>
        </is>
      </c>
      <c r="E10590" t="inlineStr">
        <is>
          <t>UMEÅ</t>
        </is>
      </c>
      <c r="F10590" t="inlineStr">
        <is>
          <t>Kommuner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25262-2024</t>
        </is>
      </c>
      <c r="B10591" s="1" t="n">
        <v>45462</v>
      </c>
      <c r="C10591" s="1" t="n">
        <v>46145</v>
      </c>
      <c r="D10591" t="inlineStr">
        <is>
          <t>VÄSTERBOTTENS LÄN</t>
        </is>
      </c>
      <c r="E10591" t="inlineStr">
        <is>
          <t>STORUMAN</t>
        </is>
      </c>
      <c r="G10591" t="n">
        <v>17.4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47014-2024</t>
        </is>
      </c>
      <c r="B10592" s="1" t="n">
        <v>45586.38862268518</v>
      </c>
      <c r="C10592" s="1" t="n">
        <v>46145</v>
      </c>
      <c r="D10592" t="inlineStr">
        <is>
          <t>VÄSTERBOTTENS LÄN</t>
        </is>
      </c>
      <c r="E10592" t="inlineStr">
        <is>
          <t>SKELLEFTEÅ</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12980-2026</t>
        </is>
      </c>
      <c r="B10593" s="1" t="n">
        <v>46092.65799768519</v>
      </c>
      <c r="C10593" s="1" t="n">
        <v>46145</v>
      </c>
      <c r="D10593" t="inlineStr">
        <is>
          <t>VÄSTERBOTTENS LÄN</t>
        </is>
      </c>
      <c r="E10593" t="inlineStr">
        <is>
          <t>LYCKSELE</t>
        </is>
      </c>
      <c r="F10593" t="inlineStr">
        <is>
          <t>SCA</t>
        </is>
      </c>
      <c r="G10593" t="n">
        <v>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35179-2024</t>
        </is>
      </c>
      <c r="B10594" s="1" t="n">
        <v>45530.44016203703</v>
      </c>
      <c r="C10594" s="1" t="n">
        <v>46145</v>
      </c>
      <c r="D10594" t="inlineStr">
        <is>
          <t>VÄSTERBOTTENS LÄN</t>
        </is>
      </c>
      <c r="E10594" t="inlineStr">
        <is>
          <t>NORSJÖ</t>
        </is>
      </c>
      <c r="F10594" t="inlineStr">
        <is>
          <t>Holmen skog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13056-2026</t>
        </is>
      </c>
      <c r="B10595" s="1" t="n">
        <v>46093.34582175926</v>
      </c>
      <c r="C10595" s="1" t="n">
        <v>46145</v>
      </c>
      <c r="D10595" t="inlineStr">
        <is>
          <t>VÄSTERBOTTENS LÄN</t>
        </is>
      </c>
      <c r="E10595" t="inlineStr">
        <is>
          <t>ÅSELE</t>
        </is>
      </c>
      <c r="F10595" t="inlineStr">
        <is>
          <t>SCA</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12112-2024</t>
        </is>
      </c>
      <c r="B10596" s="1" t="n">
        <v>45376</v>
      </c>
      <c r="C10596" s="1" t="n">
        <v>46145</v>
      </c>
      <c r="D10596" t="inlineStr">
        <is>
          <t>VÄSTERBOTTENS LÄN</t>
        </is>
      </c>
      <c r="E10596" t="inlineStr">
        <is>
          <t>SKELLEFTEÅ</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13119-2026</t>
        </is>
      </c>
      <c r="B10597" s="1" t="n">
        <v>46093.44880787037</v>
      </c>
      <c r="C10597" s="1" t="n">
        <v>46145</v>
      </c>
      <c r="D10597" t="inlineStr">
        <is>
          <t>VÄSTERBOTTENS LÄN</t>
        </is>
      </c>
      <c r="E10597" t="inlineStr">
        <is>
          <t>STORUMAN</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60356-2022</t>
        </is>
      </c>
      <c r="B10598" s="1" t="n">
        <v>44904</v>
      </c>
      <c r="C10598" s="1" t="n">
        <v>46145</v>
      </c>
      <c r="D10598" t="inlineStr">
        <is>
          <t>VÄSTERBOTTENS LÄN</t>
        </is>
      </c>
      <c r="E10598" t="inlineStr">
        <is>
          <t>SKELLEFTEÅ</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59082-2022</t>
        </is>
      </c>
      <c r="B10599" s="1" t="n">
        <v>44897</v>
      </c>
      <c r="C10599" s="1" t="n">
        <v>46145</v>
      </c>
      <c r="D10599" t="inlineStr">
        <is>
          <t>VÄSTERBOTTENS LÄN</t>
        </is>
      </c>
      <c r="E10599" t="inlineStr">
        <is>
          <t>SORSELE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8484-2023</t>
        </is>
      </c>
      <c r="B10600" s="1" t="n">
        <v>44972</v>
      </c>
      <c r="C10600" s="1" t="n">
        <v>46145</v>
      </c>
      <c r="D10600" t="inlineStr">
        <is>
          <t>VÄSTERBOTTENS LÄN</t>
        </is>
      </c>
      <c r="E10600" t="inlineStr">
        <is>
          <t>NORDMALING</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13243-2026</t>
        </is>
      </c>
      <c r="B10601" s="1" t="n">
        <v>46093.65123842593</v>
      </c>
      <c r="C10601" s="1" t="n">
        <v>46145</v>
      </c>
      <c r="D10601" t="inlineStr">
        <is>
          <t>VÄSTERBOTTENS LÄN</t>
        </is>
      </c>
      <c r="E10601" t="inlineStr">
        <is>
          <t>SORSELE</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13249-2026</t>
        </is>
      </c>
      <c r="B10602" s="1" t="n">
        <v>46093.656875</v>
      </c>
      <c r="C10602" s="1" t="n">
        <v>46145</v>
      </c>
      <c r="D10602" t="inlineStr">
        <is>
          <t>VÄSTERBOTTENS LÄN</t>
        </is>
      </c>
      <c r="E10602" t="inlineStr">
        <is>
          <t>ÅSELE</t>
        </is>
      </c>
      <c r="F10602" t="inlineStr">
        <is>
          <t>SCA</t>
        </is>
      </c>
      <c r="G10602" t="n">
        <v>13.6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29575-2023</t>
        </is>
      </c>
      <c r="B10603" s="1" t="n">
        <v>45106</v>
      </c>
      <c r="C10603" s="1" t="n">
        <v>46145</v>
      </c>
      <c r="D10603" t="inlineStr">
        <is>
          <t>VÄSTERBOTTENS LÄN</t>
        </is>
      </c>
      <c r="E10603" t="inlineStr">
        <is>
          <t>STORUMAN</t>
        </is>
      </c>
      <c r="F10603" t="inlineStr">
        <is>
          <t>Sveaskog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12811-2026</t>
        </is>
      </c>
      <c r="B10604" s="1" t="n">
        <v>46092.38594907407</v>
      </c>
      <c r="C10604" s="1" t="n">
        <v>46145</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52149-2024</t>
        </is>
      </c>
      <c r="B10605" s="1" t="n">
        <v>45608.52366898148</v>
      </c>
      <c r="C10605" s="1" t="n">
        <v>46145</v>
      </c>
      <c r="D10605" t="inlineStr">
        <is>
          <t>VÄSTERBOTTENS LÄN</t>
        </is>
      </c>
      <c r="E10605" t="inlineStr">
        <is>
          <t>NORDMALING</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32891-2024</t>
        </is>
      </c>
      <c r="B10606" s="1" t="n">
        <v>45516.83846064815</v>
      </c>
      <c r="C10606" s="1" t="n">
        <v>46145</v>
      </c>
      <c r="D10606" t="inlineStr">
        <is>
          <t>VÄSTERBOTTENS LÄN</t>
        </is>
      </c>
      <c r="E10606" t="inlineStr">
        <is>
          <t>NORSJÖ</t>
        </is>
      </c>
      <c r="F10606" t="inlineStr">
        <is>
          <t>Holmen skog AB</t>
        </is>
      </c>
      <c r="G10606" t="n">
        <v>13.9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460-2025</t>
        </is>
      </c>
      <c r="B10607" s="1" t="n">
        <v>45664.41229166667</v>
      </c>
      <c r="C10607" s="1" t="n">
        <v>46145</v>
      </c>
      <c r="D10607" t="inlineStr">
        <is>
          <t>VÄSTERBOTTENS LÄN</t>
        </is>
      </c>
      <c r="E10607" t="inlineStr">
        <is>
          <t>DOROTEA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60785-2022</t>
        </is>
      </c>
      <c r="B10608" s="1" t="n">
        <v>44907</v>
      </c>
      <c r="C10608" s="1" t="n">
        <v>46145</v>
      </c>
      <c r="D10608" t="inlineStr">
        <is>
          <t>VÄSTERBOTTENS LÄN</t>
        </is>
      </c>
      <c r="E10608" t="inlineStr">
        <is>
          <t>SKELLEFTEÅ</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19769-2026</t>
        </is>
      </c>
      <c r="B10609" s="1" t="n">
        <v>46135.43068287037</v>
      </c>
      <c r="C10609" s="1" t="n">
        <v>46145</v>
      </c>
      <c r="D10609" t="inlineStr">
        <is>
          <t>VÄSTERBOTTENS LÄN</t>
        </is>
      </c>
      <c r="E10609" t="inlineStr">
        <is>
          <t>SORSELE</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579-2023</t>
        </is>
      </c>
      <c r="B10610" s="1" t="n">
        <v>44925</v>
      </c>
      <c r="C10610" s="1" t="n">
        <v>46145</v>
      </c>
      <c r="D10610" t="inlineStr">
        <is>
          <t>VÄSTERBOTTENS LÄN</t>
        </is>
      </c>
      <c r="E10610" t="inlineStr">
        <is>
          <t>VINDELN</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29239-2024</t>
        </is>
      </c>
      <c r="B10611" s="1" t="n">
        <v>45482.92789351852</v>
      </c>
      <c r="C10611" s="1" t="n">
        <v>46145</v>
      </c>
      <c r="D10611" t="inlineStr">
        <is>
          <t>VÄSTERBOTTENS LÄN</t>
        </is>
      </c>
      <c r="E10611" t="inlineStr">
        <is>
          <t>DOROTEA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13049-2026</t>
        </is>
      </c>
      <c r="B10612" s="1" t="n">
        <v>46093.32907407408</v>
      </c>
      <c r="C10612" s="1" t="n">
        <v>46145</v>
      </c>
      <c r="D10612" t="inlineStr">
        <is>
          <t>VÄSTERBOTTENS LÄN</t>
        </is>
      </c>
      <c r="E10612" t="inlineStr">
        <is>
          <t>UMEÅ</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37969-2024</t>
        </is>
      </c>
      <c r="B10613" s="1" t="n">
        <v>45544.55925925926</v>
      </c>
      <c r="C10613" s="1" t="n">
        <v>46145</v>
      </c>
      <c r="D10613" t="inlineStr">
        <is>
          <t>VÄSTERBOTTENS LÄN</t>
        </is>
      </c>
      <c r="E10613" t="inlineStr">
        <is>
          <t>LYCKSELE</t>
        </is>
      </c>
      <c r="F10613" t="inlineStr">
        <is>
          <t>Sveaskog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58579-2022</t>
        </is>
      </c>
      <c r="B10614" s="1" t="n">
        <v>44902</v>
      </c>
      <c r="C10614" s="1" t="n">
        <v>46145</v>
      </c>
      <c r="D10614" t="inlineStr">
        <is>
          <t>VÄSTERBOTTENS LÄN</t>
        </is>
      </c>
      <c r="E10614" t="inlineStr">
        <is>
          <t>VINDELN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52997-2024</t>
        </is>
      </c>
      <c r="B10615" s="1" t="n">
        <v>45611.38657407407</v>
      </c>
      <c r="C10615" s="1" t="n">
        <v>46145</v>
      </c>
      <c r="D10615" t="inlineStr">
        <is>
          <t>VÄSTERBOTTENS LÄN</t>
        </is>
      </c>
      <c r="E10615" t="inlineStr">
        <is>
          <t>ROBERTSFORS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41109-2024</t>
        </is>
      </c>
      <c r="B10616" s="1" t="n">
        <v>45559.4494675926</v>
      </c>
      <c r="C10616" s="1" t="n">
        <v>46145</v>
      </c>
      <c r="D10616" t="inlineStr">
        <is>
          <t>VÄSTERBOTTENS LÄN</t>
        </is>
      </c>
      <c r="E10616" t="inlineStr">
        <is>
          <t>VINDELN</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41793-2024</t>
        </is>
      </c>
      <c r="B10617" s="1" t="n">
        <v>45561.35800925926</v>
      </c>
      <c r="C10617" s="1" t="n">
        <v>46145</v>
      </c>
      <c r="D10617" t="inlineStr">
        <is>
          <t>VÄSTERBOTTENS LÄN</t>
        </is>
      </c>
      <c r="E10617" t="inlineStr">
        <is>
          <t>LYCKSELE</t>
        </is>
      </c>
      <c r="F10617" t="inlineStr">
        <is>
          <t>Sveaskog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21660-2023</t>
        </is>
      </c>
      <c r="B10618" s="1" t="n">
        <v>45063</v>
      </c>
      <c r="C10618" s="1" t="n">
        <v>46145</v>
      </c>
      <c r="D10618" t="inlineStr">
        <is>
          <t>VÄSTERBOTTENS LÄN</t>
        </is>
      </c>
      <c r="E10618" t="inlineStr">
        <is>
          <t>LYCKSELE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4785-2026</t>
        </is>
      </c>
      <c r="B10619" s="1" t="n">
        <v>46048</v>
      </c>
      <c r="C10619" s="1" t="n">
        <v>46145</v>
      </c>
      <c r="D10619" t="inlineStr">
        <is>
          <t>VÄSTERBOTTENS LÄN</t>
        </is>
      </c>
      <c r="E10619" t="inlineStr">
        <is>
          <t>VILHELMINA</t>
        </is>
      </c>
      <c r="G10619" t="n">
        <v>9.6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34763-2024</t>
        </is>
      </c>
      <c r="B10620" s="1" t="n">
        <v>45526.61646990741</v>
      </c>
      <c r="C10620" s="1" t="n">
        <v>46145</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34764-2024</t>
        </is>
      </c>
      <c r="B10621" s="1" t="n">
        <v>45526.61664351852</v>
      </c>
      <c r="C10621" s="1" t="n">
        <v>46145</v>
      </c>
      <c r="D10621" t="inlineStr">
        <is>
          <t>VÄSTERBOTTENS LÄN</t>
        </is>
      </c>
      <c r="E10621" t="inlineStr">
        <is>
          <t>VILHELMINA</t>
        </is>
      </c>
      <c r="F10621" t="inlineStr">
        <is>
          <t>SCA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19701-2026</t>
        </is>
      </c>
      <c r="B10622" s="1" t="n">
        <v>46134.6991550926</v>
      </c>
      <c r="C10622" s="1" t="n">
        <v>46145</v>
      </c>
      <c r="D10622" t="inlineStr">
        <is>
          <t>VÄSTERBOTTENS LÄN</t>
        </is>
      </c>
      <c r="E10622" t="inlineStr">
        <is>
          <t>LYCKSELE</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33753-2024</t>
        </is>
      </c>
      <c r="B10623" s="1" t="n">
        <v>45520</v>
      </c>
      <c r="C10623" s="1" t="n">
        <v>46145</v>
      </c>
      <c r="D10623" t="inlineStr">
        <is>
          <t>VÄSTERBOTTENS LÄN</t>
        </is>
      </c>
      <c r="E10623" t="inlineStr">
        <is>
          <t>VINDELN</t>
        </is>
      </c>
      <c r="F10623" t="inlineStr">
        <is>
          <t>Sveaskog</t>
        </is>
      </c>
      <c r="G10623" t="n">
        <v>14.1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32821-2024</t>
        </is>
      </c>
      <c r="B10624" s="1" t="n">
        <v>45516</v>
      </c>
      <c r="C10624" s="1" t="n">
        <v>46145</v>
      </c>
      <c r="D10624" t="inlineStr">
        <is>
          <t>VÄSTERBOTTENS LÄN</t>
        </is>
      </c>
      <c r="E10624" t="inlineStr">
        <is>
          <t>DOROTEA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759-2023</t>
        </is>
      </c>
      <c r="B10625" s="1" t="n">
        <v>44931</v>
      </c>
      <c r="C10625" s="1" t="n">
        <v>46145</v>
      </c>
      <c r="D10625" t="inlineStr">
        <is>
          <t>VÄSTERBOTTENS LÄN</t>
        </is>
      </c>
      <c r="E10625" t="inlineStr">
        <is>
          <t>UMEÅ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57376-2022</t>
        </is>
      </c>
      <c r="B10626" s="1" t="n">
        <v>44889</v>
      </c>
      <c r="C10626" s="1" t="n">
        <v>46145</v>
      </c>
      <c r="D10626" t="inlineStr">
        <is>
          <t>VÄSTERBOTTENS LÄN</t>
        </is>
      </c>
      <c r="E10626" t="inlineStr">
        <is>
          <t>DOROTEA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63607-2025</t>
        </is>
      </c>
      <c r="B10627" s="1" t="n">
        <v>46014</v>
      </c>
      <c r="C10627" s="1" t="n">
        <v>46145</v>
      </c>
      <c r="D10627" t="inlineStr">
        <is>
          <t>VÄSTERBOTTENS LÄN</t>
        </is>
      </c>
      <c r="E10627" t="inlineStr">
        <is>
          <t>SORSELE</t>
        </is>
      </c>
      <c r="G10627" t="n">
        <v>37.1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60585-2022</t>
        </is>
      </c>
      <c r="B10628" s="1" t="n">
        <v>44911.58148148148</v>
      </c>
      <c r="C10628" s="1" t="n">
        <v>46145</v>
      </c>
      <c r="D10628" t="inlineStr">
        <is>
          <t>VÄSTERBOTTENS LÄN</t>
        </is>
      </c>
      <c r="E10628" t="inlineStr">
        <is>
          <t>SKELLEFTEÅ</t>
        </is>
      </c>
      <c r="F10628" t="inlineStr">
        <is>
          <t>Sveaskog</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11535-2026</t>
        </is>
      </c>
      <c r="B10629" s="1" t="n">
        <v>46083</v>
      </c>
      <c r="C10629" s="1" t="n">
        <v>46145</v>
      </c>
      <c r="D10629" t="inlineStr">
        <is>
          <t>VÄSTERBOTTENS LÄN</t>
        </is>
      </c>
      <c r="E10629" t="inlineStr">
        <is>
          <t>ÅSELE</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17352-2023</t>
        </is>
      </c>
      <c r="B10630" s="1" t="n">
        <v>45033</v>
      </c>
      <c r="C10630" s="1" t="n">
        <v>46145</v>
      </c>
      <c r="D10630" t="inlineStr">
        <is>
          <t>VÄSTERBOTTENS LÄN</t>
        </is>
      </c>
      <c r="E10630" t="inlineStr">
        <is>
          <t>UMEÅ</t>
        </is>
      </c>
      <c r="F10630" t="inlineStr">
        <is>
          <t>Kommuner</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24003-2025</t>
        </is>
      </c>
      <c r="B10631" s="1" t="n">
        <v>45796</v>
      </c>
      <c r="C10631" s="1" t="n">
        <v>46145</v>
      </c>
      <c r="D10631" t="inlineStr">
        <is>
          <t>VÄSTERBOTTENS LÄN</t>
        </is>
      </c>
      <c r="E10631" t="inlineStr">
        <is>
          <t>DOROTEA</t>
        </is>
      </c>
      <c r="F10631" t="inlineStr">
        <is>
          <t>SCA</t>
        </is>
      </c>
      <c r="G10631" t="n">
        <v>6.1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58993-2024</t>
        </is>
      </c>
      <c r="B10632" s="1" t="n">
        <v>45636.63711805556</v>
      </c>
      <c r="C10632" s="1" t="n">
        <v>46145</v>
      </c>
      <c r="D10632" t="inlineStr">
        <is>
          <t>VÄSTERBOTTENS LÄN</t>
        </is>
      </c>
      <c r="E10632" t="inlineStr">
        <is>
          <t>SKELLEFTEÅ</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1206-2023</t>
        </is>
      </c>
      <c r="B10633" s="1" t="n">
        <v>44930</v>
      </c>
      <c r="C10633" s="1" t="n">
        <v>46145</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13255-2026</t>
        </is>
      </c>
      <c r="B10634" s="1" t="n">
        <v>46093.66412037037</v>
      </c>
      <c r="C10634" s="1" t="n">
        <v>46145</v>
      </c>
      <c r="D10634" t="inlineStr">
        <is>
          <t>VÄSTERBOTTENS LÄN</t>
        </is>
      </c>
      <c r="E10634" t="inlineStr">
        <is>
          <t>SKELLEFTEÅ</t>
        </is>
      </c>
      <c r="G10634" t="n">
        <v>5.1</v>
      </c>
      <c r="H10634" t="n">
        <v>0</v>
      </c>
      <c r="I10634" t="n">
        <v>0</v>
      </c>
      <c r="J10634" t="n">
        <v>0</v>
      </c>
      <c r="K10634" t="n">
        <v>0</v>
      </c>
      <c r="L10634" t="n">
        <v>0</v>
      </c>
      <c r="M10634" t="n">
        <v>0</v>
      </c>
      <c r="N10634" t="n">
        <v>0</v>
      </c>
      <c r="O10634" t="n">
        <v>0</v>
      </c>
      <c r="P10634" t="n">
        <v>0</v>
      </c>
      <c r="Q10634" t="n">
        <v>0</v>
      </c>
      <c r="R10634" s="2" t="inlineStr"/>
      <c r="U10634">
        <f>HYPERLINK("https://klasma.github.io/Logging_2482/knärot/A 13255-2026 karta knärot.png", "A 13255-2026")</f>
        <v/>
      </c>
      <c r="V10634">
        <f>HYPERLINK("https://klasma.github.io/Logging_2482/klagomål/A 13255-2026 FSC-klagomål.docx", "A 13255-2026")</f>
        <v/>
      </c>
      <c r="W10634">
        <f>HYPERLINK("https://klasma.github.io/Logging_2482/klagomålsmail/A 13255-2026 FSC-klagomål mail.docx", "A 13255-2026")</f>
        <v/>
      </c>
      <c r="X10634">
        <f>HYPERLINK("https://klasma.github.io/Logging_2482/tillsyn/A 13255-2026 tillsynsbegäran.docx", "A 13255-2026")</f>
        <v/>
      </c>
      <c r="Y10634">
        <f>HYPERLINK("https://klasma.github.io/Logging_2482/tillsynsmail/A 13255-2026 tillsynsbegäran mail.docx", "A 13255-2026")</f>
        <v/>
      </c>
    </row>
    <row r="10635" ht="15" customHeight="1">
      <c r="A10635" t="inlineStr">
        <is>
          <t>A 12998-2026</t>
        </is>
      </c>
      <c r="B10635" s="1" t="n">
        <v>46092.68368055556</v>
      </c>
      <c r="C10635" s="1" t="n">
        <v>46145</v>
      </c>
      <c r="D10635" t="inlineStr">
        <is>
          <t>VÄSTERBOTTENS LÄN</t>
        </is>
      </c>
      <c r="E10635" t="inlineStr">
        <is>
          <t>LYCKSELE</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5790-2023</t>
        </is>
      </c>
      <c r="B10636" s="1" t="n">
        <v>44963.44527777778</v>
      </c>
      <c r="C10636" s="1" t="n">
        <v>46145</v>
      </c>
      <c r="D10636" t="inlineStr">
        <is>
          <t>VÄSTERBOTTENS LÄN</t>
        </is>
      </c>
      <c r="E10636" t="inlineStr">
        <is>
          <t>NORSJÖ</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13070-2026</t>
        </is>
      </c>
      <c r="B10637" s="1" t="n">
        <v>46093.36559027778</v>
      </c>
      <c r="C10637" s="1" t="n">
        <v>46145</v>
      </c>
      <c r="D10637" t="inlineStr">
        <is>
          <t>VÄSTERBOTTENS LÄN</t>
        </is>
      </c>
      <c r="E10637" t="inlineStr">
        <is>
          <t>VILHELMINA</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19860-2026</t>
        </is>
      </c>
      <c r="B10638" s="1" t="n">
        <v>46135.64072916667</v>
      </c>
      <c r="C10638" s="1" t="n">
        <v>46145</v>
      </c>
      <c r="D10638" t="inlineStr">
        <is>
          <t>VÄSTERBOTTENS LÄN</t>
        </is>
      </c>
      <c r="E10638" t="inlineStr">
        <is>
          <t>SKELLEFTEÅ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4078-2025</t>
        </is>
      </c>
      <c r="B10639" s="1" t="n">
        <v>45684.65501157408</v>
      </c>
      <c r="C10639" s="1" t="n">
        <v>46145</v>
      </c>
      <c r="D10639" t="inlineStr">
        <is>
          <t>VÄSTERBOTTENS LÄN</t>
        </is>
      </c>
      <c r="E10639" t="inlineStr">
        <is>
          <t>ÅSELE</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19554-2026</t>
        </is>
      </c>
      <c r="B10640" s="1" t="n">
        <v>46134.40690972222</v>
      </c>
      <c r="C10640" s="1" t="n">
        <v>46145</v>
      </c>
      <c r="D10640" t="inlineStr">
        <is>
          <t>VÄSTERBOTTENS LÄN</t>
        </is>
      </c>
      <c r="E10640" t="inlineStr">
        <is>
          <t>STORUMAN</t>
        </is>
      </c>
      <c r="F10640" t="inlineStr">
        <is>
          <t>SCA</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23983-2023</t>
        </is>
      </c>
      <c r="B10641" s="1" t="n">
        <v>45078</v>
      </c>
      <c r="C10641" s="1" t="n">
        <v>46145</v>
      </c>
      <c r="D10641" t="inlineStr">
        <is>
          <t>VÄSTERBOTTENS LÄN</t>
        </is>
      </c>
      <c r="E10641" t="inlineStr">
        <is>
          <t>UMEÅ</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33693-2024</t>
        </is>
      </c>
      <c r="B10642" s="1" t="n">
        <v>45520.51587962963</v>
      </c>
      <c r="C10642" s="1" t="n">
        <v>46145</v>
      </c>
      <c r="D10642" t="inlineStr">
        <is>
          <t>VÄSTERBOTTENS LÄN</t>
        </is>
      </c>
      <c r="E10642" t="inlineStr">
        <is>
          <t>LYCKSELE</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50081-2022</t>
        </is>
      </c>
      <c r="B10643" s="1" t="n">
        <v>44860</v>
      </c>
      <c r="C10643" s="1" t="n">
        <v>46145</v>
      </c>
      <c r="D10643" t="inlineStr">
        <is>
          <t>VÄSTERBOTTENS LÄN</t>
        </is>
      </c>
      <c r="E10643" t="inlineStr">
        <is>
          <t>VINDELN</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8536-2025</t>
        </is>
      </c>
      <c r="B10644" s="1" t="n">
        <v>45709</v>
      </c>
      <c r="C10644" s="1" t="n">
        <v>46145</v>
      </c>
      <c r="D10644" t="inlineStr">
        <is>
          <t>VÄSTERBOTTENS LÄN</t>
        </is>
      </c>
      <c r="E10644" t="inlineStr">
        <is>
          <t>VINDELN</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19565-2026</t>
        </is>
      </c>
      <c r="B10645" s="1" t="n">
        <v>46134.43127314815</v>
      </c>
      <c r="C10645" s="1" t="n">
        <v>46145</v>
      </c>
      <c r="D10645" t="inlineStr">
        <is>
          <t>VÄSTERBOTTENS LÄN</t>
        </is>
      </c>
      <c r="E10645" t="inlineStr">
        <is>
          <t>NORDMALING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55469-2021</t>
        </is>
      </c>
      <c r="B10646" s="1" t="n">
        <v>44475</v>
      </c>
      <c r="C10646" s="1" t="n">
        <v>46145</v>
      </c>
      <c r="D10646" t="inlineStr">
        <is>
          <t>VÄSTERBOTTENS LÄN</t>
        </is>
      </c>
      <c r="E10646" t="inlineStr">
        <is>
          <t>ROBERTSFORS</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12900-2026</t>
        </is>
      </c>
      <c r="B10647" s="1" t="n">
        <v>46092.56947916667</v>
      </c>
      <c r="C10647" s="1" t="n">
        <v>46145</v>
      </c>
      <c r="D10647" t="inlineStr">
        <is>
          <t>VÄSTERBOTTENS LÄN</t>
        </is>
      </c>
      <c r="E10647" t="inlineStr">
        <is>
          <t>UMEÅ</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12921-2026</t>
        </is>
      </c>
      <c r="B10648" s="1" t="n">
        <v>46092.60209490741</v>
      </c>
      <c r="C10648" s="1" t="n">
        <v>46145</v>
      </c>
      <c r="D10648" t="inlineStr">
        <is>
          <t>VÄSTERBOTTENS LÄN</t>
        </is>
      </c>
      <c r="E10648" t="inlineStr">
        <is>
          <t>ÅSELE</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19517-2026</t>
        </is>
      </c>
      <c r="B10649" s="1" t="n">
        <v>46134.34476851852</v>
      </c>
      <c r="C10649" s="1" t="n">
        <v>46145</v>
      </c>
      <c r="D10649" t="inlineStr">
        <is>
          <t>VÄSTERBOTTENS LÄN</t>
        </is>
      </c>
      <c r="E10649" t="inlineStr">
        <is>
          <t>ÅSELE</t>
        </is>
      </c>
      <c r="F10649" t="inlineStr">
        <is>
          <t>SCA</t>
        </is>
      </c>
      <c r="G10649" t="n">
        <v>22.5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19518-2026</t>
        </is>
      </c>
      <c r="B10650" s="1" t="n">
        <v>46134.34484953704</v>
      </c>
      <c r="C10650" s="1" t="n">
        <v>46145</v>
      </c>
      <c r="D10650" t="inlineStr">
        <is>
          <t>VÄSTERBOTTENS LÄN</t>
        </is>
      </c>
      <c r="E10650" t="inlineStr">
        <is>
          <t>ÅSELE</t>
        </is>
      </c>
      <c r="F10650" t="inlineStr">
        <is>
          <t>SCA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34995-2023</t>
        </is>
      </c>
      <c r="B10651" s="1" t="n">
        <v>45142.92372685186</v>
      </c>
      <c r="C10651" s="1" t="n">
        <v>46145</v>
      </c>
      <c r="D10651" t="inlineStr">
        <is>
          <t>VÄSTERBOTTENS LÄN</t>
        </is>
      </c>
      <c r="E10651" t="inlineStr">
        <is>
          <t>DOROTEA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19732-2026</t>
        </is>
      </c>
      <c r="B10652" s="1" t="n">
        <v>46135.30538194445</v>
      </c>
      <c r="C10652" s="1" t="n">
        <v>46145</v>
      </c>
      <c r="D10652" t="inlineStr">
        <is>
          <t>VÄSTERBOTTENS LÄN</t>
        </is>
      </c>
      <c r="E10652" t="inlineStr">
        <is>
          <t>ROBERTSFORS</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28426-2023</t>
        </is>
      </c>
      <c r="B10653" s="1" t="n">
        <v>45102</v>
      </c>
      <c r="C10653" s="1" t="n">
        <v>46145</v>
      </c>
      <c r="D10653" t="inlineStr">
        <is>
          <t>VÄSTERBOTTENS LÄN</t>
        </is>
      </c>
      <c r="E10653" t="inlineStr">
        <is>
          <t>BJURHOLM</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26797-2023</t>
        </is>
      </c>
      <c r="B10654" s="1" t="n">
        <v>45090</v>
      </c>
      <c r="C10654" s="1" t="n">
        <v>46145</v>
      </c>
      <c r="D10654" t="inlineStr">
        <is>
          <t>VÄSTERBOTTENS LÄN</t>
        </is>
      </c>
      <c r="E10654" t="inlineStr">
        <is>
          <t>ROBERTSFORS</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60549-2025</t>
        </is>
      </c>
      <c r="B10655" s="1" t="n">
        <v>45995</v>
      </c>
      <c r="C10655" s="1" t="n">
        <v>46145</v>
      </c>
      <c r="D10655" t="inlineStr">
        <is>
          <t>VÄSTERBOTTENS LÄN</t>
        </is>
      </c>
      <c r="E10655" t="inlineStr">
        <is>
          <t>VILHELMINA</t>
        </is>
      </c>
      <c r="G10655" t="n">
        <v>19.6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35558-2022</t>
        </is>
      </c>
      <c r="B10656" s="1" t="n">
        <v>44799.38560185185</v>
      </c>
      <c r="C10656" s="1" t="n">
        <v>46145</v>
      </c>
      <c r="D10656" t="inlineStr">
        <is>
          <t>VÄSTERBOTTENS LÄN</t>
        </is>
      </c>
      <c r="E10656" t="inlineStr">
        <is>
          <t>SKELLEFTEÅ</t>
        </is>
      </c>
      <c r="F10656" t="inlineStr">
        <is>
          <t>Sveaskog</t>
        </is>
      </c>
      <c r="G10656" t="n">
        <v>21.8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10418-2023</t>
        </is>
      </c>
      <c r="B10657" s="1" t="n">
        <v>44987</v>
      </c>
      <c r="C10657" s="1" t="n">
        <v>46145</v>
      </c>
      <c r="D10657" t="inlineStr">
        <is>
          <t>VÄSTERBOTTENS LÄN</t>
        </is>
      </c>
      <c r="E10657" t="inlineStr">
        <is>
          <t>VILHELMINA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40588-2023</t>
        </is>
      </c>
      <c r="B10658" s="1" t="n">
        <v>45170</v>
      </c>
      <c r="C10658" s="1" t="n">
        <v>46145</v>
      </c>
      <c r="D10658" t="inlineStr">
        <is>
          <t>VÄSTERBOTTENS LÄN</t>
        </is>
      </c>
      <c r="E10658" t="inlineStr">
        <is>
          <t>MALÅ</t>
        </is>
      </c>
      <c r="F10658" t="inlineStr">
        <is>
          <t>Sveaskog</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12941-2026</t>
        </is>
      </c>
      <c r="B10659" s="1" t="n">
        <v>46092</v>
      </c>
      <c r="C10659" s="1" t="n">
        <v>46145</v>
      </c>
      <c r="D10659" t="inlineStr">
        <is>
          <t>VÄSTERBOTTENS LÄN</t>
        </is>
      </c>
      <c r="E10659" t="inlineStr">
        <is>
          <t>DOROTEA</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47493-2023</t>
        </is>
      </c>
      <c r="B10660" s="1" t="n">
        <v>45202</v>
      </c>
      <c r="C10660" s="1" t="n">
        <v>46145</v>
      </c>
      <c r="D10660" t="inlineStr">
        <is>
          <t>VÄSTERBOTTENS LÄN</t>
        </is>
      </c>
      <c r="E10660" t="inlineStr">
        <is>
          <t>DOROTEA</t>
        </is>
      </c>
      <c r="F10660" t="inlineStr">
        <is>
          <t>SCA</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19730-2026</t>
        </is>
      </c>
      <c r="B10661" s="1" t="n">
        <v>46135.30063657407</v>
      </c>
      <c r="C10661" s="1" t="n">
        <v>46145</v>
      </c>
      <c r="D10661" t="inlineStr">
        <is>
          <t>VÄSTERBOTTENS LÄN</t>
        </is>
      </c>
      <c r="E10661" t="inlineStr">
        <is>
          <t>ROBERTSFORS</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19598-2026</t>
        </is>
      </c>
      <c r="B10662" s="1" t="n">
        <v>46132</v>
      </c>
      <c r="C10662" s="1" t="n">
        <v>46145</v>
      </c>
      <c r="D10662" t="inlineStr">
        <is>
          <t>VÄSTERBOTTENS LÄN</t>
        </is>
      </c>
      <c r="E10662" t="inlineStr">
        <is>
          <t>ÅSELE</t>
        </is>
      </c>
      <c r="G10662" t="n">
        <v>19.6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18700-2025</t>
        </is>
      </c>
      <c r="B10663" s="1" t="n">
        <v>45763.62945601852</v>
      </c>
      <c r="C10663" s="1" t="n">
        <v>46145</v>
      </c>
      <c r="D10663" t="inlineStr">
        <is>
          <t>VÄSTERBOTTENS LÄN</t>
        </is>
      </c>
      <c r="E10663" t="inlineStr">
        <is>
          <t>SKELLEFTEÅ</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16504-2025</t>
        </is>
      </c>
      <c r="B10664" s="1" t="n">
        <v>45751</v>
      </c>
      <c r="C10664" s="1" t="n">
        <v>46145</v>
      </c>
      <c r="D10664" t="inlineStr">
        <is>
          <t>VÄSTERBOTTENS LÄN</t>
        </is>
      </c>
      <c r="E10664" t="inlineStr">
        <is>
          <t>LYCKSELE</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56175-2024</t>
        </is>
      </c>
      <c r="B10665" s="1" t="n">
        <v>45624.55708333333</v>
      </c>
      <c r="C10665" s="1" t="n">
        <v>46145</v>
      </c>
      <c r="D10665" t="inlineStr">
        <is>
          <t>VÄSTERBOTTENS LÄN</t>
        </is>
      </c>
      <c r="E10665" t="inlineStr">
        <is>
          <t>MALÅ</t>
        </is>
      </c>
      <c r="F10665" t="inlineStr">
        <is>
          <t>Sveaskog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17133-2025</t>
        </is>
      </c>
      <c r="B10666" s="1" t="n">
        <v>45755</v>
      </c>
      <c r="C10666" s="1" t="n">
        <v>46145</v>
      </c>
      <c r="D10666" t="inlineStr">
        <is>
          <t>VÄSTERBOTTENS LÄN</t>
        </is>
      </c>
      <c r="E10666" t="inlineStr">
        <is>
          <t>DOROTEA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25308-2025</t>
        </is>
      </c>
      <c r="B10667" s="1" t="n">
        <v>45800</v>
      </c>
      <c r="C10667" s="1" t="n">
        <v>46145</v>
      </c>
      <c r="D10667" t="inlineStr">
        <is>
          <t>VÄSTERBOTTENS LÄN</t>
        </is>
      </c>
      <c r="E10667" t="inlineStr">
        <is>
          <t>VILHELMINA</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50189-2024</t>
        </is>
      </c>
      <c r="B10668" s="1" t="n">
        <v>45600.47861111111</v>
      </c>
      <c r="C10668" s="1" t="n">
        <v>46145</v>
      </c>
      <c r="D10668" t="inlineStr">
        <is>
          <t>VÄSTERBOTTENS LÄN</t>
        </is>
      </c>
      <c r="E10668" t="inlineStr">
        <is>
          <t>BJURHOLM</t>
        </is>
      </c>
      <c r="F10668" t="inlineStr">
        <is>
          <t>Holmen skog AB</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10203-2024</t>
        </is>
      </c>
      <c r="B10669" s="1" t="n">
        <v>45364</v>
      </c>
      <c r="C10669" s="1" t="n">
        <v>46145</v>
      </c>
      <c r="D10669" t="inlineStr">
        <is>
          <t>VÄSTERBOTTENS LÄN</t>
        </is>
      </c>
      <c r="E10669" t="inlineStr">
        <is>
          <t>STORUMAN</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10204-2024</t>
        </is>
      </c>
      <c r="B10670" s="1" t="n">
        <v>45364</v>
      </c>
      <c r="C10670" s="1" t="n">
        <v>46145</v>
      </c>
      <c r="D10670" t="inlineStr">
        <is>
          <t>VÄSTERBOTTENS LÄN</t>
        </is>
      </c>
      <c r="E10670" t="inlineStr">
        <is>
          <t>STORUMAN</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25818-2024</t>
        </is>
      </c>
      <c r="B10671" s="1" t="n">
        <v>45467</v>
      </c>
      <c r="C10671" s="1" t="n">
        <v>46145</v>
      </c>
      <c r="D10671" t="inlineStr">
        <is>
          <t>VÄSTERBOTTENS LÄN</t>
        </is>
      </c>
      <c r="E10671" t="inlineStr">
        <is>
          <t>STORUMAN</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35202-2025</t>
        </is>
      </c>
      <c r="B10672" s="1" t="n">
        <v>45852</v>
      </c>
      <c r="C10672" s="1" t="n">
        <v>46145</v>
      </c>
      <c r="D10672" t="inlineStr">
        <is>
          <t>VÄSTERBOTTENS LÄN</t>
        </is>
      </c>
      <c r="E10672" t="inlineStr">
        <is>
          <t>DOROTEA</t>
        </is>
      </c>
      <c r="F10672" t="inlineStr">
        <is>
          <t>Allmännings- och besparingsskogar</t>
        </is>
      </c>
      <c r="G10672" t="n">
        <v>22.1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35203-2025</t>
        </is>
      </c>
      <c r="B10673" s="1" t="n">
        <v>45852</v>
      </c>
      <c r="C10673" s="1" t="n">
        <v>46145</v>
      </c>
      <c r="D10673" t="inlineStr">
        <is>
          <t>VÄSTERBOTTENS LÄN</t>
        </is>
      </c>
      <c r="E10673" t="inlineStr">
        <is>
          <t>DOROTEA</t>
        </is>
      </c>
      <c r="F10673" t="inlineStr">
        <is>
          <t>Allmännings- och besparingsskogar</t>
        </is>
      </c>
      <c r="G10673" t="n">
        <v>20.3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17467-2025</t>
        </is>
      </c>
      <c r="B10674" s="1" t="n">
        <v>45757</v>
      </c>
      <c r="C10674" s="1" t="n">
        <v>46145</v>
      </c>
      <c r="D10674" t="inlineStr">
        <is>
          <t>VÄSTERBOTTENS LÄN</t>
        </is>
      </c>
      <c r="E10674" t="inlineStr">
        <is>
          <t>VILHELMINA</t>
        </is>
      </c>
      <c r="F10674" t="inlineStr">
        <is>
          <t>SCA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13111-2026</t>
        </is>
      </c>
      <c r="B10675" s="1" t="n">
        <v>46093.42815972222</v>
      </c>
      <c r="C10675" s="1" t="n">
        <v>46145</v>
      </c>
      <c r="D10675" t="inlineStr">
        <is>
          <t>VÄSTERBOTTENS LÄN</t>
        </is>
      </c>
      <c r="E10675" t="inlineStr">
        <is>
          <t>NORSJÖ</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13161-2026</t>
        </is>
      </c>
      <c r="B10676" s="1" t="n">
        <v>46093</v>
      </c>
      <c r="C10676" s="1" t="n">
        <v>46145</v>
      </c>
      <c r="D10676" t="inlineStr">
        <is>
          <t>VÄSTERBOTTENS LÄN</t>
        </is>
      </c>
      <c r="E10676" t="inlineStr">
        <is>
          <t>ÅSELE</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52233-2024</t>
        </is>
      </c>
      <c r="B10677" s="1" t="n">
        <v>45608.61015046296</v>
      </c>
      <c r="C10677" s="1" t="n">
        <v>46145</v>
      </c>
      <c r="D10677" t="inlineStr">
        <is>
          <t>VÄSTERBOTTENS LÄN</t>
        </is>
      </c>
      <c r="E10677" t="inlineStr">
        <is>
          <t>LYCKSELE</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58130-2023</t>
        </is>
      </c>
      <c r="B10678" s="1" t="n">
        <v>45249.95226851852</v>
      </c>
      <c r="C10678" s="1" t="n">
        <v>46145</v>
      </c>
      <c r="D10678" t="inlineStr">
        <is>
          <t>VÄSTERBOTTENS LÄN</t>
        </is>
      </c>
      <c r="E10678" t="inlineStr">
        <is>
          <t>UMEÅ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19828-2026</t>
        </is>
      </c>
      <c r="B10679" s="1" t="n">
        <v>46135.59028935185</v>
      </c>
      <c r="C10679" s="1" t="n">
        <v>46145</v>
      </c>
      <c r="D10679" t="inlineStr">
        <is>
          <t>VÄSTERBOTTENS LÄN</t>
        </is>
      </c>
      <c r="E10679" t="inlineStr">
        <is>
          <t>ROBERTSFORS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19702-2026</t>
        </is>
      </c>
      <c r="B10680" s="1" t="n">
        <v>46134.70657407407</v>
      </c>
      <c r="C10680" s="1" t="n">
        <v>46145</v>
      </c>
      <c r="D10680" t="inlineStr">
        <is>
          <t>VÄSTERBOTTENS LÄN</t>
        </is>
      </c>
      <c r="E10680" t="inlineStr">
        <is>
          <t>LYCKSELE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13169-2026</t>
        </is>
      </c>
      <c r="B10681" s="1" t="n">
        <v>46093</v>
      </c>
      <c r="C10681" s="1" t="n">
        <v>46145</v>
      </c>
      <c r="D10681" t="inlineStr">
        <is>
          <t>VÄSTERBOTTENS LÄN</t>
        </is>
      </c>
      <c r="E10681" t="inlineStr">
        <is>
          <t>ÅSELE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24817-2024</t>
        </is>
      </c>
      <c r="B10682" s="1" t="n">
        <v>45460</v>
      </c>
      <c r="C10682" s="1" t="n">
        <v>46145</v>
      </c>
      <c r="D10682" t="inlineStr">
        <is>
          <t>VÄSTERBOTTENS LÄN</t>
        </is>
      </c>
      <c r="E10682" t="inlineStr">
        <is>
          <t>VINDELN</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23648-2023</t>
        </is>
      </c>
      <c r="B10683" s="1" t="n">
        <v>45077.54615740741</v>
      </c>
      <c r="C10683" s="1" t="n">
        <v>46145</v>
      </c>
      <c r="D10683" t="inlineStr">
        <is>
          <t>VÄSTERBOTTENS LÄN</t>
        </is>
      </c>
      <c r="E10683" t="inlineStr">
        <is>
          <t>ÅSELE</t>
        </is>
      </c>
      <c r="F10683" t="inlineStr">
        <is>
          <t>Naturvårdsverket</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34087-2023</t>
        </is>
      </c>
      <c r="B10684" s="1" t="n">
        <v>45125</v>
      </c>
      <c r="C10684" s="1" t="n">
        <v>46145</v>
      </c>
      <c r="D10684" t="inlineStr">
        <is>
          <t>VÄSTERBOTTENS LÄN</t>
        </is>
      </c>
      <c r="E10684" t="inlineStr">
        <is>
          <t>VILHELMINA</t>
        </is>
      </c>
      <c r="G10684" t="n">
        <v>13.2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16534-2026</t>
        </is>
      </c>
      <c r="B10685" s="1" t="n">
        <v>46112.49049768518</v>
      </c>
      <c r="C10685" s="1" t="n">
        <v>46145</v>
      </c>
      <c r="D10685" t="inlineStr">
        <is>
          <t>VÄSTERBOTTENS LÄN</t>
        </is>
      </c>
      <c r="E10685" t="inlineStr">
        <is>
          <t>SKELLEFTEÅ</t>
        </is>
      </c>
      <c r="F10685" t="inlineStr">
        <is>
          <t>SCA</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74397-2021</t>
        </is>
      </c>
      <c r="B10686" s="1" t="n">
        <v>44559</v>
      </c>
      <c r="C10686" s="1" t="n">
        <v>46145</v>
      </c>
      <c r="D10686" t="inlineStr">
        <is>
          <t>VÄSTERBOTTENS LÄN</t>
        </is>
      </c>
      <c r="E10686" t="inlineStr">
        <is>
          <t>VINDELN</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32965-2024</t>
        </is>
      </c>
      <c r="B10687" s="1" t="n">
        <v>45517.3959837963</v>
      </c>
      <c r="C10687" s="1" t="n">
        <v>46145</v>
      </c>
      <c r="D10687" t="inlineStr">
        <is>
          <t>VÄSTERBOTTENS LÄN</t>
        </is>
      </c>
      <c r="E10687" t="inlineStr">
        <is>
          <t>NORDMALING</t>
        </is>
      </c>
      <c r="F10687" t="inlineStr">
        <is>
          <t>Holmen skog AB</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10984-2023</t>
        </is>
      </c>
      <c r="B10688" s="1" t="n">
        <v>44985</v>
      </c>
      <c r="C10688" s="1" t="n">
        <v>46145</v>
      </c>
      <c r="D10688" t="inlineStr">
        <is>
          <t>VÄSTERBOTTENS LÄN</t>
        </is>
      </c>
      <c r="E10688" t="inlineStr">
        <is>
          <t>BJURHOLM</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46908-2024</t>
        </is>
      </c>
      <c r="B10689" s="1" t="n">
        <v>45583</v>
      </c>
      <c r="C10689" s="1" t="n">
        <v>46145</v>
      </c>
      <c r="D10689" t="inlineStr">
        <is>
          <t>VÄSTERBOTTENS LÄN</t>
        </is>
      </c>
      <c r="E10689" t="inlineStr">
        <is>
          <t>VILHELMINA</t>
        </is>
      </c>
      <c r="F10689" t="inlineStr">
        <is>
          <t>SCA</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33805-2024</t>
        </is>
      </c>
      <c r="B10690" s="1" t="n">
        <v>45520.6030787037</v>
      </c>
      <c r="C10690" s="1" t="n">
        <v>46145</v>
      </c>
      <c r="D10690" t="inlineStr">
        <is>
          <t>VÄSTERBOTTENS LÄN</t>
        </is>
      </c>
      <c r="E10690" t="inlineStr">
        <is>
          <t>STORUMAN</t>
        </is>
      </c>
      <c r="F10690" t="inlineStr">
        <is>
          <t>Sveaskog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19464-2025</t>
        </is>
      </c>
      <c r="B10691" s="1" t="n">
        <v>45770</v>
      </c>
      <c r="C10691" s="1" t="n">
        <v>46145</v>
      </c>
      <c r="D10691" t="inlineStr">
        <is>
          <t>VÄSTERBOTTENS LÄN</t>
        </is>
      </c>
      <c r="E10691" t="inlineStr">
        <is>
          <t>VILHELMINA</t>
        </is>
      </c>
      <c r="F10691" t="inlineStr">
        <is>
          <t>SCA</t>
        </is>
      </c>
      <c r="G10691" t="n">
        <v>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49130-2024</t>
        </is>
      </c>
      <c r="B10692" s="1" t="n">
        <v>45594</v>
      </c>
      <c r="C10692" s="1" t="n">
        <v>46145</v>
      </c>
      <c r="D10692" t="inlineStr">
        <is>
          <t>VÄSTERBOTTENS LÄN</t>
        </is>
      </c>
      <c r="E10692" t="inlineStr">
        <is>
          <t>LYCKSELE</t>
        </is>
      </c>
      <c r="F10692" t="inlineStr">
        <is>
          <t>Sveaskog</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16959-2024</t>
        </is>
      </c>
      <c r="B10693" s="1" t="n">
        <v>45411</v>
      </c>
      <c r="C10693" s="1" t="n">
        <v>46145</v>
      </c>
      <c r="D10693" t="inlineStr">
        <is>
          <t>VÄSTERBOTTENS LÄN</t>
        </is>
      </c>
      <c r="E10693" t="inlineStr">
        <is>
          <t>SKELLEFTEÅ</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48543-2024</t>
        </is>
      </c>
      <c r="B10694" s="1" t="n">
        <v>45593</v>
      </c>
      <c r="C10694" s="1" t="n">
        <v>46145</v>
      </c>
      <c r="D10694" t="inlineStr">
        <is>
          <t>VÄSTERBOTTENS LÄN</t>
        </is>
      </c>
      <c r="E10694" t="inlineStr">
        <is>
          <t>LYCKSELE</t>
        </is>
      </c>
      <c r="F10694" t="inlineStr">
        <is>
          <t>Holmen skog AB</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13252-2026</t>
        </is>
      </c>
      <c r="B10695" s="1" t="n">
        <v>46093.65778935186</v>
      </c>
      <c r="C10695" s="1" t="n">
        <v>46145</v>
      </c>
      <c r="D10695" t="inlineStr">
        <is>
          <t>VÄSTERBOTTENS LÄN</t>
        </is>
      </c>
      <c r="E10695" t="inlineStr">
        <is>
          <t>VILHELMINA</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22405-2022</t>
        </is>
      </c>
      <c r="B10696" s="1" t="n">
        <v>44713</v>
      </c>
      <c r="C10696" s="1" t="n">
        <v>46145</v>
      </c>
      <c r="D10696" t="inlineStr">
        <is>
          <t>VÄSTERBOTTENS LÄN</t>
        </is>
      </c>
      <c r="E10696" t="inlineStr">
        <is>
          <t>VILHELMINA</t>
        </is>
      </c>
      <c r="G10696" t="n">
        <v>13.2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13273-2026</t>
        </is>
      </c>
      <c r="B10697" s="1" t="n">
        <v>46093</v>
      </c>
      <c r="C10697" s="1" t="n">
        <v>46145</v>
      </c>
      <c r="D10697" t="inlineStr">
        <is>
          <t>VÄSTERBOTTENS LÄN</t>
        </is>
      </c>
      <c r="E10697" t="inlineStr">
        <is>
          <t>ÅSELE</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1557-2025</t>
        </is>
      </c>
      <c r="B10698" s="1" t="n">
        <v>45670</v>
      </c>
      <c r="C10698" s="1" t="n">
        <v>46145</v>
      </c>
      <c r="D10698" t="inlineStr">
        <is>
          <t>VÄSTERBOTTENS LÄN</t>
        </is>
      </c>
      <c r="E10698" t="inlineStr">
        <is>
          <t>NORSJÖ</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1562-2025</t>
        </is>
      </c>
      <c r="B10699" s="1" t="n">
        <v>45670.54126157407</v>
      </c>
      <c r="C10699" s="1" t="n">
        <v>46145</v>
      </c>
      <c r="D10699" t="inlineStr">
        <is>
          <t>VÄSTERBOTTENS LÄN</t>
        </is>
      </c>
      <c r="E10699" t="inlineStr">
        <is>
          <t>NORSJÖ</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1640-2025</t>
        </is>
      </c>
      <c r="B10700" s="1" t="n">
        <v>45670</v>
      </c>
      <c r="C10700" s="1" t="n">
        <v>46145</v>
      </c>
      <c r="D10700" t="inlineStr">
        <is>
          <t>VÄSTERBOTTENS LÄN</t>
        </is>
      </c>
      <c r="E10700" t="inlineStr">
        <is>
          <t>ÅSELE</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19522-2026</t>
        </is>
      </c>
      <c r="B10701" s="1" t="n">
        <v>46134.3503125</v>
      </c>
      <c r="C10701" s="1" t="n">
        <v>46145</v>
      </c>
      <c r="D10701" t="inlineStr">
        <is>
          <t>VÄSTERBOTTENS LÄN</t>
        </is>
      </c>
      <c r="E10701" t="inlineStr">
        <is>
          <t>SKELLEFTEÅ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38301-2023</t>
        </is>
      </c>
      <c r="B10702" s="1" t="n">
        <v>45160</v>
      </c>
      <c r="C10702" s="1" t="n">
        <v>46145</v>
      </c>
      <c r="D10702" t="inlineStr">
        <is>
          <t>VÄSTERBOTTENS LÄN</t>
        </is>
      </c>
      <c r="E10702" t="inlineStr">
        <is>
          <t>SKELLEFTEÅ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9867-2026</t>
        </is>
      </c>
      <c r="B10703" s="1" t="n">
        <v>46072</v>
      </c>
      <c r="C10703" s="1" t="n">
        <v>46145</v>
      </c>
      <c r="D10703" t="inlineStr">
        <is>
          <t>VÄSTERBOTTENS LÄN</t>
        </is>
      </c>
      <c r="E10703" t="inlineStr">
        <is>
          <t>NORDMALING</t>
        </is>
      </c>
      <c r="G10703" t="n">
        <v>11.6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13142-2026</t>
        </is>
      </c>
      <c r="B10704" s="1" t="n">
        <v>46093.51119212963</v>
      </c>
      <c r="C10704" s="1" t="n">
        <v>46145</v>
      </c>
      <c r="D10704" t="inlineStr">
        <is>
          <t>VÄSTERBOTTENS LÄN</t>
        </is>
      </c>
      <c r="E10704" t="inlineStr">
        <is>
          <t>STORUMAN</t>
        </is>
      </c>
      <c r="F10704" t="inlineStr">
        <is>
          <t>SCA</t>
        </is>
      </c>
      <c r="G10704" t="n">
        <v>19.6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60499-2023</t>
        </is>
      </c>
      <c r="B10705" s="1" t="n">
        <v>45259</v>
      </c>
      <c r="C10705" s="1" t="n">
        <v>46145</v>
      </c>
      <c r="D10705" t="inlineStr">
        <is>
          <t>VÄSTERBOTTENS LÄN</t>
        </is>
      </c>
      <c r="E10705" t="inlineStr">
        <is>
          <t>BJURHOLM</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17449-2026</t>
        </is>
      </c>
      <c r="B10706" s="1" t="n">
        <v>46120</v>
      </c>
      <c r="C10706" s="1" t="n">
        <v>46145</v>
      </c>
      <c r="D10706" t="inlineStr">
        <is>
          <t>VÄSTERBOTTENS LÄN</t>
        </is>
      </c>
      <c r="E10706" t="inlineStr">
        <is>
          <t>ROBERTSFORS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19681-2026</t>
        </is>
      </c>
      <c r="B10707" s="1" t="n">
        <v>46134.65023148148</v>
      </c>
      <c r="C10707" s="1" t="n">
        <v>46145</v>
      </c>
      <c r="D10707" t="inlineStr">
        <is>
          <t>VÄSTERBOTTENS LÄN</t>
        </is>
      </c>
      <c r="E10707" t="inlineStr">
        <is>
          <t>STORUMAN</t>
        </is>
      </c>
      <c r="F10707" t="inlineStr">
        <is>
          <t>Sveaskog</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18317-2025</t>
        </is>
      </c>
      <c r="B10708" s="1" t="n">
        <v>45762.45550925926</v>
      </c>
      <c r="C10708" s="1" t="n">
        <v>46145</v>
      </c>
      <c r="D10708" t="inlineStr">
        <is>
          <t>VÄSTERBOTTENS LÄN</t>
        </is>
      </c>
      <c r="E10708" t="inlineStr">
        <is>
          <t>ÅSELE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19731-2026</t>
        </is>
      </c>
      <c r="B10709" s="1" t="n">
        <v>46135.30471064815</v>
      </c>
      <c r="C10709" s="1" t="n">
        <v>46145</v>
      </c>
      <c r="D10709" t="inlineStr">
        <is>
          <t>VÄSTERBOTTENS LÄN</t>
        </is>
      </c>
      <c r="E10709" t="inlineStr">
        <is>
          <t>NORDMALING</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19733-2026</t>
        </is>
      </c>
      <c r="B10710" s="1" t="n">
        <v>46135.31434027778</v>
      </c>
      <c r="C10710" s="1" t="n">
        <v>46145</v>
      </c>
      <c r="D10710" t="inlineStr">
        <is>
          <t>VÄSTERBOTTENS LÄN</t>
        </is>
      </c>
      <c r="E10710" t="inlineStr">
        <is>
          <t>UMEÅ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19734-2026</t>
        </is>
      </c>
      <c r="B10711" s="1" t="n">
        <v>46135.31821759259</v>
      </c>
      <c r="C10711" s="1" t="n">
        <v>46145</v>
      </c>
      <c r="D10711" t="inlineStr">
        <is>
          <t>VÄSTERBOTTENS LÄN</t>
        </is>
      </c>
      <c r="E10711" t="inlineStr">
        <is>
          <t>ROBERTSFORS</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53641-2022</t>
        </is>
      </c>
      <c r="B10712" s="1" t="n">
        <v>44879.93</v>
      </c>
      <c r="C10712" s="1" t="n">
        <v>46145</v>
      </c>
      <c r="D10712" t="inlineStr">
        <is>
          <t>VÄSTERBOTTENS LÄN</t>
        </is>
      </c>
      <c r="E10712" t="inlineStr">
        <is>
          <t>SKELLEFTEÅ</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47242-2024</t>
        </is>
      </c>
      <c r="B10713" s="1" t="n">
        <v>45586</v>
      </c>
      <c r="C10713" s="1" t="n">
        <v>46145</v>
      </c>
      <c r="D10713" t="inlineStr">
        <is>
          <t>VÄSTERBOTTENS LÄN</t>
        </is>
      </c>
      <c r="E10713" t="inlineStr">
        <is>
          <t>VILHELMINA</t>
        </is>
      </c>
      <c r="F10713" t="inlineStr">
        <is>
          <t>SCA</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12899-2026</t>
        </is>
      </c>
      <c r="B10714" s="1" t="n">
        <v>46092.56776620371</v>
      </c>
      <c r="C10714" s="1" t="n">
        <v>46145</v>
      </c>
      <c r="D10714" t="inlineStr">
        <is>
          <t>VÄSTERBOTTENS LÄN</t>
        </is>
      </c>
      <c r="E10714" t="inlineStr">
        <is>
          <t>UMEÅ</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46440-2023</t>
        </is>
      </c>
      <c r="B10715" s="1" t="n">
        <v>45197.5899537037</v>
      </c>
      <c r="C10715" s="1" t="n">
        <v>46145</v>
      </c>
      <c r="D10715" t="inlineStr">
        <is>
          <t>VÄSTERBOTTENS LÄN</t>
        </is>
      </c>
      <c r="E10715" t="inlineStr">
        <is>
          <t>SKELLEFTEÅ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49236-2024</t>
        </is>
      </c>
      <c r="B10716" s="1" t="n">
        <v>45595</v>
      </c>
      <c r="C10716" s="1" t="n">
        <v>46145</v>
      </c>
      <c r="D10716" t="inlineStr">
        <is>
          <t>VÄSTERBOTTENS LÄN</t>
        </is>
      </c>
      <c r="E10716" t="inlineStr">
        <is>
          <t>VILHELMINA</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49274-2024</t>
        </is>
      </c>
      <c r="B10717" s="1" t="n">
        <v>45595.5080787037</v>
      </c>
      <c r="C10717" s="1" t="n">
        <v>46145</v>
      </c>
      <c r="D10717" t="inlineStr">
        <is>
          <t>VÄSTERBOTTENS LÄN</t>
        </is>
      </c>
      <c r="E10717" t="inlineStr">
        <is>
          <t>MALÅ</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52568-2024</t>
        </is>
      </c>
      <c r="B10718" s="1" t="n">
        <v>45609.66168981481</v>
      </c>
      <c r="C10718" s="1" t="n">
        <v>46145</v>
      </c>
      <c r="D10718" t="inlineStr">
        <is>
          <t>VÄSTERBOTTENS LÄN</t>
        </is>
      </c>
      <c r="E10718" t="inlineStr">
        <is>
          <t>NORSJÖ</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59249-2022</t>
        </is>
      </c>
      <c r="B10719" s="1" t="n">
        <v>44904.57640046296</v>
      </c>
      <c r="C10719" s="1" t="n">
        <v>46145</v>
      </c>
      <c r="D10719" t="inlineStr">
        <is>
          <t>VÄSTERBOTTENS LÄN</t>
        </is>
      </c>
      <c r="E10719" t="inlineStr">
        <is>
          <t>STORUMAN</t>
        </is>
      </c>
      <c r="F10719" t="inlineStr">
        <is>
          <t>Sveaskog</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59256-2022</t>
        </is>
      </c>
      <c r="B10720" s="1" t="n">
        <v>44904.57989583333</v>
      </c>
      <c r="C10720" s="1" t="n">
        <v>46145</v>
      </c>
      <c r="D10720" t="inlineStr">
        <is>
          <t>VÄSTERBOTTENS LÄN</t>
        </is>
      </c>
      <c r="E10720" t="inlineStr">
        <is>
          <t>ROBERTSFORS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18180-2024</t>
        </is>
      </c>
      <c r="B10721" s="1" t="n">
        <v>45420</v>
      </c>
      <c r="C10721" s="1" t="n">
        <v>46145</v>
      </c>
      <c r="D10721" t="inlineStr">
        <is>
          <t>VÄSTERBOTTENS LÄN</t>
        </is>
      </c>
      <c r="E10721" t="inlineStr">
        <is>
          <t>SORSELE</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2704-2025</t>
        </is>
      </c>
      <c r="B10722" s="1" t="n">
        <v>45677</v>
      </c>
      <c r="C10722" s="1" t="n">
        <v>46145</v>
      </c>
      <c r="D10722" t="inlineStr">
        <is>
          <t>VÄSTERBOTTENS LÄN</t>
        </is>
      </c>
      <c r="E10722" t="inlineStr">
        <is>
          <t>VINDELN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61398-2022</t>
        </is>
      </c>
      <c r="B10723" s="1" t="n">
        <v>44915.94388888889</v>
      </c>
      <c r="C10723" s="1" t="n">
        <v>46145</v>
      </c>
      <c r="D10723" t="inlineStr">
        <is>
          <t>VÄSTERBOTTENS LÄN</t>
        </is>
      </c>
      <c r="E10723" t="inlineStr">
        <is>
          <t>ÅSELE</t>
        </is>
      </c>
      <c r="F10723" t="inlineStr">
        <is>
          <t>SCA</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19797-2026</t>
        </is>
      </c>
      <c r="B10724" s="1" t="n">
        <v>46135.53171296296</v>
      </c>
      <c r="C10724" s="1" t="n">
        <v>46145</v>
      </c>
      <c r="D10724" t="inlineStr">
        <is>
          <t>VÄSTERBOTTENS LÄN</t>
        </is>
      </c>
      <c r="E10724" t="inlineStr">
        <is>
          <t>NORDMALING</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5022-2024</t>
        </is>
      </c>
      <c r="B10725" s="1" t="n">
        <v>45329</v>
      </c>
      <c r="C10725" s="1" t="n">
        <v>46145</v>
      </c>
      <c r="D10725" t="inlineStr">
        <is>
          <t>VÄSTERBOTTENS LÄN</t>
        </is>
      </c>
      <c r="E10725" t="inlineStr">
        <is>
          <t>ÅSELE</t>
        </is>
      </c>
      <c r="F10725" t="inlineStr">
        <is>
          <t>Övriga Aktiebolag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34107-2023</t>
        </is>
      </c>
      <c r="B10726" s="1" t="n">
        <v>45125</v>
      </c>
      <c r="C10726" s="1" t="n">
        <v>46145</v>
      </c>
      <c r="D10726" t="inlineStr">
        <is>
          <t>VÄSTERBOTTENS LÄN</t>
        </is>
      </c>
      <c r="E10726" t="inlineStr">
        <is>
          <t>DOROTEA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35000-2023</t>
        </is>
      </c>
      <c r="B10727" s="1" t="n">
        <v>45142.92407407407</v>
      </c>
      <c r="C10727" s="1" t="n">
        <v>46145</v>
      </c>
      <c r="D10727" t="inlineStr">
        <is>
          <t>VÄSTERBOTTENS LÄN</t>
        </is>
      </c>
      <c r="E10727" t="inlineStr">
        <is>
          <t>DOROTEA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146-2025</t>
        </is>
      </c>
      <c r="B10728" s="1" t="n">
        <v>45659</v>
      </c>
      <c r="C10728" s="1" t="n">
        <v>46145</v>
      </c>
      <c r="D10728" t="inlineStr">
        <is>
          <t>VÄSTERBOTTENS LÄN</t>
        </is>
      </c>
      <c r="E10728" t="inlineStr">
        <is>
          <t>VILHELMINA</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12889-2026</t>
        </is>
      </c>
      <c r="B10729" s="1" t="n">
        <v>46092.55291666667</v>
      </c>
      <c r="C10729" s="1" t="n">
        <v>46145</v>
      </c>
      <c r="D10729" t="inlineStr">
        <is>
          <t>VÄSTERBOTTENS LÄN</t>
        </is>
      </c>
      <c r="E10729" t="inlineStr">
        <is>
          <t>LYCKSELE</t>
        </is>
      </c>
      <c r="F10729" t="inlineStr">
        <is>
          <t>Sveaskog</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18848-2026</t>
        </is>
      </c>
      <c r="B10730" s="1" t="n">
        <v>46129.35170138889</v>
      </c>
      <c r="C10730" s="1" t="n">
        <v>46145</v>
      </c>
      <c r="D10730" t="inlineStr">
        <is>
          <t>VÄSTERBOTTENS LÄN</t>
        </is>
      </c>
      <c r="E10730" t="inlineStr">
        <is>
          <t>VILHELMINA</t>
        </is>
      </c>
      <c r="F10730" t="inlineStr">
        <is>
          <t>SCA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18578-2024</t>
        </is>
      </c>
      <c r="B10731" s="1" t="n">
        <v>45425</v>
      </c>
      <c r="C10731" s="1" t="n">
        <v>46145</v>
      </c>
      <c r="D10731" t="inlineStr">
        <is>
          <t>VÄSTERBOTTENS LÄN</t>
        </is>
      </c>
      <c r="E10731" t="inlineStr">
        <is>
          <t>SKELLEFTEÅ</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57883-2022</t>
        </is>
      </c>
      <c r="B10732" s="1" t="n">
        <v>44899.94689814815</v>
      </c>
      <c r="C10732" s="1" t="n">
        <v>46145</v>
      </c>
      <c r="D10732" t="inlineStr">
        <is>
          <t>VÄSTERBOTTENS LÄN</t>
        </is>
      </c>
      <c r="E10732" t="inlineStr">
        <is>
          <t>BJURHOLM</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13000-2026</t>
        </is>
      </c>
      <c r="B10733" s="1" t="n">
        <v>46092.684375</v>
      </c>
      <c r="C10733" s="1" t="n">
        <v>46145</v>
      </c>
      <c r="D10733" t="inlineStr">
        <is>
          <t>VÄSTERBOTTENS LÄN</t>
        </is>
      </c>
      <c r="E10733" t="inlineStr">
        <is>
          <t>ÅSELE</t>
        </is>
      </c>
      <c r="F10733" t="inlineStr">
        <is>
          <t>SCA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20333-2026</t>
        </is>
      </c>
      <c r="B10734" s="1" t="n">
        <v>46136</v>
      </c>
      <c r="C10734" s="1" t="n">
        <v>46145</v>
      </c>
      <c r="D10734" t="inlineStr">
        <is>
          <t>VÄSTERBOTTENS LÄN</t>
        </is>
      </c>
      <c r="E10734" t="inlineStr">
        <is>
          <t>DOROTEA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54653-2024</t>
        </is>
      </c>
      <c r="B10735" s="1" t="n">
        <v>45618.30525462963</v>
      </c>
      <c r="C10735" s="1" t="n">
        <v>46145</v>
      </c>
      <c r="D10735" t="inlineStr">
        <is>
          <t>VÄSTERBOTTENS LÄN</t>
        </is>
      </c>
      <c r="E10735" t="inlineStr">
        <is>
          <t>SKELLEFTEÅ</t>
        </is>
      </c>
      <c r="F10735" t="inlineStr">
        <is>
          <t>Sveaskog</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54660-2024</t>
        </is>
      </c>
      <c r="B10736" s="1" t="n">
        <v>45618.3122337963</v>
      </c>
      <c r="C10736" s="1" t="n">
        <v>46145</v>
      </c>
      <c r="D10736" t="inlineStr">
        <is>
          <t>VÄSTERBOTTENS LÄN</t>
        </is>
      </c>
      <c r="E10736" t="inlineStr">
        <is>
          <t>SKELLEFTEÅ</t>
        </is>
      </c>
      <c r="F10736" t="inlineStr">
        <is>
          <t>Sveaskog</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9169-2025</t>
        </is>
      </c>
      <c r="B10737" s="1" t="n">
        <v>45714.39142361111</v>
      </c>
      <c r="C10737" s="1" t="n">
        <v>46145</v>
      </c>
      <c r="D10737" t="inlineStr">
        <is>
          <t>VÄSTERBOTTENS LÄN</t>
        </is>
      </c>
      <c r="E10737" t="inlineStr">
        <is>
          <t>UMEÅ</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29347-2023</t>
        </is>
      </c>
      <c r="B10738" s="1" t="n">
        <v>45105.94494212963</v>
      </c>
      <c r="C10738" s="1" t="n">
        <v>46145</v>
      </c>
      <c r="D10738" t="inlineStr">
        <is>
          <t>VÄSTERBOTTENS LÄN</t>
        </is>
      </c>
      <c r="E10738" t="inlineStr">
        <is>
          <t>VINDELN</t>
        </is>
      </c>
      <c r="F10738" t="inlineStr">
        <is>
          <t>SCA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38812-2023</t>
        </is>
      </c>
      <c r="B10739" s="1" t="n">
        <v>45163</v>
      </c>
      <c r="C10739" s="1" t="n">
        <v>46145</v>
      </c>
      <c r="D10739" t="inlineStr">
        <is>
          <t>VÄSTERBOTTENS LÄN</t>
        </is>
      </c>
      <c r="E10739" t="inlineStr">
        <is>
          <t>NORSJÖ</t>
        </is>
      </c>
      <c r="F10739" t="inlineStr">
        <is>
          <t>Sveaskog</t>
        </is>
      </c>
      <c r="G10739" t="n">
        <v>15.5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13442-2026</t>
        </is>
      </c>
      <c r="B10740" s="1" t="n">
        <v>46094.49496527778</v>
      </c>
      <c r="C10740" s="1" t="n">
        <v>46145</v>
      </c>
      <c r="D10740" t="inlineStr">
        <is>
          <t>VÄSTERBOTTENS LÄN</t>
        </is>
      </c>
      <c r="E10740" t="inlineStr">
        <is>
          <t>LYCKSELE</t>
        </is>
      </c>
      <c r="F10740" t="inlineStr">
        <is>
          <t>Holmen skog AB</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9183-2025</t>
        </is>
      </c>
      <c r="B10741" s="1" t="n">
        <v>45714</v>
      </c>
      <c r="C10741" s="1" t="n">
        <v>46145</v>
      </c>
      <c r="D10741" t="inlineStr">
        <is>
          <t>VÄSTERBOTTENS LÄN</t>
        </is>
      </c>
      <c r="E10741" t="inlineStr">
        <is>
          <t>SKELLEFTEÅ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48361-2023</t>
        </is>
      </c>
      <c r="B10742" s="1" t="n">
        <v>45205.64600694444</v>
      </c>
      <c r="C10742" s="1" t="n">
        <v>46145</v>
      </c>
      <c r="D10742" t="inlineStr">
        <is>
          <t>VÄSTERBOTTENS LÄN</t>
        </is>
      </c>
      <c r="E10742" t="inlineStr">
        <is>
          <t>SKELLEFTEÅ</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56693-2024</t>
        </is>
      </c>
      <c r="B10743" s="1" t="n">
        <v>45627.71203703704</v>
      </c>
      <c r="C10743" s="1" t="n">
        <v>46145</v>
      </c>
      <c r="D10743" t="inlineStr">
        <is>
          <t>VÄSTERBOTTENS LÄN</t>
        </is>
      </c>
      <c r="E10743" t="inlineStr">
        <is>
          <t>BJURHOLM</t>
        </is>
      </c>
      <c r="G10743" t="n">
        <v>6.8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56923-2024</t>
        </is>
      </c>
      <c r="B10744" s="1" t="n">
        <v>45628.60170138889</v>
      </c>
      <c r="C10744" s="1" t="n">
        <v>46145</v>
      </c>
      <c r="D10744" t="inlineStr">
        <is>
          <t>VÄSTERBOTTENS LÄN</t>
        </is>
      </c>
      <c r="E10744" t="inlineStr">
        <is>
          <t>SKELLEFTEÅ</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13384-2026</t>
        </is>
      </c>
      <c r="B10745" s="1" t="n">
        <v>46094.43489583334</v>
      </c>
      <c r="C10745" s="1" t="n">
        <v>46145</v>
      </c>
      <c r="D10745" t="inlineStr">
        <is>
          <t>VÄSTERBOTTENS LÄN</t>
        </is>
      </c>
      <c r="E10745" t="inlineStr">
        <is>
          <t>LYCKSELE</t>
        </is>
      </c>
      <c r="F10745" t="inlineStr">
        <is>
          <t>Holmen skog AB</t>
        </is>
      </c>
      <c r="G10745" t="n">
        <v>10.9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38408-2023</t>
        </is>
      </c>
      <c r="B10746" s="1" t="n">
        <v>45160</v>
      </c>
      <c r="C10746" s="1" t="n">
        <v>46145</v>
      </c>
      <c r="D10746" t="inlineStr">
        <is>
          <t>VÄSTERBOTTENS LÄN</t>
        </is>
      </c>
      <c r="E10746" t="inlineStr">
        <is>
          <t>SORSELE</t>
        </is>
      </c>
      <c r="F10746" t="inlineStr">
        <is>
          <t>Kommuner</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13496-2026</t>
        </is>
      </c>
      <c r="B10747" s="1" t="n">
        <v>46094.5894675926</v>
      </c>
      <c r="C10747" s="1" t="n">
        <v>46145</v>
      </c>
      <c r="D10747" t="inlineStr">
        <is>
          <t>VÄSTERBOTTENS LÄN</t>
        </is>
      </c>
      <c r="E10747" t="inlineStr">
        <is>
          <t>NORDMALING</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37262-2023</t>
        </is>
      </c>
      <c r="B10748" s="1" t="n">
        <v>45155</v>
      </c>
      <c r="C10748" s="1" t="n">
        <v>46145</v>
      </c>
      <c r="D10748" t="inlineStr">
        <is>
          <t>VÄSTERBOTTENS LÄN</t>
        </is>
      </c>
      <c r="E10748" t="inlineStr">
        <is>
          <t>LYCKSELE</t>
        </is>
      </c>
      <c r="F10748" t="inlineStr">
        <is>
          <t>SCA</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59306-2023</t>
        </is>
      </c>
      <c r="B10749" s="1" t="n">
        <v>45253.59967592593</v>
      </c>
      <c r="C10749" s="1" t="n">
        <v>46145</v>
      </c>
      <c r="D10749" t="inlineStr">
        <is>
          <t>VÄSTERBOTTENS LÄN</t>
        </is>
      </c>
      <c r="E10749" t="inlineStr">
        <is>
          <t>ROBERTSFORS</t>
        </is>
      </c>
      <c r="F10749" t="inlineStr">
        <is>
          <t>Holmen skog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13502-2026</t>
        </is>
      </c>
      <c r="B10750" s="1" t="n">
        <v>46094.59449074074</v>
      </c>
      <c r="C10750" s="1" t="n">
        <v>46145</v>
      </c>
      <c r="D10750" t="inlineStr">
        <is>
          <t>VÄSTERBOTTENS LÄN</t>
        </is>
      </c>
      <c r="E10750" t="inlineStr">
        <is>
          <t>LYCKSELE</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20237-2026</t>
        </is>
      </c>
      <c r="B10751" s="1" t="n">
        <v>46139.46738425926</v>
      </c>
      <c r="C10751" s="1" t="n">
        <v>46145</v>
      </c>
      <c r="D10751" t="inlineStr">
        <is>
          <t>VÄSTERBOTTENS LÄN</t>
        </is>
      </c>
      <c r="E10751" t="inlineStr">
        <is>
          <t>VINDELN</t>
        </is>
      </c>
      <c r="F10751" t="inlineStr">
        <is>
          <t>Holmen skog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20242-2026</t>
        </is>
      </c>
      <c r="B10752" s="1" t="n">
        <v>46139.46958333333</v>
      </c>
      <c r="C10752" s="1" t="n">
        <v>46145</v>
      </c>
      <c r="D10752" t="inlineStr">
        <is>
          <t>VÄSTERBOTTENS LÄN</t>
        </is>
      </c>
      <c r="E10752" t="inlineStr">
        <is>
          <t>LYCKSELE</t>
        </is>
      </c>
      <c r="F10752" t="inlineStr">
        <is>
          <t>SCA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59333-2023</t>
        </is>
      </c>
      <c r="B10753" s="1" t="n">
        <v>45252</v>
      </c>
      <c r="C10753" s="1" t="n">
        <v>46145</v>
      </c>
      <c r="D10753" t="inlineStr">
        <is>
          <t>VÄSTERBOTTENS LÄN</t>
        </is>
      </c>
      <c r="E10753" t="inlineStr">
        <is>
          <t>UMEÅ</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58714-2024</t>
        </is>
      </c>
      <c r="B10754" s="1" t="n">
        <v>45635</v>
      </c>
      <c r="C10754" s="1" t="n">
        <v>46145</v>
      </c>
      <c r="D10754" t="inlineStr">
        <is>
          <t>VÄSTERBOTTENS LÄN</t>
        </is>
      </c>
      <c r="E10754" t="inlineStr">
        <is>
          <t>LYCKSELE</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10363-2026</t>
        </is>
      </c>
      <c r="B10755" s="1" t="n">
        <v>46076</v>
      </c>
      <c r="C10755" s="1" t="n">
        <v>46145</v>
      </c>
      <c r="D10755" t="inlineStr">
        <is>
          <t>VÄSTERBOTTENS LÄN</t>
        </is>
      </c>
      <c r="E10755" t="inlineStr">
        <is>
          <t>VILHELMINA</t>
        </is>
      </c>
      <c r="G10755" t="n">
        <v>38.2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19160-2025</t>
        </is>
      </c>
      <c r="B10756" s="1" t="n">
        <v>45769.36587962963</v>
      </c>
      <c r="C10756" s="1" t="n">
        <v>46145</v>
      </c>
      <c r="D10756" t="inlineStr">
        <is>
          <t>VÄSTERBOTTENS LÄN</t>
        </is>
      </c>
      <c r="E10756" t="inlineStr">
        <is>
          <t>SKELLEFTEÅ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40409-2023</t>
        </is>
      </c>
      <c r="B10757" s="1" t="n">
        <v>45169.93868055556</v>
      </c>
      <c r="C10757" s="1" t="n">
        <v>46145</v>
      </c>
      <c r="D10757" t="inlineStr">
        <is>
          <t>VÄSTERBOTTENS LÄN</t>
        </is>
      </c>
      <c r="E10757" t="inlineStr">
        <is>
          <t>BJURHOLM</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13559-2026</t>
        </is>
      </c>
      <c r="B10758" s="1" t="n">
        <v>46094.78865740741</v>
      </c>
      <c r="C10758" s="1" t="n">
        <v>46145</v>
      </c>
      <c r="D10758" t="inlineStr">
        <is>
          <t>VÄSTERBOTTENS LÄN</t>
        </is>
      </c>
      <c r="E10758" t="inlineStr">
        <is>
          <t>NORDMALING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13561-2026</t>
        </is>
      </c>
      <c r="B10759" s="1" t="n">
        <v>46094.79296296297</v>
      </c>
      <c r="C10759" s="1" t="n">
        <v>46145</v>
      </c>
      <c r="D10759" t="inlineStr">
        <is>
          <t>VÄSTERBOTTENS LÄN</t>
        </is>
      </c>
      <c r="E10759" t="inlineStr">
        <is>
          <t>SORSELE</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13566-2026</t>
        </is>
      </c>
      <c r="B10760" s="1" t="n">
        <v>46094.8096875</v>
      </c>
      <c r="C10760" s="1" t="n">
        <v>46145</v>
      </c>
      <c r="D10760" t="inlineStr">
        <is>
          <t>VÄSTERBOTTENS LÄN</t>
        </is>
      </c>
      <c r="E10760" t="inlineStr">
        <is>
          <t>NORDMALING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24238-2021</t>
        </is>
      </c>
      <c r="B10761" s="1" t="n">
        <v>44336.9187962963</v>
      </c>
      <c r="C10761" s="1" t="n">
        <v>46145</v>
      </c>
      <c r="D10761" t="inlineStr">
        <is>
          <t>VÄSTERBOTTENS LÄN</t>
        </is>
      </c>
      <c r="E10761" t="inlineStr">
        <is>
          <t>SKELLEFTEÅ</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24303-2021</t>
        </is>
      </c>
      <c r="B10762" s="1" t="n">
        <v>44337.33520833333</v>
      </c>
      <c r="C10762" s="1" t="n">
        <v>46145</v>
      </c>
      <c r="D10762" t="inlineStr">
        <is>
          <t>VÄSTERBOTTENS LÄN</t>
        </is>
      </c>
      <c r="E10762" t="inlineStr">
        <is>
          <t>SKELLEFTEÅ</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475-2024</t>
        </is>
      </c>
      <c r="B10763" s="1" t="n">
        <v>45297.83246527778</v>
      </c>
      <c r="C10763" s="1" t="n">
        <v>46145</v>
      </c>
      <c r="D10763" t="inlineStr">
        <is>
          <t>VÄSTERBOTTENS LÄN</t>
        </is>
      </c>
      <c r="E10763" t="inlineStr">
        <is>
          <t>VILHELMINA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1962-2024</t>
        </is>
      </c>
      <c r="B10764" s="1" t="n">
        <v>45308</v>
      </c>
      <c r="C10764" s="1" t="n">
        <v>46145</v>
      </c>
      <c r="D10764" t="inlineStr">
        <is>
          <t>VÄSTERBOTTENS LÄN</t>
        </is>
      </c>
      <c r="E10764" t="inlineStr">
        <is>
          <t>LYCKSELE</t>
        </is>
      </c>
      <c r="F10764" t="inlineStr">
        <is>
          <t>Holmen skog AB</t>
        </is>
      </c>
      <c r="G10764" t="n">
        <v>9.300000000000001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12000-2026</t>
        </is>
      </c>
      <c r="B10765" s="1" t="n">
        <v>46085</v>
      </c>
      <c r="C10765" s="1" t="n">
        <v>46145</v>
      </c>
      <c r="D10765" t="inlineStr">
        <is>
          <t>VÄSTERBOTTENS LÄN</t>
        </is>
      </c>
      <c r="E10765" t="inlineStr">
        <is>
          <t>VILHELMINA</t>
        </is>
      </c>
      <c r="G10765" t="n">
        <v>41.2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38450-2023</t>
        </is>
      </c>
      <c r="B10766" s="1" t="n">
        <v>45162</v>
      </c>
      <c r="C10766" s="1" t="n">
        <v>46145</v>
      </c>
      <c r="D10766" t="inlineStr">
        <is>
          <t>VÄSTERBOTTENS LÄN</t>
        </is>
      </c>
      <c r="E10766" t="inlineStr">
        <is>
          <t>SKELLEFTEÅ</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40385-2023</t>
        </is>
      </c>
      <c r="B10767" s="1" t="n">
        <v>45169</v>
      </c>
      <c r="C10767" s="1" t="n">
        <v>46145</v>
      </c>
      <c r="D10767" t="inlineStr">
        <is>
          <t>VÄSTERBOTTENS LÄN</t>
        </is>
      </c>
      <c r="E10767" t="inlineStr">
        <is>
          <t>NORSJÖ</t>
        </is>
      </c>
      <c r="G10767" t="n">
        <v>37.1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11063-2025</t>
        </is>
      </c>
      <c r="B10768" s="1" t="n">
        <v>45723.52046296297</v>
      </c>
      <c r="C10768" s="1" t="n">
        <v>46145</v>
      </c>
      <c r="D10768" t="inlineStr">
        <is>
          <t>VÄSTERBOTTENS LÄN</t>
        </is>
      </c>
      <c r="E10768" t="inlineStr">
        <is>
          <t>UMEÅ</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56562-2024</t>
        </is>
      </c>
      <c r="B10769" s="1" t="n">
        <v>45625.58225694444</v>
      </c>
      <c r="C10769" s="1" t="n">
        <v>46145</v>
      </c>
      <c r="D10769" t="inlineStr">
        <is>
          <t>VÄSTERBOTTENS LÄN</t>
        </is>
      </c>
      <c r="E10769" t="inlineStr">
        <is>
          <t>VINDELN</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63817-2023</t>
        </is>
      </c>
      <c r="B10770" s="1" t="n">
        <v>45275</v>
      </c>
      <c r="C10770" s="1" t="n">
        <v>46145</v>
      </c>
      <c r="D10770" t="inlineStr">
        <is>
          <t>VÄSTERBOTTENS LÄN</t>
        </is>
      </c>
      <c r="E10770" t="inlineStr">
        <is>
          <t>VÄNNÄS</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13509-2026</t>
        </is>
      </c>
      <c r="B10771" s="1" t="n">
        <v>46094.60001157408</v>
      </c>
      <c r="C10771" s="1" t="n">
        <v>46145</v>
      </c>
      <c r="D10771" t="inlineStr">
        <is>
          <t>VÄSTERBOTTENS LÄN</t>
        </is>
      </c>
      <c r="E10771" t="inlineStr">
        <is>
          <t>ÅSELE</t>
        </is>
      </c>
      <c r="F10771" t="inlineStr">
        <is>
          <t>Kommuner</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56638-2024</t>
        </is>
      </c>
      <c r="B10772" s="1" t="n">
        <v>45625</v>
      </c>
      <c r="C10772" s="1" t="n">
        <v>46145</v>
      </c>
      <c r="D10772" t="inlineStr">
        <is>
          <t>VÄSTERBOTTENS LÄN</t>
        </is>
      </c>
      <c r="E10772" t="inlineStr">
        <is>
          <t>MALÅ</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46817-2024</t>
        </is>
      </c>
      <c r="B10773" s="1" t="n">
        <v>45583</v>
      </c>
      <c r="C10773" s="1" t="n">
        <v>46145</v>
      </c>
      <c r="D10773" t="inlineStr">
        <is>
          <t>VÄSTERBOTTENS LÄN</t>
        </is>
      </c>
      <c r="E10773" t="inlineStr">
        <is>
          <t>LYCKSELE</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61801-2024</t>
        </is>
      </c>
      <c r="B10774" s="1" t="n">
        <v>45649.56392361111</v>
      </c>
      <c r="C10774" s="1" t="n">
        <v>46145</v>
      </c>
      <c r="D10774" t="inlineStr">
        <is>
          <t>VÄSTERBOTTENS LÄN</t>
        </is>
      </c>
      <c r="E10774" t="inlineStr">
        <is>
          <t>VILHELMINA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56296-2023</t>
        </is>
      </c>
      <c r="B10775" s="1" t="n">
        <v>45242</v>
      </c>
      <c r="C10775" s="1" t="n">
        <v>46145</v>
      </c>
      <c r="D10775" t="inlineStr">
        <is>
          <t>VÄSTERBOTTENS LÄN</t>
        </is>
      </c>
      <c r="E10775" t="inlineStr">
        <is>
          <t>STORUMAN</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20316-2026</t>
        </is>
      </c>
      <c r="B10776" s="1" t="n">
        <v>46136</v>
      </c>
      <c r="C10776" s="1" t="n">
        <v>46145</v>
      </c>
      <c r="D10776" t="inlineStr">
        <is>
          <t>VÄSTERBOTTENS LÄN</t>
        </is>
      </c>
      <c r="E10776" t="inlineStr">
        <is>
          <t>DOROTEA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55203-2024</t>
        </is>
      </c>
      <c r="B10777" s="1" t="n">
        <v>45621.55994212963</v>
      </c>
      <c r="C10777" s="1" t="n">
        <v>46145</v>
      </c>
      <c r="D10777" t="inlineStr">
        <is>
          <t>VÄSTERBOTTENS LÄN</t>
        </is>
      </c>
      <c r="E10777" t="inlineStr">
        <is>
          <t>LYCKSELE</t>
        </is>
      </c>
      <c r="F10777" t="inlineStr">
        <is>
          <t>Sveaskog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49011-2023</t>
        </is>
      </c>
      <c r="B10778" s="1" t="n">
        <v>45204</v>
      </c>
      <c r="C10778" s="1" t="n">
        <v>46145</v>
      </c>
      <c r="D10778" t="inlineStr">
        <is>
          <t>VÄSTERBOTTENS LÄN</t>
        </is>
      </c>
      <c r="E10778" t="inlineStr">
        <is>
          <t>MALÅ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20390-2026</t>
        </is>
      </c>
      <c r="B10779" s="1" t="n">
        <v>46139.71936342592</v>
      </c>
      <c r="C10779" s="1" t="n">
        <v>46145</v>
      </c>
      <c r="D10779" t="inlineStr">
        <is>
          <t>VÄSTERBOTTENS LÄN</t>
        </is>
      </c>
      <c r="E10779" t="inlineStr">
        <is>
          <t>DOROTEA</t>
        </is>
      </c>
      <c r="F10779" t="inlineStr">
        <is>
          <t>SCA</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61780-2023</t>
        </is>
      </c>
      <c r="B10780" s="1" t="n">
        <v>45265.95685185185</v>
      </c>
      <c r="C10780" s="1" t="n">
        <v>46145</v>
      </c>
      <c r="D10780" t="inlineStr">
        <is>
          <t>VÄSTERBOTTENS LÄN</t>
        </is>
      </c>
      <c r="E10780" t="inlineStr">
        <is>
          <t>VILHELMINA</t>
        </is>
      </c>
      <c r="F10780" t="inlineStr">
        <is>
          <t>SCA</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61800-2023</t>
        </is>
      </c>
      <c r="B10781" s="1" t="n">
        <v>45265.95873842593</v>
      </c>
      <c r="C10781" s="1" t="n">
        <v>46145</v>
      </c>
      <c r="D10781" t="inlineStr">
        <is>
          <t>VÄSTERBOTTENS LÄN</t>
        </is>
      </c>
      <c r="E10781" t="inlineStr">
        <is>
          <t>ÅSELE</t>
        </is>
      </c>
      <c r="F10781" t="inlineStr">
        <is>
          <t>SCA</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56789-2024</t>
        </is>
      </c>
      <c r="B10782" s="1" t="n">
        <v>45628</v>
      </c>
      <c r="C10782" s="1" t="n">
        <v>46145</v>
      </c>
      <c r="D10782" t="inlineStr">
        <is>
          <t>VÄSTERBOTTENS LÄN</t>
        </is>
      </c>
      <c r="E10782" t="inlineStr">
        <is>
          <t>VINDELN</t>
        </is>
      </c>
      <c r="F10782" t="inlineStr">
        <is>
          <t>Holmen skog AB</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19958-2026</t>
        </is>
      </c>
      <c r="B10783" s="1" t="n">
        <v>46136.41505787037</v>
      </c>
      <c r="C10783" s="1" t="n">
        <v>46145</v>
      </c>
      <c r="D10783" t="inlineStr">
        <is>
          <t>VÄSTERBOTTENS LÄN</t>
        </is>
      </c>
      <c r="E10783" t="inlineStr">
        <is>
          <t>VINDELN</t>
        </is>
      </c>
      <c r="G10783" t="n">
        <v>12.2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20015-2026</t>
        </is>
      </c>
      <c r="B10784" s="1" t="n">
        <v>46136.49</v>
      </c>
      <c r="C10784" s="1" t="n">
        <v>46145</v>
      </c>
      <c r="D10784" t="inlineStr">
        <is>
          <t>VÄSTERBOTTENS LÄN</t>
        </is>
      </c>
      <c r="E10784" t="inlineStr">
        <is>
          <t>NORDMALING</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54022-2024</t>
        </is>
      </c>
      <c r="B10785" s="1" t="n">
        <v>45616.38693287037</v>
      </c>
      <c r="C10785" s="1" t="n">
        <v>46145</v>
      </c>
      <c r="D10785" t="inlineStr">
        <is>
          <t>VÄSTERBOTTENS LÄN</t>
        </is>
      </c>
      <c r="E10785" t="inlineStr">
        <is>
          <t>VINDELN</t>
        </is>
      </c>
      <c r="F10785" t="inlineStr">
        <is>
          <t>Sveaskog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19925-2026</t>
        </is>
      </c>
      <c r="B10786" s="1" t="n">
        <v>46136.37065972222</v>
      </c>
      <c r="C10786" s="1" t="n">
        <v>46145</v>
      </c>
      <c r="D10786" t="inlineStr">
        <is>
          <t>VÄSTERBOTTENS LÄN</t>
        </is>
      </c>
      <c r="E10786" t="inlineStr">
        <is>
          <t>ROBERTSFORS</t>
        </is>
      </c>
      <c r="F10786" t="inlineStr">
        <is>
          <t>Holmen skog AB</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13436-2026</t>
        </is>
      </c>
      <c r="B10787" s="1" t="n">
        <v>46094.49013888889</v>
      </c>
      <c r="C10787" s="1" t="n">
        <v>46145</v>
      </c>
      <c r="D10787" t="inlineStr">
        <is>
          <t>VÄSTERBOTTENS LÄN</t>
        </is>
      </c>
      <c r="E10787" t="inlineStr">
        <is>
          <t>LYCKSELE</t>
        </is>
      </c>
      <c r="F10787" t="inlineStr">
        <is>
          <t>SCA</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2258-2025</t>
        </is>
      </c>
      <c r="B10788" s="1" t="n">
        <v>45673.51619212963</v>
      </c>
      <c r="C10788" s="1" t="n">
        <v>46145</v>
      </c>
      <c r="D10788" t="inlineStr">
        <is>
          <t>VÄSTERBOTTENS LÄN</t>
        </is>
      </c>
      <c r="E10788" t="inlineStr">
        <is>
          <t>UMEÅ</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20327-2026</t>
        </is>
      </c>
      <c r="B10789" s="1" t="n">
        <v>46136</v>
      </c>
      <c r="C10789" s="1" t="n">
        <v>46145</v>
      </c>
      <c r="D10789" t="inlineStr">
        <is>
          <t>VÄSTERBOTTENS LÄN</t>
        </is>
      </c>
      <c r="E10789" t="inlineStr">
        <is>
          <t>DOROTEA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19012-2025</t>
        </is>
      </c>
      <c r="B10790" s="1" t="n">
        <v>45764.59451388889</v>
      </c>
      <c r="C10790" s="1" t="n">
        <v>46145</v>
      </c>
      <c r="D10790" t="inlineStr">
        <is>
          <t>VÄSTERBOTTENS LÄN</t>
        </is>
      </c>
      <c r="E10790" t="inlineStr">
        <is>
          <t>DOROTEA</t>
        </is>
      </c>
      <c r="F10790" t="inlineStr">
        <is>
          <t>SCA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2279-2025</t>
        </is>
      </c>
      <c r="B10791" s="1" t="n">
        <v>45673.56776620371</v>
      </c>
      <c r="C10791" s="1" t="n">
        <v>46145</v>
      </c>
      <c r="D10791" t="inlineStr">
        <is>
          <t>VÄSTERBOTTENS LÄN</t>
        </is>
      </c>
      <c r="E10791" t="inlineStr">
        <is>
          <t>SKELLEFTEÅ</t>
        </is>
      </c>
      <c r="F10791" t="inlineStr">
        <is>
          <t>Holmen skog AB</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20224-2026</t>
        </is>
      </c>
      <c r="B10792" s="1" t="n">
        <v>46139.44859953703</v>
      </c>
      <c r="C10792" s="1" t="n">
        <v>46145</v>
      </c>
      <c r="D10792" t="inlineStr">
        <is>
          <t>VÄSTERBOTTENS LÄN</t>
        </is>
      </c>
      <c r="E10792" t="inlineStr">
        <is>
          <t>ÅSELE</t>
        </is>
      </c>
      <c r="F10792" t="inlineStr">
        <is>
          <t>SCA</t>
        </is>
      </c>
      <c r="G10792" t="n">
        <v>19.4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20328-2024</t>
        </is>
      </c>
      <c r="B10793" s="1" t="n">
        <v>45435</v>
      </c>
      <c r="C10793" s="1" t="n">
        <v>46145</v>
      </c>
      <c r="D10793" t="inlineStr">
        <is>
          <t>VÄSTERBOTTENS LÄN</t>
        </is>
      </c>
      <c r="E10793" t="inlineStr">
        <is>
          <t>NORDMALING</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9784-2023</t>
        </is>
      </c>
      <c r="B10794" s="1" t="n">
        <v>44984</v>
      </c>
      <c r="C10794" s="1" t="n">
        <v>46145</v>
      </c>
      <c r="D10794" t="inlineStr">
        <is>
          <t>VÄSTERBOTTENS LÄN</t>
        </is>
      </c>
      <c r="E10794" t="inlineStr">
        <is>
          <t>SORSELE</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20132-2026</t>
        </is>
      </c>
      <c r="B10795" s="1" t="n">
        <v>46136.69952546297</v>
      </c>
      <c r="C10795" s="1" t="n">
        <v>46145</v>
      </c>
      <c r="D10795" t="inlineStr">
        <is>
          <t>VÄSTERBOTTENS LÄN</t>
        </is>
      </c>
      <c r="E10795" t="inlineStr">
        <is>
          <t>STORUMAN</t>
        </is>
      </c>
      <c r="F10795" t="inlineStr">
        <is>
          <t>Sveaskog</t>
        </is>
      </c>
      <c r="G10795" t="n">
        <v>40.9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20134-2026</t>
        </is>
      </c>
      <c r="B10796" s="1" t="n">
        <v>46136.70456018519</v>
      </c>
      <c r="C10796" s="1" t="n">
        <v>46145</v>
      </c>
      <c r="D10796" t="inlineStr">
        <is>
          <t>VÄSTERBOTTENS LÄN</t>
        </is>
      </c>
      <c r="E10796" t="inlineStr">
        <is>
          <t>STORUMAN</t>
        </is>
      </c>
      <c r="F10796" t="inlineStr">
        <is>
          <t>Sveaskog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13351-2026</t>
        </is>
      </c>
      <c r="B10797" s="1" t="n">
        <v>46094.3859375</v>
      </c>
      <c r="C10797" s="1" t="n">
        <v>46145</v>
      </c>
      <c r="D10797" t="inlineStr">
        <is>
          <t>VÄSTERBOTTENS LÄN</t>
        </is>
      </c>
      <c r="E10797" t="inlineStr">
        <is>
          <t>ÅSELE</t>
        </is>
      </c>
      <c r="F10797" t="inlineStr">
        <is>
          <t>SCA</t>
        </is>
      </c>
      <c r="G10797" t="n">
        <v>12.2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18705-2025</t>
        </is>
      </c>
      <c r="B10798" s="1" t="n">
        <v>45763.63334490741</v>
      </c>
      <c r="C10798" s="1" t="n">
        <v>46145</v>
      </c>
      <c r="D10798" t="inlineStr">
        <is>
          <t>VÄSTERBOTTENS LÄN</t>
        </is>
      </c>
      <c r="E10798" t="inlineStr">
        <is>
          <t>LYCKSELE</t>
        </is>
      </c>
      <c r="F10798" t="inlineStr">
        <is>
          <t>Holmen skog AB</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35293-2023</t>
        </is>
      </c>
      <c r="B10799" s="1" t="n">
        <v>45145</v>
      </c>
      <c r="C10799" s="1" t="n">
        <v>46145</v>
      </c>
      <c r="D10799" t="inlineStr">
        <is>
          <t>VÄSTERBOTTENS LÄN</t>
        </is>
      </c>
      <c r="E10799" t="inlineStr">
        <is>
          <t>VINDELN</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56997-2023</t>
        </is>
      </c>
      <c r="B10800" s="1" t="n">
        <v>45244</v>
      </c>
      <c r="C10800" s="1" t="n">
        <v>46145</v>
      </c>
      <c r="D10800" t="inlineStr">
        <is>
          <t>VÄSTERBOTTENS LÄN</t>
        </is>
      </c>
      <c r="E10800" t="inlineStr">
        <is>
          <t>MALÅ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13627-2026</t>
        </is>
      </c>
      <c r="B10801" s="1" t="n">
        <v>46097</v>
      </c>
      <c r="C10801" s="1" t="n">
        <v>46145</v>
      </c>
      <c r="D10801" t="inlineStr">
        <is>
          <t>VÄSTERBOTTENS LÄN</t>
        </is>
      </c>
      <c r="E10801" t="inlineStr">
        <is>
          <t>LYCKSELE</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17845-2025</t>
        </is>
      </c>
      <c r="B10802" s="1" t="n">
        <v>45758.59927083334</v>
      </c>
      <c r="C10802" s="1" t="n">
        <v>46145</v>
      </c>
      <c r="D10802" t="inlineStr">
        <is>
          <t>VÄSTERBOTTENS LÄN</t>
        </is>
      </c>
      <c r="E10802" t="inlineStr">
        <is>
          <t>VINDELN</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17483-2023</t>
        </is>
      </c>
      <c r="B10803" s="1" t="n">
        <v>45034</v>
      </c>
      <c r="C10803" s="1" t="n">
        <v>46145</v>
      </c>
      <c r="D10803" t="inlineStr">
        <is>
          <t>VÄSTERBOTTENS LÄN</t>
        </is>
      </c>
      <c r="E10803" t="inlineStr">
        <is>
          <t>SKELLEFTEÅ</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60482-2024</t>
        </is>
      </c>
      <c r="B10804" s="1" t="n">
        <v>45643.63650462963</v>
      </c>
      <c r="C10804" s="1" t="n">
        <v>46145</v>
      </c>
      <c r="D10804" t="inlineStr">
        <is>
          <t>VÄSTERBOTTENS LÄN</t>
        </is>
      </c>
      <c r="E10804" t="inlineStr">
        <is>
          <t>LYCKSELE</t>
        </is>
      </c>
      <c r="F10804" t="inlineStr">
        <is>
          <t>Sveaskog</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20035-2026</t>
        </is>
      </c>
      <c r="B10805" s="1" t="n">
        <v>46136.55365740741</v>
      </c>
      <c r="C10805" s="1" t="n">
        <v>46145</v>
      </c>
      <c r="D10805" t="inlineStr">
        <is>
          <t>VÄSTERBOTTENS LÄN</t>
        </is>
      </c>
      <c r="E10805" t="inlineStr">
        <is>
          <t>NORDMALING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11644-2025</t>
        </is>
      </c>
      <c r="B10806" s="1" t="n">
        <v>45727.47341435185</v>
      </c>
      <c r="C10806" s="1" t="n">
        <v>46145</v>
      </c>
      <c r="D10806" t="inlineStr">
        <is>
          <t>VÄSTERBOTTENS LÄN</t>
        </is>
      </c>
      <c r="E10806" t="inlineStr">
        <is>
          <t>SKELLEFTEÅ</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20067-2026</t>
        </is>
      </c>
      <c r="B10807" s="1" t="n">
        <v>46136.59429398148</v>
      </c>
      <c r="C10807" s="1" t="n">
        <v>46145</v>
      </c>
      <c r="D10807" t="inlineStr">
        <is>
          <t>VÄSTERBOTTENS LÄN</t>
        </is>
      </c>
      <c r="E10807" t="inlineStr">
        <is>
          <t>SKELLEFTEÅ</t>
        </is>
      </c>
      <c r="F10807" t="inlineStr">
        <is>
          <t>SCA</t>
        </is>
      </c>
      <c r="G10807" t="n">
        <v>35.7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20090-2026</t>
        </is>
      </c>
      <c r="B10808" s="1" t="n">
        <v>46136.62280092593</v>
      </c>
      <c r="C10808" s="1" t="n">
        <v>46145</v>
      </c>
      <c r="D10808" t="inlineStr">
        <is>
          <t>VÄSTERBOTTENS LÄN</t>
        </is>
      </c>
      <c r="E10808" t="inlineStr">
        <is>
          <t>VINDELN</t>
        </is>
      </c>
      <c r="F10808" t="inlineStr">
        <is>
          <t>Holmen skog AB</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60506-2022</t>
        </is>
      </c>
      <c r="B10809" s="1" t="n">
        <v>44911.44916666667</v>
      </c>
      <c r="C10809" s="1" t="n">
        <v>46145</v>
      </c>
      <c r="D10809" t="inlineStr">
        <is>
          <t>VÄSTERBOTTENS LÄN</t>
        </is>
      </c>
      <c r="E10809" t="inlineStr">
        <is>
          <t>SKELLEFTEÅ</t>
        </is>
      </c>
      <c r="F10809" t="inlineStr">
        <is>
          <t>Sveaskog</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19979-2026</t>
        </is>
      </c>
      <c r="B10810" s="1" t="n">
        <v>46136.44616898148</v>
      </c>
      <c r="C10810" s="1" t="n">
        <v>46145</v>
      </c>
      <c r="D10810" t="inlineStr">
        <is>
          <t>VÄSTERBOTTENS LÄN</t>
        </is>
      </c>
      <c r="E10810" t="inlineStr">
        <is>
          <t>ÅSELE</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16661-2025</t>
        </is>
      </c>
      <c r="B10811" s="1" t="n">
        <v>45754.41447916667</v>
      </c>
      <c r="C10811" s="1" t="n">
        <v>46145</v>
      </c>
      <c r="D10811" t="inlineStr">
        <is>
          <t>VÄSTERBOTTENS LÄN</t>
        </is>
      </c>
      <c r="E10811" t="inlineStr">
        <is>
          <t>NORSJÖ</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16455-2024</t>
        </is>
      </c>
      <c r="B10812" s="1" t="n">
        <v>45407</v>
      </c>
      <c r="C10812" s="1" t="n">
        <v>46145</v>
      </c>
      <c r="D10812" t="inlineStr">
        <is>
          <t>VÄSTERBOTTENS LÄN</t>
        </is>
      </c>
      <c r="E10812" t="inlineStr">
        <is>
          <t>NORDMALING</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62726-2022</t>
        </is>
      </c>
      <c r="B10813" s="1" t="n">
        <v>44925</v>
      </c>
      <c r="C10813" s="1" t="n">
        <v>46145</v>
      </c>
      <c r="D10813" t="inlineStr">
        <is>
          <t>VÄSTERBOTTENS LÄN</t>
        </is>
      </c>
      <c r="E10813" t="inlineStr">
        <is>
          <t>VINDELN</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62727-2022</t>
        </is>
      </c>
      <c r="B10814" s="1" t="n">
        <v>44925</v>
      </c>
      <c r="C10814" s="1" t="n">
        <v>46145</v>
      </c>
      <c r="D10814" t="inlineStr">
        <is>
          <t>VÄSTERBOTTENS LÄN</t>
        </is>
      </c>
      <c r="E10814" t="inlineStr">
        <is>
          <t>VINDELN</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62753-2022</t>
        </is>
      </c>
      <c r="B10815" s="1" t="n">
        <v>44925</v>
      </c>
      <c r="C10815" s="1" t="n">
        <v>46145</v>
      </c>
      <c r="D10815" t="inlineStr">
        <is>
          <t>VÄSTERBOTTENS LÄN</t>
        </is>
      </c>
      <c r="E10815" t="inlineStr">
        <is>
          <t>VINDELN</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20100-2026</t>
        </is>
      </c>
      <c r="B10816" s="1" t="n">
        <v>46136.63600694444</v>
      </c>
      <c r="C10816" s="1" t="n">
        <v>46145</v>
      </c>
      <c r="D10816" t="inlineStr">
        <is>
          <t>VÄSTERBOTTENS LÄN</t>
        </is>
      </c>
      <c r="E10816" t="inlineStr">
        <is>
          <t>SKELLEFTEÅ</t>
        </is>
      </c>
      <c r="F10816" t="inlineStr">
        <is>
          <t>SCA</t>
        </is>
      </c>
      <c r="G10816" t="n">
        <v>15.9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16690-2025</t>
        </is>
      </c>
      <c r="B10817" s="1" t="n">
        <v>45754.45789351852</v>
      </c>
      <c r="C10817" s="1" t="n">
        <v>46145</v>
      </c>
      <c r="D10817" t="inlineStr">
        <is>
          <t>VÄSTERBOTTENS LÄN</t>
        </is>
      </c>
      <c r="E10817" t="inlineStr">
        <is>
          <t>NORDMALING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49631-2023</t>
        </is>
      </c>
      <c r="B10818" s="1" t="n">
        <v>45211</v>
      </c>
      <c r="C10818" s="1" t="n">
        <v>46145</v>
      </c>
      <c r="D10818" t="inlineStr">
        <is>
          <t>VÄSTERBOTTENS LÄN</t>
        </is>
      </c>
      <c r="E10818" t="inlineStr">
        <is>
          <t>LYCKSELE</t>
        </is>
      </c>
      <c r="F10818" t="inlineStr">
        <is>
          <t>Kommuner</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56447-2021</t>
        </is>
      </c>
      <c r="B10819" s="1" t="n">
        <v>44479</v>
      </c>
      <c r="C10819" s="1" t="n">
        <v>46145</v>
      </c>
      <c r="D10819" t="inlineStr">
        <is>
          <t>VÄSTERBOTTENS LÄN</t>
        </is>
      </c>
      <c r="E10819" t="inlineStr">
        <is>
          <t>VINDELN</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57498-2024</t>
        </is>
      </c>
      <c r="B10820" s="1" t="n">
        <v>45629</v>
      </c>
      <c r="C10820" s="1" t="n">
        <v>46145</v>
      </c>
      <c r="D10820" t="inlineStr">
        <is>
          <t>VÄSTERBOTTENS LÄN</t>
        </is>
      </c>
      <c r="E10820" t="inlineStr">
        <is>
          <t>ÅSELE</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57510-2024</t>
        </is>
      </c>
      <c r="B10821" s="1" t="n">
        <v>45630.3946875</v>
      </c>
      <c r="C10821" s="1" t="n">
        <v>46145</v>
      </c>
      <c r="D10821" t="inlineStr">
        <is>
          <t>VÄSTERBOTTENS LÄN</t>
        </is>
      </c>
      <c r="E10821" t="inlineStr">
        <is>
          <t>UMEÅ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20209-2026</t>
        </is>
      </c>
      <c r="B10822" s="1" t="n">
        <v>46139.41828703704</v>
      </c>
      <c r="C10822" s="1" t="n">
        <v>46145</v>
      </c>
      <c r="D10822" t="inlineStr">
        <is>
          <t>VÄSTERBOTTENS LÄN</t>
        </is>
      </c>
      <c r="E10822" t="inlineStr">
        <is>
          <t>UMEÅ</t>
        </is>
      </c>
      <c r="F10822" t="inlineStr">
        <is>
          <t>Holmen skog AB</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15138-2025</t>
        </is>
      </c>
      <c r="B10823" s="1" t="n">
        <v>45744.38621527778</v>
      </c>
      <c r="C10823" s="1" t="n">
        <v>46145</v>
      </c>
      <c r="D10823" t="inlineStr">
        <is>
          <t>VÄSTERBOTTENS LÄN</t>
        </is>
      </c>
      <c r="E10823" t="inlineStr">
        <is>
          <t>SKELLEFTEÅ</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13718-2026</t>
        </is>
      </c>
      <c r="B10824" s="1" t="n">
        <v>46097.5949537037</v>
      </c>
      <c r="C10824" s="1" t="n">
        <v>46145</v>
      </c>
      <c r="D10824" t="inlineStr">
        <is>
          <t>VÄSTERBOTTENS LÄN</t>
        </is>
      </c>
      <c r="E10824" t="inlineStr">
        <is>
          <t>VINDELN</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13773-2026</t>
        </is>
      </c>
      <c r="B10825" s="1" t="n">
        <v>46097.6712962963</v>
      </c>
      <c r="C10825" s="1" t="n">
        <v>46145</v>
      </c>
      <c r="D10825" t="inlineStr">
        <is>
          <t>VÄSTERBOTTENS LÄN</t>
        </is>
      </c>
      <c r="E10825" t="inlineStr">
        <is>
          <t>MALÅ</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13477-2026</t>
        </is>
      </c>
      <c r="B10826" s="1" t="n">
        <v>46094.57356481482</v>
      </c>
      <c r="C10826" s="1" t="n">
        <v>46145</v>
      </c>
      <c r="D10826" t="inlineStr">
        <is>
          <t>VÄSTERBOTTENS LÄN</t>
        </is>
      </c>
      <c r="E10826" t="inlineStr">
        <is>
          <t>LYCKSELE</t>
        </is>
      </c>
      <c r="F10826" t="inlineStr">
        <is>
          <t>SCA</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57581-2024</t>
        </is>
      </c>
      <c r="B10827" s="1" t="n">
        <v>45630</v>
      </c>
      <c r="C10827" s="1" t="n">
        <v>46145</v>
      </c>
      <c r="D10827" t="inlineStr">
        <is>
          <t>VÄSTERBOTTENS LÄN</t>
        </is>
      </c>
      <c r="E10827" t="inlineStr">
        <is>
          <t>DOROTEA</t>
        </is>
      </c>
      <c r="G10827" t="n">
        <v>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15905-2026</t>
        </is>
      </c>
      <c r="B10828" s="1" t="n">
        <v>46107</v>
      </c>
      <c r="C10828" s="1" t="n">
        <v>46145</v>
      </c>
      <c r="D10828" t="inlineStr">
        <is>
          <t>VÄSTERBOTTENS LÄN</t>
        </is>
      </c>
      <c r="E10828" t="inlineStr">
        <is>
          <t>NORSJÖ</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18851-2026</t>
        </is>
      </c>
      <c r="B10829" s="1" t="n">
        <v>46129</v>
      </c>
      <c r="C10829" s="1" t="n">
        <v>46145</v>
      </c>
      <c r="D10829" t="inlineStr">
        <is>
          <t>VÄSTERBOTTENS LÄN</t>
        </is>
      </c>
      <c r="E10829" t="inlineStr">
        <is>
          <t>SORSELE</t>
        </is>
      </c>
      <c r="F10829" t="inlineStr">
        <is>
          <t>SCA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7263-2022</t>
        </is>
      </c>
      <c r="B10830" s="1" t="n">
        <v>44606.44032407407</v>
      </c>
      <c r="C10830" s="1" t="n">
        <v>46145</v>
      </c>
      <c r="D10830" t="inlineStr">
        <is>
          <t>VÄSTERBOTTENS LÄN</t>
        </is>
      </c>
      <c r="E10830" t="inlineStr">
        <is>
          <t>UMEÅ</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53235-2024</t>
        </is>
      </c>
      <c r="B10831" s="1" t="n">
        <v>45613.77569444444</v>
      </c>
      <c r="C10831" s="1" t="n">
        <v>46145</v>
      </c>
      <c r="D10831" t="inlineStr">
        <is>
          <t>VÄSTERBOTTENS LÄN</t>
        </is>
      </c>
      <c r="E10831" t="inlineStr">
        <is>
          <t>LYCKSELE</t>
        </is>
      </c>
      <c r="F10831" t="inlineStr">
        <is>
          <t>Sveaskog</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47312-2023</t>
        </is>
      </c>
      <c r="B10832" s="1" t="n">
        <v>45202</v>
      </c>
      <c r="C10832" s="1" t="n">
        <v>46145</v>
      </c>
      <c r="D10832" t="inlineStr">
        <is>
          <t>VÄSTERBOTTENS LÄN</t>
        </is>
      </c>
      <c r="E10832" t="inlineStr">
        <is>
          <t>SKELLEFTEÅ</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20332-2026</t>
        </is>
      </c>
      <c r="B10833" s="1" t="n">
        <v>46136</v>
      </c>
      <c r="C10833" s="1" t="n">
        <v>46145</v>
      </c>
      <c r="D10833" t="inlineStr">
        <is>
          <t>VÄSTERBOTTENS LÄN</t>
        </is>
      </c>
      <c r="E10833" t="inlineStr">
        <is>
          <t>DOROTEA</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48299-2024</t>
        </is>
      </c>
      <c r="B10834" s="1" t="n">
        <v>45590</v>
      </c>
      <c r="C10834" s="1" t="n">
        <v>46145</v>
      </c>
      <c r="D10834" t="inlineStr">
        <is>
          <t>VÄSTERBOTTENS LÄN</t>
        </is>
      </c>
      <c r="E10834" t="inlineStr">
        <is>
          <t>ÅSELE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13730-2026</t>
        </is>
      </c>
      <c r="B10835" s="1" t="n">
        <v>46097.62047453703</v>
      </c>
      <c r="C10835" s="1" t="n">
        <v>46145</v>
      </c>
      <c r="D10835" t="inlineStr">
        <is>
          <t>VÄSTERBOTTENS LÄN</t>
        </is>
      </c>
      <c r="E10835" t="inlineStr">
        <is>
          <t>SKELLEFTEÅ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19059-2026</t>
        </is>
      </c>
      <c r="B10836" s="1" t="n">
        <v>46132</v>
      </c>
      <c r="C10836" s="1" t="n">
        <v>46145</v>
      </c>
      <c r="D10836" t="inlineStr">
        <is>
          <t>VÄSTERBOTTENS LÄN</t>
        </is>
      </c>
      <c r="E10836" t="inlineStr">
        <is>
          <t>LYCKSELE</t>
        </is>
      </c>
      <c r="F10836" t="inlineStr">
        <is>
          <t>SCA</t>
        </is>
      </c>
      <c r="G10836" t="n">
        <v>10.8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19962-2026</t>
        </is>
      </c>
      <c r="B10837" s="1" t="n">
        <v>46136.42106481481</v>
      </c>
      <c r="C10837" s="1" t="n">
        <v>46145</v>
      </c>
      <c r="D10837" t="inlineStr">
        <is>
          <t>VÄSTERBOTTENS LÄN</t>
        </is>
      </c>
      <c r="E10837" t="inlineStr">
        <is>
          <t>ÅSELE</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58356-2024</t>
        </is>
      </c>
      <c r="B10838" s="1" t="n">
        <v>45632.65679398148</v>
      </c>
      <c r="C10838" s="1" t="n">
        <v>46145</v>
      </c>
      <c r="D10838" t="inlineStr">
        <is>
          <t>VÄSTERBOTTENS LÄN</t>
        </is>
      </c>
      <c r="E10838" t="inlineStr">
        <is>
          <t>LYCKSELE</t>
        </is>
      </c>
      <c r="F10838" t="inlineStr">
        <is>
          <t>SCA</t>
        </is>
      </c>
      <c r="G10838" t="n">
        <v>10.4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19786-2025</t>
        </is>
      </c>
      <c r="B10839" s="1" t="n">
        <v>45771.44086805556</v>
      </c>
      <c r="C10839" s="1" t="n">
        <v>46145</v>
      </c>
      <c r="D10839" t="inlineStr">
        <is>
          <t>VÄSTERBOTTENS LÄN</t>
        </is>
      </c>
      <c r="E10839" t="inlineStr">
        <is>
          <t>VÄNNÄS</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19454-2026</t>
        </is>
      </c>
      <c r="B10840" s="1" t="n">
        <v>46129</v>
      </c>
      <c r="C10840" s="1" t="n">
        <v>46145</v>
      </c>
      <c r="D10840" t="inlineStr">
        <is>
          <t>VÄSTERBOTTENS LÄN</t>
        </is>
      </c>
      <c r="E10840" t="inlineStr">
        <is>
          <t>SORSELE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7916-2025</t>
        </is>
      </c>
      <c r="B10841" s="1" t="n">
        <v>45707.35113425926</v>
      </c>
      <c r="C10841" s="1" t="n">
        <v>46145</v>
      </c>
      <c r="D10841" t="inlineStr">
        <is>
          <t>VÄSTERBOTTENS LÄN</t>
        </is>
      </c>
      <c r="E10841" t="inlineStr">
        <is>
          <t>SKELLEFTEÅ</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13413-2026</t>
        </is>
      </c>
      <c r="B10842" s="1" t="n">
        <v>46094.46929398148</v>
      </c>
      <c r="C10842" s="1" t="n">
        <v>46145</v>
      </c>
      <c r="D10842" t="inlineStr">
        <is>
          <t>VÄSTERBOTTENS LÄN</t>
        </is>
      </c>
      <c r="E10842" t="inlineStr">
        <is>
          <t>LYCKSELE</t>
        </is>
      </c>
      <c r="F10842" t="inlineStr">
        <is>
          <t>SCA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52276-2023</t>
        </is>
      </c>
      <c r="B10843" s="1" t="n">
        <v>45217</v>
      </c>
      <c r="C10843" s="1" t="n">
        <v>46145</v>
      </c>
      <c r="D10843" t="inlineStr">
        <is>
          <t>VÄSTERBOTTENS LÄN</t>
        </is>
      </c>
      <c r="E10843" t="inlineStr">
        <is>
          <t>DOROTEA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20064-2026</t>
        </is>
      </c>
      <c r="B10844" s="1" t="n">
        <v>46136.5908912037</v>
      </c>
      <c r="C10844" s="1" t="n">
        <v>46145</v>
      </c>
      <c r="D10844" t="inlineStr">
        <is>
          <t>VÄSTERBOTTENS LÄN</t>
        </is>
      </c>
      <c r="E10844" t="inlineStr">
        <is>
          <t>NORSJÖ</t>
        </is>
      </c>
      <c r="F10844" t="inlineStr">
        <is>
          <t>Holmen skog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20162-2026</t>
        </is>
      </c>
      <c r="B10845" s="1" t="n">
        <v>46139.29422453704</v>
      </c>
      <c r="C10845" s="1" t="n">
        <v>46145</v>
      </c>
      <c r="D10845" t="inlineStr">
        <is>
          <t>VÄSTERBOTTENS LÄN</t>
        </is>
      </c>
      <c r="E10845" t="inlineStr">
        <is>
          <t>NORDMALING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367-2024</t>
        </is>
      </c>
      <c r="B10846" s="1" t="n">
        <v>45295</v>
      </c>
      <c r="C10846" s="1" t="n">
        <v>46145</v>
      </c>
      <c r="D10846" t="inlineStr">
        <is>
          <t>VÄSTERBOTTENS LÄN</t>
        </is>
      </c>
      <c r="E10846" t="inlineStr">
        <is>
          <t>VILHELMINA</t>
        </is>
      </c>
      <c r="F10846" t="inlineStr">
        <is>
          <t>SCA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13698-2026</t>
        </is>
      </c>
      <c r="B10847" s="1" t="n">
        <v>46097.56008101852</v>
      </c>
      <c r="C10847" s="1" t="n">
        <v>46145</v>
      </c>
      <c r="D10847" t="inlineStr">
        <is>
          <t>VÄSTERBOTTENS LÄN</t>
        </is>
      </c>
      <c r="E10847" t="inlineStr">
        <is>
          <t>VINDELN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20846-2025</t>
        </is>
      </c>
      <c r="B10848" s="1" t="n">
        <v>45777</v>
      </c>
      <c r="C10848" s="1" t="n">
        <v>46145</v>
      </c>
      <c r="D10848" t="inlineStr">
        <is>
          <t>VÄSTERBOTTENS LÄN</t>
        </is>
      </c>
      <c r="E10848" t="inlineStr">
        <is>
          <t>VILHELMINA</t>
        </is>
      </c>
      <c r="G10848" t="n">
        <v>19.1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13382-2026</t>
        </is>
      </c>
      <c r="B10849" s="1" t="n">
        <v>46094.42815972222</v>
      </c>
      <c r="C10849" s="1" t="n">
        <v>46145</v>
      </c>
      <c r="D10849" t="inlineStr">
        <is>
          <t>VÄSTERBOTTENS LÄN</t>
        </is>
      </c>
      <c r="E10849" t="inlineStr">
        <is>
          <t>ROBERTSFORS</t>
        </is>
      </c>
      <c r="F10849" t="inlineStr">
        <is>
          <t>Holmen skog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13771-2026</t>
        </is>
      </c>
      <c r="B10850" s="1" t="n">
        <v>46097.6680324074</v>
      </c>
      <c r="C10850" s="1" t="n">
        <v>46145</v>
      </c>
      <c r="D10850" t="inlineStr">
        <is>
          <t>VÄSTERBOTTENS LÄN</t>
        </is>
      </c>
      <c r="E10850" t="inlineStr">
        <is>
          <t>STORUMAN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13775-2026</t>
        </is>
      </c>
      <c r="B10851" s="1" t="n">
        <v>46097.67225694445</v>
      </c>
      <c r="C10851" s="1" t="n">
        <v>46145</v>
      </c>
      <c r="D10851" t="inlineStr">
        <is>
          <t>VÄSTERBOTTENS LÄN</t>
        </is>
      </c>
      <c r="E10851" t="inlineStr">
        <is>
          <t>MALÅ</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13780-2026</t>
        </is>
      </c>
      <c r="B10852" s="1" t="n">
        <v>46097.67828703704</v>
      </c>
      <c r="C10852" s="1" t="n">
        <v>46145</v>
      </c>
      <c r="D10852" t="inlineStr">
        <is>
          <t>VÄSTERBOTTENS LÄN</t>
        </is>
      </c>
      <c r="E10852" t="inlineStr">
        <is>
          <t>SKELLEFTEÅ</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13790-2026</t>
        </is>
      </c>
      <c r="B10853" s="1" t="n">
        <v>46097.71694444444</v>
      </c>
      <c r="C10853" s="1" t="n">
        <v>46145</v>
      </c>
      <c r="D10853" t="inlineStr">
        <is>
          <t>VÄSTERBOTTENS LÄN</t>
        </is>
      </c>
      <c r="E10853" t="inlineStr">
        <is>
          <t>VINDELN</t>
        </is>
      </c>
      <c r="F10853" t="inlineStr">
        <is>
          <t>Sveaskog</t>
        </is>
      </c>
      <c r="G10853" t="n">
        <v>31.7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12137-2023</t>
        </is>
      </c>
      <c r="B10854" s="1" t="n">
        <v>44995</v>
      </c>
      <c r="C10854" s="1" t="n">
        <v>46145</v>
      </c>
      <c r="D10854" t="inlineStr">
        <is>
          <t>VÄSTERBOTTENS LÄN</t>
        </is>
      </c>
      <c r="E10854" t="inlineStr">
        <is>
          <t>SKELLEFTEÅ</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20075-2026</t>
        </is>
      </c>
      <c r="B10855" s="1" t="n">
        <v>46135</v>
      </c>
      <c r="C10855" s="1" t="n">
        <v>46145</v>
      </c>
      <c r="D10855" t="inlineStr">
        <is>
          <t>VÄSTERBOTTENS LÄN</t>
        </is>
      </c>
      <c r="E10855" t="inlineStr">
        <is>
          <t>STORUMAN</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20084-2026</t>
        </is>
      </c>
      <c r="B10856" s="1" t="n">
        <v>46136.61519675926</v>
      </c>
      <c r="C10856" s="1" t="n">
        <v>46145</v>
      </c>
      <c r="D10856" t="inlineStr">
        <is>
          <t>VÄSTERBOTTENS LÄN</t>
        </is>
      </c>
      <c r="E10856" t="inlineStr">
        <is>
          <t>SKELLEFTEÅ</t>
        </is>
      </c>
      <c r="F10856" t="inlineStr">
        <is>
          <t>SCA</t>
        </is>
      </c>
      <c r="G10856" t="n">
        <v>19.7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57799-2023</t>
        </is>
      </c>
      <c r="B10857" s="1" t="n">
        <v>45246.96910879629</v>
      </c>
      <c r="C10857" s="1" t="n">
        <v>46145</v>
      </c>
      <c r="D10857" t="inlineStr">
        <is>
          <t>VÄSTERBOTTENS LÄN</t>
        </is>
      </c>
      <c r="E10857" t="inlineStr">
        <is>
          <t>BJURHOLM</t>
        </is>
      </c>
      <c r="F10857" t="inlineStr">
        <is>
          <t>SCA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57800-2023</t>
        </is>
      </c>
      <c r="B10858" s="1" t="n">
        <v>45246.96921296296</v>
      </c>
      <c r="C10858" s="1" t="n">
        <v>46145</v>
      </c>
      <c r="D10858" t="inlineStr">
        <is>
          <t>VÄSTERBOTTENS LÄN</t>
        </is>
      </c>
      <c r="E10858" t="inlineStr">
        <is>
          <t>ÅSELE</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60624-2024</t>
        </is>
      </c>
      <c r="B10859" s="1" t="n">
        <v>45642</v>
      </c>
      <c r="C10859" s="1" t="n">
        <v>46145</v>
      </c>
      <c r="D10859" t="inlineStr">
        <is>
          <t>VÄSTERBOTTENS LÄN</t>
        </is>
      </c>
      <c r="E10859" t="inlineStr">
        <is>
          <t>MALÅ</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60646-2024</t>
        </is>
      </c>
      <c r="B10860" s="1" t="n">
        <v>45644.4325462963</v>
      </c>
      <c r="C10860" s="1" t="n">
        <v>46145</v>
      </c>
      <c r="D10860" t="inlineStr">
        <is>
          <t>VÄSTERBOTTENS LÄN</t>
        </is>
      </c>
      <c r="E10860" t="inlineStr">
        <is>
          <t>VÄNNÄS</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13480-2026</t>
        </is>
      </c>
      <c r="B10861" s="1" t="n">
        <v>46094.57710648148</v>
      </c>
      <c r="C10861" s="1" t="n">
        <v>46145</v>
      </c>
      <c r="D10861" t="inlineStr">
        <is>
          <t>VÄSTERBOTTENS LÄN</t>
        </is>
      </c>
      <c r="E10861" t="inlineStr">
        <is>
          <t>LYCKSELE</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13494-2026</t>
        </is>
      </c>
      <c r="B10862" s="1" t="n">
        <v>46094</v>
      </c>
      <c r="C10862" s="1" t="n">
        <v>46145</v>
      </c>
      <c r="D10862" t="inlineStr">
        <is>
          <t>VÄSTERBOTTENS LÄN</t>
        </is>
      </c>
      <c r="E10862" t="inlineStr">
        <is>
          <t>VÄNNÄS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13517-2026</t>
        </is>
      </c>
      <c r="B10863" s="1" t="n">
        <v>46094.61526620371</v>
      </c>
      <c r="C10863" s="1" t="n">
        <v>46145</v>
      </c>
      <c r="D10863" t="inlineStr">
        <is>
          <t>VÄSTERBOTTENS LÄN</t>
        </is>
      </c>
      <c r="E10863" t="inlineStr">
        <is>
          <t>LYCKSELE</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13518-2026</t>
        </is>
      </c>
      <c r="B10864" s="1" t="n">
        <v>46094.61528935185</v>
      </c>
      <c r="C10864" s="1" t="n">
        <v>46145</v>
      </c>
      <c r="D10864" t="inlineStr">
        <is>
          <t>VÄSTERBOTTENS LÄN</t>
        </is>
      </c>
      <c r="E10864" t="inlineStr">
        <is>
          <t>LYCKSELE</t>
        </is>
      </c>
      <c r="G10864" t="n">
        <v>12.7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8937-2025</t>
        </is>
      </c>
      <c r="B10865" s="1" t="n">
        <v>45713.44841435185</v>
      </c>
      <c r="C10865" s="1" t="n">
        <v>46145</v>
      </c>
      <c r="D10865" t="inlineStr">
        <is>
          <t>VÄSTERBOTTENS LÄN</t>
        </is>
      </c>
      <c r="E10865" t="inlineStr">
        <is>
          <t>VÄNNÄS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8938-2025</t>
        </is>
      </c>
      <c r="B10866" s="1" t="n">
        <v>45713.44842592593</v>
      </c>
      <c r="C10866" s="1" t="n">
        <v>46145</v>
      </c>
      <c r="D10866" t="inlineStr">
        <is>
          <t>VÄSTERBOTTENS LÄN</t>
        </is>
      </c>
      <c r="E10866" t="inlineStr">
        <is>
          <t>VÄNNÄS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1497-2025</t>
        </is>
      </c>
      <c r="B10867" s="1" t="n">
        <v>45667</v>
      </c>
      <c r="C10867" s="1" t="n">
        <v>46145</v>
      </c>
      <c r="D10867" t="inlineStr">
        <is>
          <t>VÄSTERBOTTENS LÄN</t>
        </is>
      </c>
      <c r="E10867" t="inlineStr">
        <is>
          <t>MALÅ</t>
        </is>
      </c>
      <c r="F10867" t="inlineStr">
        <is>
          <t>Sveaskog</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35354-2023</t>
        </is>
      </c>
      <c r="B10868" s="1" t="n">
        <v>45146</v>
      </c>
      <c r="C10868" s="1" t="n">
        <v>46145</v>
      </c>
      <c r="D10868" t="inlineStr">
        <is>
          <t>VÄSTERBOTTENS LÄN</t>
        </is>
      </c>
      <c r="E10868" t="inlineStr">
        <is>
          <t>VÄNNÄS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12008-2026</t>
        </is>
      </c>
      <c r="B10869" s="1" t="n">
        <v>46085</v>
      </c>
      <c r="C10869" s="1" t="n">
        <v>46145</v>
      </c>
      <c r="D10869" t="inlineStr">
        <is>
          <t>VÄSTERBOTTENS LÄN</t>
        </is>
      </c>
      <c r="E10869" t="inlineStr">
        <is>
          <t>VILHELMINA</t>
        </is>
      </c>
      <c r="G10869" t="n">
        <v>18.5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15581-2023</t>
        </is>
      </c>
      <c r="B10870" s="1" t="n">
        <v>45019</v>
      </c>
      <c r="C10870" s="1" t="n">
        <v>46145</v>
      </c>
      <c r="D10870" t="inlineStr">
        <is>
          <t>VÄSTERBOTTENS LÄN</t>
        </is>
      </c>
      <c r="E10870" t="inlineStr">
        <is>
          <t>BJURHOLM</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13281-2026</t>
        </is>
      </c>
      <c r="B10871" s="1" t="n">
        <v>46093.75127314815</v>
      </c>
      <c r="C10871" s="1" t="n">
        <v>46145</v>
      </c>
      <c r="D10871" t="inlineStr">
        <is>
          <t>VÄSTERBOTTENS LÄN</t>
        </is>
      </c>
      <c r="E10871" t="inlineStr">
        <is>
          <t>UMEÅ</t>
        </is>
      </c>
      <c r="F10871" t="inlineStr">
        <is>
          <t>Kommuner</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36895-2024</t>
        </is>
      </c>
      <c r="B10872" s="1" t="n">
        <v>45538.61855324074</v>
      </c>
      <c r="C10872" s="1" t="n">
        <v>46145</v>
      </c>
      <c r="D10872" t="inlineStr">
        <is>
          <t>VÄSTERBOTTENS LÄN</t>
        </is>
      </c>
      <c r="E10872" t="inlineStr">
        <is>
          <t>SKELLEFTEÅ</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37658-2024</t>
        </is>
      </c>
      <c r="B10873" s="1" t="n">
        <v>45541.56019675926</v>
      </c>
      <c r="C10873" s="1" t="n">
        <v>46145</v>
      </c>
      <c r="D10873" t="inlineStr">
        <is>
          <t>VÄSTERBOTTENS LÄN</t>
        </is>
      </c>
      <c r="E10873" t="inlineStr">
        <is>
          <t>LYCKSELE</t>
        </is>
      </c>
      <c r="F10873" t="inlineStr">
        <is>
          <t>Holmen skog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20355-2026</t>
        </is>
      </c>
      <c r="B10874" s="1" t="n">
        <v>46139.65346064815</v>
      </c>
      <c r="C10874" s="1" t="n">
        <v>46145</v>
      </c>
      <c r="D10874" t="inlineStr">
        <is>
          <t>VÄSTERBOTTENS LÄN</t>
        </is>
      </c>
      <c r="E10874" t="inlineStr">
        <is>
          <t>ROBERTSFORS</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20062-2026</t>
        </is>
      </c>
      <c r="B10875" s="1" t="n">
        <v>46136.58930555556</v>
      </c>
      <c r="C10875" s="1" t="n">
        <v>46145</v>
      </c>
      <c r="D10875" t="inlineStr">
        <is>
          <t>VÄSTERBOTTENS LÄN</t>
        </is>
      </c>
      <c r="E10875" t="inlineStr">
        <is>
          <t>NORDMALING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20103-2026</t>
        </is>
      </c>
      <c r="B10876" s="1" t="n">
        <v>46136.64714120371</v>
      </c>
      <c r="C10876" s="1" t="n">
        <v>46145</v>
      </c>
      <c r="D10876" t="inlineStr">
        <is>
          <t>VÄSTERBOTTENS LÄN</t>
        </is>
      </c>
      <c r="E10876" t="inlineStr">
        <is>
          <t>VINDELN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13628-2025</t>
        </is>
      </c>
      <c r="B10877" s="1" t="n">
        <v>45736</v>
      </c>
      <c r="C10877" s="1" t="n">
        <v>46145</v>
      </c>
      <c r="D10877" t="inlineStr">
        <is>
          <t>VÄSTERBOTTENS LÄN</t>
        </is>
      </c>
      <c r="E10877" t="inlineStr">
        <is>
          <t>NORSJÖ</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62624-2023</t>
        </is>
      </c>
      <c r="B10878" s="1" t="n">
        <v>45271.37019675926</v>
      </c>
      <c r="C10878" s="1" t="n">
        <v>46145</v>
      </c>
      <c r="D10878" t="inlineStr">
        <is>
          <t>VÄSTERBOTTENS LÄN</t>
        </is>
      </c>
      <c r="E10878" t="inlineStr">
        <is>
          <t>STORUMAN</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12765-2025</t>
        </is>
      </c>
      <c r="B10879" s="1" t="n">
        <v>45733</v>
      </c>
      <c r="C10879" s="1" t="n">
        <v>46145</v>
      </c>
      <c r="D10879" t="inlineStr">
        <is>
          <t>VÄSTERBOTTENS LÄN</t>
        </is>
      </c>
      <c r="E10879" t="inlineStr">
        <is>
          <t>VILHELMINA</t>
        </is>
      </c>
      <c r="F10879" t="inlineStr">
        <is>
          <t>SCA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18301-2025</t>
        </is>
      </c>
      <c r="B10880" s="1" t="n">
        <v>45762.43146990741</v>
      </c>
      <c r="C10880" s="1" t="n">
        <v>46145</v>
      </c>
      <c r="D10880" t="inlineStr">
        <is>
          <t>VÄSTERBOTTENS LÄN</t>
        </is>
      </c>
      <c r="E10880" t="inlineStr">
        <is>
          <t>ÅSELE</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20321-2026</t>
        </is>
      </c>
      <c r="B10881" s="1" t="n">
        <v>46136</v>
      </c>
      <c r="C10881" s="1" t="n">
        <v>46145</v>
      </c>
      <c r="D10881" t="inlineStr">
        <is>
          <t>VÄSTERBOTTENS LÄN</t>
        </is>
      </c>
      <c r="E10881" t="inlineStr">
        <is>
          <t>DOROTEA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10369-2026</t>
        </is>
      </c>
      <c r="B10882" s="1" t="n">
        <v>46076</v>
      </c>
      <c r="C10882" s="1" t="n">
        <v>46145</v>
      </c>
      <c r="D10882" t="inlineStr">
        <is>
          <t>VÄSTERBOTTENS LÄN</t>
        </is>
      </c>
      <c r="E10882" t="inlineStr">
        <is>
          <t>VILHELMINA</t>
        </is>
      </c>
      <c r="G10882" t="n">
        <v>30.9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10532-2023</t>
        </is>
      </c>
      <c r="B10883" s="1" t="n">
        <v>44987</v>
      </c>
      <c r="C10883" s="1" t="n">
        <v>46145</v>
      </c>
      <c r="D10883" t="inlineStr">
        <is>
          <t>VÄSTERBOTTENS LÄN</t>
        </is>
      </c>
      <c r="E10883" t="inlineStr">
        <is>
          <t>UMEÅ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10533-2023</t>
        </is>
      </c>
      <c r="B10884" s="1" t="n">
        <v>44987.92349537037</v>
      </c>
      <c r="C10884" s="1" t="n">
        <v>46145</v>
      </c>
      <c r="D10884" t="inlineStr">
        <is>
          <t>VÄSTERBOTTENS LÄN</t>
        </is>
      </c>
      <c r="E10884" t="inlineStr">
        <is>
          <t>VÄNNÄS</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26395-2023</t>
        </is>
      </c>
      <c r="B10885" s="1" t="n">
        <v>45092.35770833334</v>
      </c>
      <c r="C10885" s="1" t="n">
        <v>46145</v>
      </c>
      <c r="D10885" t="inlineStr">
        <is>
          <t>VÄSTERBOTTENS LÄN</t>
        </is>
      </c>
      <c r="E10885" t="inlineStr">
        <is>
          <t>ÅSELE</t>
        </is>
      </c>
      <c r="F10885" t="inlineStr">
        <is>
          <t>Holmen skog AB</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15250-2026</t>
        </is>
      </c>
      <c r="B10886" s="1" t="n">
        <v>46105</v>
      </c>
      <c r="C10886" s="1" t="n">
        <v>46145</v>
      </c>
      <c r="D10886" t="inlineStr">
        <is>
          <t>VÄSTERBOTTENS LÄN</t>
        </is>
      </c>
      <c r="E10886" t="inlineStr">
        <is>
          <t>NORDMALING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49226-2024</t>
        </is>
      </c>
      <c r="B10887" s="1" t="n">
        <v>45595.41861111111</v>
      </c>
      <c r="C10887" s="1" t="n">
        <v>46145</v>
      </c>
      <c r="D10887" t="inlineStr">
        <is>
          <t>VÄSTERBOTTENS LÄN</t>
        </is>
      </c>
      <c r="E10887" t="inlineStr">
        <is>
          <t>MALÅ</t>
        </is>
      </c>
      <c r="F10887" t="inlineStr">
        <is>
          <t>Sveaskog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60782-2024</t>
        </is>
      </c>
      <c r="B10888" s="1" t="n">
        <v>45644.59050925926</v>
      </c>
      <c r="C10888" s="1" t="n">
        <v>46145</v>
      </c>
      <c r="D10888" t="inlineStr">
        <is>
          <t>VÄSTERBOTTENS LÄN</t>
        </is>
      </c>
      <c r="E10888" t="inlineStr">
        <is>
          <t>NORSJÖ</t>
        </is>
      </c>
      <c r="G10888" t="n">
        <v>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13397-2026</t>
        </is>
      </c>
      <c r="B10889" s="1" t="n">
        <v>46094.44425925926</v>
      </c>
      <c r="C10889" s="1" t="n">
        <v>46145</v>
      </c>
      <c r="D10889" t="inlineStr">
        <is>
          <t>VÄSTERBOTTENS LÄN</t>
        </is>
      </c>
      <c r="E10889" t="inlineStr">
        <is>
          <t>ROBERTSFORS</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34760-2023</t>
        </is>
      </c>
      <c r="B10890" s="1" t="n">
        <v>45139</v>
      </c>
      <c r="C10890" s="1" t="n">
        <v>46145</v>
      </c>
      <c r="D10890" t="inlineStr">
        <is>
          <t>VÄSTERBOTTENS LÄN</t>
        </is>
      </c>
      <c r="E10890" t="inlineStr">
        <is>
          <t>VÄNNÄS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20367-2026</t>
        </is>
      </c>
      <c r="B10891" s="1" t="n">
        <v>46139.67814814814</v>
      </c>
      <c r="C10891" s="1" t="n">
        <v>46145</v>
      </c>
      <c r="D10891" t="inlineStr">
        <is>
          <t>VÄSTERBOTTENS LÄN</t>
        </is>
      </c>
      <c r="E10891" t="inlineStr">
        <is>
          <t>VILHELMINA</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20377-2026</t>
        </is>
      </c>
      <c r="B10892" s="1" t="n">
        <v>46139.68752314815</v>
      </c>
      <c r="C10892" s="1" t="n">
        <v>46145</v>
      </c>
      <c r="D10892" t="inlineStr">
        <is>
          <t>VÄSTERBOTTENS LÄN</t>
        </is>
      </c>
      <c r="E10892" t="inlineStr">
        <is>
          <t>ROBERTSFORS</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52133-2024</t>
        </is>
      </c>
      <c r="B10893" s="1" t="n">
        <v>45608.48483796296</v>
      </c>
      <c r="C10893" s="1" t="n">
        <v>46145</v>
      </c>
      <c r="D10893" t="inlineStr">
        <is>
          <t>VÄSTERBOTTENS LÄN</t>
        </is>
      </c>
      <c r="E10893" t="inlineStr">
        <is>
          <t>NORSJÖ</t>
        </is>
      </c>
      <c r="F10893" t="inlineStr">
        <is>
          <t>Sveaskog</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44385-2024</t>
        </is>
      </c>
      <c r="B10894" s="1" t="n">
        <v>45573.68590277778</v>
      </c>
      <c r="C10894" s="1" t="n">
        <v>46145</v>
      </c>
      <c r="D10894" t="inlineStr">
        <is>
          <t>VÄSTERBOTTENS LÄN</t>
        </is>
      </c>
      <c r="E10894" t="inlineStr">
        <is>
          <t>LYCKSELE</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43723-2024</t>
        </is>
      </c>
      <c r="B10895" s="1" t="n">
        <v>45569.63114583334</v>
      </c>
      <c r="C10895" s="1" t="n">
        <v>46145</v>
      </c>
      <c r="D10895" t="inlineStr">
        <is>
          <t>VÄSTERBOTTENS LÄN</t>
        </is>
      </c>
      <c r="E10895" t="inlineStr">
        <is>
          <t>SKELLEFTEÅ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22291-2023</t>
        </is>
      </c>
      <c r="B10896" s="1" t="n">
        <v>45070</v>
      </c>
      <c r="C10896" s="1" t="n">
        <v>46145</v>
      </c>
      <c r="D10896" t="inlineStr">
        <is>
          <t>VÄSTERBOTTENS LÄN</t>
        </is>
      </c>
      <c r="E10896" t="inlineStr">
        <is>
          <t>UMEÅ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53783-2024</t>
        </is>
      </c>
      <c r="B10897" s="1" t="n">
        <v>45615</v>
      </c>
      <c r="C10897" s="1" t="n">
        <v>46145</v>
      </c>
      <c r="D10897" t="inlineStr">
        <is>
          <t>VÄSTERBOTTENS LÄN</t>
        </is>
      </c>
      <c r="E10897" t="inlineStr">
        <is>
          <t>VÄNNÄS</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53787-2024</t>
        </is>
      </c>
      <c r="B10898" s="1" t="n">
        <v>45615</v>
      </c>
      <c r="C10898" s="1" t="n">
        <v>46145</v>
      </c>
      <c r="D10898" t="inlineStr">
        <is>
          <t>VÄSTERBOTTENS LÄN</t>
        </is>
      </c>
      <c r="E10898" t="inlineStr">
        <is>
          <t>UMEÅ</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20680-2026</t>
        </is>
      </c>
      <c r="B10899" s="1" t="n">
        <v>46141.44869212963</v>
      </c>
      <c r="C10899" s="1" t="n">
        <v>46145</v>
      </c>
      <c r="D10899" t="inlineStr">
        <is>
          <t>VÄSTERBOTTENS LÄN</t>
        </is>
      </c>
      <c r="E10899" t="inlineStr">
        <is>
          <t>DOROTEA</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28409-2023</t>
        </is>
      </c>
      <c r="B10900" s="1" t="n">
        <v>45101</v>
      </c>
      <c r="C10900" s="1" t="n">
        <v>46145</v>
      </c>
      <c r="D10900" t="inlineStr">
        <is>
          <t>VÄSTERBOTTENS LÄN</t>
        </is>
      </c>
      <c r="E10900" t="inlineStr">
        <is>
          <t>LYCKSELE</t>
        </is>
      </c>
      <c r="G10900" t="n">
        <v>12.9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33828-2024</t>
        </is>
      </c>
      <c r="B10901" s="1" t="n">
        <v>45520.61695601852</v>
      </c>
      <c r="C10901" s="1" t="n">
        <v>46145</v>
      </c>
      <c r="D10901" t="inlineStr">
        <is>
          <t>VÄSTERBOTTENS LÄN</t>
        </is>
      </c>
      <c r="E10901" t="inlineStr">
        <is>
          <t>VILHELMINA</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18357-2023</t>
        </is>
      </c>
      <c r="B10902" s="1" t="n">
        <v>45041</v>
      </c>
      <c r="C10902" s="1" t="n">
        <v>46145</v>
      </c>
      <c r="D10902" t="inlineStr">
        <is>
          <t>VÄSTERBOTTENS LÄN</t>
        </is>
      </c>
      <c r="E10902" t="inlineStr">
        <is>
          <t>SKELLEFTEÅ</t>
        </is>
      </c>
      <c r="G10902" t="n">
        <v>11.2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5595-2025</t>
        </is>
      </c>
      <c r="B10903" s="1" t="n">
        <v>45693.57324074074</v>
      </c>
      <c r="C10903" s="1" t="n">
        <v>46145</v>
      </c>
      <c r="D10903" t="inlineStr">
        <is>
          <t>VÄSTERBOTTENS LÄN</t>
        </is>
      </c>
      <c r="E10903" t="inlineStr">
        <is>
          <t>NORDMALING</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14235-2026</t>
        </is>
      </c>
      <c r="B10904" s="1" t="n">
        <v>46099.59443287037</v>
      </c>
      <c r="C10904" s="1" t="n">
        <v>46145</v>
      </c>
      <c r="D10904" t="inlineStr">
        <is>
          <t>VÄSTERBOTTENS LÄN</t>
        </is>
      </c>
      <c r="E10904" t="inlineStr">
        <is>
          <t>LYCKSELE</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14243-2026</t>
        </is>
      </c>
      <c r="B10905" s="1" t="n">
        <v>46099.60451388889</v>
      </c>
      <c r="C10905" s="1" t="n">
        <v>46145</v>
      </c>
      <c r="D10905" t="inlineStr">
        <is>
          <t>VÄSTERBOTTENS LÄN</t>
        </is>
      </c>
      <c r="E10905" t="inlineStr">
        <is>
          <t>LYCKSELE</t>
        </is>
      </c>
      <c r="G10905" t="n">
        <v>11.8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54302-2024</t>
        </is>
      </c>
      <c r="B10906" s="1" t="n">
        <v>45617</v>
      </c>
      <c r="C10906" s="1" t="n">
        <v>46145</v>
      </c>
      <c r="D10906" t="inlineStr">
        <is>
          <t>VÄSTERBOTTENS LÄN</t>
        </is>
      </c>
      <c r="E10906" t="inlineStr">
        <is>
          <t>DOROTEA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14026-2026</t>
        </is>
      </c>
      <c r="B10907" s="1" t="n">
        <v>46098.72351851852</v>
      </c>
      <c r="C10907" s="1" t="n">
        <v>46145</v>
      </c>
      <c r="D10907" t="inlineStr">
        <is>
          <t>VÄSTERBOTTENS LÄN</t>
        </is>
      </c>
      <c r="E10907" t="inlineStr">
        <is>
          <t>UMEÅ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8309-2025</t>
        </is>
      </c>
      <c r="B10908" s="1" t="n">
        <v>45708.60898148148</v>
      </c>
      <c r="C10908" s="1" t="n">
        <v>46145</v>
      </c>
      <c r="D10908" t="inlineStr">
        <is>
          <t>VÄSTERBOTTENS LÄN</t>
        </is>
      </c>
      <c r="E10908" t="inlineStr">
        <is>
          <t>ROBERTSFORS</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66463-2021</t>
        </is>
      </c>
      <c r="B10909" s="1" t="n">
        <v>44518</v>
      </c>
      <c r="C10909" s="1" t="n">
        <v>46145</v>
      </c>
      <c r="D10909" t="inlineStr">
        <is>
          <t>VÄSTERBOTTENS LÄN</t>
        </is>
      </c>
      <c r="E10909" t="inlineStr">
        <is>
          <t>SKELLEFTEÅ</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60854-2023</t>
        </is>
      </c>
      <c r="B10910" s="1" t="n">
        <v>45260.9266087963</v>
      </c>
      <c r="C10910" s="1" t="n">
        <v>46145</v>
      </c>
      <c r="D10910" t="inlineStr">
        <is>
          <t>VÄSTERBOTTENS LÄN</t>
        </is>
      </c>
      <c r="E10910" t="inlineStr">
        <is>
          <t>STORUMAN</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14063-2026</t>
        </is>
      </c>
      <c r="B10911" s="1" t="n">
        <v>46099</v>
      </c>
      <c r="C10911" s="1" t="n">
        <v>46145</v>
      </c>
      <c r="D10911" t="inlineStr">
        <is>
          <t>VÄSTERBOTTENS LÄN</t>
        </is>
      </c>
      <c r="E10911" t="inlineStr">
        <is>
          <t>SORSELE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50796-2022</t>
        </is>
      </c>
      <c r="B10912" s="1" t="n">
        <v>44867</v>
      </c>
      <c r="C10912" s="1" t="n">
        <v>46145</v>
      </c>
      <c r="D10912" t="inlineStr">
        <is>
          <t>VÄSTERBOTTENS LÄN</t>
        </is>
      </c>
      <c r="E10912" t="inlineStr">
        <is>
          <t>NORSJÖ</t>
        </is>
      </c>
      <c r="F10912" t="inlineStr">
        <is>
          <t>Holmen skog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37181-2023</t>
        </is>
      </c>
      <c r="B10913" s="1" t="n">
        <v>45154</v>
      </c>
      <c r="C10913" s="1" t="n">
        <v>46145</v>
      </c>
      <c r="D10913" t="inlineStr">
        <is>
          <t>VÄSTERBOTTENS LÄN</t>
        </is>
      </c>
      <c r="E10913" t="inlineStr">
        <is>
          <t>MALÅ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2766-2025</t>
        </is>
      </c>
      <c r="B10914" s="1" t="n">
        <v>45677.49140046296</v>
      </c>
      <c r="C10914" s="1" t="n">
        <v>46145</v>
      </c>
      <c r="D10914" t="inlineStr">
        <is>
          <t>VÄSTERBOTTENS LÄN</t>
        </is>
      </c>
      <c r="E10914" t="inlineStr">
        <is>
          <t>UMEÅ</t>
        </is>
      </c>
      <c r="G10914" t="n">
        <v>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22739-2023</t>
        </is>
      </c>
      <c r="B10915" s="1" t="n">
        <v>45071.92619212963</v>
      </c>
      <c r="C10915" s="1" t="n">
        <v>46145</v>
      </c>
      <c r="D10915" t="inlineStr">
        <is>
          <t>VÄSTERBOTTENS LÄN</t>
        </is>
      </c>
      <c r="E10915" t="inlineStr">
        <is>
          <t>ÅSELE</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20721-2026</t>
        </is>
      </c>
      <c r="B10916" s="1" t="n">
        <v>46141.53625</v>
      </c>
      <c r="C10916" s="1" t="n">
        <v>46145</v>
      </c>
      <c r="D10916" t="inlineStr">
        <is>
          <t>VÄSTERBOTTENS LÄN</t>
        </is>
      </c>
      <c r="E10916" t="inlineStr">
        <is>
          <t>NORDMALING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15002-2022</t>
        </is>
      </c>
      <c r="B10917" s="1" t="n">
        <v>44657</v>
      </c>
      <c r="C10917" s="1" t="n">
        <v>46145</v>
      </c>
      <c r="D10917" t="inlineStr">
        <is>
          <t>VÄSTERBOTTENS LÄN</t>
        </is>
      </c>
      <c r="E10917" t="inlineStr">
        <is>
          <t>SORSELE</t>
        </is>
      </c>
      <c r="G10917" t="n">
        <v>7.1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15008-2022</t>
        </is>
      </c>
      <c r="B10918" s="1" t="n">
        <v>44657</v>
      </c>
      <c r="C10918" s="1" t="n">
        <v>46145</v>
      </c>
      <c r="D10918" t="inlineStr">
        <is>
          <t>VÄSTERBOTTENS LÄN</t>
        </is>
      </c>
      <c r="E10918" t="inlineStr">
        <is>
          <t>SORSELE</t>
        </is>
      </c>
      <c r="G10918" t="n">
        <v>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53018-2024</t>
        </is>
      </c>
      <c r="B10919" s="1" t="n">
        <v>45611</v>
      </c>
      <c r="C10919" s="1" t="n">
        <v>46145</v>
      </c>
      <c r="D10919" t="inlineStr">
        <is>
          <t>VÄSTERBOTTENS LÄN</t>
        </is>
      </c>
      <c r="E10919" t="inlineStr">
        <is>
          <t>ÅSELE</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14027-2026</t>
        </is>
      </c>
      <c r="B10920" s="1" t="n">
        <v>46098.73347222222</v>
      </c>
      <c r="C10920" s="1" t="n">
        <v>46145</v>
      </c>
      <c r="D10920" t="inlineStr">
        <is>
          <t>VÄSTERBOTTENS LÄN</t>
        </is>
      </c>
      <c r="E10920" t="inlineStr">
        <is>
          <t>UMEÅ</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13557-2024</t>
        </is>
      </c>
      <c r="B10921" s="1" t="n">
        <v>45388</v>
      </c>
      <c r="C10921" s="1" t="n">
        <v>46145</v>
      </c>
      <c r="D10921" t="inlineStr">
        <is>
          <t>VÄSTERBOTTENS LÄN</t>
        </is>
      </c>
      <c r="E10921" t="inlineStr">
        <is>
          <t>VILHELMINA</t>
        </is>
      </c>
      <c r="G10921" t="n">
        <v>11.2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14057-2026</t>
        </is>
      </c>
      <c r="B10922" s="1" t="n">
        <v>46099</v>
      </c>
      <c r="C10922" s="1" t="n">
        <v>46145</v>
      </c>
      <c r="D10922" t="inlineStr">
        <is>
          <t>VÄSTERBOTTENS LÄN</t>
        </is>
      </c>
      <c r="E10922" t="inlineStr">
        <is>
          <t>SORSELE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29164-2022</t>
        </is>
      </c>
      <c r="B10923" s="1" t="n">
        <v>44750.49505787037</v>
      </c>
      <c r="C10923" s="1" t="n">
        <v>46145</v>
      </c>
      <c r="D10923" t="inlineStr">
        <is>
          <t>VÄSTERBOTTENS LÄN</t>
        </is>
      </c>
      <c r="E10923" t="inlineStr">
        <is>
          <t>SKELLEFTEÅ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29579-2024</t>
        </is>
      </c>
      <c r="B10924" s="1" t="n">
        <v>45484.57260416666</v>
      </c>
      <c r="C10924" s="1" t="n">
        <v>46145</v>
      </c>
      <c r="D10924" t="inlineStr">
        <is>
          <t>VÄSTERBOTTENS LÄN</t>
        </is>
      </c>
      <c r="E10924" t="inlineStr">
        <is>
          <t>SKELLEFTEÅ</t>
        </is>
      </c>
      <c r="F10924" t="inlineStr">
        <is>
          <t>Holmen skog AB</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24832-2022</t>
        </is>
      </c>
      <c r="B10925" s="1" t="n">
        <v>44728</v>
      </c>
      <c r="C10925" s="1" t="n">
        <v>46145</v>
      </c>
      <c r="D10925" t="inlineStr">
        <is>
          <t>VÄSTERBOTTENS LÄN</t>
        </is>
      </c>
      <c r="E10925" t="inlineStr">
        <is>
          <t>SKELLEFTEÅ</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45560-2022</t>
        </is>
      </c>
      <c r="B10926" s="1" t="n">
        <v>44841</v>
      </c>
      <c r="C10926" s="1" t="n">
        <v>46145</v>
      </c>
      <c r="D10926" t="inlineStr">
        <is>
          <t>VÄSTERBOTTENS LÄN</t>
        </is>
      </c>
      <c r="E10926" t="inlineStr">
        <is>
          <t>SORSELE</t>
        </is>
      </c>
      <c r="G10926" t="n">
        <v>26.2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44387-2023</t>
        </is>
      </c>
      <c r="B10927" s="1" t="n">
        <v>45188.94491898148</v>
      </c>
      <c r="C10927" s="1" t="n">
        <v>46145</v>
      </c>
      <c r="D10927" t="inlineStr">
        <is>
          <t>VÄSTERBOTTENS LÄN</t>
        </is>
      </c>
      <c r="E10927" t="inlineStr">
        <is>
          <t>NORDMALING</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58676-2024</t>
        </is>
      </c>
      <c r="B10928" s="1" t="n">
        <v>45635</v>
      </c>
      <c r="C10928" s="1" t="n">
        <v>46145</v>
      </c>
      <c r="D10928" t="inlineStr">
        <is>
          <t>VÄSTERBOTTENS LÄN</t>
        </is>
      </c>
      <c r="E10928" t="inlineStr">
        <is>
          <t>SORSELE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13954-2026</t>
        </is>
      </c>
      <c r="B10929" s="1" t="n">
        <v>46098.55261574074</v>
      </c>
      <c r="C10929" s="1" t="n">
        <v>46145</v>
      </c>
      <c r="D10929" t="inlineStr">
        <is>
          <t>VÄSTERBOTTENS LÄN</t>
        </is>
      </c>
      <c r="E10929" t="inlineStr">
        <is>
          <t>LYCKSELE</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54984-2023</t>
        </is>
      </c>
      <c r="B10930" s="1" t="n">
        <v>45236</v>
      </c>
      <c r="C10930" s="1" t="n">
        <v>46145</v>
      </c>
      <c r="D10930" t="inlineStr">
        <is>
          <t>VÄSTERBOTTENS LÄN</t>
        </is>
      </c>
      <c r="E10930" t="inlineStr">
        <is>
          <t>VILHELMINA</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54437-2023</t>
        </is>
      </c>
      <c r="B10931" s="1" t="n">
        <v>45233</v>
      </c>
      <c r="C10931" s="1" t="n">
        <v>46145</v>
      </c>
      <c r="D10931" t="inlineStr">
        <is>
          <t>VÄSTERBOTTENS LÄN</t>
        </is>
      </c>
      <c r="E10931" t="inlineStr">
        <is>
          <t>MALÅ</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54446-2023</t>
        </is>
      </c>
      <c r="B10932" s="1" t="n">
        <v>45233</v>
      </c>
      <c r="C10932" s="1" t="n">
        <v>46145</v>
      </c>
      <c r="D10932" t="inlineStr">
        <is>
          <t>VÄSTERBOTTENS LÄN</t>
        </is>
      </c>
      <c r="E10932" t="inlineStr">
        <is>
          <t>LYCKSELE</t>
        </is>
      </c>
      <c r="G10932" t="n">
        <v>21.4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54476-2023</t>
        </is>
      </c>
      <c r="B10933" s="1" t="n">
        <v>45233.47082175926</v>
      </c>
      <c r="C10933" s="1" t="n">
        <v>46145</v>
      </c>
      <c r="D10933" t="inlineStr">
        <is>
          <t>VÄSTERBOTTENS LÄN</t>
        </is>
      </c>
      <c r="E10933" t="inlineStr">
        <is>
          <t>SKELLEFTEÅ</t>
        </is>
      </c>
      <c r="G10933" t="n">
        <v>11.3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20425-2026</t>
        </is>
      </c>
      <c r="B10934" s="1" t="n">
        <v>46140.3659375</v>
      </c>
      <c r="C10934" s="1" t="n">
        <v>46145</v>
      </c>
      <c r="D10934" t="inlineStr">
        <is>
          <t>VÄSTERBOTTENS LÄN</t>
        </is>
      </c>
      <c r="E10934" t="inlineStr">
        <is>
          <t>UMEÅ</t>
        </is>
      </c>
      <c r="F10934" t="inlineStr">
        <is>
          <t>Holmen skog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25080-2024</t>
        </is>
      </c>
      <c r="B10935" s="1" t="n">
        <v>45462.38275462963</v>
      </c>
      <c r="C10935" s="1" t="n">
        <v>46145</v>
      </c>
      <c r="D10935" t="inlineStr">
        <is>
          <t>VÄSTERBOTTENS LÄN</t>
        </is>
      </c>
      <c r="E10935" t="inlineStr">
        <is>
          <t>NORSJÖ</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25084-2024</t>
        </is>
      </c>
      <c r="B10936" s="1" t="n">
        <v>45462.38805555556</v>
      </c>
      <c r="C10936" s="1" t="n">
        <v>46145</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51368-2023</t>
        </is>
      </c>
      <c r="B10937" s="1" t="n">
        <v>45219</v>
      </c>
      <c r="C10937" s="1" t="n">
        <v>46145</v>
      </c>
      <c r="D10937" t="inlineStr">
        <is>
          <t>VÄSTERBOTTENS LÄN</t>
        </is>
      </c>
      <c r="E10937" t="inlineStr">
        <is>
          <t>LYCKSELE</t>
        </is>
      </c>
      <c r="F10937" t="inlineStr">
        <is>
          <t>Holmen skog AB</t>
        </is>
      </c>
      <c r="G10937" t="n">
        <v>9.199999999999999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53795-2022</t>
        </is>
      </c>
      <c r="B10938" s="1" t="n">
        <v>44876</v>
      </c>
      <c r="C10938" s="1" t="n">
        <v>46145</v>
      </c>
      <c r="D10938" t="inlineStr">
        <is>
          <t>VÄSTERBOTTENS LÄN</t>
        </is>
      </c>
      <c r="E10938" t="inlineStr">
        <is>
          <t>DOROTEA</t>
        </is>
      </c>
      <c r="G10938" t="n">
        <v>12.3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27917-2024</t>
        </is>
      </c>
      <c r="B10939" s="1" t="n">
        <v>45475.94844907407</v>
      </c>
      <c r="C10939" s="1" t="n">
        <v>46145</v>
      </c>
      <c r="D10939" t="inlineStr">
        <is>
          <t>VÄSTERBOTTENS LÄN</t>
        </is>
      </c>
      <c r="E10939" t="inlineStr">
        <is>
          <t>VILHELMINA</t>
        </is>
      </c>
      <c r="F10939" t="inlineStr">
        <is>
          <t>SCA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20581-2026</t>
        </is>
      </c>
      <c r="B10940" s="1" t="n">
        <v>46140.63619212963</v>
      </c>
      <c r="C10940" s="1" t="n">
        <v>46145</v>
      </c>
      <c r="D10940" t="inlineStr">
        <is>
          <t>VÄSTERBOTTENS LÄN</t>
        </is>
      </c>
      <c r="E10940" t="inlineStr">
        <is>
          <t>SKELLEFTEÅ</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61105-2023</t>
        </is>
      </c>
      <c r="B10941" s="1" t="n">
        <v>45261.66517361111</v>
      </c>
      <c r="C10941" s="1" t="n">
        <v>46145</v>
      </c>
      <c r="D10941" t="inlineStr">
        <is>
          <t>VÄSTERBOTTENS LÄN</t>
        </is>
      </c>
      <c r="E10941" t="inlineStr">
        <is>
          <t>UMEÅ</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4403-2025</t>
        </is>
      </c>
      <c r="B10942" s="1" t="n">
        <v>45686.43848379629</v>
      </c>
      <c r="C10942" s="1" t="n">
        <v>46145</v>
      </c>
      <c r="D10942" t="inlineStr">
        <is>
          <t>VÄSTERBOTTENS LÄN</t>
        </is>
      </c>
      <c r="E10942" t="inlineStr">
        <is>
          <t>SKELLEFTEÅ</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61151-2023</t>
        </is>
      </c>
      <c r="B10943" s="1" t="n">
        <v>45261.96797453704</v>
      </c>
      <c r="C10943" s="1" t="n">
        <v>46145</v>
      </c>
      <c r="D10943" t="inlineStr">
        <is>
          <t>VÄSTERBOTTENS LÄN</t>
        </is>
      </c>
      <c r="E10943" t="inlineStr">
        <is>
          <t>VINDELN</t>
        </is>
      </c>
      <c r="F10943" t="inlineStr">
        <is>
          <t>SCA</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61152-2023</t>
        </is>
      </c>
      <c r="B10944" s="1" t="n">
        <v>45261</v>
      </c>
      <c r="C10944" s="1" t="n">
        <v>46145</v>
      </c>
      <c r="D10944" t="inlineStr">
        <is>
          <t>VÄSTERBOTTENS LÄN</t>
        </is>
      </c>
      <c r="E10944" t="inlineStr">
        <is>
          <t>VINDELN</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14186-2026</t>
        </is>
      </c>
      <c r="B10945" s="1" t="n">
        <v>46099.50951388889</v>
      </c>
      <c r="C10945" s="1" t="n">
        <v>46145</v>
      </c>
      <c r="D10945" t="inlineStr">
        <is>
          <t>VÄSTERBOTTENS LÄN</t>
        </is>
      </c>
      <c r="E10945" t="inlineStr">
        <is>
          <t>VINDELN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4509-2025</t>
        </is>
      </c>
      <c r="B10946" s="1" t="n">
        <v>45686</v>
      </c>
      <c r="C10946" s="1" t="n">
        <v>46145</v>
      </c>
      <c r="D10946" t="inlineStr">
        <is>
          <t>VÄSTERBOTTENS LÄN</t>
        </is>
      </c>
      <c r="E10946" t="inlineStr">
        <is>
          <t>SKELLEFTEÅ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43945-2023</t>
        </is>
      </c>
      <c r="B10947" s="1" t="n">
        <v>45187</v>
      </c>
      <c r="C10947" s="1" t="n">
        <v>46145</v>
      </c>
      <c r="D10947" t="inlineStr">
        <is>
          <t>VÄSTERBOTTENS LÄN</t>
        </is>
      </c>
      <c r="E10947" t="inlineStr">
        <is>
          <t>VINDELN</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20423-2026</t>
        </is>
      </c>
      <c r="B10948" s="1" t="n">
        <v>46140.36487268518</v>
      </c>
      <c r="C10948" s="1" t="n">
        <v>46145</v>
      </c>
      <c r="D10948" t="inlineStr">
        <is>
          <t>VÄSTERBOTTENS LÄN</t>
        </is>
      </c>
      <c r="E10948" t="inlineStr">
        <is>
          <t>ROBERTSFORS</t>
        </is>
      </c>
      <c r="F10948" t="inlineStr">
        <is>
          <t>Holmen skog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34587-2024</t>
        </is>
      </c>
      <c r="B10949" s="1" t="n">
        <v>45526</v>
      </c>
      <c r="C10949" s="1" t="n">
        <v>46145</v>
      </c>
      <c r="D10949" t="inlineStr">
        <is>
          <t>VÄSTERBOTTENS LÄN</t>
        </is>
      </c>
      <c r="E10949" t="inlineStr">
        <is>
          <t>SKELLEFTEÅ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35221-2024</t>
        </is>
      </c>
      <c r="B10950" s="1" t="n">
        <v>45530.50326388889</v>
      </c>
      <c r="C10950" s="1" t="n">
        <v>46145</v>
      </c>
      <c r="D10950" t="inlineStr">
        <is>
          <t>VÄSTERBOTTENS LÄN</t>
        </is>
      </c>
      <c r="E10950" t="inlineStr">
        <is>
          <t>ROBERTSFORS</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35222-2024</t>
        </is>
      </c>
      <c r="B10951" s="1" t="n">
        <v>45530.50581018518</v>
      </c>
      <c r="C10951" s="1" t="n">
        <v>46145</v>
      </c>
      <c r="D10951" t="inlineStr">
        <is>
          <t>VÄSTERBOTTENS LÄN</t>
        </is>
      </c>
      <c r="E10951" t="inlineStr">
        <is>
          <t>ROBERTSFORS</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43163-2023</t>
        </is>
      </c>
      <c r="B10952" s="1" t="n">
        <v>45183</v>
      </c>
      <c r="C10952" s="1" t="n">
        <v>46145</v>
      </c>
      <c r="D10952" t="inlineStr">
        <is>
          <t>VÄSTERBOTTENS LÄN</t>
        </is>
      </c>
      <c r="E10952" t="inlineStr">
        <is>
          <t>UMEÅ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20156-2026</t>
        </is>
      </c>
      <c r="B10953" s="1" t="n">
        <v>46138</v>
      </c>
      <c r="C10953" s="1" t="n">
        <v>46145</v>
      </c>
      <c r="D10953" t="inlineStr">
        <is>
          <t>VÄSTERBOTTENS LÄN</t>
        </is>
      </c>
      <c r="E10953" t="inlineStr">
        <is>
          <t>STORUMAN</t>
        </is>
      </c>
      <c r="G10953" t="n">
        <v>43.1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10440-2023</t>
        </is>
      </c>
      <c r="B10954" s="1" t="n">
        <v>44987</v>
      </c>
      <c r="C10954" s="1" t="n">
        <v>46145</v>
      </c>
      <c r="D10954" t="inlineStr">
        <is>
          <t>VÄSTERBOTTENS LÄN</t>
        </is>
      </c>
      <c r="E10954" t="inlineStr">
        <is>
          <t>VÄNNÄS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30588-2024</t>
        </is>
      </c>
      <c r="B10955" s="1" t="n">
        <v>45492</v>
      </c>
      <c r="C10955" s="1" t="n">
        <v>46145</v>
      </c>
      <c r="D10955" t="inlineStr">
        <is>
          <t>VÄSTERBOTTENS LÄN</t>
        </is>
      </c>
      <c r="E10955" t="inlineStr">
        <is>
          <t>ÅSELE</t>
        </is>
      </c>
      <c r="F10955" t="inlineStr">
        <is>
          <t>SCA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13921-2026</t>
        </is>
      </c>
      <c r="B10956" s="1" t="n">
        <v>46098.49045138889</v>
      </c>
      <c r="C10956" s="1" t="n">
        <v>46145</v>
      </c>
      <c r="D10956" t="inlineStr">
        <is>
          <t>VÄSTERBOTTENS LÄN</t>
        </is>
      </c>
      <c r="E10956" t="inlineStr">
        <is>
          <t>LYCKSELE</t>
        </is>
      </c>
      <c r="F10956" t="inlineStr">
        <is>
          <t>SCA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42183-2023</t>
        </is>
      </c>
      <c r="B10957" s="1" t="n">
        <v>45178</v>
      </c>
      <c r="C10957" s="1" t="n">
        <v>46145</v>
      </c>
      <c r="D10957" t="inlineStr">
        <is>
          <t>VÄSTERBOTTENS LÄN</t>
        </is>
      </c>
      <c r="E10957" t="inlineStr">
        <is>
          <t>MALÅ</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34111-2025</t>
        </is>
      </c>
      <c r="B10958" s="1" t="n">
        <v>45845.50052083333</v>
      </c>
      <c r="C10958" s="1" t="n">
        <v>46145</v>
      </c>
      <c r="D10958" t="inlineStr">
        <is>
          <t>VÄSTERBOTTENS LÄN</t>
        </is>
      </c>
      <c r="E10958" t="inlineStr">
        <is>
          <t>LYCKSELE</t>
        </is>
      </c>
      <c r="F10958" t="inlineStr">
        <is>
          <t>Holmen skog AB</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13908-2026</t>
        </is>
      </c>
      <c r="B10959" s="1" t="n">
        <v>46098.47405092593</v>
      </c>
      <c r="C10959" s="1" t="n">
        <v>46145</v>
      </c>
      <c r="D10959" t="inlineStr">
        <is>
          <t>VÄSTERBOTTENS LÄN</t>
        </is>
      </c>
      <c r="E10959" t="inlineStr">
        <is>
          <t>LYCKSELE</t>
        </is>
      </c>
      <c r="G10959" t="n">
        <v>13.1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25966-2022</t>
        </is>
      </c>
      <c r="B10960" s="1" t="n">
        <v>44734</v>
      </c>
      <c r="C10960" s="1" t="n">
        <v>46145</v>
      </c>
      <c r="D10960" t="inlineStr">
        <is>
          <t>VÄSTERBOTTENS LÄN</t>
        </is>
      </c>
      <c r="E10960" t="inlineStr">
        <is>
          <t>UMEÅ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40527-2024</t>
        </is>
      </c>
      <c r="B10961" s="1" t="n">
        <v>45555.60515046296</v>
      </c>
      <c r="C10961" s="1" t="n">
        <v>46145</v>
      </c>
      <c r="D10961" t="inlineStr">
        <is>
          <t>VÄSTERBOTTENS LÄN</t>
        </is>
      </c>
      <c r="E10961" t="inlineStr">
        <is>
          <t>LYCKSELE</t>
        </is>
      </c>
      <c r="F10961" t="inlineStr">
        <is>
          <t>Sveaskog</t>
        </is>
      </c>
      <c r="G10961" t="n">
        <v>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41112-2024</t>
        </is>
      </c>
      <c r="B10962" s="1" t="n">
        <v>45559.45047453704</v>
      </c>
      <c r="C10962" s="1" t="n">
        <v>46145</v>
      </c>
      <c r="D10962" t="inlineStr">
        <is>
          <t>VÄSTERBOTTENS LÄN</t>
        </is>
      </c>
      <c r="E10962" t="inlineStr">
        <is>
          <t>SKELLEFTEÅ</t>
        </is>
      </c>
      <c r="F10962" t="inlineStr">
        <is>
          <t>Holmen skog AB</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3373-2025</t>
        </is>
      </c>
      <c r="B10963" s="1" t="n">
        <v>45680.30523148148</v>
      </c>
      <c r="C10963" s="1" t="n">
        <v>46145</v>
      </c>
      <c r="D10963" t="inlineStr">
        <is>
          <t>VÄSTERBOTTENS LÄN</t>
        </is>
      </c>
      <c r="E10963" t="inlineStr">
        <is>
          <t>SKELLEFTEÅ</t>
        </is>
      </c>
      <c r="G10963" t="n">
        <v>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20363-2026</t>
        </is>
      </c>
      <c r="B10964" s="1" t="n">
        <v>46139.67206018518</v>
      </c>
      <c r="C10964" s="1" t="n">
        <v>46145</v>
      </c>
      <c r="D10964" t="inlineStr">
        <is>
          <t>VÄSTERBOTTENS LÄN</t>
        </is>
      </c>
      <c r="E10964" t="inlineStr">
        <is>
          <t>ROBERTSFORS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20457-2026</t>
        </is>
      </c>
      <c r="B10965" s="1" t="n">
        <v>46140.43873842592</v>
      </c>
      <c r="C10965" s="1" t="n">
        <v>46145</v>
      </c>
      <c r="D10965" t="inlineStr">
        <is>
          <t>VÄSTERBOTTENS LÄN</t>
        </is>
      </c>
      <c r="E10965" t="inlineStr">
        <is>
          <t>VINDELN</t>
        </is>
      </c>
      <c r="F10965" t="inlineStr">
        <is>
          <t>Holmen skog AB</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17409-2025</t>
        </is>
      </c>
      <c r="B10966" s="1" t="n">
        <v>45757.36844907407</v>
      </c>
      <c r="C10966" s="1" t="n">
        <v>46145</v>
      </c>
      <c r="D10966" t="inlineStr">
        <is>
          <t>VÄSTERBOTTENS LÄN</t>
        </is>
      </c>
      <c r="E10966" t="inlineStr">
        <is>
          <t>VÄNNÄS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13629-2026</t>
        </is>
      </c>
      <c r="B10967" s="1" t="n">
        <v>46094</v>
      </c>
      <c r="C10967" s="1" t="n">
        <v>46145</v>
      </c>
      <c r="D10967" t="inlineStr">
        <is>
          <t>VÄSTERBOTTENS LÄN</t>
        </is>
      </c>
      <c r="E10967" t="inlineStr">
        <is>
          <t>BJURHOLM</t>
        </is>
      </c>
      <c r="G10967" t="n">
        <v>24.2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17414-2025</t>
        </is>
      </c>
      <c r="B10968" s="1" t="n">
        <v>45757</v>
      </c>
      <c r="C10968" s="1" t="n">
        <v>46145</v>
      </c>
      <c r="D10968" t="inlineStr">
        <is>
          <t>VÄSTERBOTTENS LÄN</t>
        </is>
      </c>
      <c r="E10968" t="inlineStr">
        <is>
          <t>VÄNNÄS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2579-2024</t>
        </is>
      </c>
      <c r="B10969" s="1" t="n">
        <v>45313.64712962963</v>
      </c>
      <c r="C10969" s="1" t="n">
        <v>46145</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1713-2024</t>
        </is>
      </c>
      <c r="B10970" s="1" t="n">
        <v>45307</v>
      </c>
      <c r="C10970" s="1" t="n">
        <v>46145</v>
      </c>
      <c r="D10970" t="inlineStr">
        <is>
          <t>VÄSTERBOTTENS LÄN</t>
        </is>
      </c>
      <c r="E10970" t="inlineStr">
        <is>
          <t>ROBERTSFORS</t>
        </is>
      </c>
      <c r="G10970" t="n">
        <v>12.1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20432-2025</t>
        </is>
      </c>
      <c r="B10971" s="1" t="n">
        <v>45775.47893518519</v>
      </c>
      <c r="C10971" s="1" t="n">
        <v>46145</v>
      </c>
      <c r="D10971" t="inlineStr">
        <is>
          <t>VÄSTERBOTTENS LÄN</t>
        </is>
      </c>
      <c r="E10971" t="inlineStr">
        <is>
          <t>VÄNNÄS</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14255-2026</t>
        </is>
      </c>
      <c r="B10972" s="1" t="n">
        <v>46099</v>
      </c>
      <c r="C10972" s="1" t="n">
        <v>46145</v>
      </c>
      <c r="D10972" t="inlineStr">
        <is>
          <t>VÄSTERBOTTENS LÄN</t>
        </is>
      </c>
      <c r="E10972" t="inlineStr">
        <is>
          <t>DOROTEA</t>
        </is>
      </c>
      <c r="G10972" t="n">
        <v>26.2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4680-2024</t>
        </is>
      </c>
      <c r="B10973" s="1" t="n">
        <v>45328</v>
      </c>
      <c r="C10973" s="1" t="n">
        <v>46145</v>
      </c>
      <c r="D10973" t="inlineStr">
        <is>
          <t>VÄSTERBOTTENS LÄN</t>
        </is>
      </c>
      <c r="E10973" t="inlineStr">
        <is>
          <t>VINDELN</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55130-2023</t>
        </is>
      </c>
      <c r="B10974" s="1" t="n">
        <v>45237</v>
      </c>
      <c r="C10974" s="1" t="n">
        <v>46145</v>
      </c>
      <c r="D10974" t="inlineStr">
        <is>
          <t>VÄSTERBOTTENS LÄN</t>
        </is>
      </c>
      <c r="E10974" t="inlineStr">
        <is>
          <t>NORDMALING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57798-2024</t>
        </is>
      </c>
      <c r="B10975" s="1" t="n">
        <v>45631.34457175926</v>
      </c>
      <c r="C10975" s="1" t="n">
        <v>46145</v>
      </c>
      <c r="D10975" t="inlineStr">
        <is>
          <t>VÄSTERBOTTENS LÄN</t>
        </is>
      </c>
      <c r="E10975" t="inlineStr">
        <is>
          <t>BJURHOLM</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37133-2022</t>
        </is>
      </c>
      <c r="B10976" s="1" t="n">
        <v>44806</v>
      </c>
      <c r="C10976" s="1" t="n">
        <v>46145</v>
      </c>
      <c r="D10976" t="inlineStr">
        <is>
          <t>VÄSTERBOTTENS LÄN</t>
        </is>
      </c>
      <c r="E10976" t="inlineStr">
        <is>
          <t>NORDMALING</t>
        </is>
      </c>
      <c r="G10976" t="n">
        <v>17.3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9158-2024</t>
        </is>
      </c>
      <c r="B10977" s="1" t="n">
        <v>45357</v>
      </c>
      <c r="C10977" s="1" t="n">
        <v>46145</v>
      </c>
      <c r="D10977" t="inlineStr">
        <is>
          <t>VÄSTERBOTTENS LÄN</t>
        </is>
      </c>
      <c r="E10977" t="inlineStr">
        <is>
          <t>BJURHOLM</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14249-2026</t>
        </is>
      </c>
      <c r="B10978" s="1" t="n">
        <v>46099.61464120371</v>
      </c>
      <c r="C10978" s="1" t="n">
        <v>46145</v>
      </c>
      <c r="D10978" t="inlineStr">
        <is>
          <t>VÄSTERBOTTENS LÄN</t>
        </is>
      </c>
      <c r="E10978" t="inlineStr">
        <is>
          <t>DOROTEA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2573-2026</t>
        </is>
      </c>
      <c r="B10979" s="1" t="n">
        <v>46037</v>
      </c>
      <c r="C10979" s="1" t="n">
        <v>46145</v>
      </c>
      <c r="D10979" t="inlineStr">
        <is>
          <t>VÄSTERBOTTENS LÄN</t>
        </is>
      </c>
      <c r="E10979" t="inlineStr">
        <is>
          <t>SKELLEFTEÅ</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13170-2025</t>
        </is>
      </c>
      <c r="B10980" s="1" t="n">
        <v>45735</v>
      </c>
      <c r="C10980" s="1" t="n">
        <v>46145</v>
      </c>
      <c r="D10980" t="inlineStr">
        <is>
          <t>VÄSTERBOTTENS LÄN</t>
        </is>
      </c>
      <c r="E10980" t="inlineStr">
        <is>
          <t>DOROTEA</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39260-2022</t>
        </is>
      </c>
      <c r="B10981" s="1" t="n">
        <v>44817</v>
      </c>
      <c r="C10981" s="1" t="n">
        <v>46145</v>
      </c>
      <c r="D10981" t="inlineStr">
        <is>
          <t>VÄSTERBOTTENS LÄN</t>
        </is>
      </c>
      <c r="E10981" t="inlineStr">
        <is>
          <t>STORUMAN</t>
        </is>
      </c>
      <c r="F10981" t="inlineStr">
        <is>
          <t>Sveaskog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33343-2022</t>
        </is>
      </c>
      <c r="B10982" s="1" t="n">
        <v>44788</v>
      </c>
      <c r="C10982" s="1" t="n">
        <v>46145</v>
      </c>
      <c r="D10982" t="inlineStr">
        <is>
          <t>VÄSTERBOTTENS LÄN</t>
        </is>
      </c>
      <c r="E10982" t="inlineStr">
        <is>
          <t>NORDMALING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33157-2022</t>
        </is>
      </c>
      <c r="B10983" s="1" t="n">
        <v>44785</v>
      </c>
      <c r="C10983" s="1" t="n">
        <v>46145</v>
      </c>
      <c r="D10983" t="inlineStr">
        <is>
          <t>VÄSTERBOTTENS LÄN</t>
        </is>
      </c>
      <c r="E10983" t="inlineStr">
        <is>
          <t>BJURHOLM</t>
        </is>
      </c>
      <c r="F10983" t="inlineStr">
        <is>
          <t>Holmen skog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51824-2024</t>
        </is>
      </c>
      <c r="B10984" s="1" t="n">
        <v>45607.50081018519</v>
      </c>
      <c r="C10984" s="1" t="n">
        <v>46145</v>
      </c>
      <c r="D10984" t="inlineStr">
        <is>
          <t>VÄSTERBOTTENS LÄN</t>
        </is>
      </c>
      <c r="E10984" t="inlineStr">
        <is>
          <t>NORDMALING</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20522-2026</t>
        </is>
      </c>
      <c r="B10985" s="1" t="n">
        <v>46140.55255787037</v>
      </c>
      <c r="C10985" s="1" t="n">
        <v>46145</v>
      </c>
      <c r="D10985" t="inlineStr">
        <is>
          <t>VÄSTERBOTTENS LÄN</t>
        </is>
      </c>
      <c r="E10985" t="inlineStr">
        <is>
          <t>DOROTEA</t>
        </is>
      </c>
      <c r="F10985" t="inlineStr">
        <is>
          <t>SCA</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20772-2026</t>
        </is>
      </c>
      <c r="B10986" s="1" t="n">
        <v>46141.62212962963</v>
      </c>
      <c r="C10986" s="1" t="n">
        <v>46145</v>
      </c>
      <c r="D10986" t="inlineStr">
        <is>
          <t>VÄSTERBOTTENS LÄN</t>
        </is>
      </c>
      <c r="E10986" t="inlineStr">
        <is>
          <t>LYCKSELE</t>
        </is>
      </c>
      <c r="F10986" t="inlineStr">
        <is>
          <t>Sveaskog</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13794-2026</t>
        </is>
      </c>
      <c r="B10987" s="1" t="n">
        <v>46097.8160300926</v>
      </c>
      <c r="C10987" s="1" t="n">
        <v>46145</v>
      </c>
      <c r="D10987" t="inlineStr">
        <is>
          <t>VÄSTERBOTTENS LÄN</t>
        </is>
      </c>
      <c r="E10987" t="inlineStr">
        <is>
          <t>ÅSELE</t>
        </is>
      </c>
      <c r="F10987" t="inlineStr">
        <is>
          <t>Sveaskog</t>
        </is>
      </c>
      <c r="G10987" t="n">
        <v>10.9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17329-2026</t>
        </is>
      </c>
      <c r="B10988" s="1" t="n">
        <v>46119</v>
      </c>
      <c r="C10988" s="1" t="n">
        <v>46145</v>
      </c>
      <c r="D10988" t="inlineStr">
        <is>
          <t>VÄSTERBOTTENS LÄN</t>
        </is>
      </c>
      <c r="E10988" t="inlineStr">
        <is>
          <t>LYCKSELE</t>
        </is>
      </c>
      <c r="F10988" t="inlineStr">
        <is>
          <t>SCA</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12034-2025</t>
        </is>
      </c>
      <c r="B10989" s="1" t="n">
        <v>45728.64752314815</v>
      </c>
      <c r="C10989" s="1" t="n">
        <v>46145</v>
      </c>
      <c r="D10989" t="inlineStr">
        <is>
          <t>VÄSTERBOTTENS LÄN</t>
        </is>
      </c>
      <c r="E10989" t="inlineStr">
        <is>
          <t>ROBERTSFORS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7213-2025</t>
        </is>
      </c>
      <c r="B10990" s="1" t="n">
        <v>45702.47341435185</v>
      </c>
      <c r="C10990" s="1" t="n">
        <v>46145</v>
      </c>
      <c r="D10990" t="inlineStr">
        <is>
          <t>VÄSTERBOTTENS LÄN</t>
        </is>
      </c>
      <c r="E10990" t="inlineStr">
        <is>
          <t>UMEÅ</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48992-2023</t>
        </is>
      </c>
      <c r="B10991" s="1" t="n">
        <v>45209.64944444445</v>
      </c>
      <c r="C10991" s="1" t="n">
        <v>46145</v>
      </c>
      <c r="D10991" t="inlineStr">
        <is>
          <t>VÄSTERBOTTENS LÄN</t>
        </is>
      </c>
      <c r="E10991" t="inlineStr">
        <is>
          <t>LYCKSELE</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14096-2026</t>
        </is>
      </c>
      <c r="B10992" s="1" t="n">
        <v>46099.40140046296</v>
      </c>
      <c r="C10992" s="1" t="n">
        <v>46145</v>
      </c>
      <c r="D10992" t="inlineStr">
        <is>
          <t>VÄSTERBOTTENS LÄN</t>
        </is>
      </c>
      <c r="E10992" t="inlineStr">
        <is>
          <t>ROBERTSFORS</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55978-2024</t>
        </is>
      </c>
      <c r="B10993" s="1" t="n">
        <v>45623</v>
      </c>
      <c r="C10993" s="1" t="n">
        <v>46145</v>
      </c>
      <c r="D10993" t="inlineStr">
        <is>
          <t>VÄSTERBOTTENS LÄN</t>
        </is>
      </c>
      <c r="E10993" t="inlineStr">
        <is>
          <t>VILHELMINA</t>
        </is>
      </c>
      <c r="F10993" t="inlineStr">
        <is>
          <t>SCA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7943-2024</t>
        </is>
      </c>
      <c r="B10994" s="1" t="n">
        <v>45350.53173611111</v>
      </c>
      <c r="C10994" s="1" t="n">
        <v>46145</v>
      </c>
      <c r="D10994" t="inlineStr">
        <is>
          <t>VÄSTERBOTTENS LÄN</t>
        </is>
      </c>
      <c r="E10994" t="inlineStr">
        <is>
          <t>SKELLEFTEÅ</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45972-2023</t>
        </is>
      </c>
      <c r="B10995" s="1" t="n">
        <v>45195</v>
      </c>
      <c r="C10995" s="1" t="n">
        <v>46145</v>
      </c>
      <c r="D10995" t="inlineStr">
        <is>
          <t>VÄSTERBOTTENS LÄN</t>
        </is>
      </c>
      <c r="E10995" t="inlineStr">
        <is>
          <t>VILHELMINA</t>
        </is>
      </c>
      <c r="F10995" t="inlineStr">
        <is>
          <t>SCA</t>
        </is>
      </c>
      <c r="G10995" t="n">
        <v>9.300000000000001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20723-2026</t>
        </is>
      </c>
      <c r="B10996" s="1" t="n">
        <v>46141.54636574074</v>
      </c>
      <c r="C10996" s="1" t="n">
        <v>46145</v>
      </c>
      <c r="D10996" t="inlineStr">
        <is>
          <t>VÄSTERBOTTENS LÄN</t>
        </is>
      </c>
      <c r="E10996" t="inlineStr">
        <is>
          <t>SKELLEFTEÅ</t>
        </is>
      </c>
      <c r="F10996" t="inlineStr">
        <is>
          <t>Holmen skog AB</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15856-2025</t>
        </is>
      </c>
      <c r="B10997" s="1" t="n">
        <v>45749.34060185185</v>
      </c>
      <c r="C10997" s="1" t="n">
        <v>46145</v>
      </c>
      <c r="D10997" t="inlineStr">
        <is>
          <t>VÄSTERBOTTENS LÄN</t>
        </is>
      </c>
      <c r="E10997" t="inlineStr">
        <is>
          <t>SORSELE</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20764-2026</t>
        </is>
      </c>
      <c r="B10998" s="1" t="n">
        <v>46141.60952546296</v>
      </c>
      <c r="C10998" s="1" t="n">
        <v>46145</v>
      </c>
      <c r="D10998" t="inlineStr">
        <is>
          <t>VÄSTERBOTTENS LÄN</t>
        </is>
      </c>
      <c r="E10998" t="inlineStr">
        <is>
          <t>UMEÅ</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20814-2026</t>
        </is>
      </c>
      <c r="B10999" s="1" t="n">
        <v>46141.72523148148</v>
      </c>
      <c r="C10999" s="1" t="n">
        <v>46145</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20754-2026</t>
        </is>
      </c>
      <c r="B11000" s="1" t="n">
        <v>46141</v>
      </c>
      <c r="C11000" s="1" t="n">
        <v>46145</v>
      </c>
      <c r="D11000" t="inlineStr">
        <is>
          <t>VÄSTERBOTTENS LÄN</t>
        </is>
      </c>
      <c r="E11000" t="inlineStr">
        <is>
          <t>DOROTEA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46388-2023</t>
        </is>
      </c>
      <c r="B11001" s="1" t="n">
        <v>45197.47825231482</v>
      </c>
      <c r="C11001" s="1" t="n">
        <v>46145</v>
      </c>
      <c r="D11001" t="inlineStr">
        <is>
          <t>VÄSTERBOTTENS LÄN</t>
        </is>
      </c>
      <c r="E11001" t="inlineStr">
        <is>
          <t>ROBERTSFORS</t>
        </is>
      </c>
      <c r="F11001" t="inlineStr">
        <is>
          <t>Holmen skog AB</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44959-2022</t>
        </is>
      </c>
      <c r="B11002" s="1" t="n">
        <v>44839</v>
      </c>
      <c r="C11002" s="1" t="n">
        <v>46145</v>
      </c>
      <c r="D11002" t="inlineStr">
        <is>
          <t>VÄSTERBOTTENS LÄN</t>
        </is>
      </c>
      <c r="E11002" t="inlineStr">
        <is>
          <t>SKELLEFTEÅ</t>
        </is>
      </c>
      <c r="G11002" t="n">
        <v>17.3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20417-2026</t>
        </is>
      </c>
      <c r="B11003" s="1" t="n">
        <v>46140.34675925926</v>
      </c>
      <c r="C11003" s="1" t="n">
        <v>46145</v>
      </c>
      <c r="D11003" t="inlineStr">
        <is>
          <t>VÄSTERBOTTENS LÄN</t>
        </is>
      </c>
      <c r="E11003" t="inlineStr">
        <is>
          <t>UMEÅ</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20477-2026</t>
        </is>
      </c>
      <c r="B11004" s="1" t="n">
        <v>46140.47092592593</v>
      </c>
      <c r="C11004" s="1" t="n">
        <v>46145</v>
      </c>
      <c r="D11004" t="inlineStr">
        <is>
          <t>VÄSTERBOTTENS LÄN</t>
        </is>
      </c>
      <c r="E11004" t="inlineStr">
        <is>
          <t>SKELLEFTEÅ</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20142-2025</t>
        </is>
      </c>
      <c r="B11005" s="1" t="n">
        <v>45772.52554398148</v>
      </c>
      <c r="C11005" s="1" t="n">
        <v>46145</v>
      </c>
      <c r="D11005" t="inlineStr">
        <is>
          <t>VÄSTERBOTTENS LÄN</t>
        </is>
      </c>
      <c r="E11005" t="inlineStr">
        <is>
          <t>UMEÅ</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40600-2022</t>
        </is>
      </c>
      <c r="B11006" s="1" t="n">
        <v>44823</v>
      </c>
      <c r="C11006" s="1" t="n">
        <v>46145</v>
      </c>
      <c r="D11006" t="inlineStr">
        <is>
          <t>VÄSTERBOTTENS LÄN</t>
        </is>
      </c>
      <c r="E11006" t="inlineStr">
        <is>
          <t>ROBERTSFORS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547-2025</t>
        </is>
      </c>
      <c r="B11007" s="1" t="n">
        <v>45660</v>
      </c>
      <c r="C11007" s="1" t="n">
        <v>46145</v>
      </c>
      <c r="D11007" t="inlineStr">
        <is>
          <t>VÄSTERBOTTENS LÄN</t>
        </is>
      </c>
      <c r="E11007" t="inlineStr">
        <is>
          <t>MALÅ</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9816-2023</t>
        </is>
      </c>
      <c r="B11008" s="1" t="n">
        <v>44978</v>
      </c>
      <c r="C11008" s="1" t="n">
        <v>46145</v>
      </c>
      <c r="D11008" t="inlineStr">
        <is>
          <t>VÄSTERBOTTENS LÄN</t>
        </is>
      </c>
      <c r="E11008" t="inlineStr">
        <is>
          <t>SORSELE</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642-2025</t>
        </is>
      </c>
      <c r="B11009" s="1" t="n">
        <v>45660</v>
      </c>
      <c r="C11009" s="1" t="n">
        <v>46145</v>
      </c>
      <c r="D11009" t="inlineStr">
        <is>
          <t>VÄSTERBOTTENS LÄN</t>
        </is>
      </c>
      <c r="E11009" t="inlineStr">
        <is>
          <t>SKELLEFTEÅ</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647-2025</t>
        </is>
      </c>
      <c r="B11010" s="1" t="n">
        <v>45661</v>
      </c>
      <c r="C11010" s="1" t="n">
        <v>46145</v>
      </c>
      <c r="D11010" t="inlineStr">
        <is>
          <t>VÄSTERBOTTENS LÄN</t>
        </is>
      </c>
      <c r="E11010" t="inlineStr">
        <is>
          <t>ROBERTSFORS</t>
        </is>
      </c>
      <c r="G11010" t="n">
        <v>34.3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676-2025</t>
        </is>
      </c>
      <c r="B11011" s="1" t="n">
        <v>45664</v>
      </c>
      <c r="C11011" s="1" t="n">
        <v>46145</v>
      </c>
      <c r="D11011" t="inlineStr">
        <is>
          <t>VÄSTERBOTTENS LÄN</t>
        </is>
      </c>
      <c r="E11011" t="inlineStr">
        <is>
          <t>ROBERTSFORS</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35737-2024</t>
        </is>
      </c>
      <c r="B11012" s="1" t="n">
        <v>45532</v>
      </c>
      <c r="C11012" s="1" t="n">
        <v>46145</v>
      </c>
      <c r="D11012" t="inlineStr">
        <is>
          <t>VÄSTERBOTTENS LÄN</t>
        </is>
      </c>
      <c r="E11012" t="inlineStr">
        <is>
          <t>VÄNNÄS</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35755-2024</t>
        </is>
      </c>
      <c r="B11013" s="1" t="n">
        <v>45532</v>
      </c>
      <c r="C11013" s="1" t="n">
        <v>46145</v>
      </c>
      <c r="D11013" t="inlineStr">
        <is>
          <t>VÄSTERBOTTENS LÄN</t>
        </is>
      </c>
      <c r="E11013" t="inlineStr">
        <is>
          <t>VÄNNÄS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20644-2026</t>
        </is>
      </c>
      <c r="B11014" s="1" t="n">
        <v>46141.38436342592</v>
      </c>
      <c r="C11014" s="1" t="n">
        <v>46145</v>
      </c>
      <c r="D11014" t="inlineStr">
        <is>
          <t>VÄSTERBOTTENS LÄN</t>
        </is>
      </c>
      <c r="E11014" t="inlineStr">
        <is>
          <t>ROBERTSFORS</t>
        </is>
      </c>
      <c r="F11014" t="inlineStr">
        <is>
          <t>Holmen skog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20648-2026</t>
        </is>
      </c>
      <c r="B11015" s="1" t="n">
        <v>46141.38821759259</v>
      </c>
      <c r="C11015" s="1" t="n">
        <v>46145</v>
      </c>
      <c r="D11015" t="inlineStr">
        <is>
          <t>VÄSTERBOTTENS LÄN</t>
        </is>
      </c>
      <c r="E11015" t="inlineStr">
        <is>
          <t>SKELLEFTEÅ</t>
        </is>
      </c>
      <c r="F11015" t="inlineStr">
        <is>
          <t>Holmen skog AB</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35771-2024</t>
        </is>
      </c>
      <c r="B11016" s="1" t="n">
        <v>45532</v>
      </c>
      <c r="C11016" s="1" t="n">
        <v>46145</v>
      </c>
      <c r="D11016" t="inlineStr">
        <is>
          <t>VÄSTERBOTTENS LÄN</t>
        </is>
      </c>
      <c r="E11016" t="inlineStr">
        <is>
          <t>VÄNNÄS</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33708-2024</t>
        </is>
      </c>
      <c r="B11017" s="1" t="n">
        <v>45520.526875</v>
      </c>
      <c r="C11017" s="1" t="n">
        <v>46145</v>
      </c>
      <c r="D11017" t="inlineStr">
        <is>
          <t>VÄSTERBOTTENS LÄN</t>
        </is>
      </c>
      <c r="E11017" t="inlineStr">
        <is>
          <t>LYCKSELE</t>
        </is>
      </c>
      <c r="F11017" t="inlineStr">
        <is>
          <t>Sveaskog</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33714-2024</t>
        </is>
      </c>
      <c r="B11018" s="1" t="n">
        <v>45520.53230324074</v>
      </c>
      <c r="C11018" s="1" t="n">
        <v>46145</v>
      </c>
      <c r="D11018" t="inlineStr">
        <is>
          <t>VÄSTERBOTTENS LÄN</t>
        </is>
      </c>
      <c r="E11018" t="inlineStr">
        <is>
          <t>LYCKSELE</t>
        </is>
      </c>
      <c r="F11018" t="inlineStr">
        <is>
          <t>Sveaskog</t>
        </is>
      </c>
      <c r="G11018" t="n">
        <v>10.4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43770-2025</t>
        </is>
      </c>
      <c r="B11019" s="1" t="n">
        <v>45912</v>
      </c>
      <c r="C11019" s="1" t="n">
        <v>46145</v>
      </c>
      <c r="D11019" t="inlineStr">
        <is>
          <t>VÄSTERBOTTENS LÄN</t>
        </is>
      </c>
      <c r="E11019" t="inlineStr">
        <is>
          <t>LYCKSELE</t>
        </is>
      </c>
      <c r="F11019" t="inlineStr">
        <is>
          <t>Holmen skog AB</t>
        </is>
      </c>
      <c r="G11019" t="n">
        <v>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16355-2025</t>
        </is>
      </c>
      <c r="B11020" s="1" t="n">
        <v>45751.38821759259</v>
      </c>
      <c r="C11020" s="1" t="n">
        <v>46145</v>
      </c>
      <c r="D11020" t="inlineStr">
        <is>
          <t>VÄSTERBOTTENS LÄN</t>
        </is>
      </c>
      <c r="E11020" t="inlineStr">
        <is>
          <t>SKELLEFTEÅ</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16669-2022</t>
        </is>
      </c>
      <c r="B11021" s="1" t="n">
        <v>44672.92575231481</v>
      </c>
      <c r="C11021" s="1" t="n">
        <v>46145</v>
      </c>
      <c r="D11021" t="inlineStr">
        <is>
          <t>VÄSTERBOTTENS LÄN</t>
        </is>
      </c>
      <c r="E11021" t="inlineStr">
        <is>
          <t>LYCKSELE</t>
        </is>
      </c>
      <c r="G11021" t="n">
        <v>12.8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20574-2026</t>
        </is>
      </c>
      <c r="B11022" s="1" t="n">
        <v>46140.61674768518</v>
      </c>
      <c r="C11022" s="1" t="n">
        <v>46145</v>
      </c>
      <c r="D11022" t="inlineStr">
        <is>
          <t>VÄSTERBOTTENS LÄN</t>
        </is>
      </c>
      <c r="E11022" t="inlineStr">
        <is>
          <t>SKELLEFTEÅ</t>
        </is>
      </c>
      <c r="G11022" t="n">
        <v>10.2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20577-2026</t>
        </is>
      </c>
      <c r="B11023" s="1" t="n">
        <v>46140.62949074074</v>
      </c>
      <c r="C11023" s="1" t="n">
        <v>46145</v>
      </c>
      <c r="D11023" t="inlineStr">
        <is>
          <t>VÄSTERBOTTENS LÄN</t>
        </is>
      </c>
      <c r="E11023" t="inlineStr">
        <is>
          <t>VÄNNÄS</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32279-2022</t>
        </is>
      </c>
      <c r="B11024" s="1" t="n">
        <v>44781</v>
      </c>
      <c r="C11024" s="1" t="n">
        <v>46145</v>
      </c>
      <c r="D11024" t="inlineStr">
        <is>
          <t>VÄSTERBOTTENS LÄN</t>
        </is>
      </c>
      <c r="E11024" t="inlineStr">
        <is>
          <t>SKELLEFTEÅ</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14002-2026</t>
        </is>
      </c>
      <c r="B11025" s="1" t="n">
        <v>46098.64518518518</v>
      </c>
      <c r="C11025" s="1" t="n">
        <v>46145</v>
      </c>
      <c r="D11025" t="inlineStr">
        <is>
          <t>VÄSTERBOTTENS LÄN</t>
        </is>
      </c>
      <c r="E11025" t="inlineStr">
        <is>
          <t>MALÅ</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176-2025</t>
        </is>
      </c>
      <c r="B11026" s="1" t="n">
        <v>45659</v>
      </c>
      <c r="C11026" s="1" t="n">
        <v>46145</v>
      </c>
      <c r="D11026" t="inlineStr">
        <is>
          <t>VÄSTERBOTTENS LÄN</t>
        </is>
      </c>
      <c r="E11026" t="inlineStr">
        <is>
          <t>ROBERTSFORS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1321-2025</t>
        </is>
      </c>
      <c r="B11027" s="1" t="n">
        <v>45667</v>
      </c>
      <c r="C11027" s="1" t="n">
        <v>46145</v>
      </c>
      <c r="D11027" t="inlineStr">
        <is>
          <t>VÄSTERBOTTENS LÄN</t>
        </is>
      </c>
      <c r="E11027" t="inlineStr">
        <is>
          <t>SKELLEFTEÅ</t>
        </is>
      </c>
      <c r="F11027" t="inlineStr">
        <is>
          <t>Holmen skog AB</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14181-2026</t>
        </is>
      </c>
      <c r="B11028" s="1" t="n">
        <v>46099.49782407407</v>
      </c>
      <c r="C11028" s="1" t="n">
        <v>46145</v>
      </c>
      <c r="D11028" t="inlineStr">
        <is>
          <t>VÄSTERBOTTENS LÄN</t>
        </is>
      </c>
      <c r="E11028" t="inlineStr">
        <is>
          <t>VINDELN</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50077-2023</t>
        </is>
      </c>
      <c r="B11029" s="1" t="n">
        <v>45215.57974537037</v>
      </c>
      <c r="C11029" s="1" t="n">
        <v>46145</v>
      </c>
      <c r="D11029" t="inlineStr">
        <is>
          <t>VÄSTERBOTTENS LÄN</t>
        </is>
      </c>
      <c r="E11029" t="inlineStr">
        <is>
          <t>VINDELN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1334-2025</t>
        </is>
      </c>
      <c r="B11030" s="1" t="n">
        <v>45667.5803125</v>
      </c>
      <c r="C11030" s="1" t="n">
        <v>46145</v>
      </c>
      <c r="D11030" t="inlineStr">
        <is>
          <t>VÄSTERBOTTENS LÄN</t>
        </is>
      </c>
      <c r="E11030" t="inlineStr">
        <is>
          <t>NORSJÖ</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1362-2025</t>
        </is>
      </c>
      <c r="B11031" s="1" t="n">
        <v>45667.63641203703</v>
      </c>
      <c r="C11031" s="1" t="n">
        <v>46145</v>
      </c>
      <c r="D11031" t="inlineStr">
        <is>
          <t>VÄSTERBOTTENS LÄN</t>
        </is>
      </c>
      <c r="E11031" t="inlineStr">
        <is>
          <t>SKELLEFTEÅ</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1367-2025</t>
        </is>
      </c>
      <c r="B11032" s="1" t="n">
        <v>45667.64177083333</v>
      </c>
      <c r="C11032" s="1" t="n">
        <v>46145</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14198-2026</t>
        </is>
      </c>
      <c r="B11033" s="1" t="n">
        <v>46099.54597222222</v>
      </c>
      <c r="C11033" s="1" t="n">
        <v>46145</v>
      </c>
      <c r="D11033" t="inlineStr">
        <is>
          <t>VÄSTERBOTTENS LÄN</t>
        </is>
      </c>
      <c r="E11033" t="inlineStr">
        <is>
          <t>UMEÅ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21844-2024</t>
        </is>
      </c>
      <c r="B11034" s="1" t="n">
        <v>45442</v>
      </c>
      <c r="C11034" s="1" t="n">
        <v>46145</v>
      </c>
      <c r="D11034" t="inlineStr">
        <is>
          <t>VÄSTERBOTTENS LÄN</t>
        </is>
      </c>
      <c r="E11034" t="inlineStr">
        <is>
          <t>VILHELMINA</t>
        </is>
      </c>
      <c r="F11034" t="inlineStr">
        <is>
          <t>SCA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46846-2024</t>
        </is>
      </c>
      <c r="B11035" s="1" t="n">
        <v>45583</v>
      </c>
      <c r="C11035" s="1" t="n">
        <v>46145</v>
      </c>
      <c r="D11035" t="inlineStr">
        <is>
          <t>VÄSTERBOTTENS LÄN</t>
        </is>
      </c>
      <c r="E11035" t="inlineStr">
        <is>
          <t>SKELLEFTEÅ</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57898-2021</t>
        </is>
      </c>
      <c r="B11036" s="1" t="n">
        <v>44486.67993055555</v>
      </c>
      <c r="C11036" s="1" t="n">
        <v>46145</v>
      </c>
      <c r="D11036" t="inlineStr">
        <is>
          <t>VÄSTERBOTTENS LÄN</t>
        </is>
      </c>
      <c r="E11036" t="inlineStr">
        <is>
          <t>LYCKSELE</t>
        </is>
      </c>
      <c r="G11036" t="n">
        <v>14.7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14098-2026</t>
        </is>
      </c>
      <c r="B11037" s="1" t="n">
        <v>46099.40527777778</v>
      </c>
      <c r="C11037" s="1" t="n">
        <v>46145</v>
      </c>
      <c r="D11037" t="inlineStr">
        <is>
          <t>VÄSTERBOTTENS LÄN</t>
        </is>
      </c>
      <c r="E11037" t="inlineStr">
        <is>
          <t>ROBERTSFORS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12371-2025</t>
        </is>
      </c>
      <c r="B11038" s="1" t="n">
        <v>45730</v>
      </c>
      <c r="C11038" s="1" t="n">
        <v>46145</v>
      </c>
      <c r="D11038" t="inlineStr">
        <is>
          <t>VÄSTERBOTTENS LÄN</t>
        </is>
      </c>
      <c r="E11038" t="inlineStr">
        <is>
          <t>VILHELMINA</t>
        </is>
      </c>
      <c r="F11038" t="inlineStr">
        <is>
          <t>Övriga statliga verk och myndigheter</t>
        </is>
      </c>
      <c r="G11038" t="n">
        <v>37.1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14993-2025</t>
        </is>
      </c>
      <c r="B11039" s="1" t="n">
        <v>45743</v>
      </c>
      <c r="C11039" s="1" t="n">
        <v>46145</v>
      </c>
      <c r="D11039" t="inlineStr">
        <is>
          <t>VÄSTERBOTTENS LÄN</t>
        </is>
      </c>
      <c r="E11039" t="inlineStr">
        <is>
          <t>VILHELMINA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13985-2026</t>
        </is>
      </c>
      <c r="B11040" s="1" t="n">
        <v>46098.61145833333</v>
      </c>
      <c r="C11040" s="1" t="n">
        <v>46145</v>
      </c>
      <c r="D11040" t="inlineStr">
        <is>
          <t>VÄSTERBOTTENS LÄN</t>
        </is>
      </c>
      <c r="E11040" t="inlineStr">
        <is>
          <t>UMEÅ</t>
        </is>
      </c>
      <c r="F11040" t="inlineStr">
        <is>
          <t>Holmen skog AB</t>
        </is>
      </c>
      <c r="G11040" t="n">
        <v>12.4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32408-2024</t>
        </is>
      </c>
      <c r="B11041" s="1" t="n">
        <v>45512.68542824074</v>
      </c>
      <c r="C11041" s="1" t="n">
        <v>46145</v>
      </c>
      <c r="D11041" t="inlineStr">
        <is>
          <t>VÄSTERBOTTENS LÄN</t>
        </is>
      </c>
      <c r="E11041" t="inlineStr">
        <is>
          <t>LYCKSELE</t>
        </is>
      </c>
      <c r="F11041" t="inlineStr">
        <is>
          <t>Naturvårdsverket</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433-2025</t>
        </is>
      </c>
      <c r="B11042" s="1" t="n">
        <v>45664.3709837963</v>
      </c>
      <c r="C11042" s="1" t="n">
        <v>46145</v>
      </c>
      <c r="D11042" t="inlineStr">
        <is>
          <t>VÄSTERBOTTENS LÄN</t>
        </is>
      </c>
      <c r="E11042" t="inlineStr">
        <is>
          <t>MALÅ</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20733-2026</t>
        </is>
      </c>
      <c r="B11043" s="1" t="n">
        <v>46141.56142361111</v>
      </c>
      <c r="C11043" s="1" t="n">
        <v>46145</v>
      </c>
      <c r="D11043" t="inlineStr">
        <is>
          <t>VÄSTERBOTTENS LÄN</t>
        </is>
      </c>
      <c r="E11043" t="inlineStr">
        <is>
          <t>NORDMALING</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20740-2026</t>
        </is>
      </c>
      <c r="B11044" s="1" t="n">
        <v>46141.57179398148</v>
      </c>
      <c r="C11044" s="1" t="n">
        <v>46145</v>
      </c>
      <c r="D11044" t="inlineStr">
        <is>
          <t>VÄSTERBOTTENS LÄN</t>
        </is>
      </c>
      <c r="E11044" t="inlineStr">
        <is>
          <t>SKELLEFTEÅ</t>
        </is>
      </c>
      <c r="F11044" t="inlineStr">
        <is>
          <t>Holmen skog AB</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35950-2023</t>
        </is>
      </c>
      <c r="B11045" s="1" t="n">
        <v>45148</v>
      </c>
      <c r="C11045" s="1" t="n">
        <v>46145</v>
      </c>
      <c r="D11045" t="inlineStr">
        <is>
          <t>VÄSTERBOTTENS LÄN</t>
        </is>
      </c>
      <c r="E11045" t="inlineStr">
        <is>
          <t>ÅSELE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35952-2023</t>
        </is>
      </c>
      <c r="B11046" s="1" t="n">
        <v>45148</v>
      </c>
      <c r="C11046" s="1" t="n">
        <v>46145</v>
      </c>
      <c r="D11046" t="inlineStr">
        <is>
          <t>VÄSTERBOTTENS LÄN</t>
        </is>
      </c>
      <c r="E11046" t="inlineStr">
        <is>
          <t>SKELLEFTEÅ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20597-2026</t>
        </is>
      </c>
      <c r="B11047" s="1" t="n">
        <v>46140.66391203704</v>
      </c>
      <c r="C11047" s="1" t="n">
        <v>46145</v>
      </c>
      <c r="D11047" t="inlineStr">
        <is>
          <t>VÄSTERBOTTENS LÄN</t>
        </is>
      </c>
      <c r="E11047" t="inlineStr">
        <is>
          <t>UMEÅ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20755-2026</t>
        </is>
      </c>
      <c r="B11048" s="1" t="n">
        <v>46141</v>
      </c>
      <c r="C11048" s="1" t="n">
        <v>46145</v>
      </c>
      <c r="D11048" t="inlineStr">
        <is>
          <t>VÄSTERBOTTENS LÄN</t>
        </is>
      </c>
      <c r="E11048" t="inlineStr">
        <is>
          <t>DOROTEA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23270-2021</t>
        </is>
      </c>
      <c r="B11049" s="1" t="n">
        <v>44328</v>
      </c>
      <c r="C11049" s="1" t="n">
        <v>46145</v>
      </c>
      <c r="D11049" t="inlineStr">
        <is>
          <t>VÄSTERBOTTENS LÄN</t>
        </is>
      </c>
      <c r="E11049" t="inlineStr">
        <is>
          <t>VILHELMINA</t>
        </is>
      </c>
      <c r="F11049" t="inlineStr">
        <is>
          <t>Allmännings- och besparingsskogar</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48731-2023</t>
        </is>
      </c>
      <c r="B11050" s="1" t="n">
        <v>45203</v>
      </c>
      <c r="C11050" s="1" t="n">
        <v>46145</v>
      </c>
      <c r="D11050" t="inlineStr">
        <is>
          <t>VÄSTERBOTTENS LÄN</t>
        </is>
      </c>
      <c r="E11050" t="inlineStr">
        <is>
          <t>MALÅ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20792-2026</t>
        </is>
      </c>
      <c r="B11051" s="1" t="n">
        <v>46141.65347222222</v>
      </c>
      <c r="C11051" s="1" t="n">
        <v>46145</v>
      </c>
      <c r="D11051" t="inlineStr">
        <is>
          <t>VÄSTERBOTTENS LÄN</t>
        </is>
      </c>
      <c r="E11051" t="inlineStr">
        <is>
          <t>UMEÅ</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42206-2024</t>
        </is>
      </c>
      <c r="B11052" s="1" t="n">
        <v>45562.52640046296</v>
      </c>
      <c r="C11052" s="1" t="n">
        <v>46145</v>
      </c>
      <c r="D11052" t="inlineStr">
        <is>
          <t>VÄSTERBOTTENS LÄN</t>
        </is>
      </c>
      <c r="E11052" t="inlineStr">
        <is>
          <t>ÅSELE</t>
        </is>
      </c>
      <c r="F11052" t="inlineStr">
        <is>
          <t>Holmen skog AB</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20923-2026</t>
        </is>
      </c>
      <c r="B11053" s="1" t="n">
        <v>46142.48363425926</v>
      </c>
      <c r="C11053" s="1" t="n">
        <v>46145</v>
      </c>
      <c r="D11053" t="inlineStr">
        <is>
          <t>VÄSTERBOTTENS LÄN</t>
        </is>
      </c>
      <c r="E11053" t="inlineStr">
        <is>
          <t>SKELLEFTEÅ</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42248-2024</t>
        </is>
      </c>
      <c r="B11054" s="1" t="n">
        <v>45562.57457175926</v>
      </c>
      <c r="C11054" s="1" t="n">
        <v>46145</v>
      </c>
      <c r="D11054" t="inlineStr">
        <is>
          <t>VÄSTERBOTTENS LÄN</t>
        </is>
      </c>
      <c r="E11054" t="inlineStr">
        <is>
          <t>SKELLEFTEÅ</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21010-2026</t>
        </is>
      </c>
      <c r="B11055" s="1" t="n">
        <v>46142.9119212963</v>
      </c>
      <c r="C11055" s="1" t="n">
        <v>46145</v>
      </c>
      <c r="D11055" t="inlineStr">
        <is>
          <t>VÄSTERBOTTENS LÄN</t>
        </is>
      </c>
      <c r="E11055" t="inlineStr">
        <is>
          <t>BJURHOLM</t>
        </is>
      </c>
      <c r="F11055" t="inlineStr">
        <is>
          <t>Holmen skog AB</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14636-2026</t>
        </is>
      </c>
      <c r="B11056" s="1" t="n">
        <v>46101.406875</v>
      </c>
      <c r="C11056" s="1" t="n">
        <v>46145</v>
      </c>
      <c r="D11056" t="inlineStr">
        <is>
          <t>VÄSTERBOTTENS LÄN</t>
        </is>
      </c>
      <c r="E11056" t="inlineStr">
        <is>
          <t>STORUMAN</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14254-2026</t>
        </is>
      </c>
      <c r="B11057" s="1" t="n">
        <v>46099</v>
      </c>
      <c r="C11057" s="1" t="n">
        <v>46145</v>
      </c>
      <c r="D11057" t="inlineStr">
        <is>
          <t>VÄSTERBOTTENS LÄN</t>
        </is>
      </c>
      <c r="E11057" t="inlineStr">
        <is>
          <t>SKELLEFTEÅ</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15332-2023</t>
        </is>
      </c>
      <c r="B11058" s="1" t="n">
        <v>45016</v>
      </c>
      <c r="C11058" s="1" t="n">
        <v>46145</v>
      </c>
      <c r="D11058" t="inlineStr">
        <is>
          <t>VÄSTERBOTTENS LÄN</t>
        </is>
      </c>
      <c r="E11058" t="inlineStr">
        <is>
          <t>SKELLEFTEÅ</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16231-2025</t>
        </is>
      </c>
      <c r="B11059" s="1" t="n">
        <v>45750.65398148148</v>
      </c>
      <c r="C11059" s="1" t="n">
        <v>46145</v>
      </c>
      <c r="D11059" t="inlineStr">
        <is>
          <t>VÄSTERBOTTENS LÄN</t>
        </is>
      </c>
      <c r="E11059" t="inlineStr">
        <is>
          <t>NORSJÖ</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14314-2026</t>
        </is>
      </c>
      <c r="B11060" s="1" t="n">
        <v>46099.83613425926</v>
      </c>
      <c r="C11060" s="1" t="n">
        <v>46145</v>
      </c>
      <c r="D11060" t="inlineStr">
        <is>
          <t>VÄSTERBOTTENS LÄN</t>
        </is>
      </c>
      <c r="E11060" t="inlineStr">
        <is>
          <t>UMEÅ</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54477-2023</t>
        </is>
      </c>
      <c r="B11061" s="1" t="n">
        <v>45226</v>
      </c>
      <c r="C11061" s="1" t="n">
        <v>46145</v>
      </c>
      <c r="D11061" t="inlineStr">
        <is>
          <t>VÄSTERBOTTENS LÄN</t>
        </is>
      </c>
      <c r="E11061" t="inlineStr">
        <is>
          <t>ROBERTSFORS</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20836-2026</t>
        </is>
      </c>
      <c r="B11062" s="1" t="n">
        <v>46142.28223379629</v>
      </c>
      <c r="C11062" s="1" t="n">
        <v>46145</v>
      </c>
      <c r="D11062" t="inlineStr">
        <is>
          <t>VÄSTERBOTTENS LÄN</t>
        </is>
      </c>
      <c r="E11062" t="inlineStr">
        <is>
          <t>BJURHOLM</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20841-2026</t>
        </is>
      </c>
      <c r="B11063" s="1" t="n">
        <v>46142.34439814815</v>
      </c>
      <c r="C11063" s="1" t="n">
        <v>46145</v>
      </c>
      <c r="D11063" t="inlineStr">
        <is>
          <t>VÄSTERBOTTENS LÄN</t>
        </is>
      </c>
      <c r="E11063" t="inlineStr">
        <is>
          <t>VILHELMINA</t>
        </is>
      </c>
      <c r="F11063" t="inlineStr">
        <is>
          <t>SCA</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54484-2023</t>
        </is>
      </c>
      <c r="B11064" s="1" t="n">
        <v>45233</v>
      </c>
      <c r="C11064" s="1" t="n">
        <v>46145</v>
      </c>
      <c r="D11064" t="inlineStr">
        <is>
          <t>VÄSTERBOTTENS LÄN</t>
        </is>
      </c>
      <c r="E11064" t="inlineStr">
        <is>
          <t>ROBERTSFORS</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41626-2024</t>
        </is>
      </c>
      <c r="B11065" s="1" t="n">
        <v>45560.60815972222</v>
      </c>
      <c r="C11065" s="1" t="n">
        <v>46145</v>
      </c>
      <c r="D11065" t="inlineStr">
        <is>
          <t>VÄSTERBOTTENS LÄN</t>
        </is>
      </c>
      <c r="E11065" t="inlineStr">
        <is>
          <t>VINDELN</t>
        </is>
      </c>
      <c r="F11065" t="inlineStr">
        <is>
          <t>Holmen skog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12645-2025</t>
        </is>
      </c>
      <c r="B11066" s="1" t="n">
        <v>45733.39303240741</v>
      </c>
      <c r="C11066" s="1" t="n">
        <v>46145</v>
      </c>
      <c r="D11066" t="inlineStr">
        <is>
          <t>VÄSTERBOTTENS LÄN</t>
        </is>
      </c>
      <c r="E11066" t="inlineStr">
        <is>
          <t>SKELLEFTEÅ</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39321-2024</t>
        </is>
      </c>
      <c r="B11067" s="1" t="n">
        <v>45551.41628472223</v>
      </c>
      <c r="C11067" s="1" t="n">
        <v>46145</v>
      </c>
      <c r="D11067" t="inlineStr">
        <is>
          <t>VÄSTERBOTTENS LÄN</t>
        </is>
      </c>
      <c r="E11067" t="inlineStr">
        <is>
          <t>LYCKSELE</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48654-2024</t>
        </is>
      </c>
      <c r="B11068" s="1" t="n">
        <v>45593</v>
      </c>
      <c r="C11068" s="1" t="n">
        <v>46145</v>
      </c>
      <c r="D11068" t="inlineStr">
        <is>
          <t>VÄSTERBOTTENS LÄN</t>
        </is>
      </c>
      <c r="E11068" t="inlineStr">
        <is>
          <t>STORUMAN</t>
        </is>
      </c>
      <c r="F11068" t="inlineStr">
        <is>
          <t>Allmännings- och besparingsskogar</t>
        </is>
      </c>
      <c r="G11068" t="n">
        <v>30.9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61399-2024</t>
        </is>
      </c>
      <c r="B11069" s="1" t="n">
        <v>45646.42921296296</v>
      </c>
      <c r="C11069" s="1" t="n">
        <v>46145</v>
      </c>
      <c r="D11069" t="inlineStr">
        <is>
          <t>VÄSTERBOTTENS LÄN</t>
        </is>
      </c>
      <c r="E11069" t="inlineStr">
        <is>
          <t>ROBERTSFORS</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47981-2024</t>
        </is>
      </c>
      <c r="B11070" s="1" t="n">
        <v>45589</v>
      </c>
      <c r="C11070" s="1" t="n">
        <v>46145</v>
      </c>
      <c r="D11070" t="inlineStr">
        <is>
          <t>VÄSTERBOTTENS LÄN</t>
        </is>
      </c>
      <c r="E11070" t="inlineStr">
        <is>
          <t>SORSELE</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10058-2025</t>
        </is>
      </c>
      <c r="B11071" s="1" t="n">
        <v>45719.53226851852</v>
      </c>
      <c r="C11071" s="1" t="n">
        <v>46145</v>
      </c>
      <c r="D11071" t="inlineStr">
        <is>
          <t>VÄSTERBOTTENS LÄN</t>
        </is>
      </c>
      <c r="E11071" t="inlineStr">
        <is>
          <t>ROBERTSFORS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10079-2025</t>
        </is>
      </c>
      <c r="B11072" s="1" t="n">
        <v>45719</v>
      </c>
      <c r="C11072" s="1" t="n">
        <v>46145</v>
      </c>
      <c r="D11072" t="inlineStr">
        <is>
          <t>VÄSTERBOTTENS LÄN</t>
        </is>
      </c>
      <c r="E11072" t="inlineStr">
        <is>
          <t>SKELLEFTEÅ</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49835-2023</t>
        </is>
      </c>
      <c r="B11073" s="1" t="n">
        <v>45210</v>
      </c>
      <c r="C11073" s="1" t="n">
        <v>46145</v>
      </c>
      <c r="D11073" t="inlineStr">
        <is>
          <t>VÄSTERBOTTENS LÄN</t>
        </is>
      </c>
      <c r="E11073" t="inlineStr">
        <is>
          <t>MALÅ</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50338-2023</t>
        </is>
      </c>
      <c r="B11074" s="1" t="n">
        <v>45216</v>
      </c>
      <c r="C11074" s="1" t="n">
        <v>46145</v>
      </c>
      <c r="D11074" t="inlineStr">
        <is>
          <t>VÄSTERBOTTENS LÄN</t>
        </is>
      </c>
      <c r="E11074" t="inlineStr">
        <is>
          <t>SKELLEFTEÅ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20922-2026</t>
        </is>
      </c>
      <c r="B11075" s="1" t="n">
        <v>46142.48258101852</v>
      </c>
      <c r="C11075" s="1" t="n">
        <v>46145</v>
      </c>
      <c r="D11075" t="inlineStr">
        <is>
          <t>VÄSTERBOTTENS LÄN</t>
        </is>
      </c>
      <c r="E11075" t="inlineStr">
        <is>
          <t>SKELLEFTEÅ</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27631-2022</t>
        </is>
      </c>
      <c r="B11076" s="1" t="n">
        <v>44743</v>
      </c>
      <c r="C11076" s="1" t="n">
        <v>46145</v>
      </c>
      <c r="D11076" t="inlineStr">
        <is>
          <t>VÄSTERBOTTENS LÄN</t>
        </is>
      </c>
      <c r="E11076" t="inlineStr">
        <is>
          <t>SKELLEFTEÅ</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34242-2024</t>
        </is>
      </c>
      <c r="B11077" s="1" t="n">
        <v>45524.58086805556</v>
      </c>
      <c r="C11077" s="1" t="n">
        <v>46145</v>
      </c>
      <c r="D11077" t="inlineStr">
        <is>
          <t>VÄSTERBOTTENS LÄN</t>
        </is>
      </c>
      <c r="E11077" t="inlineStr">
        <is>
          <t>SKELLEFTEÅ</t>
        </is>
      </c>
      <c r="F11077" t="inlineStr">
        <is>
          <t>Sveaskog</t>
        </is>
      </c>
      <c r="G11077" t="n">
        <v>19.8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4366-2025</t>
        </is>
      </c>
      <c r="B11078" s="1" t="n">
        <v>45686</v>
      </c>
      <c r="C11078" s="1" t="n">
        <v>46145</v>
      </c>
      <c r="D11078" t="inlineStr">
        <is>
          <t>VÄSTERBOTTENS LÄN</t>
        </is>
      </c>
      <c r="E11078" t="inlineStr">
        <is>
          <t>VINDELN</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14414-2026</t>
        </is>
      </c>
      <c r="B11079" s="1" t="n">
        <v>46100.4488425926</v>
      </c>
      <c r="C11079" s="1" t="n">
        <v>46145</v>
      </c>
      <c r="D11079" t="inlineStr">
        <is>
          <t>VÄSTERBOTTENS LÄN</t>
        </is>
      </c>
      <c r="E11079" t="inlineStr">
        <is>
          <t>UMEÅ</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55739-2023</t>
        </is>
      </c>
      <c r="B11080" s="1" t="n">
        <v>45239</v>
      </c>
      <c r="C11080" s="1" t="n">
        <v>46145</v>
      </c>
      <c r="D11080" t="inlineStr">
        <is>
          <t>VÄSTERBOTTENS LÄN</t>
        </is>
      </c>
      <c r="E11080" t="inlineStr">
        <is>
          <t>SKELLEFTEÅ</t>
        </is>
      </c>
      <c r="G11080" t="n">
        <v>8.800000000000001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55744-2023</t>
        </is>
      </c>
      <c r="B11081" s="1" t="n">
        <v>45239.4444212963</v>
      </c>
      <c r="C11081" s="1" t="n">
        <v>46145</v>
      </c>
      <c r="D11081" t="inlineStr">
        <is>
          <t>VÄSTERBOTTENS LÄN</t>
        </is>
      </c>
      <c r="E11081" t="inlineStr">
        <is>
          <t>SKELLEFTEÅ</t>
        </is>
      </c>
      <c r="G11081" t="n">
        <v>12.4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20962-2026</t>
        </is>
      </c>
      <c r="B11082" s="1" t="n">
        <v>46142.54586805555</v>
      </c>
      <c r="C11082" s="1" t="n">
        <v>46145</v>
      </c>
      <c r="D11082" t="inlineStr">
        <is>
          <t>VÄSTERBOTTENS LÄN</t>
        </is>
      </c>
      <c r="E11082" t="inlineStr">
        <is>
          <t>ÅSELE</t>
        </is>
      </c>
      <c r="F11082" t="inlineStr">
        <is>
          <t>Sveaskog</t>
        </is>
      </c>
      <c r="G11082" t="n">
        <v>15.2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20997-2026</t>
        </is>
      </c>
      <c r="B11083" s="1" t="n">
        <v>46142.62774305556</v>
      </c>
      <c r="C11083" s="1" t="n">
        <v>46145</v>
      </c>
      <c r="D11083" t="inlineStr">
        <is>
          <t>VÄSTERBOTTENS LÄN</t>
        </is>
      </c>
      <c r="E11083" t="inlineStr">
        <is>
          <t>NORSJÖ</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21015-2026</t>
        </is>
      </c>
      <c r="B11084" s="1" t="n">
        <v>46143.62471064815</v>
      </c>
      <c r="C11084" s="1" t="n">
        <v>46145</v>
      </c>
      <c r="D11084" t="inlineStr">
        <is>
          <t>VÄSTERBOTTENS LÄN</t>
        </is>
      </c>
      <c r="E11084" t="inlineStr">
        <is>
          <t>NORSJÖ</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18731-2026</t>
        </is>
      </c>
      <c r="B11085" s="1" t="n">
        <v>46128</v>
      </c>
      <c r="C11085" s="1" t="n">
        <v>46145</v>
      </c>
      <c r="D11085" t="inlineStr">
        <is>
          <t>VÄSTERBOTTENS LÄN</t>
        </is>
      </c>
      <c r="E11085" t="inlineStr">
        <is>
          <t>ÅSELE</t>
        </is>
      </c>
      <c r="F11085" t="inlineStr">
        <is>
          <t>SCA</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14603-2026</t>
        </is>
      </c>
      <c r="B11086" s="1" t="n">
        <v>46101</v>
      </c>
      <c r="C11086" s="1" t="n">
        <v>46145</v>
      </c>
      <c r="D11086" t="inlineStr">
        <is>
          <t>VÄSTERBOTTENS LÄN</t>
        </is>
      </c>
      <c r="E11086" t="inlineStr">
        <is>
          <t>NORSJÖ</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14404-2026</t>
        </is>
      </c>
      <c r="B11087" s="1" t="n">
        <v>46100.42724537037</v>
      </c>
      <c r="C11087" s="1" t="n">
        <v>46145</v>
      </c>
      <c r="D11087" t="inlineStr">
        <is>
          <t>VÄSTERBOTTENS LÄN</t>
        </is>
      </c>
      <c r="E11087" t="inlineStr">
        <is>
          <t>LYCKSELE</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7048-2023</t>
        </is>
      </c>
      <c r="B11088" s="1" t="n">
        <v>44968</v>
      </c>
      <c r="C11088" s="1" t="n">
        <v>46145</v>
      </c>
      <c r="D11088" t="inlineStr">
        <is>
          <t>VÄSTERBOTTENS LÄN</t>
        </is>
      </c>
      <c r="E11088" t="inlineStr">
        <is>
          <t>NORDMALING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26738-2024</t>
        </is>
      </c>
      <c r="B11089" s="1" t="n">
        <v>45470.44721064815</v>
      </c>
      <c r="C11089" s="1" t="n">
        <v>46145</v>
      </c>
      <c r="D11089" t="inlineStr">
        <is>
          <t>VÄSTERBOTTENS LÄN</t>
        </is>
      </c>
      <c r="E11089" t="inlineStr">
        <is>
          <t>UMEÅ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27457-2024</t>
        </is>
      </c>
      <c r="B11090" s="1" t="n">
        <v>45474.43996527778</v>
      </c>
      <c r="C11090" s="1" t="n">
        <v>46145</v>
      </c>
      <c r="D11090" t="inlineStr">
        <is>
          <t>VÄSTERBOTTENS LÄN</t>
        </is>
      </c>
      <c r="E11090" t="inlineStr">
        <is>
          <t>NORSJÖ</t>
        </is>
      </c>
      <c r="F11090" t="inlineStr">
        <is>
          <t>Holmen skog AB</t>
        </is>
      </c>
      <c r="G11090" t="n">
        <v>20.6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27530-2024</t>
        </is>
      </c>
      <c r="B11091" s="1" t="n">
        <v>45474.56820601852</v>
      </c>
      <c r="C11091" s="1" t="n">
        <v>46145</v>
      </c>
      <c r="D11091" t="inlineStr">
        <is>
          <t>VÄSTERBOTTENS LÄN</t>
        </is>
      </c>
      <c r="E11091" t="inlineStr">
        <is>
          <t>VÄNNÄS</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27627-2024</t>
        </is>
      </c>
      <c r="B11092" s="1" t="n">
        <v>45474.9281712963</v>
      </c>
      <c r="C11092" s="1" t="n">
        <v>46145</v>
      </c>
      <c r="D11092" t="inlineStr">
        <is>
          <t>VÄSTERBOTTENS LÄN</t>
        </is>
      </c>
      <c r="E11092" t="inlineStr">
        <is>
          <t>SKELLEFTEÅ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21009-2026</t>
        </is>
      </c>
      <c r="B11093" s="1" t="n">
        <v>46142.89109953704</v>
      </c>
      <c r="C11093" s="1" t="n">
        <v>46145</v>
      </c>
      <c r="D11093" t="inlineStr">
        <is>
          <t>VÄSTERBOTTENS LÄN</t>
        </is>
      </c>
      <c r="E11093" t="inlineStr">
        <is>
          <t>BJURHOLM</t>
        </is>
      </c>
      <c r="F11093" t="inlineStr">
        <is>
          <t>Holmen skog AB</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14712-2026</t>
        </is>
      </c>
      <c r="B11094" s="1" t="n">
        <v>46101.55265046296</v>
      </c>
      <c r="C11094" s="1" t="n">
        <v>46145</v>
      </c>
      <c r="D11094" t="inlineStr">
        <is>
          <t>VÄSTERBOTTENS LÄN</t>
        </is>
      </c>
      <c r="E11094" t="inlineStr">
        <is>
          <t>LYCKSELE</t>
        </is>
      </c>
      <c r="F11094" t="inlineStr">
        <is>
          <t>SCA</t>
        </is>
      </c>
      <c r="G11094" t="n">
        <v>14.7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14550-2026</t>
        </is>
      </c>
      <c r="B11095" s="1" t="n">
        <v>46100.73854166667</v>
      </c>
      <c r="C11095" s="1" t="n">
        <v>46145</v>
      </c>
      <c r="D11095" t="inlineStr">
        <is>
          <t>VÄSTERBOTTENS LÄN</t>
        </is>
      </c>
      <c r="E11095" t="inlineStr">
        <is>
          <t>UMEÅ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53875-2024</t>
        </is>
      </c>
      <c r="B11096" s="1" t="n">
        <v>45615</v>
      </c>
      <c r="C11096" s="1" t="n">
        <v>46145</v>
      </c>
      <c r="D11096" t="inlineStr">
        <is>
          <t>VÄSTERBOTTENS LÄN</t>
        </is>
      </c>
      <c r="E11096" t="inlineStr">
        <is>
          <t>LYCKSELE</t>
        </is>
      </c>
      <c r="F11096" t="inlineStr">
        <is>
          <t>SCA</t>
        </is>
      </c>
      <c r="G11096" t="n">
        <v>8.699999999999999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14769-2026</t>
        </is>
      </c>
      <c r="B11097" s="1" t="n">
        <v>46101.6377662037</v>
      </c>
      <c r="C11097" s="1" t="n">
        <v>46145</v>
      </c>
      <c r="D11097" t="inlineStr">
        <is>
          <t>VÄSTERBOTTENS LÄN</t>
        </is>
      </c>
      <c r="E11097" t="inlineStr">
        <is>
          <t>SKELLEFTEÅ</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14421-2026</t>
        </is>
      </c>
      <c r="B11098" s="1" t="n">
        <v>46100.46027777778</v>
      </c>
      <c r="C11098" s="1" t="n">
        <v>46145</v>
      </c>
      <c r="D11098" t="inlineStr">
        <is>
          <t>VÄSTERBOTTENS LÄN</t>
        </is>
      </c>
      <c r="E11098" t="inlineStr">
        <is>
          <t>UMEÅ</t>
        </is>
      </c>
      <c r="G11098" t="n">
        <v>14.9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71412-2021</t>
        </is>
      </c>
      <c r="B11099" s="1" t="n">
        <v>44540.39224537037</v>
      </c>
      <c r="C11099" s="1" t="n">
        <v>46145</v>
      </c>
      <c r="D11099" t="inlineStr">
        <is>
          <t>VÄSTERBOTTENS LÄN</t>
        </is>
      </c>
      <c r="E11099" t="inlineStr">
        <is>
          <t>LYCKSELE</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9086-2023</t>
        </is>
      </c>
      <c r="B11100" s="1" t="n">
        <v>44979</v>
      </c>
      <c r="C11100" s="1" t="n">
        <v>46145</v>
      </c>
      <c r="D11100" t="inlineStr">
        <is>
          <t>VÄSTERBOTTENS LÄN</t>
        </is>
      </c>
      <c r="E11100" t="inlineStr">
        <is>
          <t>VÄNNÄS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14753-2026</t>
        </is>
      </c>
      <c r="B11101" s="1" t="n">
        <v>46101.62274305556</v>
      </c>
      <c r="C11101" s="1" t="n">
        <v>46145</v>
      </c>
      <c r="D11101" t="inlineStr">
        <is>
          <t>VÄSTERBOTTENS LÄN</t>
        </is>
      </c>
      <c r="E11101" t="inlineStr">
        <is>
          <t>VINDELN</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55907-2023</t>
        </is>
      </c>
      <c r="B11102" s="1" t="n">
        <v>45239</v>
      </c>
      <c r="C11102" s="1" t="n">
        <v>46145</v>
      </c>
      <c r="D11102" t="inlineStr">
        <is>
          <t>VÄSTERBOTTENS LÄN</t>
        </is>
      </c>
      <c r="E11102" t="inlineStr">
        <is>
          <t>SKELLEFTEÅ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52462-2021</t>
        </is>
      </c>
      <c r="B11103" s="1" t="n">
        <v>44463</v>
      </c>
      <c r="C11103" s="1" t="n">
        <v>46145</v>
      </c>
      <c r="D11103" t="inlineStr">
        <is>
          <t>VÄSTERBOTTENS LÄN</t>
        </is>
      </c>
      <c r="E11103" t="inlineStr">
        <is>
          <t>SKELLEFTEÅ</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14621-2026</t>
        </is>
      </c>
      <c r="B11104" s="1" t="n">
        <v>46101.38614583333</v>
      </c>
      <c r="C11104" s="1" t="n">
        <v>46145</v>
      </c>
      <c r="D11104" t="inlineStr">
        <is>
          <t>VÄSTERBOTTENS LÄN</t>
        </is>
      </c>
      <c r="E11104" t="inlineStr">
        <is>
          <t>VINDELN</t>
        </is>
      </c>
      <c r="G11104" t="n">
        <v>10.4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36115-2024</t>
        </is>
      </c>
      <c r="B11105" s="1" t="n">
        <v>45534.30681712963</v>
      </c>
      <c r="C11105" s="1" t="n">
        <v>46145</v>
      </c>
      <c r="D11105" t="inlineStr">
        <is>
          <t>VÄSTERBOTTENS LÄN</t>
        </is>
      </c>
      <c r="E11105" t="inlineStr">
        <is>
          <t>ÅSELE</t>
        </is>
      </c>
      <c r="F11105" t="inlineStr">
        <is>
          <t>Sveaskog</t>
        </is>
      </c>
      <c r="G11105" t="n">
        <v>6.4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22511-2023</t>
        </is>
      </c>
      <c r="B11106" s="1" t="n">
        <v>45069</v>
      </c>
      <c r="C11106" s="1" t="n">
        <v>46145</v>
      </c>
      <c r="D11106" t="inlineStr">
        <is>
          <t>VÄSTERBOTTENS LÄN</t>
        </is>
      </c>
      <c r="E11106" t="inlineStr">
        <is>
          <t>VINDELN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24819-2023</t>
        </is>
      </c>
      <c r="B11107" s="1" t="n">
        <v>45084</v>
      </c>
      <c r="C11107" s="1" t="n">
        <v>46145</v>
      </c>
      <c r="D11107" t="inlineStr">
        <is>
          <t>VÄSTERBOTTENS LÄN</t>
        </is>
      </c>
      <c r="E11107" t="inlineStr">
        <is>
          <t>NORSJÖ</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10331-2023</t>
        </is>
      </c>
      <c r="B11108" s="1" t="n">
        <v>44980</v>
      </c>
      <c r="C11108" s="1" t="n">
        <v>46145</v>
      </c>
      <c r="D11108" t="inlineStr">
        <is>
          <t>VÄSTERBOTTENS LÄN</t>
        </is>
      </c>
      <c r="E11108" t="inlineStr">
        <is>
          <t>LYCKSELE</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24850-2023</t>
        </is>
      </c>
      <c r="B11109" s="1" t="n">
        <v>45078</v>
      </c>
      <c r="C11109" s="1" t="n">
        <v>46145</v>
      </c>
      <c r="D11109" t="inlineStr">
        <is>
          <t>VÄSTERBOTTENS LÄN</t>
        </is>
      </c>
      <c r="E11109" t="inlineStr">
        <is>
          <t>NORDMALING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14312-2026</t>
        </is>
      </c>
      <c r="B11110" s="1" t="n">
        <v>46099.82939814815</v>
      </c>
      <c r="C11110" s="1" t="n">
        <v>46145</v>
      </c>
      <c r="D11110" t="inlineStr">
        <is>
          <t>VÄSTERBOTTENS LÄN</t>
        </is>
      </c>
      <c r="E11110" t="inlineStr">
        <is>
          <t>UMEÅ</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56974-2024</t>
        </is>
      </c>
      <c r="B11111" s="1" t="n">
        <v>45628.67204861111</v>
      </c>
      <c r="C11111" s="1" t="n">
        <v>46145</v>
      </c>
      <c r="D11111" t="inlineStr">
        <is>
          <t>VÄSTERBOTTENS LÄN</t>
        </is>
      </c>
      <c r="E11111" t="inlineStr">
        <is>
          <t>SKELLEFTEÅ</t>
        </is>
      </c>
      <c r="F11111" t="inlineStr">
        <is>
          <t>Holmen skog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55988-2023</t>
        </is>
      </c>
      <c r="B11112" s="1" t="n">
        <v>45240</v>
      </c>
      <c r="C11112" s="1" t="n">
        <v>46145</v>
      </c>
      <c r="D11112" t="inlineStr">
        <is>
          <t>VÄSTERBOTTENS LÄN</t>
        </is>
      </c>
      <c r="E11112" t="inlineStr">
        <is>
          <t>VINDELN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14458-2026</t>
        </is>
      </c>
      <c r="B11113" s="1" t="n">
        <v>46100.53188657408</v>
      </c>
      <c r="C11113" s="1" t="n">
        <v>46145</v>
      </c>
      <c r="D11113" t="inlineStr">
        <is>
          <t>VÄSTERBOTTENS LÄN</t>
        </is>
      </c>
      <c r="E11113" t="inlineStr">
        <is>
          <t>ÅSELE</t>
        </is>
      </c>
      <c r="F11113" t="inlineStr">
        <is>
          <t>SCA</t>
        </is>
      </c>
      <c r="G11113" t="n">
        <v>11.7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47317-2024</t>
        </is>
      </c>
      <c r="B11114" s="1" t="n">
        <v>45587.37518518518</v>
      </c>
      <c r="C11114" s="1" t="n">
        <v>46145</v>
      </c>
      <c r="D11114" t="inlineStr">
        <is>
          <t>VÄSTERBOTTENS LÄN</t>
        </is>
      </c>
      <c r="E11114" t="inlineStr">
        <is>
          <t>NORSJÖ</t>
        </is>
      </c>
      <c r="F11114" t="inlineStr">
        <is>
          <t>Sveaskog</t>
        </is>
      </c>
      <c r="G11114" t="n">
        <v>13.4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11349-2025</t>
        </is>
      </c>
      <c r="B11115" s="1" t="n">
        <v>45726.51075231482</v>
      </c>
      <c r="C11115" s="1" t="n">
        <v>46145</v>
      </c>
      <c r="D11115" t="inlineStr">
        <is>
          <t>VÄSTERBOTTENS LÄN</t>
        </is>
      </c>
      <c r="E11115" t="inlineStr">
        <is>
          <t>DOROTEA</t>
        </is>
      </c>
      <c r="F11115" t="inlineStr">
        <is>
          <t>SCA</t>
        </is>
      </c>
      <c r="G11115" t="n">
        <v>12.4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54931-2023</t>
        </is>
      </c>
      <c r="B11116" s="1" t="n">
        <v>45229</v>
      </c>
      <c r="C11116" s="1" t="n">
        <v>46145</v>
      </c>
      <c r="D11116" t="inlineStr">
        <is>
          <t>VÄSTERBOTTENS LÄN</t>
        </is>
      </c>
      <c r="E11116" t="inlineStr">
        <is>
          <t>VILHELMINA</t>
        </is>
      </c>
      <c r="G11116" t="n">
        <v>14.5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38219-2024</t>
        </is>
      </c>
      <c r="B11117" s="1" t="n">
        <v>45545.53160879629</v>
      </c>
      <c r="C11117" s="1" t="n">
        <v>46145</v>
      </c>
      <c r="D11117" t="inlineStr">
        <is>
          <t>VÄSTERBOTTENS LÄN</t>
        </is>
      </c>
      <c r="E11117" t="inlineStr">
        <is>
          <t>SORSELE</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959-2025</t>
        </is>
      </c>
      <c r="B11118" s="1" t="n">
        <v>45666</v>
      </c>
      <c r="C11118" s="1" t="n">
        <v>46145</v>
      </c>
      <c r="D11118" t="inlineStr">
        <is>
          <t>VÄSTERBOTTENS LÄN</t>
        </is>
      </c>
      <c r="E11118" t="inlineStr">
        <is>
          <t>VINDELN</t>
        </is>
      </c>
      <c r="F11118" t="inlineStr">
        <is>
          <t>Sveaskog</t>
        </is>
      </c>
      <c r="G11118" t="n">
        <v>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48832-2024</t>
        </is>
      </c>
      <c r="B11119" s="1" t="n">
        <v>45593.719375</v>
      </c>
      <c r="C11119" s="1" t="n">
        <v>46145</v>
      </c>
      <c r="D11119" t="inlineStr">
        <is>
          <t>VÄSTERBOTTENS LÄN</t>
        </is>
      </c>
      <c r="E11119" t="inlineStr">
        <is>
          <t>LYCKSELE</t>
        </is>
      </c>
      <c r="F11119" t="inlineStr">
        <is>
          <t>SCA</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29776-2023</t>
        </is>
      </c>
      <c r="B11120" s="1" t="n">
        <v>45107</v>
      </c>
      <c r="C11120" s="1" t="n">
        <v>46145</v>
      </c>
      <c r="D11120" t="inlineStr">
        <is>
          <t>VÄSTERBOTTENS LÄN</t>
        </is>
      </c>
      <c r="E11120" t="inlineStr">
        <is>
          <t>NORSJÖ</t>
        </is>
      </c>
      <c r="F11120" t="inlineStr">
        <is>
          <t>Sveaskog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46841-2024</t>
        </is>
      </c>
      <c r="B11121" s="1" t="n">
        <v>45583</v>
      </c>
      <c r="C11121" s="1" t="n">
        <v>46145</v>
      </c>
      <c r="D11121" t="inlineStr">
        <is>
          <t>VÄSTERBOTTENS LÄN</t>
        </is>
      </c>
      <c r="E11121" t="inlineStr">
        <is>
          <t>SKELLEFTEÅ</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27508-2023</t>
        </is>
      </c>
      <c r="B11122" s="1" t="n">
        <v>45097</v>
      </c>
      <c r="C11122" s="1" t="n">
        <v>46145</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13601-2025</t>
        </is>
      </c>
      <c r="B11123" s="1" t="n">
        <v>45736</v>
      </c>
      <c r="C11123" s="1" t="n">
        <v>46145</v>
      </c>
      <c r="D11123" t="inlineStr">
        <is>
          <t>VÄSTERBOTTENS LÄN</t>
        </is>
      </c>
      <c r="E11123" t="inlineStr">
        <is>
          <t>BJURHOLM</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49230-2024</t>
        </is>
      </c>
      <c r="B11124" s="1" t="n">
        <v>45595</v>
      </c>
      <c r="C11124" s="1" t="n">
        <v>46145</v>
      </c>
      <c r="D11124" t="inlineStr">
        <is>
          <t>VÄSTERBOTTENS LÄN</t>
        </is>
      </c>
      <c r="E11124" t="inlineStr">
        <is>
          <t>LYCKSELE</t>
        </is>
      </c>
      <c r="F11124" t="inlineStr">
        <is>
          <t>SCA</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55507-2024</t>
        </is>
      </c>
      <c r="B11125" s="1" t="n">
        <v>45622.46129629629</v>
      </c>
      <c r="C11125" s="1" t="n">
        <v>46145</v>
      </c>
      <c r="D11125" t="inlineStr">
        <is>
          <t>VÄSTERBOTTENS LÄN</t>
        </is>
      </c>
      <c r="E11125" t="inlineStr">
        <is>
          <t>MALÅ</t>
        </is>
      </c>
      <c r="F11125" t="inlineStr">
        <is>
          <t>Sveaskog</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14755-2026</t>
        </is>
      </c>
      <c r="B11126" s="1" t="n">
        <v>46101.62329861111</v>
      </c>
      <c r="C11126" s="1" t="n">
        <v>46145</v>
      </c>
      <c r="D11126" t="inlineStr">
        <is>
          <t>VÄSTERBOTTENS LÄN</t>
        </is>
      </c>
      <c r="E11126" t="inlineStr">
        <is>
          <t>VINDELN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4629-2022</t>
        </is>
      </c>
      <c r="B11127" s="1" t="n">
        <v>44592.40050925926</v>
      </c>
      <c r="C11127" s="1" t="n">
        <v>46145</v>
      </c>
      <c r="D11127" t="inlineStr">
        <is>
          <t>VÄSTERBOTTENS LÄN</t>
        </is>
      </c>
      <c r="E11127" t="inlineStr">
        <is>
          <t>UMEÅ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42976-2024</t>
        </is>
      </c>
      <c r="B11128" s="1" t="n">
        <v>45567.37387731481</v>
      </c>
      <c r="C11128" s="1" t="n">
        <v>46145</v>
      </c>
      <c r="D11128" t="inlineStr">
        <is>
          <t>VÄSTERBOTTENS LÄN</t>
        </is>
      </c>
      <c r="E11128" t="inlineStr">
        <is>
          <t>VILHELMINA</t>
        </is>
      </c>
      <c r="F11128" t="inlineStr">
        <is>
          <t>SCA</t>
        </is>
      </c>
      <c r="G11128" t="n">
        <v>20.6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21238-2023</t>
        </is>
      </c>
      <c r="B11129" s="1" t="n">
        <v>45058</v>
      </c>
      <c r="C11129" s="1" t="n">
        <v>46145</v>
      </c>
      <c r="D11129" t="inlineStr">
        <is>
          <t>VÄSTERBOTTENS LÄN</t>
        </is>
      </c>
      <c r="E11129" t="inlineStr">
        <is>
          <t>SKELLEFTEÅ</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20822-2026</t>
        </is>
      </c>
      <c r="B11130" s="1" t="n">
        <v>46141.87923611111</v>
      </c>
      <c r="C11130" s="1" t="n">
        <v>46145</v>
      </c>
      <c r="D11130" t="inlineStr">
        <is>
          <t>VÄSTERBOTTENS LÄN</t>
        </is>
      </c>
      <c r="E11130" t="inlineStr">
        <is>
          <t>UMEÅ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42689-2024</t>
        </is>
      </c>
      <c r="B11131" s="1" t="n">
        <v>45566.40032407407</v>
      </c>
      <c r="C11131" s="1" t="n">
        <v>46145</v>
      </c>
      <c r="D11131" t="inlineStr">
        <is>
          <t>VÄSTERBOTTENS LÄN</t>
        </is>
      </c>
      <c r="E11131" t="inlineStr">
        <is>
          <t>ÅSELE</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18819-2023</t>
        </is>
      </c>
      <c r="B11132" s="1" t="n">
        <v>45044</v>
      </c>
      <c r="C11132" s="1" t="n">
        <v>46145</v>
      </c>
      <c r="D11132" t="inlineStr">
        <is>
          <t>VÄSTERBOTTENS LÄN</t>
        </is>
      </c>
      <c r="E11132" t="inlineStr">
        <is>
          <t>SKELLEFTEÅ</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58526-2023</t>
        </is>
      </c>
      <c r="B11133" s="1" t="n">
        <v>45251.38590277778</v>
      </c>
      <c r="C11133" s="1" t="n">
        <v>46145</v>
      </c>
      <c r="D11133" t="inlineStr">
        <is>
          <t>VÄSTERBOTTENS LÄN</t>
        </is>
      </c>
      <c r="E11133" t="inlineStr">
        <is>
          <t>ROBERTSFORS</t>
        </is>
      </c>
      <c r="F11133" t="inlineStr">
        <is>
          <t>Holmen skog AB</t>
        </is>
      </c>
      <c r="G11133" t="n">
        <v>13.9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14675-2026</t>
        </is>
      </c>
      <c r="B11134" s="1" t="n">
        <v>46101.46931712963</v>
      </c>
      <c r="C11134" s="1" t="n">
        <v>46145</v>
      </c>
      <c r="D11134" t="inlineStr">
        <is>
          <t>VÄSTERBOTTENS LÄN</t>
        </is>
      </c>
      <c r="E11134" t="inlineStr">
        <is>
          <t>LYCKSELE</t>
        </is>
      </c>
      <c r="F11134" t="inlineStr">
        <is>
          <t>SCA</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14702-2026</t>
        </is>
      </c>
      <c r="B11135" s="1" t="n">
        <v>46101.54048611111</v>
      </c>
      <c r="C11135" s="1" t="n">
        <v>46145</v>
      </c>
      <c r="D11135" t="inlineStr">
        <is>
          <t>VÄSTERBOTTENS LÄN</t>
        </is>
      </c>
      <c r="E11135" t="inlineStr">
        <is>
          <t>UMEÅ</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14725-2026</t>
        </is>
      </c>
      <c r="B11136" s="1" t="n">
        <v>46101.5733912037</v>
      </c>
      <c r="C11136" s="1" t="n">
        <v>46145</v>
      </c>
      <c r="D11136" t="inlineStr">
        <is>
          <t>VÄSTERBOTTENS LÄN</t>
        </is>
      </c>
      <c r="E11136" t="inlineStr">
        <is>
          <t>LYCKSELE</t>
        </is>
      </c>
      <c r="F11136" t="inlineStr">
        <is>
          <t>SCA</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18907-2023</t>
        </is>
      </c>
      <c r="B11137" s="1" t="n">
        <v>45043</v>
      </c>
      <c r="C11137" s="1" t="n">
        <v>46145</v>
      </c>
      <c r="D11137" t="inlineStr">
        <is>
          <t>VÄSTERBOTTENS LÄN</t>
        </is>
      </c>
      <c r="E11137" t="inlineStr">
        <is>
          <t>UMEÅ</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14763-2026</t>
        </is>
      </c>
      <c r="B11138" s="1" t="n">
        <v>46101.62888888889</v>
      </c>
      <c r="C11138" s="1" t="n">
        <v>46145</v>
      </c>
      <c r="D11138" t="inlineStr">
        <is>
          <t>VÄSTERBOTTENS LÄN</t>
        </is>
      </c>
      <c r="E11138" t="inlineStr">
        <is>
          <t>VINDELN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20985-2026</t>
        </is>
      </c>
      <c r="B11139" s="1" t="n">
        <v>46142.59431712963</v>
      </c>
      <c r="C11139" s="1" t="n">
        <v>46145</v>
      </c>
      <c r="D11139" t="inlineStr">
        <is>
          <t>VÄSTERBOTTENS LÄN</t>
        </is>
      </c>
      <c r="E11139" t="inlineStr">
        <is>
          <t>ÅSELE</t>
        </is>
      </c>
      <c r="F11139" t="inlineStr">
        <is>
          <t>SCA</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30395-2024</t>
        </is>
      </c>
      <c r="B11140" s="1" t="n">
        <v>45491</v>
      </c>
      <c r="C11140" s="1" t="n">
        <v>46145</v>
      </c>
      <c r="D11140" t="inlineStr">
        <is>
          <t>VÄSTERBOTTENS LÄN</t>
        </is>
      </c>
      <c r="E11140" t="inlineStr">
        <is>
          <t>SKELLEFTEÅ</t>
        </is>
      </c>
      <c r="F11140" t="inlineStr">
        <is>
          <t>Holmen skog AB</t>
        </is>
      </c>
      <c r="G11140" t="n">
        <v>15.8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14723-2026</t>
        </is>
      </c>
      <c r="B11141" s="1" t="n">
        <v>46101</v>
      </c>
      <c r="C11141" s="1" t="n">
        <v>46145</v>
      </c>
      <c r="D11141" t="inlineStr">
        <is>
          <t>VÄSTERBOTTENS LÄN</t>
        </is>
      </c>
      <c r="E11141" t="inlineStr">
        <is>
          <t>STORUMAN</t>
        </is>
      </c>
      <c r="G11141" t="n">
        <v>10.6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44366-2024</t>
        </is>
      </c>
      <c r="B11142" s="1" t="n">
        <v>45573.64682870371</v>
      </c>
      <c r="C11142" s="1" t="n">
        <v>46145</v>
      </c>
      <c r="D11142" t="inlineStr">
        <is>
          <t>VÄSTERBOTTENS LÄN</t>
        </is>
      </c>
      <c r="E11142" t="inlineStr">
        <is>
          <t>NORSJÖ</t>
        </is>
      </c>
      <c r="F11142" t="inlineStr">
        <is>
          <t>Holmen skog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57849-2022</t>
        </is>
      </c>
      <c r="B11143" s="1" t="n">
        <v>44898.00163194445</v>
      </c>
      <c r="C11143" s="1" t="n">
        <v>46145</v>
      </c>
      <c r="D11143" t="inlineStr">
        <is>
          <t>VÄSTERBOTTENS LÄN</t>
        </is>
      </c>
      <c r="E11143" t="inlineStr">
        <is>
          <t>SKELLEFTEÅ</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20955-2026</t>
        </is>
      </c>
      <c r="B11144" s="1" t="n">
        <v>46142.53533564815</v>
      </c>
      <c r="C11144" s="1" t="n">
        <v>46145</v>
      </c>
      <c r="D11144" t="inlineStr">
        <is>
          <t>VÄSTERBOTTENS LÄN</t>
        </is>
      </c>
      <c r="E11144" t="inlineStr">
        <is>
          <t>ÅSELE</t>
        </is>
      </c>
      <c r="F11144" t="inlineStr">
        <is>
          <t>Sveaskog</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16536-2026</t>
        </is>
      </c>
      <c r="B11145" s="1" t="n">
        <v>46112</v>
      </c>
      <c r="C11145" s="1" t="n">
        <v>46145</v>
      </c>
      <c r="D11145" t="inlineStr">
        <is>
          <t>VÄSTERBOTTENS LÄN</t>
        </is>
      </c>
      <c r="E11145" t="inlineStr">
        <is>
          <t>ÅSELE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20998-2026</t>
        </is>
      </c>
      <c r="B11146" s="1" t="n">
        <v>46142.63078703704</v>
      </c>
      <c r="C11146" s="1" t="n">
        <v>46145</v>
      </c>
      <c r="D11146" t="inlineStr">
        <is>
          <t>VÄSTERBOTTENS LÄN</t>
        </is>
      </c>
      <c r="E11146" t="inlineStr">
        <is>
          <t>NORSJÖ</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14452-2026</t>
        </is>
      </c>
      <c r="B11147" s="1" t="n">
        <v>46100.51408564814</v>
      </c>
      <c r="C11147" s="1" t="n">
        <v>46145</v>
      </c>
      <c r="D11147" t="inlineStr">
        <is>
          <t>VÄSTERBOTTENS LÄN</t>
        </is>
      </c>
      <c r="E11147" t="inlineStr">
        <is>
          <t>VINDELN</t>
        </is>
      </c>
      <c r="F11147" t="inlineStr">
        <is>
          <t>Holmen skog AB</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41408-2024</t>
        </is>
      </c>
      <c r="B11148" s="1" t="n">
        <v>45560.34202546296</v>
      </c>
      <c r="C11148" s="1" t="n">
        <v>46145</v>
      </c>
      <c r="D11148" t="inlineStr">
        <is>
          <t>VÄSTERBOTTENS LÄN</t>
        </is>
      </c>
      <c r="E11148" t="inlineStr">
        <is>
          <t>ÅSELE</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14463-2026</t>
        </is>
      </c>
      <c r="B11149" s="1" t="n">
        <v>46100.55190972222</v>
      </c>
      <c r="C11149" s="1" t="n">
        <v>46145</v>
      </c>
      <c r="D11149" t="inlineStr">
        <is>
          <t>VÄSTERBOTTENS LÄN</t>
        </is>
      </c>
      <c r="E11149" t="inlineStr">
        <is>
          <t>VINDELN</t>
        </is>
      </c>
      <c r="F11149" t="inlineStr">
        <is>
          <t>Holmen skog AB</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41064-2024</t>
        </is>
      </c>
      <c r="B11150" s="1" t="n">
        <v>45559.38644675926</v>
      </c>
      <c r="C11150" s="1" t="n">
        <v>46145</v>
      </c>
      <c r="D11150" t="inlineStr">
        <is>
          <t>VÄSTERBOTTENS LÄN</t>
        </is>
      </c>
      <c r="E11150" t="inlineStr">
        <is>
          <t>SKELLEFTEÅ</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7440-2025</t>
        </is>
      </c>
      <c r="B11151" s="1" t="n">
        <v>45705</v>
      </c>
      <c r="C11151" s="1" t="n">
        <v>46145</v>
      </c>
      <c r="D11151" t="inlineStr">
        <is>
          <t>VÄSTERBOTTENS LÄN</t>
        </is>
      </c>
      <c r="E11151" t="inlineStr">
        <is>
          <t>BJURHOLM</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7446-2025</t>
        </is>
      </c>
      <c r="B11152" s="1" t="n">
        <v>45705</v>
      </c>
      <c r="C11152" s="1" t="n">
        <v>46145</v>
      </c>
      <c r="D11152" t="inlineStr">
        <is>
          <t>VÄSTERBOTTENS LÄN</t>
        </is>
      </c>
      <c r="E11152" t="inlineStr">
        <is>
          <t>STORUMAN</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7498-2025</t>
        </is>
      </c>
      <c r="B11153" s="1" t="n">
        <v>45705</v>
      </c>
      <c r="C11153" s="1" t="n">
        <v>46145</v>
      </c>
      <c r="D11153" t="inlineStr">
        <is>
          <t>VÄSTERBOTTENS LÄN</t>
        </is>
      </c>
      <c r="E11153" t="inlineStr">
        <is>
          <t>ÅSELE</t>
        </is>
      </c>
      <c r="F11153" t="inlineStr">
        <is>
          <t>Holmen skog AB</t>
        </is>
      </c>
      <c r="G11153" t="n">
        <v>10.1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7499-2025</t>
        </is>
      </c>
      <c r="B11154" s="1" t="n">
        <v>45705.49078703704</v>
      </c>
      <c r="C11154" s="1" t="n">
        <v>46145</v>
      </c>
      <c r="D11154" t="inlineStr">
        <is>
          <t>VÄSTERBOTTENS LÄN</t>
        </is>
      </c>
      <c r="E11154" t="inlineStr">
        <is>
          <t>LYCKSELE</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14341-2023</t>
        </is>
      </c>
      <c r="B11155" s="1" t="n">
        <v>45009</v>
      </c>
      <c r="C11155" s="1" t="n">
        <v>46145</v>
      </c>
      <c r="D11155" t="inlineStr">
        <is>
          <t>VÄSTERBOTTENS LÄN</t>
        </is>
      </c>
      <c r="E11155" t="inlineStr">
        <is>
          <t>SKELLEFTEÅ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16132-2025</t>
        </is>
      </c>
      <c r="B11156" s="1" t="n">
        <v>45750.43831018519</v>
      </c>
      <c r="C11156" s="1" t="n">
        <v>46145</v>
      </c>
      <c r="D11156" t="inlineStr">
        <is>
          <t>VÄSTERBOTTENS LÄN</t>
        </is>
      </c>
      <c r="E11156" t="inlineStr">
        <is>
          <t>VINDELN</t>
        </is>
      </c>
      <c r="F11156" t="inlineStr">
        <is>
          <t>Holmen skog AB</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14752-2026</t>
        </is>
      </c>
      <c r="B11157" s="1" t="n">
        <v>46101.62258101852</v>
      </c>
      <c r="C11157" s="1" t="n">
        <v>46145</v>
      </c>
      <c r="D11157" t="inlineStr">
        <is>
          <t>VÄSTERBOTTENS LÄN</t>
        </is>
      </c>
      <c r="E11157" t="inlineStr">
        <is>
          <t>VINDELN</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16208-2025</t>
        </is>
      </c>
      <c r="B11158" s="1" t="n">
        <v>45750.62423611111</v>
      </c>
      <c r="C11158" s="1" t="n">
        <v>46145</v>
      </c>
      <c r="D11158" t="inlineStr">
        <is>
          <t>VÄSTERBOTTENS LÄN</t>
        </is>
      </c>
      <c r="E11158" t="inlineStr">
        <is>
          <t>MALÅ</t>
        </is>
      </c>
      <c r="G11158" t="n">
        <v>11.1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52144-2023</t>
        </is>
      </c>
      <c r="B11159" s="1" t="n">
        <v>45223.96712962963</v>
      </c>
      <c r="C11159" s="1" t="n">
        <v>46145</v>
      </c>
      <c r="D11159" t="inlineStr">
        <is>
          <t>VÄSTERBOTTENS LÄN</t>
        </is>
      </c>
      <c r="E11159" t="inlineStr">
        <is>
          <t>DOROTEA</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53068-2023</t>
        </is>
      </c>
      <c r="B11160" s="1" t="n">
        <v>45227</v>
      </c>
      <c r="C11160" s="1" t="n">
        <v>46145</v>
      </c>
      <c r="D11160" t="inlineStr">
        <is>
          <t>VÄSTERBOTTENS LÄN</t>
        </is>
      </c>
      <c r="E11160" t="inlineStr">
        <is>
          <t>MALÅ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20824-2026</t>
        </is>
      </c>
      <c r="B11161" s="1" t="n">
        <v>46141.88944444444</v>
      </c>
      <c r="C11161" s="1" t="n">
        <v>46145</v>
      </c>
      <c r="D11161" t="inlineStr">
        <is>
          <t>VÄSTERBOTTENS LÄN</t>
        </is>
      </c>
      <c r="E11161" t="inlineStr">
        <is>
          <t>UMEÅ</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46492-2023</t>
        </is>
      </c>
      <c r="B11162" s="1" t="n">
        <v>45194</v>
      </c>
      <c r="C11162" s="1" t="n">
        <v>46145</v>
      </c>
      <c r="D11162" t="inlineStr">
        <is>
          <t>VÄSTERBOTTENS LÄN</t>
        </is>
      </c>
      <c r="E11162" t="inlineStr">
        <is>
          <t>SKELLEFTEÅ</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7982-2025</t>
        </is>
      </c>
      <c r="B11163" s="1" t="n">
        <v>45707.46905092592</v>
      </c>
      <c r="C11163" s="1" t="n">
        <v>46145</v>
      </c>
      <c r="D11163" t="inlineStr">
        <is>
          <t>VÄSTERBOTTENS LÄN</t>
        </is>
      </c>
      <c r="E11163" t="inlineStr">
        <is>
          <t>VILHELMINA</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14405-2026</t>
        </is>
      </c>
      <c r="B11164" s="1" t="n">
        <v>46100.42766203704</v>
      </c>
      <c r="C11164" s="1" t="n">
        <v>46145</v>
      </c>
      <c r="D11164" t="inlineStr">
        <is>
          <t>VÄSTERBOTTENS LÄN</t>
        </is>
      </c>
      <c r="E11164" t="inlineStr">
        <is>
          <t>LYCKSELE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51390-2024</t>
        </is>
      </c>
      <c r="B11165" s="1" t="n">
        <v>45604.40876157407</v>
      </c>
      <c r="C11165" s="1" t="n">
        <v>46145</v>
      </c>
      <c r="D11165" t="inlineStr">
        <is>
          <t>VÄSTERBOTTENS LÄN</t>
        </is>
      </c>
      <c r="E11165" t="inlineStr">
        <is>
          <t>UMEÅ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20169-2026</t>
        </is>
      </c>
      <c r="B11166" s="1" t="n">
        <v>46139.33175925926</v>
      </c>
      <c r="C11166" s="1" t="n">
        <v>46145</v>
      </c>
      <c r="D11166" t="inlineStr">
        <is>
          <t>VÄSTERBOTTENS LÄN</t>
        </is>
      </c>
      <c r="E11166" t="inlineStr">
        <is>
          <t>UMEÅ</t>
        </is>
      </c>
      <c r="F11166" t="inlineStr">
        <is>
          <t>Holmen skog AB</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41181-2024</t>
        </is>
      </c>
      <c r="B11167" s="1" t="n">
        <v>45559</v>
      </c>
      <c r="C11167" s="1" t="n">
        <v>46145</v>
      </c>
      <c r="D11167" t="inlineStr">
        <is>
          <t>VÄSTERBOTTENS LÄN</t>
        </is>
      </c>
      <c r="E11167" t="inlineStr">
        <is>
          <t>VINDELN</t>
        </is>
      </c>
      <c r="F11167" t="inlineStr">
        <is>
          <t>Sveaskog</t>
        </is>
      </c>
      <c r="G11167" t="n">
        <v>14.7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64598-2023</t>
        </is>
      </c>
      <c r="B11168" s="1" t="n">
        <v>45281</v>
      </c>
      <c r="C11168" s="1" t="n">
        <v>46145</v>
      </c>
      <c r="D11168" t="inlineStr">
        <is>
          <t>VÄSTERBOTTENS LÄN</t>
        </is>
      </c>
      <c r="E11168" t="inlineStr">
        <is>
          <t>SKELLEFTEÅ</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22430-2021</t>
        </is>
      </c>
      <c r="B11169" s="1" t="n">
        <v>44326</v>
      </c>
      <c r="C11169" s="1" t="n">
        <v>46145</v>
      </c>
      <c r="D11169" t="inlineStr">
        <is>
          <t>VÄSTERBOTTENS LÄN</t>
        </is>
      </c>
      <c r="E11169" t="inlineStr">
        <is>
          <t>SORSELE</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53000-2024</t>
        </is>
      </c>
      <c r="B11170" s="1" t="n">
        <v>45611.38673611111</v>
      </c>
      <c r="C11170" s="1" t="n">
        <v>46145</v>
      </c>
      <c r="D11170" t="inlineStr">
        <is>
          <t>VÄSTERBOTTENS LÄN</t>
        </is>
      </c>
      <c r="E11170" t="inlineStr">
        <is>
          <t>SKELLEFTEÅ</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20823-2026</t>
        </is>
      </c>
      <c r="B11171" s="1" t="n">
        <v>46141.88601851852</v>
      </c>
      <c r="C11171" s="1" t="n">
        <v>46145</v>
      </c>
      <c r="D11171" t="inlineStr">
        <is>
          <t>VÄSTERBOTTENS LÄN</t>
        </is>
      </c>
      <c r="E11171" t="inlineStr">
        <is>
          <t>UMEÅ</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10208-2024</t>
        </is>
      </c>
      <c r="B11172" s="1" t="n">
        <v>45364</v>
      </c>
      <c r="C11172" s="1" t="n">
        <v>46145</v>
      </c>
      <c r="D11172" t="inlineStr">
        <is>
          <t>VÄSTERBOTTENS LÄN</t>
        </is>
      </c>
      <c r="E11172" t="inlineStr">
        <is>
          <t>LYCKSELE</t>
        </is>
      </c>
      <c r="G11172" t="n">
        <v>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793-2024</t>
        </is>
      </c>
      <c r="B11173" s="1" t="n">
        <v>45300</v>
      </c>
      <c r="C11173" s="1" t="n">
        <v>46145</v>
      </c>
      <c r="D11173" t="inlineStr">
        <is>
          <t>VÄSTERBOTTENS LÄN</t>
        </is>
      </c>
      <c r="E11173" t="inlineStr">
        <is>
          <t>NORSJÖ</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21002-2024</t>
        </is>
      </c>
      <c r="B11174" s="1" t="n">
        <v>45439</v>
      </c>
      <c r="C11174" s="1" t="n">
        <v>46145</v>
      </c>
      <c r="D11174" t="inlineStr">
        <is>
          <t>VÄSTERBOTTENS LÄN</t>
        </is>
      </c>
      <c r="E11174" t="inlineStr">
        <is>
          <t>NORSJÖ</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35808-2022</t>
        </is>
      </c>
      <c r="B11175" s="1" t="n">
        <v>44802.31871527778</v>
      </c>
      <c r="C11175" s="1" t="n">
        <v>46145</v>
      </c>
      <c r="D11175" t="inlineStr">
        <is>
          <t>VÄSTERBOTTENS LÄN</t>
        </is>
      </c>
      <c r="E11175" t="inlineStr">
        <is>
          <t>UMEÅ</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18489-2025</t>
        </is>
      </c>
      <c r="B11176" s="1" t="n">
        <v>45763.33773148148</v>
      </c>
      <c r="C11176" s="1" t="n">
        <v>46145</v>
      </c>
      <c r="D11176" t="inlineStr">
        <is>
          <t>VÄSTERBOTTENS LÄN</t>
        </is>
      </c>
      <c r="E11176" t="inlineStr">
        <is>
          <t>VINDELN</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14788-2026</t>
        </is>
      </c>
      <c r="B11177" s="1" t="n">
        <v>46101.67842592593</v>
      </c>
      <c r="C11177" s="1" t="n">
        <v>46145</v>
      </c>
      <c r="D11177" t="inlineStr">
        <is>
          <t>VÄSTERBOTTENS LÄN</t>
        </is>
      </c>
      <c r="E11177" t="inlineStr">
        <is>
          <t>LYCKSELE</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14790-2026</t>
        </is>
      </c>
      <c r="B11178" s="1" t="n">
        <v>46101.71940972222</v>
      </c>
      <c r="C11178" s="1" t="n">
        <v>46145</v>
      </c>
      <c r="D11178" t="inlineStr">
        <is>
          <t>VÄSTERBOTTENS LÄN</t>
        </is>
      </c>
      <c r="E11178" t="inlineStr">
        <is>
          <t>SKELLEFTEÅ</t>
        </is>
      </c>
      <c r="F11178" t="inlineStr">
        <is>
          <t>SCA</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3780-2024</t>
        </is>
      </c>
      <c r="B11179" s="1" t="n">
        <v>45321.5905787037</v>
      </c>
      <c r="C11179" s="1" t="n">
        <v>46145</v>
      </c>
      <c r="D11179" t="inlineStr">
        <is>
          <t>VÄSTERBOTTENS LÄN</t>
        </is>
      </c>
      <c r="E11179" t="inlineStr">
        <is>
          <t>VINDELN</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42995-2024</t>
        </is>
      </c>
      <c r="B11180" s="1" t="n">
        <v>45567.37570601852</v>
      </c>
      <c r="C11180" s="1" t="n">
        <v>46145</v>
      </c>
      <c r="D11180" t="inlineStr">
        <is>
          <t>VÄSTERBOTTENS LÄN</t>
        </is>
      </c>
      <c r="E11180" t="inlineStr">
        <is>
          <t>SKELLEFTEÅ</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51544-2023</t>
        </is>
      </c>
      <c r="B11181" s="1" t="n">
        <v>45222.41521990741</v>
      </c>
      <c r="C11181" s="1" t="n">
        <v>46145</v>
      </c>
      <c r="D11181" t="inlineStr">
        <is>
          <t>VÄSTERBOTTENS LÄN</t>
        </is>
      </c>
      <c r="E11181" t="inlineStr">
        <is>
          <t>UMEÅ</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41126-2023</t>
        </is>
      </c>
      <c r="B11182" s="1" t="n">
        <v>45173</v>
      </c>
      <c r="C11182" s="1" t="n">
        <v>46145</v>
      </c>
      <c r="D11182" t="inlineStr">
        <is>
          <t>VÄSTERBOTTENS LÄN</t>
        </is>
      </c>
      <c r="E11182" t="inlineStr">
        <is>
          <t>MALÅ</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15176-2022</t>
        </is>
      </c>
      <c r="B11183" s="1" t="n">
        <v>44658</v>
      </c>
      <c r="C11183" s="1" t="n">
        <v>46145</v>
      </c>
      <c r="D11183" t="inlineStr">
        <is>
          <t>VÄSTERBOTTENS LÄN</t>
        </is>
      </c>
      <c r="E11183" t="inlineStr">
        <is>
          <t>VILHELMINA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45797-2024</t>
        </is>
      </c>
      <c r="B11184" s="1" t="n">
        <v>45579.67520833333</v>
      </c>
      <c r="C11184" s="1" t="n">
        <v>46145</v>
      </c>
      <c r="D11184" t="inlineStr">
        <is>
          <t>VÄSTERBOTTENS LÄN</t>
        </is>
      </c>
      <c r="E11184" t="inlineStr">
        <is>
          <t>UMEÅ</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47807-2024</t>
        </is>
      </c>
      <c r="B11185" s="1" t="n">
        <v>45588</v>
      </c>
      <c r="C11185" s="1" t="n">
        <v>46145</v>
      </c>
      <c r="D11185" t="inlineStr">
        <is>
          <t>VÄSTERBOTTENS LÄN</t>
        </is>
      </c>
      <c r="E11185" t="inlineStr">
        <is>
          <t>LYCKSELE</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30584-2024</t>
        </is>
      </c>
      <c r="B11186" s="1" t="n">
        <v>45492.96185185185</v>
      </c>
      <c r="C11186" s="1" t="n">
        <v>46145</v>
      </c>
      <c r="D11186" t="inlineStr">
        <is>
          <t>VÄSTERBOTTENS LÄN</t>
        </is>
      </c>
      <c r="E11186" t="inlineStr">
        <is>
          <t>STORUMAN</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40088-2023</t>
        </is>
      </c>
      <c r="B11187" s="1" t="n">
        <v>45168</v>
      </c>
      <c r="C11187" s="1" t="n">
        <v>46145</v>
      </c>
      <c r="D11187" t="inlineStr">
        <is>
          <t>VÄSTERBOTTENS LÄN</t>
        </is>
      </c>
      <c r="E11187" t="inlineStr">
        <is>
          <t>NORSJÖ</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40142-2023</t>
        </is>
      </c>
      <c r="B11188" s="1" t="n">
        <v>45168</v>
      </c>
      <c r="C11188" s="1" t="n">
        <v>46145</v>
      </c>
      <c r="D11188" t="inlineStr">
        <is>
          <t>VÄSTERBOTTENS LÄN</t>
        </is>
      </c>
      <c r="E11188" t="inlineStr">
        <is>
          <t>BJURHOLM</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35755-2023</t>
        </is>
      </c>
      <c r="B11189" s="1" t="n">
        <v>45147.9540625</v>
      </c>
      <c r="C11189" s="1" t="n">
        <v>46145</v>
      </c>
      <c r="D11189" t="inlineStr">
        <is>
          <t>VÄSTERBOTTENS LÄN</t>
        </is>
      </c>
      <c r="E11189" t="inlineStr">
        <is>
          <t>VILHELMINA</t>
        </is>
      </c>
      <c r="F11189" t="inlineStr">
        <is>
          <t>SCA</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35780-2023</t>
        </is>
      </c>
      <c r="B11190" s="1" t="n">
        <v>45148.3397337963</v>
      </c>
      <c r="C11190" s="1" t="n">
        <v>46145</v>
      </c>
      <c r="D11190" t="inlineStr">
        <is>
          <t>VÄSTERBOTTENS LÄN</t>
        </is>
      </c>
      <c r="E11190" t="inlineStr">
        <is>
          <t>ÅSELE</t>
        </is>
      </c>
      <c r="F11190" t="inlineStr">
        <is>
          <t>Holmen skog AB</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35787-2023</t>
        </is>
      </c>
      <c r="B11191" s="1" t="n">
        <v>45148.37356481481</v>
      </c>
      <c r="C11191" s="1" t="n">
        <v>46145</v>
      </c>
      <c r="D11191" t="inlineStr">
        <is>
          <t>VÄSTERBOTTENS LÄN</t>
        </is>
      </c>
      <c r="E11191" t="inlineStr">
        <is>
          <t>ROBERTSFORS</t>
        </is>
      </c>
      <c r="F11191" t="inlineStr">
        <is>
          <t>Holmen skog AB</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8502-2024</t>
        </is>
      </c>
      <c r="B11192" s="1" t="n">
        <v>45351</v>
      </c>
      <c r="C11192" s="1" t="n">
        <v>46145</v>
      </c>
      <c r="D11192" t="inlineStr">
        <is>
          <t>VÄSTERBOTTENS LÄN</t>
        </is>
      </c>
      <c r="E11192" t="inlineStr">
        <is>
          <t>BJURHOLM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38166-2024</t>
        </is>
      </c>
      <c r="B11193" s="1" t="n">
        <v>45545.4500462963</v>
      </c>
      <c r="C11193" s="1" t="n">
        <v>46145</v>
      </c>
      <c r="D11193" t="inlineStr">
        <is>
          <t>VÄSTERBOTTENS LÄN</t>
        </is>
      </c>
      <c r="E11193" t="inlineStr">
        <is>
          <t>SORSELE</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5783-2023</t>
        </is>
      </c>
      <c r="B11194" s="1" t="n">
        <v>44963</v>
      </c>
      <c r="C11194" s="1" t="n">
        <v>46145</v>
      </c>
      <c r="D11194" t="inlineStr">
        <is>
          <t>VÄSTERBOTTENS LÄN</t>
        </is>
      </c>
      <c r="E11194" t="inlineStr">
        <is>
          <t>VINDELN</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36219-2023</t>
        </is>
      </c>
      <c r="B11195" s="1" t="n">
        <v>45149.95310185185</v>
      </c>
      <c r="C11195" s="1" t="n">
        <v>46145</v>
      </c>
      <c r="D11195" t="inlineStr">
        <is>
          <t>VÄSTERBOTTENS LÄN</t>
        </is>
      </c>
      <c r="E11195" t="inlineStr">
        <is>
          <t>VILHELMINA</t>
        </is>
      </c>
      <c r="F11195" t="inlineStr">
        <is>
          <t>SCA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5247-2024</t>
        </is>
      </c>
      <c r="B11196" s="1" t="n">
        <v>45330.93173611111</v>
      </c>
      <c r="C11196" s="1" t="n">
        <v>46145</v>
      </c>
      <c r="D11196" t="inlineStr">
        <is>
          <t>VÄSTERBOTTENS LÄN</t>
        </is>
      </c>
      <c r="E11196" t="inlineStr">
        <is>
          <t>ÅSELE</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53639-2022</t>
        </is>
      </c>
      <c r="B11197" s="1" t="n">
        <v>44879.92975694445</v>
      </c>
      <c r="C11197" s="1" t="n">
        <v>46145</v>
      </c>
      <c r="D11197" t="inlineStr">
        <is>
          <t>VÄSTERBOTTENS LÄN</t>
        </is>
      </c>
      <c r="E11197" t="inlineStr">
        <is>
          <t>SKELLEFTEÅ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15740-2022</t>
        </is>
      </c>
      <c r="B11198" s="1" t="n">
        <v>44663.51881944444</v>
      </c>
      <c r="C11198" s="1" t="n">
        <v>46145</v>
      </c>
      <c r="D11198" t="inlineStr">
        <is>
          <t>VÄSTERBOTTENS LÄN</t>
        </is>
      </c>
      <c r="E11198" t="inlineStr">
        <is>
          <t>SKELLEFTEÅ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46842-2023</t>
        </is>
      </c>
      <c r="B11199" s="1" t="n">
        <v>45199.72377314815</v>
      </c>
      <c r="C11199" s="1" t="n">
        <v>46145</v>
      </c>
      <c r="D11199" t="inlineStr">
        <is>
          <t>VÄSTERBOTTENS LÄN</t>
        </is>
      </c>
      <c r="E11199" t="inlineStr">
        <is>
          <t>ROBERTSFORS</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1089-2024</t>
        </is>
      </c>
      <c r="B11200" s="1" t="n">
        <v>45301</v>
      </c>
      <c r="C11200" s="1" t="n">
        <v>46145</v>
      </c>
      <c r="D11200" t="inlineStr">
        <is>
          <t>VÄSTERBOTTENS LÄN</t>
        </is>
      </c>
      <c r="E11200" t="inlineStr">
        <is>
          <t>UMEÅ</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22319-2022</t>
        </is>
      </c>
      <c r="B11201" s="1" t="n">
        <v>44712.92430555556</v>
      </c>
      <c r="C11201" s="1" t="n">
        <v>46145</v>
      </c>
      <c r="D11201" t="inlineStr">
        <is>
          <t>VÄSTERBOTTENS LÄN</t>
        </is>
      </c>
      <c r="E11201" t="inlineStr">
        <is>
          <t>STORUMAN</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35758-2023</t>
        </is>
      </c>
      <c r="B11202" s="1" t="n">
        <v>45147.95452546296</v>
      </c>
      <c r="C11202" s="1" t="n">
        <v>46145</v>
      </c>
      <c r="D11202" t="inlineStr">
        <is>
          <t>VÄSTERBOTTENS LÄN</t>
        </is>
      </c>
      <c r="E11202" t="inlineStr">
        <is>
          <t>VILHELMINA</t>
        </is>
      </c>
      <c r="F11202" t="inlineStr">
        <is>
          <t>SCA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25801-2024</t>
        </is>
      </c>
      <c r="B11203" s="1" t="n">
        <v>45467.35814814815</v>
      </c>
      <c r="C11203" s="1" t="n">
        <v>46145</v>
      </c>
      <c r="D11203" t="inlineStr">
        <is>
          <t>VÄSTERBOTTENS LÄN</t>
        </is>
      </c>
      <c r="E11203" t="inlineStr">
        <is>
          <t>BJURHOLM</t>
        </is>
      </c>
      <c r="F11203" t="inlineStr">
        <is>
          <t>Holmen skog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27253-2024</t>
        </is>
      </c>
      <c r="B11204" s="1" t="n">
        <v>45471.70609953703</v>
      </c>
      <c r="C11204" s="1" t="n">
        <v>46145</v>
      </c>
      <c r="D11204" t="inlineStr">
        <is>
          <t>VÄSTERBOTTENS LÄN</t>
        </is>
      </c>
      <c r="E11204" t="inlineStr">
        <is>
          <t>SKELLEFTEÅ</t>
        </is>
      </c>
      <c r="F11204" t="inlineStr">
        <is>
          <t>Holmen skog AB</t>
        </is>
      </c>
      <c r="G11204" t="n">
        <v>12.5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27542-2024</t>
        </is>
      </c>
      <c r="B11205" s="1" t="n">
        <v>45474.59413194445</v>
      </c>
      <c r="C11205" s="1" t="n">
        <v>46145</v>
      </c>
      <c r="D11205" t="inlineStr">
        <is>
          <t>VÄSTERBOTTENS LÄN</t>
        </is>
      </c>
      <c r="E11205" t="inlineStr">
        <is>
          <t>SKELLEFTEÅ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31475-2024</t>
        </is>
      </c>
      <c r="B11206" s="1" t="n">
        <v>45505.95209490741</v>
      </c>
      <c r="C11206" s="1" t="n">
        <v>46145</v>
      </c>
      <c r="D11206" t="inlineStr">
        <is>
          <t>VÄSTERBOTTENS LÄN</t>
        </is>
      </c>
      <c r="E11206" t="inlineStr">
        <is>
          <t>ÅSELE</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10659-2024</t>
        </is>
      </c>
      <c r="B11207" s="1" t="n">
        <v>45369.30447916667</v>
      </c>
      <c r="C11207" s="1" t="n">
        <v>46145</v>
      </c>
      <c r="D11207" t="inlineStr">
        <is>
          <t>VÄSTERBOTTENS LÄN</t>
        </is>
      </c>
      <c r="E11207" t="inlineStr">
        <is>
          <t>SKELLEFTEÅ</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30461-2024</t>
        </is>
      </c>
      <c r="B11208" s="1" t="n">
        <v>45491</v>
      </c>
      <c r="C11208" s="1" t="n">
        <v>46145</v>
      </c>
      <c r="D11208" t="inlineStr">
        <is>
          <t>VÄSTERBOTTENS LÄN</t>
        </is>
      </c>
      <c r="E11208" t="inlineStr">
        <is>
          <t>DOROTEA</t>
        </is>
      </c>
      <c r="F11208" t="inlineStr">
        <is>
          <t>SCA</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28273-2024</t>
        </is>
      </c>
      <c r="B11209" s="1" t="n">
        <v>45477.4503587963</v>
      </c>
      <c r="C11209" s="1" t="n">
        <v>46145</v>
      </c>
      <c r="D11209" t="inlineStr">
        <is>
          <t>VÄSTERBOTTENS LÄN</t>
        </is>
      </c>
      <c r="E11209" t="inlineStr">
        <is>
          <t>SKELLEFTEÅ</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15750-2025</t>
        </is>
      </c>
      <c r="B11210" s="1" t="n">
        <v>45748.55476851852</v>
      </c>
      <c r="C11210" s="1" t="n">
        <v>46145</v>
      </c>
      <c r="D11210" t="inlineStr">
        <is>
          <t>VÄSTERBOTTENS LÄN</t>
        </is>
      </c>
      <c r="E11210" t="inlineStr">
        <is>
          <t>VINDELN</t>
        </is>
      </c>
      <c r="F11210" t="inlineStr">
        <is>
          <t>Holmen skog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37950-2022</t>
        </is>
      </c>
      <c r="B11211" s="1" t="n">
        <v>44811.48826388889</v>
      </c>
      <c r="C11211" s="1" t="n">
        <v>46145</v>
      </c>
      <c r="D11211" t="inlineStr">
        <is>
          <t>VÄSTERBOTTENS LÄN</t>
        </is>
      </c>
      <c r="E11211" t="inlineStr">
        <is>
          <t>SKELLEFTEÅ</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24873-2021</t>
        </is>
      </c>
      <c r="B11212" s="1" t="n">
        <v>44340</v>
      </c>
      <c r="C11212" s="1" t="n">
        <v>46145</v>
      </c>
      <c r="D11212" t="inlineStr">
        <is>
          <t>VÄSTERBOTTENS LÄN</t>
        </is>
      </c>
      <c r="E11212" t="inlineStr">
        <is>
          <t>VINDELN</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65038-2023</t>
        </is>
      </c>
      <c r="B11213" s="1" t="n">
        <v>45282</v>
      </c>
      <c r="C11213" s="1" t="n">
        <v>46145</v>
      </c>
      <c r="D11213" t="inlineStr">
        <is>
          <t>VÄSTERBOTTENS LÄN</t>
        </is>
      </c>
      <c r="E11213" t="inlineStr">
        <is>
          <t>ÅSELE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44465-2022</t>
        </is>
      </c>
      <c r="B11214" s="1" t="n">
        <v>44840.30355324074</v>
      </c>
      <c r="C11214" s="1" t="n">
        <v>46145</v>
      </c>
      <c r="D11214" t="inlineStr">
        <is>
          <t>VÄSTERBOTTENS LÄN</t>
        </is>
      </c>
      <c r="E11214" t="inlineStr">
        <is>
          <t>LYCKSELE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32057-2024</t>
        </is>
      </c>
      <c r="B11215" s="1" t="n">
        <v>45510</v>
      </c>
      <c r="C11215" s="1" t="n">
        <v>46145</v>
      </c>
      <c r="D11215" t="inlineStr">
        <is>
          <t>VÄSTERBOTTENS LÄN</t>
        </is>
      </c>
      <c r="E11215" t="inlineStr">
        <is>
          <t>ÅSELE</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33523-2021</t>
        </is>
      </c>
      <c r="B11216" s="1" t="n">
        <v>44377.76381944444</v>
      </c>
      <c r="C11216" s="1" t="n">
        <v>46145</v>
      </c>
      <c r="D11216" t="inlineStr">
        <is>
          <t>VÄSTERBOTTENS LÄN</t>
        </is>
      </c>
      <c r="E11216" t="inlineStr">
        <is>
          <t>ÅSELE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3175-2025</t>
        </is>
      </c>
      <c r="B11217" s="1" t="n">
        <v>45679.39025462963</v>
      </c>
      <c r="C11217" s="1" t="n">
        <v>46145</v>
      </c>
      <c r="D11217" t="inlineStr">
        <is>
          <t>VÄSTERBOTTENS LÄN</t>
        </is>
      </c>
      <c r="E11217" t="inlineStr">
        <is>
          <t>SORSELE</t>
        </is>
      </c>
      <c r="G11217" t="n">
        <v>8.800000000000001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45407-2024</t>
        </is>
      </c>
      <c r="B11218" s="1" t="n">
        <v>45576.58652777778</v>
      </c>
      <c r="C11218" s="1" t="n">
        <v>46145</v>
      </c>
      <c r="D11218" t="inlineStr">
        <is>
          <t>VÄSTERBOTTENS LÄN</t>
        </is>
      </c>
      <c r="E11218" t="inlineStr">
        <is>
          <t>SKELLEFTEÅ</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26105-2021</t>
        </is>
      </c>
      <c r="B11219" s="1" t="n">
        <v>44344.93608796296</v>
      </c>
      <c r="C11219" s="1" t="n">
        <v>46145</v>
      </c>
      <c r="D11219" t="inlineStr">
        <is>
          <t>VÄSTERBOTTENS LÄN</t>
        </is>
      </c>
      <c r="E11219" t="inlineStr">
        <is>
          <t>LYCKSELE</t>
        </is>
      </c>
      <c r="F11219" t="inlineStr">
        <is>
          <t>SCA</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26540-2022</t>
        </is>
      </c>
      <c r="B11220" s="1" t="n">
        <v>44739</v>
      </c>
      <c r="C11220" s="1" t="n">
        <v>46145</v>
      </c>
      <c r="D11220" t="inlineStr">
        <is>
          <t>VÄSTERBOTTENS LÄN</t>
        </is>
      </c>
      <c r="E11220" t="inlineStr">
        <is>
          <t>ÅSELE</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34810-2024</t>
        </is>
      </c>
      <c r="B11221" s="1" t="n">
        <v>45526.69534722222</v>
      </c>
      <c r="C11221" s="1" t="n">
        <v>46145</v>
      </c>
      <c r="D11221" t="inlineStr">
        <is>
          <t>VÄSTERBOTTENS LÄN</t>
        </is>
      </c>
      <c r="E11221" t="inlineStr">
        <is>
          <t>LYCKSELE</t>
        </is>
      </c>
      <c r="F11221" t="inlineStr">
        <is>
          <t>Sveaskog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10534-2023</t>
        </is>
      </c>
      <c r="B11222" s="1" t="n">
        <v>44987</v>
      </c>
      <c r="C11222" s="1" t="n">
        <v>46145</v>
      </c>
      <c r="D11222" t="inlineStr">
        <is>
          <t>VÄSTERBOTTENS LÄN</t>
        </is>
      </c>
      <c r="E11222" t="inlineStr">
        <is>
          <t>VINDELN</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51383-2023</t>
        </is>
      </c>
      <c r="B11223" s="1" t="n">
        <v>45219</v>
      </c>
      <c r="C11223" s="1" t="n">
        <v>46145</v>
      </c>
      <c r="D11223" t="inlineStr">
        <is>
          <t>VÄSTERBOTTENS LÄN</t>
        </is>
      </c>
      <c r="E11223" t="inlineStr">
        <is>
          <t>MALÅ</t>
        </is>
      </c>
      <c r="F11223" t="inlineStr">
        <is>
          <t>Sveaskog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45298-2024</t>
        </is>
      </c>
      <c r="B11224" s="1" t="n">
        <v>45576</v>
      </c>
      <c r="C11224" s="1" t="n">
        <v>46145</v>
      </c>
      <c r="D11224" t="inlineStr">
        <is>
          <t>VÄSTERBOTTENS LÄN</t>
        </is>
      </c>
      <c r="E11224" t="inlineStr">
        <is>
          <t>ÅSELE</t>
        </is>
      </c>
      <c r="F11224" t="inlineStr">
        <is>
          <t>Sveaskog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54428-2024</t>
        </is>
      </c>
      <c r="B11225" s="1" t="n">
        <v>45617.49065972222</v>
      </c>
      <c r="C11225" s="1" t="n">
        <v>46145</v>
      </c>
      <c r="D11225" t="inlineStr">
        <is>
          <t>VÄSTERBOTTENS LÄN</t>
        </is>
      </c>
      <c r="E11225" t="inlineStr">
        <is>
          <t>LYCKSELE</t>
        </is>
      </c>
      <c r="F11225" t="inlineStr">
        <is>
          <t>SCA</t>
        </is>
      </c>
      <c r="G11225" t="n">
        <v>12.9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32145-2024</t>
        </is>
      </c>
      <c r="B11226" s="1" t="n">
        <v>45511.55541666667</v>
      </c>
      <c r="C11226" s="1" t="n">
        <v>46145</v>
      </c>
      <c r="D11226" t="inlineStr">
        <is>
          <t>VÄSTERBOTTENS LÄN</t>
        </is>
      </c>
      <c r="E11226" t="inlineStr">
        <is>
          <t>VINDELN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25569-2024</t>
        </is>
      </c>
      <c r="B11227" s="1" t="n">
        <v>45463.58702546296</v>
      </c>
      <c r="C11227" s="1" t="n">
        <v>46145</v>
      </c>
      <c r="D11227" t="inlineStr">
        <is>
          <t>VÄSTERBOTTENS LÄN</t>
        </is>
      </c>
      <c r="E11227" t="inlineStr">
        <is>
          <t>ÅSELE</t>
        </is>
      </c>
      <c r="F11227" t="inlineStr">
        <is>
          <t>Sveaskog</t>
        </is>
      </c>
      <c r="G11227" t="n">
        <v>28.7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53547-2024</t>
        </is>
      </c>
      <c r="B11228" s="1" t="n">
        <v>45614.63747685185</v>
      </c>
      <c r="C11228" s="1" t="n">
        <v>46145</v>
      </c>
      <c r="D11228" t="inlineStr">
        <is>
          <t>VÄSTERBOTTENS LÄN</t>
        </is>
      </c>
      <c r="E11228" t="inlineStr">
        <is>
          <t>NORSJÖ</t>
        </is>
      </c>
      <c r="G11228" t="n">
        <v>8.6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878-2025</t>
        </is>
      </c>
      <c r="B11229" s="1" t="n">
        <v>45665.63706018519</v>
      </c>
      <c r="C11229" s="1" t="n">
        <v>46145</v>
      </c>
      <c r="D11229" t="inlineStr">
        <is>
          <t>VÄSTERBOTTENS LÄN</t>
        </is>
      </c>
      <c r="E11229" t="inlineStr">
        <is>
          <t>NORDMALING</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8860-2023</t>
        </is>
      </c>
      <c r="B11230" s="1" t="n">
        <v>44978.92381944445</v>
      </c>
      <c r="C11230" s="1" t="n">
        <v>46145</v>
      </c>
      <c r="D11230" t="inlineStr">
        <is>
          <t>VÄSTERBOTTENS LÄN</t>
        </is>
      </c>
      <c r="E11230" t="inlineStr">
        <is>
          <t>BJURHOLM</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38080-2023</t>
        </is>
      </c>
      <c r="B11231" s="1" t="n">
        <v>45160</v>
      </c>
      <c r="C11231" s="1" t="n">
        <v>46145</v>
      </c>
      <c r="D11231" t="inlineStr">
        <is>
          <t>VÄSTERBOTTENS LÄN</t>
        </is>
      </c>
      <c r="E11231" t="inlineStr">
        <is>
          <t>NORSJÖ</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34434-2024</t>
        </is>
      </c>
      <c r="B11232" s="1" t="n">
        <v>45525.53164351852</v>
      </c>
      <c r="C11232" s="1" t="n">
        <v>46145</v>
      </c>
      <c r="D11232" t="inlineStr">
        <is>
          <t>VÄSTERBOTTENS LÄN</t>
        </is>
      </c>
      <c r="E11232" t="inlineStr">
        <is>
          <t>ROBERTSFORS</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41361-2023</t>
        </is>
      </c>
      <c r="B11233" s="1" t="n">
        <v>45174</v>
      </c>
      <c r="C11233" s="1" t="n">
        <v>46145</v>
      </c>
      <c r="D11233" t="inlineStr">
        <is>
          <t>VÄSTERBOTTENS LÄN</t>
        </is>
      </c>
      <c r="E11233" t="inlineStr">
        <is>
          <t>LYCKSELE</t>
        </is>
      </c>
      <c r="F11233" t="inlineStr">
        <is>
          <t>Holmen skog AB</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12308-2025</t>
        </is>
      </c>
      <c r="B11234" s="1" t="n">
        <v>45729.78074074074</v>
      </c>
      <c r="C11234" s="1" t="n">
        <v>46145</v>
      </c>
      <c r="D11234" t="inlineStr">
        <is>
          <t>VÄSTERBOTTENS LÄN</t>
        </is>
      </c>
      <c r="E11234" t="inlineStr">
        <is>
          <t>VINDELN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12368-2025</t>
        </is>
      </c>
      <c r="B11235" s="1" t="n">
        <v>45730.37633101852</v>
      </c>
      <c r="C11235" s="1" t="n">
        <v>46145</v>
      </c>
      <c r="D11235" t="inlineStr">
        <is>
          <t>VÄSTERBOTTENS LÄN</t>
        </is>
      </c>
      <c r="E11235" t="inlineStr">
        <is>
          <t>VILHELMINA</t>
        </is>
      </c>
      <c r="F11235" t="inlineStr">
        <is>
          <t>Övriga statliga verk och myndigheter</t>
        </is>
      </c>
      <c r="G11235" t="n">
        <v>14.8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33012-2023</t>
        </is>
      </c>
      <c r="B11236" s="1" t="n">
        <v>45113</v>
      </c>
      <c r="C11236" s="1" t="n">
        <v>46145</v>
      </c>
      <c r="D11236" t="inlineStr">
        <is>
          <t>VÄSTERBOTTENS LÄN</t>
        </is>
      </c>
      <c r="E11236" t="inlineStr">
        <is>
          <t>ÅSELE</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12373-2025</t>
        </is>
      </c>
      <c r="B11237" s="1" t="n">
        <v>45730</v>
      </c>
      <c r="C11237" s="1" t="n">
        <v>46145</v>
      </c>
      <c r="D11237" t="inlineStr">
        <is>
          <t>VÄSTERBOTTENS LÄN</t>
        </is>
      </c>
      <c r="E11237" t="inlineStr">
        <is>
          <t>VILHELMINA</t>
        </is>
      </c>
      <c r="F11237" t="inlineStr">
        <is>
          <t>Övriga statliga verk och myndigheter</t>
        </is>
      </c>
      <c r="G11237" t="n">
        <v>25.5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7818-2023</t>
        </is>
      </c>
      <c r="B11238" s="1" t="n">
        <v>44973.46649305556</v>
      </c>
      <c r="C11238" s="1" t="n">
        <v>46145</v>
      </c>
      <c r="D11238" t="inlineStr">
        <is>
          <t>VÄSTERBOTTENS LÄN</t>
        </is>
      </c>
      <c r="E11238" t="inlineStr">
        <is>
          <t>LYCKSELE</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52862-2024</t>
        </is>
      </c>
      <c r="B11239" s="1" t="n">
        <v>45610.61991898148</v>
      </c>
      <c r="C11239" s="1" t="n">
        <v>46145</v>
      </c>
      <c r="D11239" t="inlineStr">
        <is>
          <t>VÄSTERBOTTENS LÄN</t>
        </is>
      </c>
      <c r="E11239" t="inlineStr">
        <is>
          <t>SKELLEFTEÅ</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52864-2024</t>
        </is>
      </c>
      <c r="B11240" s="1" t="n">
        <v>45610.62194444444</v>
      </c>
      <c r="C11240" s="1" t="n">
        <v>46145</v>
      </c>
      <c r="D11240" t="inlineStr">
        <is>
          <t>VÄSTERBOTTENS LÄN</t>
        </is>
      </c>
      <c r="E11240" t="inlineStr">
        <is>
          <t>SKELLEFTEÅ</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15701-2025</t>
        </is>
      </c>
      <c r="B11241" s="1" t="n">
        <v>45748.47508101852</v>
      </c>
      <c r="C11241" s="1" t="n">
        <v>46145</v>
      </c>
      <c r="D11241" t="inlineStr">
        <is>
          <t>VÄSTERBOTTENS LÄN</t>
        </is>
      </c>
      <c r="E11241" t="inlineStr">
        <is>
          <t>UMEÅ</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1872-2023</t>
        </is>
      </c>
      <c r="B11242" s="1" t="n">
        <v>44938.93849537037</v>
      </c>
      <c r="C11242" s="1" t="n">
        <v>46145</v>
      </c>
      <c r="D11242" t="inlineStr">
        <is>
          <t>VÄSTERBOTTENS LÄN</t>
        </is>
      </c>
      <c r="E11242" t="inlineStr">
        <is>
          <t>ÅSELE</t>
        </is>
      </c>
      <c r="F11242" t="inlineStr">
        <is>
          <t>SCA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54316-2022</t>
        </is>
      </c>
      <c r="B11243" s="1" t="n">
        <v>44879</v>
      </c>
      <c r="C11243" s="1" t="n">
        <v>46145</v>
      </c>
      <c r="D11243" t="inlineStr">
        <is>
          <t>VÄSTERBOTTENS LÄN</t>
        </is>
      </c>
      <c r="E11243" t="inlineStr">
        <is>
          <t>SKELLEFTEÅ</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63136-2023</t>
        </is>
      </c>
      <c r="B11244" s="1" t="n">
        <v>45273.46479166667</v>
      </c>
      <c r="C11244" s="1" t="n">
        <v>46145</v>
      </c>
      <c r="D11244" t="inlineStr">
        <is>
          <t>VÄSTERBOTTENS LÄN</t>
        </is>
      </c>
      <c r="E11244" t="inlineStr">
        <is>
          <t>UMEÅ</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60782-2023</t>
        </is>
      </c>
      <c r="B11245" s="1" t="n">
        <v>45259</v>
      </c>
      <c r="C11245" s="1" t="n">
        <v>46145</v>
      </c>
      <c r="D11245" t="inlineStr">
        <is>
          <t>VÄSTERBOTTENS LÄN</t>
        </is>
      </c>
      <c r="E11245" t="inlineStr">
        <is>
          <t>VILHELMINA</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7220-2025</t>
        </is>
      </c>
      <c r="B11246" s="1" t="n">
        <v>45702.48326388889</v>
      </c>
      <c r="C11246" s="1" t="n">
        <v>46145</v>
      </c>
      <c r="D11246" t="inlineStr">
        <is>
          <t>VÄSTERBOTTENS LÄN</t>
        </is>
      </c>
      <c r="E11246" t="inlineStr">
        <is>
          <t>NORDMALING</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22450-2024</t>
        </is>
      </c>
      <c r="B11247" s="1" t="n">
        <v>45446.94887731481</v>
      </c>
      <c r="C11247" s="1" t="n">
        <v>46145</v>
      </c>
      <c r="D11247" t="inlineStr">
        <is>
          <t>VÄSTERBOTTENS LÄN</t>
        </is>
      </c>
      <c r="E11247" t="inlineStr">
        <is>
          <t>DOROTEA</t>
        </is>
      </c>
      <c r="F11247" t="inlineStr">
        <is>
          <t>SCA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10986-2025</t>
        </is>
      </c>
      <c r="B11248" s="1" t="n">
        <v>45723.41918981481</v>
      </c>
      <c r="C11248" s="1" t="n">
        <v>46145</v>
      </c>
      <c r="D11248" t="inlineStr">
        <is>
          <t>VÄSTERBOTTENS LÄN</t>
        </is>
      </c>
      <c r="E11248" t="inlineStr">
        <is>
          <t>SKELLEFTEÅ</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5640-2025</t>
        </is>
      </c>
      <c r="B11249" s="1" t="n">
        <v>45693</v>
      </c>
      <c r="C11249" s="1" t="n">
        <v>46145</v>
      </c>
      <c r="D11249" t="inlineStr">
        <is>
          <t>VÄSTERBOTTENS LÄN</t>
        </is>
      </c>
      <c r="E11249" t="inlineStr">
        <is>
          <t>DOROTEA</t>
        </is>
      </c>
      <c r="F11249" t="inlineStr">
        <is>
          <t>SCA</t>
        </is>
      </c>
      <c r="G11249" t="n">
        <v>24.1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46041-2024</t>
        </is>
      </c>
      <c r="B11250" s="1" t="n">
        <v>45580.79371527778</v>
      </c>
      <c r="C11250" s="1" t="n">
        <v>46145</v>
      </c>
      <c r="D11250" t="inlineStr">
        <is>
          <t>VÄSTERBOTTENS LÄN</t>
        </is>
      </c>
      <c r="E11250" t="inlineStr">
        <is>
          <t>ROBERTSFORS</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22218-2023</t>
        </is>
      </c>
      <c r="B11251" s="1" t="n">
        <v>45069</v>
      </c>
      <c r="C11251" s="1" t="n">
        <v>46145</v>
      </c>
      <c r="D11251" t="inlineStr">
        <is>
          <t>VÄSTERBOTTENS LÄN</t>
        </is>
      </c>
      <c r="E11251" t="inlineStr">
        <is>
          <t>NORSJÖ</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9814-2024</t>
        </is>
      </c>
      <c r="B11252" s="1" t="n">
        <v>45362.96918981482</v>
      </c>
      <c r="C11252" s="1" t="n">
        <v>46145</v>
      </c>
      <c r="D11252" t="inlineStr">
        <is>
          <t>VÄSTERBOTTENS LÄN</t>
        </is>
      </c>
      <c r="E11252" t="inlineStr">
        <is>
          <t>NORSJÖ</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9815-2024</t>
        </is>
      </c>
      <c r="B11253" s="1" t="n">
        <v>45362.96927083333</v>
      </c>
      <c r="C11253" s="1" t="n">
        <v>46145</v>
      </c>
      <c r="D11253" t="inlineStr">
        <is>
          <t>VÄSTERBOTTENS LÄN</t>
        </is>
      </c>
      <c r="E11253" t="inlineStr">
        <is>
          <t>VILHELMINA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60151-2024</t>
        </is>
      </c>
      <c r="B11254" s="1" t="n">
        <v>45642.61490740741</v>
      </c>
      <c r="C11254" s="1" t="n">
        <v>46145</v>
      </c>
      <c r="D11254" t="inlineStr">
        <is>
          <t>VÄSTERBOTTENS LÄN</t>
        </is>
      </c>
      <c r="E11254" t="inlineStr">
        <is>
          <t>VILHELMINA</t>
        </is>
      </c>
      <c r="F11254" t="inlineStr">
        <is>
          <t>SCA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60153-2024</t>
        </is>
      </c>
      <c r="B11255" s="1" t="n">
        <v>45642</v>
      </c>
      <c r="C11255" s="1" t="n">
        <v>46145</v>
      </c>
      <c r="D11255" t="inlineStr">
        <is>
          <t>VÄSTERBOTTENS LÄN</t>
        </is>
      </c>
      <c r="E11255" t="inlineStr">
        <is>
          <t>DOROTEA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8908-2023</t>
        </is>
      </c>
      <c r="B11256" s="1" t="n">
        <v>44972</v>
      </c>
      <c r="C11256" s="1" t="n">
        <v>46145</v>
      </c>
      <c r="D11256" t="inlineStr">
        <is>
          <t>VÄSTERBOTTENS LÄN</t>
        </is>
      </c>
      <c r="E11256" t="inlineStr">
        <is>
          <t>VILHELMINA</t>
        </is>
      </c>
      <c r="F11256" t="inlineStr">
        <is>
          <t>Allmännings- och besparingsskogar</t>
        </is>
      </c>
      <c r="G11256" t="n">
        <v>22.3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51573-2023</t>
        </is>
      </c>
      <c r="B11257" s="1" t="n">
        <v>45222</v>
      </c>
      <c r="C11257" s="1" t="n">
        <v>46145</v>
      </c>
      <c r="D11257" t="inlineStr">
        <is>
          <t>VÄSTERBOTTENS LÄN</t>
        </is>
      </c>
      <c r="E11257" t="inlineStr">
        <is>
          <t>MALÅ</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37271-2023</t>
        </is>
      </c>
      <c r="B11258" s="1" t="n">
        <v>45155</v>
      </c>
      <c r="C11258" s="1" t="n">
        <v>46145</v>
      </c>
      <c r="D11258" t="inlineStr">
        <is>
          <t>VÄSTERBOTTENS LÄN</t>
        </is>
      </c>
      <c r="E11258" t="inlineStr">
        <is>
          <t>LYCKSELE</t>
        </is>
      </c>
      <c r="F11258" t="inlineStr">
        <is>
          <t>SCA</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45477-2024</t>
        </is>
      </c>
      <c r="B11259" s="1" t="n">
        <v>45576.83114583333</v>
      </c>
      <c r="C11259" s="1" t="n">
        <v>46145</v>
      </c>
      <c r="D11259" t="inlineStr">
        <is>
          <t>VÄSTERBOTTENS LÄN</t>
        </is>
      </c>
      <c r="E11259" t="inlineStr">
        <is>
          <t>ÅSELE</t>
        </is>
      </c>
      <c r="F11259" t="inlineStr">
        <is>
          <t>Sveaskog</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38060-2023</t>
        </is>
      </c>
      <c r="B11260" s="1" t="n">
        <v>45159</v>
      </c>
      <c r="C11260" s="1" t="n">
        <v>46145</v>
      </c>
      <c r="D11260" t="inlineStr">
        <is>
          <t>VÄSTERBOTTENS LÄN</t>
        </is>
      </c>
      <c r="E11260" t="inlineStr">
        <is>
          <t>VINDELN</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72276-2021</t>
        </is>
      </c>
      <c r="B11261" s="1" t="n">
        <v>44543</v>
      </c>
      <c r="C11261" s="1" t="n">
        <v>46145</v>
      </c>
      <c r="D11261" t="inlineStr">
        <is>
          <t>VÄSTERBOTTENS LÄN</t>
        </is>
      </c>
      <c r="E11261" t="inlineStr">
        <is>
          <t>STORUMAN</t>
        </is>
      </c>
      <c r="G11261" t="n">
        <v>19.8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64336-2023</t>
        </is>
      </c>
      <c r="B11262" s="1" t="n">
        <v>45279</v>
      </c>
      <c r="C11262" s="1" t="n">
        <v>46145</v>
      </c>
      <c r="D11262" t="inlineStr">
        <is>
          <t>VÄSTERBOTTENS LÄN</t>
        </is>
      </c>
      <c r="E11262" t="inlineStr">
        <is>
          <t>LYCKSELE</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38816-2023</t>
        </is>
      </c>
      <c r="B11263" s="1" t="n">
        <v>45163</v>
      </c>
      <c r="C11263" s="1" t="n">
        <v>46145</v>
      </c>
      <c r="D11263" t="inlineStr">
        <is>
          <t>VÄSTERBOTTENS LÄN</t>
        </is>
      </c>
      <c r="E11263" t="inlineStr">
        <is>
          <t>NORSJÖ</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38819-2023</t>
        </is>
      </c>
      <c r="B11264" s="1" t="n">
        <v>45163</v>
      </c>
      <c r="C11264" s="1" t="n">
        <v>46145</v>
      </c>
      <c r="D11264" t="inlineStr">
        <is>
          <t>VÄSTERBOTTENS LÄN</t>
        </is>
      </c>
      <c r="E11264" t="inlineStr">
        <is>
          <t>NORSJÖ</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17345-2025</t>
        </is>
      </c>
      <c r="B11265" s="1" t="n">
        <v>45756.67292824074</v>
      </c>
      <c r="C11265" s="1" t="n">
        <v>46145</v>
      </c>
      <c r="D11265" t="inlineStr">
        <is>
          <t>VÄSTERBOTTENS LÄN</t>
        </is>
      </c>
      <c r="E11265" t="inlineStr">
        <is>
          <t>UMEÅ</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38822-2023</t>
        </is>
      </c>
      <c r="B11266" s="1" t="n">
        <v>45163</v>
      </c>
      <c r="C11266" s="1" t="n">
        <v>46145</v>
      </c>
      <c r="D11266" t="inlineStr">
        <is>
          <t>VÄSTERBOTTENS LÄN</t>
        </is>
      </c>
      <c r="E11266" t="inlineStr">
        <is>
          <t>NORSJÖ</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9030-2025</t>
        </is>
      </c>
      <c r="B11267" s="1" t="n">
        <v>45713.61494212963</v>
      </c>
      <c r="C11267" s="1" t="n">
        <v>46145</v>
      </c>
      <c r="D11267" t="inlineStr">
        <is>
          <t>VÄSTERBOTTENS LÄN</t>
        </is>
      </c>
      <c r="E11267" t="inlineStr">
        <is>
          <t>DOROTEA</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2658-2025</t>
        </is>
      </c>
      <c r="B11268" s="1" t="n">
        <v>45676</v>
      </c>
      <c r="C11268" s="1" t="n">
        <v>46145</v>
      </c>
      <c r="D11268" t="inlineStr">
        <is>
          <t>VÄSTERBOTTENS LÄN</t>
        </is>
      </c>
      <c r="E11268" t="inlineStr">
        <is>
          <t>NORDMALING</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3830-2025</t>
        </is>
      </c>
      <c r="B11269" s="1" t="n">
        <v>45681.84473379629</v>
      </c>
      <c r="C11269" s="1" t="n">
        <v>46145</v>
      </c>
      <c r="D11269" t="inlineStr">
        <is>
          <t>VÄSTERBOTTENS LÄN</t>
        </is>
      </c>
      <c r="E11269" t="inlineStr">
        <is>
          <t>UMEÅ</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3843-2025</t>
        </is>
      </c>
      <c r="B11270" s="1" t="n">
        <v>45683.66033564815</v>
      </c>
      <c r="C11270" s="1" t="n">
        <v>46145</v>
      </c>
      <c r="D11270" t="inlineStr">
        <is>
          <t>VÄSTERBOTTENS LÄN</t>
        </is>
      </c>
      <c r="E11270" t="inlineStr">
        <is>
          <t>SKELLEFTEÅ</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9517-2025</t>
        </is>
      </c>
      <c r="B11271" s="1" t="n">
        <v>45715.55240740741</v>
      </c>
      <c r="C11271" s="1" t="n">
        <v>46145</v>
      </c>
      <c r="D11271" t="inlineStr">
        <is>
          <t>VÄSTERBOTTENS LÄN</t>
        </is>
      </c>
      <c r="E11271" t="inlineStr">
        <is>
          <t>LYCKSELE</t>
        </is>
      </c>
      <c r="F11271" t="inlineStr">
        <is>
          <t>SCA</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12724-2025</t>
        </is>
      </c>
      <c r="B11272" s="1" t="n">
        <v>45733</v>
      </c>
      <c r="C11272" s="1" t="n">
        <v>46145</v>
      </c>
      <c r="D11272" t="inlineStr">
        <is>
          <t>VÄSTERBOTTENS LÄN</t>
        </is>
      </c>
      <c r="E11272" t="inlineStr">
        <is>
          <t>MALÅ</t>
        </is>
      </c>
      <c r="G11272" t="n">
        <v>32.3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23471-2024</t>
        </is>
      </c>
      <c r="B11273" s="1" t="n">
        <v>45453</v>
      </c>
      <c r="C11273" s="1" t="n">
        <v>46145</v>
      </c>
      <c r="D11273" t="inlineStr">
        <is>
          <t>VÄSTERBOTTENS LÄN</t>
        </is>
      </c>
      <c r="E11273" t="inlineStr">
        <is>
          <t>VINDELN</t>
        </is>
      </c>
      <c r="F11273" t="inlineStr">
        <is>
          <t>Holmen skog AB</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38480-2023</t>
        </is>
      </c>
      <c r="B11274" s="1" t="n">
        <v>45162</v>
      </c>
      <c r="C11274" s="1" t="n">
        <v>46145</v>
      </c>
      <c r="D11274" t="inlineStr">
        <is>
          <t>VÄSTERBOTTENS LÄN</t>
        </is>
      </c>
      <c r="E11274" t="inlineStr">
        <is>
          <t>ROBERTSFORS</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14649-2025</t>
        </is>
      </c>
      <c r="B11275" s="1" t="n">
        <v>45742.48995370371</v>
      </c>
      <c r="C11275" s="1" t="n">
        <v>46145</v>
      </c>
      <c r="D11275" t="inlineStr">
        <is>
          <t>VÄSTERBOTTENS LÄN</t>
        </is>
      </c>
      <c r="E11275" t="inlineStr">
        <is>
          <t>DOROTEA</t>
        </is>
      </c>
      <c r="F11275" t="inlineStr">
        <is>
          <t>SCA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50727-2024</t>
        </is>
      </c>
      <c r="B11276" s="1" t="n">
        <v>45602.38761574074</v>
      </c>
      <c r="C11276" s="1" t="n">
        <v>46145</v>
      </c>
      <c r="D11276" t="inlineStr">
        <is>
          <t>VÄSTERBOTTENS LÄN</t>
        </is>
      </c>
      <c r="E11276" t="inlineStr">
        <is>
          <t>BJURHOLM</t>
        </is>
      </c>
      <c r="G11276" t="n">
        <v>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50729-2024</t>
        </is>
      </c>
      <c r="B11277" s="1" t="n">
        <v>45602.38763888889</v>
      </c>
      <c r="C11277" s="1" t="n">
        <v>46145</v>
      </c>
      <c r="D11277" t="inlineStr">
        <is>
          <t>VÄSTERBOTTENS LÄN</t>
        </is>
      </c>
      <c r="E11277" t="inlineStr">
        <is>
          <t>BJURHOLM</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4251-2025</t>
        </is>
      </c>
      <c r="B11278" s="1" t="n">
        <v>45685.60450231482</v>
      </c>
      <c r="C11278" s="1" t="n">
        <v>46145</v>
      </c>
      <c r="D11278" t="inlineStr">
        <is>
          <t>VÄSTERBOTTENS LÄN</t>
        </is>
      </c>
      <c r="E11278" t="inlineStr">
        <is>
          <t>UMEÅ</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13913-2025</t>
        </is>
      </c>
      <c r="B11279" s="1" t="n">
        <v>45737.65015046296</v>
      </c>
      <c r="C11279" s="1" t="n">
        <v>46145</v>
      </c>
      <c r="D11279" t="inlineStr">
        <is>
          <t>VÄSTERBOTTENS LÄN</t>
        </is>
      </c>
      <c r="E11279" t="inlineStr">
        <is>
          <t>NORDMALING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7693-2025</t>
        </is>
      </c>
      <c r="B11280" s="1" t="n">
        <v>45706.39457175926</v>
      </c>
      <c r="C11280" s="1" t="n">
        <v>46145</v>
      </c>
      <c r="D11280" t="inlineStr">
        <is>
          <t>VÄSTERBOTTENS LÄN</t>
        </is>
      </c>
      <c r="E11280" t="inlineStr">
        <is>
          <t>UMEÅ</t>
        </is>
      </c>
      <c r="G11280" t="n">
        <v>19.7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7696-2025</t>
        </is>
      </c>
      <c r="B11281" s="1" t="n">
        <v>45706.39914351852</v>
      </c>
      <c r="C11281" s="1" t="n">
        <v>46145</v>
      </c>
      <c r="D11281" t="inlineStr">
        <is>
          <t>VÄSTERBOTTENS LÄN</t>
        </is>
      </c>
      <c r="E11281" t="inlineStr">
        <is>
          <t>UMEÅ</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8669-2025</t>
        </is>
      </c>
      <c r="B11282" s="1" t="n">
        <v>45712.41598379629</v>
      </c>
      <c r="C11282" s="1" t="n">
        <v>46145</v>
      </c>
      <c r="D11282" t="inlineStr">
        <is>
          <t>VÄSTERBOTTENS LÄN</t>
        </is>
      </c>
      <c r="E11282" t="inlineStr">
        <is>
          <t>SKELLEFTEÅ</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37038-2023</t>
        </is>
      </c>
      <c r="B11283" s="1" t="n">
        <v>45155</v>
      </c>
      <c r="C11283" s="1" t="n">
        <v>46145</v>
      </c>
      <c r="D11283" t="inlineStr">
        <is>
          <t>VÄSTERBOTTENS LÄN</t>
        </is>
      </c>
      <c r="E11283" t="inlineStr">
        <is>
          <t>SORSELE</t>
        </is>
      </c>
      <c r="F11283" t="inlineStr">
        <is>
          <t>Kyrkan</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60015-2023</t>
        </is>
      </c>
      <c r="B11284" s="1" t="n">
        <v>45257.97371527777</v>
      </c>
      <c r="C11284" s="1" t="n">
        <v>46145</v>
      </c>
      <c r="D11284" t="inlineStr">
        <is>
          <t>VÄSTERBOTTENS LÄN</t>
        </is>
      </c>
      <c r="E11284" t="inlineStr">
        <is>
          <t>DOROTEA</t>
        </is>
      </c>
      <c r="F11284" t="inlineStr">
        <is>
          <t>SCA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10234-2024</t>
        </is>
      </c>
      <c r="B11285" s="1" t="n">
        <v>45365.3278125</v>
      </c>
      <c r="C11285" s="1" t="n">
        <v>46145</v>
      </c>
      <c r="D11285" t="inlineStr">
        <is>
          <t>VÄSTERBOTTENS LÄN</t>
        </is>
      </c>
      <c r="E11285" t="inlineStr">
        <is>
          <t>ROBERTSFORS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11640-2024</t>
        </is>
      </c>
      <c r="B11286" s="1" t="n">
        <v>45373</v>
      </c>
      <c r="C11286" s="1" t="n">
        <v>46145</v>
      </c>
      <c r="D11286" t="inlineStr">
        <is>
          <t>VÄSTERBOTTENS LÄN</t>
        </is>
      </c>
      <c r="E11286" t="inlineStr">
        <is>
          <t>LYCKSELE</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22758-2022</t>
        </is>
      </c>
      <c r="B11287" s="1" t="n">
        <v>44714</v>
      </c>
      <c r="C11287" s="1" t="n">
        <v>46145</v>
      </c>
      <c r="D11287" t="inlineStr">
        <is>
          <t>VÄSTERBOTTENS LÄN</t>
        </is>
      </c>
      <c r="E11287" t="inlineStr">
        <is>
          <t>SKELLEFTEÅ</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16228-2024</t>
        </is>
      </c>
      <c r="B11288" s="1" t="n">
        <v>45406</v>
      </c>
      <c r="C11288" s="1" t="n">
        <v>46145</v>
      </c>
      <c r="D11288" t="inlineStr">
        <is>
          <t>VÄSTERBOTTENS LÄN</t>
        </is>
      </c>
      <c r="E11288" t="inlineStr">
        <is>
          <t>NORSJÖ</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56072-2022</t>
        </is>
      </c>
      <c r="B11289" s="1" t="n">
        <v>44889.60342592592</v>
      </c>
      <c r="C11289" s="1" t="n">
        <v>46145</v>
      </c>
      <c r="D11289" t="inlineStr">
        <is>
          <t>VÄSTERBOTTENS LÄN</t>
        </is>
      </c>
      <c r="E11289" t="inlineStr">
        <is>
          <t>SKELLEFTEÅ</t>
        </is>
      </c>
      <c r="F11289" t="inlineStr">
        <is>
          <t>Holmen skog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21098-2023</t>
        </is>
      </c>
      <c r="B11290" s="1" t="n">
        <v>45061.92824074074</v>
      </c>
      <c r="C11290" s="1" t="n">
        <v>46145</v>
      </c>
      <c r="D11290" t="inlineStr">
        <is>
          <t>VÄSTERBOTTENS LÄN</t>
        </is>
      </c>
      <c r="E11290" t="inlineStr">
        <is>
          <t>VINDELN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35213-2024</t>
        </is>
      </c>
      <c r="B11291" s="1" t="n">
        <v>45530</v>
      </c>
      <c r="C11291" s="1" t="n">
        <v>46145</v>
      </c>
      <c r="D11291" t="inlineStr">
        <is>
          <t>VÄSTERBOTTENS LÄN</t>
        </is>
      </c>
      <c r="E11291" t="inlineStr">
        <is>
          <t>SKELLEFTEÅ</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13126-2025</t>
        </is>
      </c>
      <c r="B11292" s="1" t="n">
        <v>45734.86883101852</v>
      </c>
      <c r="C11292" s="1" t="n">
        <v>46145</v>
      </c>
      <c r="D11292" t="inlineStr">
        <is>
          <t>VÄSTERBOTTENS LÄN</t>
        </is>
      </c>
      <c r="E11292" t="inlineStr">
        <is>
          <t>SKELLEFTEÅ</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13766-2025</t>
        </is>
      </c>
      <c r="B11293" s="1" t="n">
        <v>45737.43314814815</v>
      </c>
      <c r="C11293" s="1" t="n">
        <v>46145</v>
      </c>
      <c r="D11293" t="inlineStr">
        <is>
          <t>VÄSTERBOTTENS LÄN</t>
        </is>
      </c>
      <c r="E11293" t="inlineStr">
        <is>
          <t>UMEÅ</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43048-2024</t>
        </is>
      </c>
      <c r="B11294" s="1" t="n">
        <v>45567</v>
      </c>
      <c r="C11294" s="1" t="n">
        <v>46145</v>
      </c>
      <c r="D11294" t="inlineStr">
        <is>
          <t>VÄSTERBOTTENS LÄN</t>
        </is>
      </c>
      <c r="E11294" t="inlineStr">
        <is>
          <t>ÅSELE</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4676-2023</t>
        </is>
      </c>
      <c r="B11295" s="1" t="n">
        <v>44953</v>
      </c>
      <c r="C11295" s="1" t="n">
        <v>46145</v>
      </c>
      <c r="D11295" t="inlineStr">
        <is>
          <t>VÄSTERBOTTENS LÄN</t>
        </is>
      </c>
      <c r="E11295" t="inlineStr">
        <is>
          <t>VÄNNÄS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10291-2023</t>
        </is>
      </c>
      <c r="B11296" s="1" t="n">
        <v>44986</v>
      </c>
      <c r="C11296" s="1" t="n">
        <v>46145</v>
      </c>
      <c r="D11296" t="inlineStr">
        <is>
          <t>VÄSTERBOTTENS LÄN</t>
        </is>
      </c>
      <c r="E11296" t="inlineStr">
        <is>
          <t>SKELLEFTEÅ</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41992-2022</t>
        </is>
      </c>
      <c r="B11297" s="1" t="n">
        <v>44830.44271990741</v>
      </c>
      <c r="C11297" s="1" t="n">
        <v>46145</v>
      </c>
      <c r="D11297" t="inlineStr">
        <is>
          <t>VÄSTERBOTTENS LÄN</t>
        </is>
      </c>
      <c r="E11297" t="inlineStr">
        <is>
          <t>LYCKSELE</t>
        </is>
      </c>
      <c r="F11297" t="inlineStr">
        <is>
          <t>Holmen skog AB</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57191-2023</t>
        </is>
      </c>
      <c r="B11298" s="1" t="n">
        <v>45245</v>
      </c>
      <c r="C11298" s="1" t="n">
        <v>46145</v>
      </c>
      <c r="D11298" t="inlineStr">
        <is>
          <t>VÄSTERBOTTENS LÄN</t>
        </is>
      </c>
      <c r="E11298" t="inlineStr">
        <is>
          <t>SKELLEFTEÅ</t>
        </is>
      </c>
      <c r="F11298" t="inlineStr">
        <is>
          <t>Sveaskog</t>
        </is>
      </c>
      <c r="G11298" t="n">
        <v>11.3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48424-2023</t>
        </is>
      </c>
      <c r="B11299" s="1" t="n">
        <v>45205</v>
      </c>
      <c r="C11299" s="1" t="n">
        <v>46145</v>
      </c>
      <c r="D11299" t="inlineStr">
        <is>
          <t>VÄSTERBOTTENS LÄN</t>
        </is>
      </c>
      <c r="E11299" t="inlineStr">
        <is>
          <t>VILHELMINA</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17688-2025</t>
        </is>
      </c>
      <c r="B11300" s="1" t="n">
        <v>45758.39929398148</v>
      </c>
      <c r="C11300" s="1" t="n">
        <v>46145</v>
      </c>
      <c r="D11300" t="inlineStr">
        <is>
          <t>VÄSTERBOTTENS LÄN</t>
        </is>
      </c>
      <c r="E11300" t="inlineStr">
        <is>
          <t>LYCKSELE</t>
        </is>
      </c>
      <c r="F11300" t="inlineStr">
        <is>
          <t>Sveaskog</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10330-2024</t>
        </is>
      </c>
      <c r="B11301" s="1" t="n">
        <v>45365</v>
      </c>
      <c r="C11301" s="1" t="n">
        <v>46145</v>
      </c>
      <c r="D11301" t="inlineStr">
        <is>
          <t>VÄSTERBOTTENS LÄN</t>
        </is>
      </c>
      <c r="E11301" t="inlineStr">
        <is>
          <t>ROBERTSFORS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60502-2022</t>
        </is>
      </c>
      <c r="B11302" s="1" t="n">
        <v>44911.44655092592</v>
      </c>
      <c r="C11302" s="1" t="n">
        <v>46145</v>
      </c>
      <c r="D11302" t="inlineStr">
        <is>
          <t>VÄSTERBOTTENS LÄN</t>
        </is>
      </c>
      <c r="E11302" t="inlineStr">
        <is>
          <t>SKELLEFTEÅ</t>
        </is>
      </c>
      <c r="F11302" t="inlineStr">
        <is>
          <t>Sveaskog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531-2023</t>
        </is>
      </c>
      <c r="B11303" s="1" t="n">
        <v>44925</v>
      </c>
      <c r="C11303" s="1" t="n">
        <v>46145</v>
      </c>
      <c r="D11303" t="inlineStr">
        <is>
          <t>VÄSTERBOTTENS LÄN</t>
        </is>
      </c>
      <c r="E11303" t="inlineStr">
        <is>
          <t>SKELLEFTEÅ</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44714-2021</t>
        </is>
      </c>
      <c r="B11304" s="1" t="n">
        <v>44435</v>
      </c>
      <c r="C11304" s="1" t="n">
        <v>46145</v>
      </c>
      <c r="D11304" t="inlineStr">
        <is>
          <t>VÄSTERBOTTENS LÄN</t>
        </is>
      </c>
      <c r="E11304" t="inlineStr">
        <is>
          <t>VILHELMINA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5232-2025</t>
        </is>
      </c>
      <c r="B11305" s="1" t="n">
        <v>45691</v>
      </c>
      <c r="C11305" s="1" t="n">
        <v>46145</v>
      </c>
      <c r="D11305" t="inlineStr">
        <is>
          <t>VÄSTERBOTTENS LÄN</t>
        </is>
      </c>
      <c r="E11305" t="inlineStr">
        <is>
          <t>UMEÅ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47062-2024</t>
        </is>
      </c>
      <c r="B11306" s="1" t="n">
        <v>45585</v>
      </c>
      <c r="C11306" s="1" t="n">
        <v>46145</v>
      </c>
      <c r="D11306" t="inlineStr">
        <is>
          <t>VÄSTERBOTTENS LÄN</t>
        </is>
      </c>
      <c r="E11306" t="inlineStr">
        <is>
          <t>SKELLEFTEÅ</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39260-2024</t>
        </is>
      </c>
      <c r="B11307" s="1" t="n">
        <v>45551.33335648148</v>
      </c>
      <c r="C11307" s="1" t="n">
        <v>46145</v>
      </c>
      <c r="D11307" t="inlineStr">
        <is>
          <t>VÄSTERBOTTENS LÄN</t>
        </is>
      </c>
      <c r="E11307" t="inlineStr">
        <is>
          <t>STORUMAN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9015-2025</t>
        </is>
      </c>
      <c r="B11308" s="1" t="n">
        <v>45713.59037037037</v>
      </c>
      <c r="C11308" s="1" t="n">
        <v>46145</v>
      </c>
      <c r="D11308" t="inlineStr">
        <is>
          <t>VÄSTERBOTTENS LÄN</t>
        </is>
      </c>
      <c r="E11308" t="inlineStr">
        <is>
          <t>NORDMALING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56444-2024</t>
        </is>
      </c>
      <c r="B11309" s="1" t="n">
        <v>45625.42461805556</v>
      </c>
      <c r="C11309" s="1" t="n">
        <v>46145</v>
      </c>
      <c r="D11309" t="inlineStr">
        <is>
          <t>VÄSTERBOTTENS LÄN</t>
        </is>
      </c>
      <c r="E11309" t="inlineStr">
        <is>
          <t>SKELLEFTEÅ</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62106-2022</t>
        </is>
      </c>
      <c r="B11310" s="1" t="n">
        <v>44920</v>
      </c>
      <c r="C11310" s="1" t="n">
        <v>46145</v>
      </c>
      <c r="D11310" t="inlineStr">
        <is>
          <t>VÄSTERBOTTENS LÄN</t>
        </is>
      </c>
      <c r="E11310" t="inlineStr">
        <is>
          <t>UMEÅ</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26582-2023</t>
        </is>
      </c>
      <c r="B11311" s="1" t="n">
        <v>45090</v>
      </c>
      <c r="C11311" s="1" t="n">
        <v>46145</v>
      </c>
      <c r="D11311" t="inlineStr">
        <is>
          <t>VÄSTERBOTTENS LÄN</t>
        </is>
      </c>
      <c r="E11311" t="inlineStr">
        <is>
          <t>SORSELE</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52832-2024</t>
        </is>
      </c>
      <c r="B11312" s="1" t="n">
        <v>45610.59431712963</v>
      </c>
      <c r="C11312" s="1" t="n">
        <v>46145</v>
      </c>
      <c r="D11312" t="inlineStr">
        <is>
          <t>VÄSTERBOTTENS LÄN</t>
        </is>
      </c>
      <c r="E11312" t="inlineStr">
        <is>
          <t>ROBERTSFORS</t>
        </is>
      </c>
      <c r="F11312" t="inlineStr">
        <is>
          <t>SCA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10334-2023</t>
        </is>
      </c>
      <c r="B11313" s="1" t="n">
        <v>44980</v>
      </c>
      <c r="C11313" s="1" t="n">
        <v>46145</v>
      </c>
      <c r="D11313" t="inlineStr">
        <is>
          <t>VÄSTERBOTTENS LÄN</t>
        </is>
      </c>
      <c r="E11313" t="inlineStr">
        <is>
          <t>ROBERTSFORS</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41190-2024</t>
        </is>
      </c>
      <c r="B11314" s="1" t="n">
        <v>45559.50627314814</v>
      </c>
      <c r="C11314" s="1" t="n">
        <v>46145</v>
      </c>
      <c r="D11314" t="inlineStr">
        <is>
          <t>VÄSTERBOTTENS LÄN</t>
        </is>
      </c>
      <c r="E11314" t="inlineStr">
        <is>
          <t>SKELLEFTEÅ</t>
        </is>
      </c>
      <c r="F11314" t="inlineStr">
        <is>
          <t>Holmen skog AB</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60723-2022</t>
        </is>
      </c>
      <c r="B11315" s="1" t="n">
        <v>44913.44049768519</v>
      </c>
      <c r="C11315" s="1" t="n">
        <v>46145</v>
      </c>
      <c r="D11315" t="inlineStr">
        <is>
          <t>VÄSTERBOTTENS LÄN</t>
        </is>
      </c>
      <c r="E11315" t="inlineStr">
        <is>
          <t>LYCKSELE</t>
        </is>
      </c>
      <c r="G11315" t="n">
        <v>14.9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44620-2024</t>
        </is>
      </c>
      <c r="B11316" s="1" t="n">
        <v>45574.51318287037</v>
      </c>
      <c r="C11316" s="1" t="n">
        <v>46145</v>
      </c>
      <c r="D11316" t="inlineStr">
        <is>
          <t>VÄSTERBOTTENS LÄN</t>
        </is>
      </c>
      <c r="E11316" t="inlineStr">
        <is>
          <t>DOROTEA</t>
        </is>
      </c>
      <c r="F11316" t="inlineStr">
        <is>
          <t>SCA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60542-2024</t>
        </is>
      </c>
      <c r="B11317" s="1" t="n">
        <v>45643.79216435185</v>
      </c>
      <c r="C11317" s="1" t="n">
        <v>46145</v>
      </c>
      <c r="D11317" t="inlineStr">
        <is>
          <t>VÄSTERBOTTENS LÄN</t>
        </is>
      </c>
      <c r="E11317" t="inlineStr">
        <is>
          <t>LYCKSELE</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39995-2021</t>
        </is>
      </c>
      <c r="B11318" s="1" t="n">
        <v>44417</v>
      </c>
      <c r="C11318" s="1" t="n">
        <v>46145</v>
      </c>
      <c r="D11318" t="inlineStr">
        <is>
          <t>VÄSTERBOTTENS LÄN</t>
        </is>
      </c>
      <c r="E11318" t="inlineStr">
        <is>
          <t>NORSJÖ</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2429-2025</t>
        </is>
      </c>
      <c r="B11319" s="1" t="n">
        <v>45674.40556712963</v>
      </c>
      <c r="C11319" s="1" t="n">
        <v>46145</v>
      </c>
      <c r="D11319" t="inlineStr">
        <is>
          <t>VÄSTERBOTTENS LÄN</t>
        </is>
      </c>
      <c r="E11319" t="inlineStr">
        <is>
          <t>VINDELN</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10647-2023</t>
        </is>
      </c>
      <c r="B11320" s="1" t="n">
        <v>44984</v>
      </c>
      <c r="C11320" s="1" t="n">
        <v>46145</v>
      </c>
      <c r="D11320" t="inlineStr">
        <is>
          <t>VÄSTERBOTTENS LÄN</t>
        </is>
      </c>
      <c r="E11320" t="inlineStr">
        <is>
          <t>SKELLEFTEÅ</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28337-2022</t>
        </is>
      </c>
      <c r="B11321" s="1" t="n">
        <v>44747.42982638889</v>
      </c>
      <c r="C11321" s="1" t="n">
        <v>46145</v>
      </c>
      <c r="D11321" t="inlineStr">
        <is>
          <t>VÄSTERBOTTENS LÄN</t>
        </is>
      </c>
      <c r="E11321" t="inlineStr">
        <is>
          <t>VÄNNÄS</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61283-2023</t>
        </is>
      </c>
      <c r="B11322" s="1" t="n">
        <v>45264</v>
      </c>
      <c r="C11322" s="1" t="n">
        <v>46145</v>
      </c>
      <c r="D11322" t="inlineStr">
        <is>
          <t>VÄSTERBOTTENS LÄN</t>
        </is>
      </c>
      <c r="E11322" t="inlineStr">
        <is>
          <t>NORDMALING</t>
        </is>
      </c>
      <c r="F11322" t="inlineStr">
        <is>
          <t>Sveaskog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70186-2021</t>
        </is>
      </c>
      <c r="B11323" s="1" t="n">
        <v>44533.94483796296</v>
      </c>
      <c r="C11323" s="1" t="n">
        <v>46145</v>
      </c>
      <c r="D11323" t="inlineStr">
        <is>
          <t>VÄSTERBOTTENS LÄN</t>
        </is>
      </c>
      <c r="E11323" t="inlineStr">
        <is>
          <t>ÅSELE</t>
        </is>
      </c>
      <c r="F11323" t="inlineStr">
        <is>
          <t>SCA</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45643-2024</t>
        </is>
      </c>
      <c r="B11324" s="1" t="n">
        <v>45579</v>
      </c>
      <c r="C11324" s="1" t="n">
        <v>46145</v>
      </c>
      <c r="D11324" t="inlineStr">
        <is>
          <t>VÄSTERBOTTENS LÄN</t>
        </is>
      </c>
      <c r="E11324" t="inlineStr">
        <is>
          <t>SKELLEFTEÅ</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61631-2022</t>
        </is>
      </c>
      <c r="B11325" s="1" t="n">
        <v>44916.69783564815</v>
      </c>
      <c r="C11325" s="1" t="n">
        <v>46145</v>
      </c>
      <c r="D11325" t="inlineStr">
        <is>
          <t>VÄSTERBOTTENS LÄN</t>
        </is>
      </c>
      <c r="E11325" t="inlineStr">
        <is>
          <t>SKELLEFTEÅ</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61635-2022</t>
        </is>
      </c>
      <c r="B11326" s="1" t="n">
        <v>44916.71002314815</v>
      </c>
      <c r="C11326" s="1" t="n">
        <v>46145</v>
      </c>
      <c r="D11326" t="inlineStr">
        <is>
          <t>VÄSTERBOTTENS LÄN</t>
        </is>
      </c>
      <c r="E11326" t="inlineStr">
        <is>
          <t>SKELLEFTEÅ</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30815-2024</t>
        </is>
      </c>
      <c r="B11327" s="1" t="n">
        <v>45497</v>
      </c>
      <c r="C11327" s="1" t="n">
        <v>46145</v>
      </c>
      <c r="D11327" t="inlineStr">
        <is>
          <t>VÄSTERBOTTENS LÄN</t>
        </is>
      </c>
      <c r="E11327" t="inlineStr">
        <is>
          <t>STORUMAN</t>
        </is>
      </c>
      <c r="G11327" t="n">
        <v>25.8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19221-2025</t>
        </is>
      </c>
      <c r="B11328" s="1" t="n">
        <v>45769</v>
      </c>
      <c r="C11328" s="1" t="n">
        <v>46145</v>
      </c>
      <c r="D11328" t="inlineStr">
        <is>
          <t>VÄSTERBOTTENS LÄN</t>
        </is>
      </c>
      <c r="E11328" t="inlineStr">
        <is>
          <t>VILHELMINA</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8556-2025</t>
        </is>
      </c>
      <c r="B11329" s="1" t="n">
        <v>45709</v>
      </c>
      <c r="C11329" s="1" t="n">
        <v>46145</v>
      </c>
      <c r="D11329" t="inlineStr">
        <is>
          <t>VÄSTERBOTTENS LÄN</t>
        </is>
      </c>
      <c r="E11329" t="inlineStr">
        <is>
          <t>VILHELMINA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60577-2022</t>
        </is>
      </c>
      <c r="B11330" s="1" t="n">
        <v>44911</v>
      </c>
      <c r="C11330" s="1" t="n">
        <v>46145</v>
      </c>
      <c r="D11330" t="inlineStr">
        <is>
          <t>VÄSTERBOTTENS LÄN</t>
        </is>
      </c>
      <c r="E11330" t="inlineStr">
        <is>
          <t>MALÅ</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57324-2022</t>
        </is>
      </c>
      <c r="B11331" s="1" t="n">
        <v>44889</v>
      </c>
      <c r="C11331" s="1" t="n">
        <v>46145</v>
      </c>
      <c r="D11331" t="inlineStr">
        <is>
          <t>VÄSTERBOTTENS LÄN</t>
        </is>
      </c>
      <c r="E11331" t="inlineStr">
        <is>
          <t>VILHELMINA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56277-2023</t>
        </is>
      </c>
      <c r="B11332" s="1" t="n">
        <v>45241.61490740741</v>
      </c>
      <c r="C11332" s="1" t="n">
        <v>46145</v>
      </c>
      <c r="D11332" t="inlineStr">
        <is>
          <t>VÄSTERBOTTENS LÄN</t>
        </is>
      </c>
      <c r="E11332" t="inlineStr">
        <is>
          <t>NORDMALING</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2922-2025</t>
        </is>
      </c>
      <c r="B11333" s="1" t="n">
        <v>45678.32327546296</v>
      </c>
      <c r="C11333" s="1" t="n">
        <v>46145</v>
      </c>
      <c r="D11333" t="inlineStr">
        <is>
          <t>VÄSTERBOTTENS LÄN</t>
        </is>
      </c>
      <c r="E11333" t="inlineStr">
        <is>
          <t>NORDMALING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2963-2025</t>
        </is>
      </c>
      <c r="B11334" s="1" t="n">
        <v>45678.45770833334</v>
      </c>
      <c r="C11334" s="1" t="n">
        <v>46145</v>
      </c>
      <c r="D11334" t="inlineStr">
        <is>
          <t>VÄSTERBOTTENS LÄN</t>
        </is>
      </c>
      <c r="E11334" t="inlineStr">
        <is>
          <t>SKELLEFTEÅ</t>
        </is>
      </c>
      <c r="F11334" t="inlineStr">
        <is>
          <t>Holmen skog AB</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2964-2025</t>
        </is>
      </c>
      <c r="B11335" s="1" t="n">
        <v>45678.45819444444</v>
      </c>
      <c r="C11335" s="1" t="n">
        <v>46145</v>
      </c>
      <c r="D11335" t="inlineStr">
        <is>
          <t>VÄSTERBOTTENS LÄN</t>
        </is>
      </c>
      <c r="E11335" t="inlineStr">
        <is>
          <t>NORSJÖ</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25558-2024</t>
        </is>
      </c>
      <c r="B11336" s="1" t="n">
        <v>45463.58045138889</v>
      </c>
      <c r="C11336" s="1" t="n">
        <v>46145</v>
      </c>
      <c r="D11336" t="inlineStr">
        <is>
          <t>VÄSTERBOTTENS LÄN</t>
        </is>
      </c>
      <c r="E11336" t="inlineStr">
        <is>
          <t>ÅSELE</t>
        </is>
      </c>
      <c r="F11336" t="inlineStr">
        <is>
          <t>Sveaskog</t>
        </is>
      </c>
      <c r="G11336" t="n">
        <v>18.1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22907-2024</t>
        </is>
      </c>
      <c r="B11337" s="1" t="n">
        <v>45448</v>
      </c>
      <c r="C11337" s="1" t="n">
        <v>46145</v>
      </c>
      <c r="D11337" t="inlineStr">
        <is>
          <t>VÄSTERBOTTENS LÄN</t>
        </is>
      </c>
      <c r="E11337" t="inlineStr">
        <is>
          <t>VINDELN</t>
        </is>
      </c>
      <c r="F11337" t="inlineStr">
        <is>
          <t>Holmen skog AB</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14254-2025</t>
        </is>
      </c>
      <c r="B11338" s="1" t="n">
        <v>45740.61644675926</v>
      </c>
      <c r="C11338" s="1" t="n">
        <v>46145</v>
      </c>
      <c r="D11338" t="inlineStr">
        <is>
          <t>VÄSTERBOTTENS LÄN</t>
        </is>
      </c>
      <c r="E11338" t="inlineStr">
        <is>
          <t>VILHELMINA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43680-2024</t>
        </is>
      </c>
      <c r="B11339" s="1" t="n">
        <v>45569.57216435186</v>
      </c>
      <c r="C11339" s="1" t="n">
        <v>46145</v>
      </c>
      <c r="D11339" t="inlineStr">
        <is>
          <t>VÄSTERBOTTENS LÄN</t>
        </is>
      </c>
      <c r="E11339" t="inlineStr">
        <is>
          <t>STORUMAN</t>
        </is>
      </c>
      <c r="F11339" t="inlineStr">
        <is>
          <t>Holmen skog AB</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14304-2025</t>
        </is>
      </c>
      <c r="B11340" s="1" t="n">
        <v>45740.69827546296</v>
      </c>
      <c r="C11340" s="1" t="n">
        <v>46145</v>
      </c>
      <c r="D11340" t="inlineStr">
        <is>
          <t>VÄSTERBOTTENS LÄN</t>
        </is>
      </c>
      <c r="E11340" t="inlineStr">
        <is>
          <t>MALÅ</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60143-2022</t>
        </is>
      </c>
      <c r="B11341" s="1" t="n">
        <v>44909</v>
      </c>
      <c r="C11341" s="1" t="n">
        <v>46145</v>
      </c>
      <c r="D11341" t="inlineStr">
        <is>
          <t>VÄSTERBOTTENS LÄN</t>
        </is>
      </c>
      <c r="E11341" t="inlineStr">
        <is>
          <t>LYCKSELE</t>
        </is>
      </c>
      <c r="F11341" t="inlineStr">
        <is>
          <t>Sveaskog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31031-2024</t>
        </is>
      </c>
      <c r="B11342" s="1" t="n">
        <v>45501.40922453703</v>
      </c>
      <c r="C11342" s="1" t="n">
        <v>46145</v>
      </c>
      <c r="D11342" t="inlineStr">
        <is>
          <t>VÄSTERBOTTENS LÄN</t>
        </is>
      </c>
      <c r="E11342" t="inlineStr">
        <is>
          <t>UMEÅ</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12278-2023</t>
        </is>
      </c>
      <c r="B11343" s="1" t="n">
        <v>44998</v>
      </c>
      <c r="C11343" s="1" t="n">
        <v>46145</v>
      </c>
      <c r="D11343" t="inlineStr">
        <is>
          <t>VÄSTERBOTTENS LÄN</t>
        </is>
      </c>
      <c r="E11343" t="inlineStr">
        <is>
          <t>DOROTEA</t>
        </is>
      </c>
      <c r="G11343" t="n">
        <v>12.5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15239-2025</t>
        </is>
      </c>
      <c r="B11344" s="1" t="n">
        <v>45744.61188657407</v>
      </c>
      <c r="C11344" s="1" t="n">
        <v>46145</v>
      </c>
      <c r="D11344" t="inlineStr">
        <is>
          <t>VÄSTERBOTTENS LÄN</t>
        </is>
      </c>
      <c r="E11344" t="inlineStr">
        <is>
          <t>LYCKSELE</t>
        </is>
      </c>
      <c r="F11344" t="inlineStr">
        <is>
          <t>Holmen skog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43491-2024</t>
        </is>
      </c>
      <c r="B11345" s="1" t="n">
        <v>45568</v>
      </c>
      <c r="C11345" s="1" t="n">
        <v>46145</v>
      </c>
      <c r="D11345" t="inlineStr">
        <is>
          <t>VÄSTERBOTTENS LÄN</t>
        </is>
      </c>
      <c r="E11345" t="inlineStr">
        <is>
          <t>NORDMALING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43492-2024</t>
        </is>
      </c>
      <c r="B11346" s="1" t="n">
        <v>45568.92467592593</v>
      </c>
      <c r="C11346" s="1" t="n">
        <v>46145</v>
      </c>
      <c r="D11346" t="inlineStr">
        <is>
          <t>VÄSTERBOTTENS LÄN</t>
        </is>
      </c>
      <c r="E11346" t="inlineStr">
        <is>
          <t>NORDMALING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3017-2024</t>
        </is>
      </c>
      <c r="B11347" s="1" t="n">
        <v>45315.9491087963</v>
      </c>
      <c r="C11347" s="1" t="n">
        <v>46145</v>
      </c>
      <c r="D11347" t="inlineStr">
        <is>
          <t>VÄSTERBOTTENS LÄN</t>
        </is>
      </c>
      <c r="E11347" t="inlineStr">
        <is>
          <t>DOROTEA</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11715-2025</t>
        </is>
      </c>
      <c r="B11348" s="1" t="n">
        <v>45727.60585648148</v>
      </c>
      <c r="C11348" s="1" t="n">
        <v>46145</v>
      </c>
      <c r="D11348" t="inlineStr">
        <is>
          <t>VÄSTERBOTTENS LÄN</t>
        </is>
      </c>
      <c r="E11348" t="inlineStr">
        <is>
          <t>BJURHOLM</t>
        </is>
      </c>
      <c r="G11348" t="n">
        <v>11.3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19412-2024</t>
        </is>
      </c>
      <c r="B11349" s="1" t="n">
        <v>45429.40755787037</v>
      </c>
      <c r="C11349" s="1" t="n">
        <v>46145</v>
      </c>
      <c r="D11349" t="inlineStr">
        <is>
          <t>VÄSTERBOTTENS LÄN</t>
        </is>
      </c>
      <c r="E11349" t="inlineStr">
        <is>
          <t>NORSJÖ</t>
        </is>
      </c>
      <c r="F11349" t="inlineStr">
        <is>
          <t>Holmen skog AB</t>
        </is>
      </c>
      <c r="G11349" t="n">
        <v>8.6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47472-2024</t>
        </is>
      </c>
      <c r="B11350" s="1" t="n">
        <v>45587.5741087963</v>
      </c>
      <c r="C11350" s="1" t="n">
        <v>46145</v>
      </c>
      <c r="D11350" t="inlineStr">
        <is>
          <t>VÄSTERBOTTENS LÄN</t>
        </is>
      </c>
      <c r="E11350" t="inlineStr">
        <is>
          <t>VÄNNÄS</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17893-2024</t>
        </is>
      </c>
      <c r="B11351" s="1" t="n">
        <v>45419.48121527778</v>
      </c>
      <c r="C11351" s="1" t="n">
        <v>46145</v>
      </c>
      <c r="D11351" t="inlineStr">
        <is>
          <t>VÄSTERBOTTENS LÄN</t>
        </is>
      </c>
      <c r="E11351" t="inlineStr">
        <is>
          <t>NORDMALING</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58775-2024</t>
        </is>
      </c>
      <c r="B11352" s="1" t="n">
        <v>45635.80533564815</v>
      </c>
      <c r="C11352" s="1" t="n">
        <v>46145</v>
      </c>
      <c r="D11352" t="inlineStr">
        <is>
          <t>VÄSTERBOTTENS LÄN</t>
        </is>
      </c>
      <c r="E11352" t="inlineStr">
        <is>
          <t>SKELLEFTEÅ</t>
        </is>
      </c>
      <c r="F11352" t="inlineStr">
        <is>
          <t>Sveaskog</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38478-2024</t>
        </is>
      </c>
      <c r="B11353" s="1" t="n">
        <v>45546</v>
      </c>
      <c r="C11353" s="1" t="n">
        <v>46145</v>
      </c>
      <c r="D11353" t="inlineStr">
        <is>
          <t>VÄSTERBOTTENS LÄN</t>
        </is>
      </c>
      <c r="E11353" t="inlineStr">
        <is>
          <t>LYCKSELE</t>
        </is>
      </c>
      <c r="G11353" t="n">
        <v>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47224-2024</t>
        </is>
      </c>
      <c r="B11354" s="1" t="n">
        <v>45586.67015046296</v>
      </c>
      <c r="C11354" s="1" t="n">
        <v>46145</v>
      </c>
      <c r="D11354" t="inlineStr">
        <is>
          <t>VÄSTERBOTTENS LÄN</t>
        </is>
      </c>
      <c r="E11354" t="inlineStr">
        <is>
          <t>NORSJÖ</t>
        </is>
      </c>
      <c r="F11354" t="inlineStr">
        <is>
          <t>Sveaskog</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17307-2025</t>
        </is>
      </c>
      <c r="B11355" s="1" t="n">
        <v>45756</v>
      </c>
      <c r="C11355" s="1" t="n">
        <v>46145</v>
      </c>
      <c r="D11355" t="inlineStr">
        <is>
          <t>VÄSTERBOTTENS LÄN</t>
        </is>
      </c>
      <c r="E11355" t="inlineStr">
        <is>
          <t>VILHELMINA</t>
        </is>
      </c>
      <c r="G11355" t="n">
        <v>11.2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59664-2022</t>
        </is>
      </c>
      <c r="B11356" s="1" t="n">
        <v>44908.33321759259</v>
      </c>
      <c r="C11356" s="1" t="n">
        <v>46145</v>
      </c>
      <c r="D11356" t="inlineStr">
        <is>
          <t>VÄSTERBOTTENS LÄN</t>
        </is>
      </c>
      <c r="E11356" t="inlineStr">
        <is>
          <t>SKELLEFTEÅ</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2609-2024</t>
        </is>
      </c>
      <c r="B11357" s="1" t="n">
        <v>45313</v>
      </c>
      <c r="C11357" s="1" t="n">
        <v>46145</v>
      </c>
      <c r="D11357" t="inlineStr">
        <is>
          <t>VÄSTERBOTTENS LÄN</t>
        </is>
      </c>
      <c r="E11357" t="inlineStr">
        <is>
          <t>ÅSELE</t>
        </is>
      </c>
      <c r="F11357" t="inlineStr">
        <is>
          <t>Övriga Aktiebolag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60663-2024</t>
        </is>
      </c>
      <c r="B11358" s="1" t="n">
        <v>45644</v>
      </c>
      <c r="C11358" s="1" t="n">
        <v>46145</v>
      </c>
      <c r="D11358" t="inlineStr">
        <is>
          <t>VÄSTERBOTTENS LÄN</t>
        </is>
      </c>
      <c r="E11358" t="inlineStr">
        <is>
          <t>NORSJÖ</t>
        </is>
      </c>
      <c r="F11358" t="inlineStr">
        <is>
          <t>Kommuner</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10402-2025</t>
        </is>
      </c>
      <c r="B11359" s="1" t="n">
        <v>45720.61511574074</v>
      </c>
      <c r="C11359" s="1" t="n">
        <v>46145</v>
      </c>
      <c r="D11359" t="inlineStr">
        <is>
          <t>VÄSTERBOTTENS LÄN</t>
        </is>
      </c>
      <c r="E11359" t="inlineStr">
        <is>
          <t>DOROTEA</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35128-2024</t>
        </is>
      </c>
      <c r="B11360" s="1" t="n">
        <v>45530</v>
      </c>
      <c r="C11360" s="1" t="n">
        <v>46145</v>
      </c>
      <c r="D11360" t="inlineStr">
        <is>
          <t>VÄSTERBOTTENS LÄN</t>
        </is>
      </c>
      <c r="E11360" t="inlineStr">
        <is>
          <t>VINDELN</t>
        </is>
      </c>
      <c r="G11360" t="n">
        <v>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35135-2024</t>
        </is>
      </c>
      <c r="B11361" s="1" t="n">
        <v>45530.34371527778</v>
      </c>
      <c r="C11361" s="1" t="n">
        <v>46145</v>
      </c>
      <c r="D11361" t="inlineStr">
        <is>
          <t>VÄSTERBOTTENS LÄN</t>
        </is>
      </c>
      <c r="E11361" t="inlineStr">
        <is>
          <t>SKELLEFTEÅ</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80-2025</t>
        </is>
      </c>
      <c r="B11362" s="1" t="n">
        <v>45659.44478009259</v>
      </c>
      <c r="C11362" s="1" t="n">
        <v>46145</v>
      </c>
      <c r="D11362" t="inlineStr">
        <is>
          <t>VÄSTERBOTTENS LÄN</t>
        </is>
      </c>
      <c r="E11362" t="inlineStr">
        <is>
          <t>BJURHOLM</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41668-2024</t>
        </is>
      </c>
      <c r="B11363" s="1" t="n">
        <v>45560.65291666667</v>
      </c>
      <c r="C11363" s="1" t="n">
        <v>46145</v>
      </c>
      <c r="D11363" t="inlineStr">
        <is>
          <t>VÄSTERBOTTENS LÄN</t>
        </is>
      </c>
      <c r="E11363" t="inlineStr">
        <is>
          <t>VINDELN</t>
        </is>
      </c>
      <c r="F11363" t="inlineStr">
        <is>
          <t>Sveaskog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46108-2024</t>
        </is>
      </c>
      <c r="B11364" s="1" t="n">
        <v>45581</v>
      </c>
      <c r="C11364" s="1" t="n">
        <v>46145</v>
      </c>
      <c r="D11364" t="inlineStr">
        <is>
          <t>VÄSTERBOTTENS LÄN</t>
        </is>
      </c>
      <c r="E11364" t="inlineStr">
        <is>
          <t>SKELLEFTEÅ</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37543-2024</t>
        </is>
      </c>
      <c r="B11365" s="1" t="n">
        <v>45541.42739583334</v>
      </c>
      <c r="C11365" s="1" t="n">
        <v>46145</v>
      </c>
      <c r="D11365" t="inlineStr">
        <is>
          <t>VÄSTERBOTTENS LÄN</t>
        </is>
      </c>
      <c r="E11365" t="inlineStr">
        <is>
          <t>VINDELN</t>
        </is>
      </c>
      <c r="F11365" t="inlineStr">
        <is>
          <t>SCA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37544-2024</t>
        </is>
      </c>
      <c r="B11366" s="1" t="n">
        <v>45541.42741898148</v>
      </c>
      <c r="C11366" s="1" t="n">
        <v>46145</v>
      </c>
      <c r="D11366" t="inlineStr">
        <is>
          <t>VÄSTERBOTTENS LÄN</t>
        </is>
      </c>
      <c r="E11366" t="inlineStr">
        <is>
          <t>VINDELN</t>
        </is>
      </c>
      <c r="F11366" t="inlineStr">
        <is>
          <t>SCA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48248-2024</t>
        </is>
      </c>
      <c r="B11367" s="1" t="n">
        <v>45590.40659722222</v>
      </c>
      <c r="C11367" s="1" t="n">
        <v>46145</v>
      </c>
      <c r="D11367" t="inlineStr">
        <is>
          <t>VÄSTERBOTTENS LÄN</t>
        </is>
      </c>
      <c r="E11367" t="inlineStr">
        <is>
          <t>ÅSELE</t>
        </is>
      </c>
      <c r="F11367" t="inlineStr">
        <is>
          <t>SCA</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48314-2024</t>
        </is>
      </c>
      <c r="B11368" s="1" t="n">
        <v>45590.48991898148</v>
      </c>
      <c r="C11368" s="1" t="n">
        <v>46145</v>
      </c>
      <c r="D11368" t="inlineStr">
        <is>
          <t>VÄSTERBOTTENS LÄN</t>
        </is>
      </c>
      <c r="E11368" t="inlineStr">
        <is>
          <t>BJURHOLM</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36880-2023</t>
        </is>
      </c>
      <c r="B11369" s="1" t="n">
        <v>45154.58393518518</v>
      </c>
      <c r="C11369" s="1" t="n">
        <v>46145</v>
      </c>
      <c r="D11369" t="inlineStr">
        <is>
          <t>VÄSTERBOTTENS LÄN</t>
        </is>
      </c>
      <c r="E11369" t="inlineStr">
        <is>
          <t>ÅSELE</t>
        </is>
      </c>
      <c r="F11369" t="inlineStr">
        <is>
          <t>Holmen skog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23718-2023</t>
        </is>
      </c>
      <c r="B11370" s="1" t="n">
        <v>45077.66282407408</v>
      </c>
      <c r="C11370" s="1" t="n">
        <v>46145</v>
      </c>
      <c r="D11370" t="inlineStr">
        <is>
          <t>VÄSTERBOTTENS LÄN</t>
        </is>
      </c>
      <c r="E11370" t="inlineStr">
        <is>
          <t>UMEÅ</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2794-2025</t>
        </is>
      </c>
      <c r="B11371" s="1" t="n">
        <v>45677.56866898148</v>
      </c>
      <c r="C11371" s="1" t="n">
        <v>46145</v>
      </c>
      <c r="D11371" t="inlineStr">
        <is>
          <t>VÄSTERBOTTENS LÄN</t>
        </is>
      </c>
      <c r="E11371" t="inlineStr">
        <is>
          <t>LYCKSELE</t>
        </is>
      </c>
      <c r="F11371" t="inlineStr">
        <is>
          <t>Sveaskog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54143-2024</t>
        </is>
      </c>
      <c r="B11372" s="1" t="n">
        <v>45616</v>
      </c>
      <c r="C11372" s="1" t="n">
        <v>46145</v>
      </c>
      <c r="D11372" t="inlineStr">
        <is>
          <t>VÄSTERBOTTENS LÄN</t>
        </is>
      </c>
      <c r="E11372" t="inlineStr">
        <is>
          <t>UMEÅ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35006-2023</t>
        </is>
      </c>
      <c r="B11373" s="1" t="n">
        <v>45142.95103009259</v>
      </c>
      <c r="C11373" s="1" t="n">
        <v>46145</v>
      </c>
      <c r="D11373" t="inlineStr">
        <is>
          <t>VÄSTERBOTTENS LÄN</t>
        </is>
      </c>
      <c r="E11373" t="inlineStr">
        <is>
          <t>VILHELMINA</t>
        </is>
      </c>
      <c r="F11373" t="inlineStr">
        <is>
          <t>SCA</t>
        </is>
      </c>
      <c r="G11373" t="n">
        <v>11.6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252-2025</t>
        </is>
      </c>
      <c r="B11374" s="1" t="n">
        <v>45660.42734953704</v>
      </c>
      <c r="C11374" s="1" t="n">
        <v>46145</v>
      </c>
      <c r="D11374" t="inlineStr">
        <is>
          <t>VÄSTERBOTTENS LÄN</t>
        </is>
      </c>
      <c r="E11374" t="inlineStr">
        <is>
          <t>VILHELMINA</t>
        </is>
      </c>
      <c r="F11374" t="inlineStr">
        <is>
          <t>SCA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4210-2025</t>
        </is>
      </c>
      <c r="B11375" s="1" t="n">
        <v>45685.48523148148</v>
      </c>
      <c r="C11375" s="1" t="n">
        <v>46145</v>
      </c>
      <c r="D11375" t="inlineStr">
        <is>
          <t>VÄSTERBOTTENS LÄN</t>
        </is>
      </c>
      <c r="E11375" t="inlineStr">
        <is>
          <t>VINDELN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50187-2023</t>
        </is>
      </c>
      <c r="B11376" s="1" t="n">
        <v>45215.78850694445</v>
      </c>
      <c r="C11376" s="1" t="n">
        <v>46145</v>
      </c>
      <c r="D11376" t="inlineStr">
        <is>
          <t>VÄSTERBOTTENS LÄN</t>
        </is>
      </c>
      <c r="E11376" t="inlineStr">
        <is>
          <t>ROBERTSFORS</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728-2025</t>
        </is>
      </c>
      <c r="B11377" s="1" t="n">
        <v>45665</v>
      </c>
      <c r="C11377" s="1" t="n">
        <v>46145</v>
      </c>
      <c r="D11377" t="inlineStr">
        <is>
          <t>VÄSTERBOTTENS LÄN</t>
        </is>
      </c>
      <c r="E11377" t="inlineStr">
        <is>
          <t>VINDELN</t>
        </is>
      </c>
      <c r="F11377" t="inlineStr">
        <is>
          <t>SCA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60864-2024</t>
        </is>
      </c>
      <c r="B11378" s="1" t="n">
        <v>45644.69378472222</v>
      </c>
      <c r="C11378" s="1" t="n">
        <v>46145</v>
      </c>
      <c r="D11378" t="inlineStr">
        <is>
          <t>VÄSTERBOTTENS LÄN</t>
        </is>
      </c>
      <c r="E11378" t="inlineStr">
        <is>
          <t>VINDELN</t>
        </is>
      </c>
      <c r="G11378" t="n">
        <v>13.3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10899-2025</t>
        </is>
      </c>
      <c r="B11379" s="1" t="n">
        <v>45722</v>
      </c>
      <c r="C11379" s="1" t="n">
        <v>46145</v>
      </c>
      <c r="D11379" t="inlineStr">
        <is>
          <t>VÄSTERBOTTENS LÄN</t>
        </is>
      </c>
      <c r="E11379" t="inlineStr">
        <is>
          <t>UMEÅ</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57131-2024</t>
        </is>
      </c>
      <c r="B11380" s="1" t="n">
        <v>45629.38340277778</v>
      </c>
      <c r="C11380" s="1" t="n">
        <v>46145</v>
      </c>
      <c r="D11380" t="inlineStr">
        <is>
          <t>VÄSTERBOTTENS LÄN</t>
        </is>
      </c>
      <c r="E11380" t="inlineStr">
        <is>
          <t>SKELLEFTEÅ</t>
        </is>
      </c>
      <c r="F11380" t="inlineStr">
        <is>
          <t>Holmen skog AB</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57246-2024</t>
        </is>
      </c>
      <c r="B11381" s="1" t="n">
        <v>45629.55165509259</v>
      </c>
      <c r="C11381" s="1" t="n">
        <v>46145</v>
      </c>
      <c r="D11381" t="inlineStr">
        <is>
          <t>VÄSTERBOTTENS LÄN</t>
        </is>
      </c>
      <c r="E11381" t="inlineStr">
        <is>
          <t>LYCKSELE</t>
        </is>
      </c>
      <c r="F11381" t="inlineStr">
        <is>
          <t>Sveaskog</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16036-2025</t>
        </is>
      </c>
      <c r="B11382" s="1" t="n">
        <v>45748</v>
      </c>
      <c r="C11382" s="1" t="n">
        <v>46145</v>
      </c>
      <c r="D11382" t="inlineStr">
        <is>
          <t>VÄSTERBOTTENS LÄN</t>
        </is>
      </c>
      <c r="E11382" t="inlineStr">
        <is>
          <t>NORSJÖ</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32618-2023</t>
        </is>
      </c>
      <c r="B11383" s="1" t="n">
        <v>45111</v>
      </c>
      <c r="C11383" s="1" t="n">
        <v>46145</v>
      </c>
      <c r="D11383" t="inlineStr">
        <is>
          <t>VÄSTERBOTTENS LÄN</t>
        </is>
      </c>
      <c r="E11383" t="inlineStr">
        <is>
          <t>MALÅ</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671-2024</t>
        </is>
      </c>
      <c r="B11384" s="1" t="n">
        <v>45299</v>
      </c>
      <c r="C11384" s="1" t="n">
        <v>46145</v>
      </c>
      <c r="D11384" t="inlineStr">
        <is>
          <t>VÄSTERBOTTENS LÄN</t>
        </is>
      </c>
      <c r="E11384" t="inlineStr">
        <is>
          <t>SKELLEFTEÅ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26690-2023</t>
        </is>
      </c>
      <c r="B11385" s="1" t="n">
        <v>45093</v>
      </c>
      <c r="C11385" s="1" t="n">
        <v>46145</v>
      </c>
      <c r="D11385" t="inlineStr">
        <is>
          <t>VÄSTERBOTTENS LÄN</t>
        </is>
      </c>
      <c r="E11385" t="inlineStr">
        <is>
          <t>SKELLEFTEÅ</t>
        </is>
      </c>
      <c r="F11385" t="inlineStr">
        <is>
          <t>Kyrkan</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8442-2025</t>
        </is>
      </c>
      <c r="B11386" s="1" t="n">
        <v>45709.44940972222</v>
      </c>
      <c r="C11386" s="1" t="n">
        <v>46145</v>
      </c>
      <c r="D11386" t="inlineStr">
        <is>
          <t>VÄSTERBOTTENS LÄN</t>
        </is>
      </c>
      <c r="E11386" t="inlineStr">
        <is>
          <t>SKELLEFTEÅ</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45039-2023</t>
        </is>
      </c>
      <c r="B11387" s="1" t="n">
        <v>45191.32686342593</v>
      </c>
      <c r="C11387" s="1" t="n">
        <v>46145</v>
      </c>
      <c r="D11387" t="inlineStr">
        <is>
          <t>VÄSTERBOTTENS LÄN</t>
        </is>
      </c>
      <c r="E11387" t="inlineStr">
        <is>
          <t>SKELLEFTEÅ</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56167-2024</t>
        </is>
      </c>
      <c r="B11388" s="1" t="n">
        <v>45624</v>
      </c>
      <c r="C11388" s="1" t="n">
        <v>46145</v>
      </c>
      <c r="D11388" t="inlineStr">
        <is>
          <t>VÄSTERBOTTENS LÄN</t>
        </is>
      </c>
      <c r="E11388" t="inlineStr">
        <is>
          <t>DOROTEA</t>
        </is>
      </c>
      <c r="F11388" t="inlineStr">
        <is>
          <t>SCA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15358-2023</t>
        </is>
      </c>
      <c r="B11389" s="1" t="n">
        <v>45016</v>
      </c>
      <c r="C11389" s="1" t="n">
        <v>46145</v>
      </c>
      <c r="D11389" t="inlineStr">
        <is>
          <t>VÄSTERBOTTENS LÄN</t>
        </is>
      </c>
      <c r="E11389" t="inlineStr">
        <is>
          <t>UMEÅ</t>
        </is>
      </c>
      <c r="F11389" t="inlineStr">
        <is>
          <t>Kommuner</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52203-2023</t>
        </is>
      </c>
      <c r="B11390" s="1" t="n">
        <v>45224.42537037037</v>
      </c>
      <c r="C11390" s="1" t="n">
        <v>46145</v>
      </c>
      <c r="D11390" t="inlineStr">
        <is>
          <t>VÄSTERBOTTENS LÄN</t>
        </is>
      </c>
      <c r="E11390" t="inlineStr">
        <is>
          <t>SKELLEFTEÅ</t>
        </is>
      </c>
      <c r="F11390" t="inlineStr">
        <is>
          <t>Sveaskog</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4618-2025</t>
        </is>
      </c>
      <c r="B11391" s="1" t="n">
        <v>45687.60042824074</v>
      </c>
      <c r="C11391" s="1" t="n">
        <v>46145</v>
      </c>
      <c r="D11391" t="inlineStr">
        <is>
          <t>VÄSTERBOTTENS LÄN</t>
        </is>
      </c>
      <c r="E11391" t="inlineStr">
        <is>
          <t>ROBERTSFORS</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37256-2023</t>
        </is>
      </c>
      <c r="B11392" s="1" t="n">
        <v>45155</v>
      </c>
      <c r="C11392" s="1" t="n">
        <v>46145</v>
      </c>
      <c r="D11392" t="inlineStr">
        <is>
          <t>VÄSTERBOTTENS LÄN</t>
        </is>
      </c>
      <c r="E11392" t="inlineStr">
        <is>
          <t>SORSELE</t>
        </is>
      </c>
      <c r="F11392" t="inlineStr">
        <is>
          <t>SCA</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61151-2024</t>
        </is>
      </c>
      <c r="B11393" s="1" t="n">
        <v>45645.58835648148</v>
      </c>
      <c r="C11393" s="1" t="n">
        <v>46145</v>
      </c>
      <c r="D11393" t="inlineStr">
        <is>
          <t>VÄSTERBOTTENS LÄN</t>
        </is>
      </c>
      <c r="E11393" t="inlineStr">
        <is>
          <t>BJURHOLM</t>
        </is>
      </c>
      <c r="G11393" t="n">
        <v>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15678-2025</t>
        </is>
      </c>
      <c r="B11394" s="1" t="n">
        <v>45748.45042824074</v>
      </c>
      <c r="C11394" s="1" t="n">
        <v>46145</v>
      </c>
      <c r="D11394" t="inlineStr">
        <is>
          <t>VÄSTERBOTTENS LÄN</t>
        </is>
      </c>
      <c r="E11394" t="inlineStr">
        <is>
          <t>VÄNNÄS</t>
        </is>
      </c>
      <c r="G11394" t="n">
        <v>7.1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17702-2025</t>
        </is>
      </c>
      <c r="B11395" s="1" t="n">
        <v>45758.42686342593</v>
      </c>
      <c r="C11395" s="1" t="n">
        <v>46145</v>
      </c>
      <c r="D11395" t="inlineStr">
        <is>
          <t>VÄSTERBOTTENS LÄN</t>
        </is>
      </c>
      <c r="E11395" t="inlineStr">
        <is>
          <t>VINDELN</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53874-2024</t>
        </is>
      </c>
      <c r="B11396" s="1" t="n">
        <v>45615.65667824074</v>
      </c>
      <c r="C11396" s="1" t="n">
        <v>46145</v>
      </c>
      <c r="D11396" t="inlineStr">
        <is>
          <t>VÄSTERBOTTENS LÄN</t>
        </is>
      </c>
      <c r="E11396" t="inlineStr">
        <is>
          <t>LYCKSELE</t>
        </is>
      </c>
      <c r="F11396" t="inlineStr">
        <is>
          <t>SCA</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53900-2024</t>
        </is>
      </c>
      <c r="B11397" s="1" t="n">
        <v>45615</v>
      </c>
      <c r="C11397" s="1" t="n">
        <v>46145</v>
      </c>
      <c r="D11397" t="inlineStr">
        <is>
          <t>VÄSTERBOTTENS LÄN</t>
        </is>
      </c>
      <c r="E11397" t="inlineStr">
        <is>
          <t>BJURHOLM</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47544-2024</t>
        </is>
      </c>
      <c r="B11398" s="1" t="n">
        <v>45587</v>
      </c>
      <c r="C11398" s="1" t="n">
        <v>46145</v>
      </c>
      <c r="D11398" t="inlineStr">
        <is>
          <t>VÄSTERBOTTENS LÄN</t>
        </is>
      </c>
      <c r="E11398" t="inlineStr">
        <is>
          <t>SKELLEFTEÅ</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14623-2025</t>
        </is>
      </c>
      <c r="B11399" s="1" t="n">
        <v>45742.41636574074</v>
      </c>
      <c r="C11399" s="1" t="n">
        <v>46145</v>
      </c>
      <c r="D11399" t="inlineStr">
        <is>
          <t>VÄSTERBOTTENS LÄN</t>
        </is>
      </c>
      <c r="E11399" t="inlineStr">
        <is>
          <t>LYCKSELE</t>
        </is>
      </c>
      <c r="F11399" t="inlineStr">
        <is>
          <t>Naturvårdsverket</t>
        </is>
      </c>
      <c r="G11399" t="n">
        <v>10.4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63188-2023</t>
        </is>
      </c>
      <c r="B11400" s="1" t="n">
        <v>45272</v>
      </c>
      <c r="C11400" s="1" t="n">
        <v>46145</v>
      </c>
      <c r="D11400" t="inlineStr">
        <is>
          <t>VÄSTERBOTTENS LÄN</t>
        </is>
      </c>
      <c r="E11400" t="inlineStr">
        <is>
          <t>UMEÅ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1955-2025</t>
        </is>
      </c>
      <c r="B11401" s="1" t="n">
        <v>45671</v>
      </c>
      <c r="C11401" s="1" t="n">
        <v>46145</v>
      </c>
      <c r="D11401" t="inlineStr">
        <is>
          <t>VÄSTERBOTTENS LÄN</t>
        </is>
      </c>
      <c r="E11401" t="inlineStr">
        <is>
          <t>SKELLEFTEÅ</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2008-2025</t>
        </is>
      </c>
      <c r="B11402" s="1" t="n">
        <v>45672.45302083333</v>
      </c>
      <c r="C11402" s="1" t="n">
        <v>46145</v>
      </c>
      <c r="D11402" t="inlineStr">
        <is>
          <t>VÄSTERBOTTENS LÄN</t>
        </is>
      </c>
      <c r="E11402" t="inlineStr">
        <is>
          <t>VILHELMINA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53432-2024</t>
        </is>
      </c>
      <c r="B11403" s="1" t="n">
        <v>45614.52643518519</v>
      </c>
      <c r="C11403" s="1" t="n">
        <v>46145</v>
      </c>
      <c r="D11403" t="inlineStr">
        <is>
          <t>VÄSTERBOTTENS LÄN</t>
        </is>
      </c>
      <c r="E11403" t="inlineStr">
        <is>
          <t>ROBERTSFORS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3844-2025</t>
        </is>
      </c>
      <c r="B11404" s="1" t="n">
        <v>45683.67905092592</v>
      </c>
      <c r="C11404" s="1" t="n">
        <v>46145</v>
      </c>
      <c r="D11404" t="inlineStr">
        <is>
          <t>VÄSTERBOTTENS LÄN</t>
        </is>
      </c>
      <c r="E11404" t="inlineStr">
        <is>
          <t>SKELLEFTEÅ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4510-2025</t>
        </is>
      </c>
      <c r="B11405" s="1" t="n">
        <v>45686</v>
      </c>
      <c r="C11405" s="1" t="n">
        <v>46145</v>
      </c>
      <c r="D11405" t="inlineStr">
        <is>
          <t>VÄSTERBOTTENS LÄN</t>
        </is>
      </c>
      <c r="E11405" t="inlineStr">
        <is>
          <t>SKELLEFTEÅ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6535-2025</t>
        </is>
      </c>
      <c r="B11406" s="1" t="n">
        <v>45699.67743055556</v>
      </c>
      <c r="C11406" s="1" t="n">
        <v>46145</v>
      </c>
      <c r="D11406" t="inlineStr">
        <is>
          <t>VÄSTERBOTTENS LÄN</t>
        </is>
      </c>
      <c r="E11406" t="inlineStr">
        <is>
          <t>ROBERTSFORS</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13820-2025</t>
        </is>
      </c>
      <c r="B11407" s="1" t="n">
        <v>45737.5315625</v>
      </c>
      <c r="C11407" s="1" t="n">
        <v>46145</v>
      </c>
      <c r="D11407" t="inlineStr">
        <is>
          <t>VÄSTERBOTTENS LÄN</t>
        </is>
      </c>
      <c r="E11407" t="inlineStr">
        <is>
          <t>UMEÅ</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13195-2025</t>
        </is>
      </c>
      <c r="B11408" s="1" t="n">
        <v>45735</v>
      </c>
      <c r="C11408" s="1" t="n">
        <v>46145</v>
      </c>
      <c r="D11408" t="inlineStr">
        <is>
          <t>VÄSTERBOTTENS LÄN</t>
        </is>
      </c>
      <c r="E11408" t="inlineStr">
        <is>
          <t>UMEÅ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59394-2023</t>
        </is>
      </c>
      <c r="B11409" s="1" t="n">
        <v>45253</v>
      </c>
      <c r="C11409" s="1" t="n">
        <v>46145</v>
      </c>
      <c r="D11409" t="inlineStr">
        <is>
          <t>VÄSTERBOTTENS LÄN</t>
        </is>
      </c>
      <c r="E11409" t="inlineStr">
        <is>
          <t>DOROTEA</t>
        </is>
      </c>
      <c r="G11409" t="n">
        <v>28.8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59404-2023</t>
        </is>
      </c>
      <c r="B11410" s="1" t="n">
        <v>45253.9267824074</v>
      </c>
      <c r="C11410" s="1" t="n">
        <v>46145</v>
      </c>
      <c r="D11410" t="inlineStr">
        <is>
          <t>VÄSTERBOTTENS LÄN</t>
        </is>
      </c>
      <c r="E11410" t="inlineStr">
        <is>
          <t>SKELLEFTEÅ</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59405-2023</t>
        </is>
      </c>
      <c r="B11411" s="1" t="n">
        <v>45253.9268287037</v>
      </c>
      <c r="C11411" s="1" t="n">
        <v>46145</v>
      </c>
      <c r="D11411" t="inlineStr">
        <is>
          <t>VÄSTERBOTTENS LÄN</t>
        </is>
      </c>
      <c r="E11411" t="inlineStr">
        <is>
          <t>SKELLEFTEÅ</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13005-2023</t>
        </is>
      </c>
      <c r="B11412" s="1" t="n">
        <v>45002</v>
      </c>
      <c r="C11412" s="1" t="n">
        <v>46145</v>
      </c>
      <c r="D11412" t="inlineStr">
        <is>
          <t>VÄSTERBOTTENS LÄN</t>
        </is>
      </c>
      <c r="E11412" t="inlineStr">
        <is>
          <t>MALÅ</t>
        </is>
      </c>
      <c r="F11412" t="inlineStr">
        <is>
          <t>SCA</t>
        </is>
      </c>
      <c r="G11412" t="n">
        <v>18.6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27941-2024</t>
        </is>
      </c>
      <c r="B11413" s="1" t="n">
        <v>45475</v>
      </c>
      <c r="C11413" s="1" t="n">
        <v>46145</v>
      </c>
      <c r="D11413" t="inlineStr">
        <is>
          <t>VÄSTERBOTTENS LÄN</t>
        </is>
      </c>
      <c r="E11413" t="inlineStr">
        <is>
          <t>UMEÅ</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18398-2025</t>
        </is>
      </c>
      <c r="B11414" s="1" t="n">
        <v>45762.59491898148</v>
      </c>
      <c r="C11414" s="1" t="n">
        <v>46145</v>
      </c>
      <c r="D11414" t="inlineStr">
        <is>
          <t>VÄSTERBOTTENS LÄN</t>
        </is>
      </c>
      <c r="E11414" t="inlineStr">
        <is>
          <t>VILHELMINA</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38112-2024</t>
        </is>
      </c>
      <c r="B11415" s="1" t="n">
        <v>45545.38578703703</v>
      </c>
      <c r="C11415" s="1" t="n">
        <v>46145</v>
      </c>
      <c r="D11415" t="inlineStr">
        <is>
          <t>VÄSTERBOTTENS LÄN</t>
        </is>
      </c>
      <c r="E11415" t="inlineStr">
        <is>
          <t>LYCKSELE</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38120-2024</t>
        </is>
      </c>
      <c r="B11416" s="1" t="n">
        <v>45545.40222222222</v>
      </c>
      <c r="C11416" s="1" t="n">
        <v>46145</v>
      </c>
      <c r="D11416" t="inlineStr">
        <is>
          <t>VÄSTERBOTTENS LÄN</t>
        </is>
      </c>
      <c r="E11416" t="inlineStr">
        <is>
          <t>ROBERTSFORS</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41567-2023</t>
        </is>
      </c>
      <c r="B11417" s="1" t="n">
        <v>45175</v>
      </c>
      <c r="C11417" s="1" t="n">
        <v>46145</v>
      </c>
      <c r="D11417" t="inlineStr">
        <is>
          <t>VÄSTERBOTTENS LÄN</t>
        </is>
      </c>
      <c r="E11417" t="inlineStr">
        <is>
          <t>MALÅ</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41646-2023</t>
        </is>
      </c>
      <c r="B11418" s="1" t="n">
        <v>45175.92457175926</v>
      </c>
      <c r="C11418" s="1" t="n">
        <v>46145</v>
      </c>
      <c r="D11418" t="inlineStr">
        <is>
          <t>VÄSTERBOTTENS LÄN</t>
        </is>
      </c>
      <c r="E11418" t="inlineStr">
        <is>
          <t>NORSJÖ</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15593-2023</t>
        </is>
      </c>
      <c r="B11419" s="1" t="n">
        <v>45019</v>
      </c>
      <c r="C11419" s="1" t="n">
        <v>46145</v>
      </c>
      <c r="D11419" t="inlineStr">
        <is>
          <t>VÄSTERBOTTENS LÄN</t>
        </is>
      </c>
      <c r="E11419" t="inlineStr">
        <is>
          <t>SKELLEFTEÅ</t>
        </is>
      </c>
      <c r="G11419" t="n">
        <v>6.3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16368-2023</t>
        </is>
      </c>
      <c r="B11420" s="1" t="n">
        <v>45028.94060185185</v>
      </c>
      <c r="C11420" s="1" t="n">
        <v>46145</v>
      </c>
      <c r="D11420" t="inlineStr">
        <is>
          <t>VÄSTERBOTTENS LÄN</t>
        </is>
      </c>
      <c r="E11420" t="inlineStr">
        <is>
          <t>BJURHOLM</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19606-2025</t>
        </is>
      </c>
      <c r="B11421" s="1" t="n">
        <v>45770.59820601852</v>
      </c>
      <c r="C11421" s="1" t="n">
        <v>46145</v>
      </c>
      <c r="D11421" t="inlineStr">
        <is>
          <t>VÄSTERBOTTENS LÄN</t>
        </is>
      </c>
      <c r="E11421" t="inlineStr">
        <is>
          <t>LYCKSELE</t>
        </is>
      </c>
      <c r="F11421" t="inlineStr">
        <is>
          <t>Holmen skog AB</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6993-2024</t>
        </is>
      </c>
      <c r="B11422" s="1" t="n">
        <v>45343</v>
      </c>
      <c r="C11422" s="1" t="n">
        <v>46145</v>
      </c>
      <c r="D11422" t="inlineStr">
        <is>
          <t>VÄSTERBOTTENS LÄN</t>
        </is>
      </c>
      <c r="E11422" t="inlineStr">
        <is>
          <t>NORDMALING</t>
        </is>
      </c>
      <c r="F11422" t="inlineStr">
        <is>
          <t>Kommuner</t>
        </is>
      </c>
      <c r="G11422" t="n">
        <v>23.2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30332-2021</t>
        </is>
      </c>
      <c r="B11423" s="1" t="n">
        <v>44364</v>
      </c>
      <c r="C11423" s="1" t="n">
        <v>46145</v>
      </c>
      <c r="D11423" t="inlineStr">
        <is>
          <t>VÄSTERBOTTENS LÄN</t>
        </is>
      </c>
      <c r="E11423" t="inlineStr">
        <is>
          <t>SKELLEFTEÅ</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15904-2025</t>
        </is>
      </c>
      <c r="B11424" s="1" t="n">
        <v>45749.43325231481</v>
      </c>
      <c r="C11424" s="1" t="n">
        <v>46145</v>
      </c>
      <c r="D11424" t="inlineStr">
        <is>
          <t>VÄSTERBOTTENS LÄN</t>
        </is>
      </c>
      <c r="E11424" t="inlineStr">
        <is>
          <t>UMEÅ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55929-2024</t>
        </is>
      </c>
      <c r="B11425" s="1" t="n">
        <v>45623.60400462963</v>
      </c>
      <c r="C11425" s="1" t="n">
        <v>46145</v>
      </c>
      <c r="D11425" t="inlineStr">
        <is>
          <t>VÄSTERBOTTENS LÄN</t>
        </is>
      </c>
      <c r="E11425" t="inlineStr">
        <is>
          <t>NORSJÖ</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55936-2024</t>
        </is>
      </c>
      <c r="B11426" s="1" t="n">
        <v>45623.60804398148</v>
      </c>
      <c r="C11426" s="1" t="n">
        <v>46145</v>
      </c>
      <c r="D11426" t="inlineStr">
        <is>
          <t>VÄSTERBOTTENS LÄN</t>
        </is>
      </c>
      <c r="E11426" t="inlineStr">
        <is>
          <t>NORSJÖ</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4034-2024</t>
        </is>
      </c>
      <c r="B11427" s="1" t="n">
        <v>45323.41511574074</v>
      </c>
      <c r="C11427" s="1" t="n">
        <v>46145</v>
      </c>
      <c r="D11427" t="inlineStr">
        <is>
          <t>VÄSTERBOTTENS LÄN</t>
        </is>
      </c>
      <c r="E11427" t="inlineStr">
        <is>
          <t>SKELLEFTEÅ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1691-2025</t>
        </is>
      </c>
      <c r="B11428" s="1" t="n">
        <v>45670</v>
      </c>
      <c r="C11428" s="1" t="n">
        <v>46145</v>
      </c>
      <c r="D11428" t="inlineStr">
        <is>
          <t>VÄSTERBOTTENS LÄN</t>
        </is>
      </c>
      <c r="E11428" t="inlineStr">
        <is>
          <t>ROBERTSFORS</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1693-2025</t>
        </is>
      </c>
      <c r="B11429" s="1" t="n">
        <v>45670</v>
      </c>
      <c r="C11429" s="1" t="n">
        <v>46145</v>
      </c>
      <c r="D11429" t="inlineStr">
        <is>
          <t>VÄSTERBOTTENS LÄN</t>
        </is>
      </c>
      <c r="E11429" t="inlineStr">
        <is>
          <t>ROBERTSFORS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58674-2024</t>
        </is>
      </c>
      <c r="B11430" s="1" t="n">
        <v>45635</v>
      </c>
      <c r="C11430" s="1" t="n">
        <v>46145</v>
      </c>
      <c r="D11430" t="inlineStr">
        <is>
          <t>VÄSTERBOTTENS LÄN</t>
        </is>
      </c>
      <c r="E11430" t="inlineStr">
        <is>
          <t>SORSELE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58679-2024</t>
        </is>
      </c>
      <c r="B11431" s="1" t="n">
        <v>45635.61375</v>
      </c>
      <c r="C11431" s="1" t="n">
        <v>46145</v>
      </c>
      <c r="D11431" t="inlineStr">
        <is>
          <t>VÄSTERBOTTENS LÄN</t>
        </is>
      </c>
      <c r="E11431" t="inlineStr">
        <is>
          <t>ROBERTSFORS</t>
        </is>
      </c>
      <c r="G11431" t="n">
        <v>7.3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57474-2024</t>
        </is>
      </c>
      <c r="B11432" s="1" t="n">
        <v>45630.34488425926</v>
      </c>
      <c r="C11432" s="1" t="n">
        <v>46145</v>
      </c>
      <c r="D11432" t="inlineStr">
        <is>
          <t>VÄSTERBOTTENS LÄN</t>
        </is>
      </c>
      <c r="E11432" t="inlineStr">
        <is>
          <t>VINDELN</t>
        </is>
      </c>
      <c r="F11432" t="inlineStr">
        <is>
          <t>SCA</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11975-2025</t>
        </is>
      </c>
      <c r="B11433" s="1" t="n">
        <v>45728.59210648148</v>
      </c>
      <c r="C11433" s="1" t="n">
        <v>46145</v>
      </c>
      <c r="D11433" t="inlineStr">
        <is>
          <t>VÄSTERBOTTENS LÄN</t>
        </is>
      </c>
      <c r="E11433" t="inlineStr">
        <is>
          <t>SORSELE</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47677-2024</t>
        </is>
      </c>
      <c r="B11434" s="1" t="n">
        <v>45588</v>
      </c>
      <c r="C11434" s="1" t="n">
        <v>46145</v>
      </c>
      <c r="D11434" t="inlineStr">
        <is>
          <t>VÄSTERBOTTENS LÄN</t>
        </is>
      </c>
      <c r="E11434" t="inlineStr">
        <is>
          <t>MALÅ</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51415-2024</t>
        </is>
      </c>
      <c r="B11435" s="1" t="n">
        <v>45604</v>
      </c>
      <c r="C11435" s="1" t="n">
        <v>46145</v>
      </c>
      <c r="D11435" t="inlineStr">
        <is>
          <t>VÄSTERBOTTENS LÄN</t>
        </is>
      </c>
      <c r="E11435" t="inlineStr">
        <is>
          <t>UMEÅ</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2680-2023</t>
        </is>
      </c>
      <c r="B11436" s="1" t="n">
        <v>44944</v>
      </c>
      <c r="C11436" s="1" t="n">
        <v>46145</v>
      </c>
      <c r="D11436" t="inlineStr">
        <is>
          <t>VÄSTERBOTTENS LÄN</t>
        </is>
      </c>
      <c r="E11436" t="inlineStr">
        <is>
          <t>VINDELN</t>
        </is>
      </c>
      <c r="F11436" t="inlineStr">
        <is>
          <t>Sveaskog</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57497-2024</t>
        </is>
      </c>
      <c r="B11437" s="1" t="n">
        <v>45630</v>
      </c>
      <c r="C11437" s="1" t="n">
        <v>46145</v>
      </c>
      <c r="D11437" t="inlineStr">
        <is>
          <t>VÄSTERBOTTENS LÄN</t>
        </is>
      </c>
      <c r="E11437" t="inlineStr">
        <is>
          <t>UMEÅ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12701-2025</t>
        </is>
      </c>
      <c r="B11438" s="1" t="n">
        <v>45733.46592592593</v>
      </c>
      <c r="C11438" s="1" t="n">
        <v>46145</v>
      </c>
      <c r="D11438" t="inlineStr">
        <is>
          <t>VÄSTERBOTTENS LÄN</t>
        </is>
      </c>
      <c r="E11438" t="inlineStr">
        <is>
          <t>SKELLEFTEÅ</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502-2025</t>
        </is>
      </c>
      <c r="B11439" s="1" t="n">
        <v>45664</v>
      </c>
      <c r="C11439" s="1" t="n">
        <v>46145</v>
      </c>
      <c r="D11439" t="inlineStr">
        <is>
          <t>VÄSTERBOTTENS LÄN</t>
        </is>
      </c>
      <c r="E11439" t="inlineStr">
        <is>
          <t>NORDMALING</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38947-2024</t>
        </is>
      </c>
      <c r="B11440" s="1" t="n">
        <v>45548.34546296296</v>
      </c>
      <c r="C11440" s="1" t="n">
        <v>46145</v>
      </c>
      <c r="D11440" t="inlineStr">
        <is>
          <t>VÄSTERBOTTENS LÄN</t>
        </is>
      </c>
      <c r="E11440" t="inlineStr">
        <is>
          <t>SORSELE</t>
        </is>
      </c>
      <c r="F11440" t="inlineStr">
        <is>
          <t>SCA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50365-2024</t>
        </is>
      </c>
      <c r="B11441" s="1" t="n">
        <v>45600</v>
      </c>
      <c r="C11441" s="1" t="n">
        <v>46145</v>
      </c>
      <c r="D11441" t="inlineStr">
        <is>
          <t>VÄSTERBOTTENS LÄN</t>
        </is>
      </c>
      <c r="E11441" t="inlineStr">
        <is>
          <t>LYCKSELE</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772-2025</t>
        </is>
      </c>
      <c r="B11442" s="1" t="n">
        <v>45665.46650462963</v>
      </c>
      <c r="C11442" s="1" t="n">
        <v>46145</v>
      </c>
      <c r="D11442" t="inlineStr">
        <is>
          <t>VÄSTERBOTTENS LÄN</t>
        </is>
      </c>
      <c r="E11442" t="inlineStr">
        <is>
          <t>VINDELN</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56724-2024</t>
        </is>
      </c>
      <c r="B11443" s="1" t="n">
        <v>45628</v>
      </c>
      <c r="C11443" s="1" t="n">
        <v>46145</v>
      </c>
      <c r="D11443" t="inlineStr">
        <is>
          <t>VÄSTERBOTTENS LÄN</t>
        </is>
      </c>
      <c r="E11443" t="inlineStr">
        <is>
          <t>ROBERTSFORS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19581-2024</t>
        </is>
      </c>
      <c r="B11444" s="1" t="n">
        <v>45429</v>
      </c>
      <c r="C11444" s="1" t="n">
        <v>46145</v>
      </c>
      <c r="D11444" t="inlineStr">
        <is>
          <t>VÄSTERBOTTENS LÄN</t>
        </is>
      </c>
      <c r="E11444" t="inlineStr">
        <is>
          <t>NORDMALING</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19582-2024</t>
        </is>
      </c>
      <c r="B11445" s="1" t="n">
        <v>45429.92415509259</v>
      </c>
      <c r="C11445" s="1" t="n">
        <v>46145</v>
      </c>
      <c r="D11445" t="inlineStr">
        <is>
          <t>VÄSTERBOTTENS LÄN</t>
        </is>
      </c>
      <c r="E11445" t="inlineStr">
        <is>
          <t>SKELLEFTEÅ</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61378-2024</t>
        </is>
      </c>
      <c r="B11446" s="1" t="n">
        <v>45645</v>
      </c>
      <c r="C11446" s="1" t="n">
        <v>46145</v>
      </c>
      <c r="D11446" t="inlineStr">
        <is>
          <t>VÄSTERBOTTENS LÄN</t>
        </is>
      </c>
      <c r="E11446" t="inlineStr">
        <is>
          <t>SKELLEFTEÅ</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61380-2024</t>
        </is>
      </c>
      <c r="B11447" s="1" t="n">
        <v>45646.40557870371</v>
      </c>
      <c r="C11447" s="1" t="n">
        <v>46145</v>
      </c>
      <c r="D11447" t="inlineStr">
        <is>
          <t>VÄSTERBOTTENS LÄN</t>
        </is>
      </c>
      <c r="E11447" t="inlineStr">
        <is>
          <t>ROBERTSFORS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61401-2024</t>
        </is>
      </c>
      <c r="B11448" s="1" t="n">
        <v>45646.42950231482</v>
      </c>
      <c r="C11448" s="1" t="n">
        <v>46145</v>
      </c>
      <c r="D11448" t="inlineStr">
        <is>
          <t>VÄSTERBOTTENS LÄN</t>
        </is>
      </c>
      <c r="E11448" t="inlineStr">
        <is>
          <t>LYCKSELE</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7104-2025</t>
        </is>
      </c>
      <c r="B11449" s="1" t="n">
        <v>45701.91782407407</v>
      </c>
      <c r="C11449" s="1" t="n">
        <v>46145</v>
      </c>
      <c r="D11449" t="inlineStr">
        <is>
          <t>VÄSTERBOTTENS LÄN</t>
        </is>
      </c>
      <c r="E11449" t="inlineStr">
        <is>
          <t>VINDELN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19038-2025</t>
        </is>
      </c>
      <c r="B11450" s="1" t="n">
        <v>45764.67561342593</v>
      </c>
      <c r="C11450" s="1" t="n">
        <v>46145</v>
      </c>
      <c r="D11450" t="inlineStr">
        <is>
          <t>VÄSTERBOTTENS LÄN</t>
        </is>
      </c>
      <c r="E11450" t="inlineStr">
        <is>
          <t>NORDMALING</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59211-2023</t>
        </is>
      </c>
      <c r="B11451" s="1" t="n">
        <v>45251</v>
      </c>
      <c r="C11451" s="1" t="n">
        <v>46145</v>
      </c>
      <c r="D11451" t="inlineStr">
        <is>
          <t>VÄSTERBOTTENS LÄN</t>
        </is>
      </c>
      <c r="E11451" t="inlineStr">
        <is>
          <t>ROBERTSFORS</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61815-2024</t>
        </is>
      </c>
      <c r="B11452" s="1" t="n">
        <v>45649</v>
      </c>
      <c r="C11452" s="1" t="n">
        <v>46145</v>
      </c>
      <c r="D11452" t="inlineStr">
        <is>
          <t>VÄSTERBOTTENS LÄN</t>
        </is>
      </c>
      <c r="E11452" t="inlineStr">
        <is>
          <t>BJURHOLM</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35209-2024</t>
        </is>
      </c>
      <c r="B11453" s="1" t="n">
        <v>45530</v>
      </c>
      <c r="C11453" s="1" t="n">
        <v>46145</v>
      </c>
      <c r="D11453" t="inlineStr">
        <is>
          <t>VÄSTERBOTTENS LÄN</t>
        </is>
      </c>
      <c r="E11453" t="inlineStr">
        <is>
          <t>UMEÅ</t>
        </is>
      </c>
      <c r="F11453" t="inlineStr">
        <is>
          <t>Holmen skog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35228-2024</t>
        </is>
      </c>
      <c r="B11454" s="1" t="n">
        <v>45530.52100694444</v>
      </c>
      <c r="C11454" s="1" t="n">
        <v>46145</v>
      </c>
      <c r="D11454" t="inlineStr">
        <is>
          <t>VÄSTERBOTTENS LÄN</t>
        </is>
      </c>
      <c r="E11454" t="inlineStr">
        <is>
          <t>UMEÅ</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16229-2025</t>
        </is>
      </c>
      <c r="B11455" s="1" t="n">
        <v>45750.65299768518</v>
      </c>
      <c r="C11455" s="1" t="n">
        <v>46145</v>
      </c>
      <c r="D11455" t="inlineStr">
        <is>
          <t>VÄSTERBOTTENS LÄN</t>
        </is>
      </c>
      <c r="E11455" t="inlineStr">
        <is>
          <t>NORSJÖ</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16232-2025</t>
        </is>
      </c>
      <c r="B11456" s="1" t="n">
        <v>45750.65483796296</v>
      </c>
      <c r="C11456" s="1" t="n">
        <v>46145</v>
      </c>
      <c r="D11456" t="inlineStr">
        <is>
          <t>VÄSTERBOTTENS LÄN</t>
        </is>
      </c>
      <c r="E11456" t="inlineStr">
        <is>
          <t>NORSJÖ</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16236-2025</t>
        </is>
      </c>
      <c r="B11457" s="1" t="n">
        <v>45750</v>
      </c>
      <c r="C11457" s="1" t="n">
        <v>46145</v>
      </c>
      <c r="D11457" t="inlineStr">
        <is>
          <t>VÄSTERBOTTENS LÄN</t>
        </is>
      </c>
      <c r="E11457" t="inlineStr">
        <is>
          <t>SKELLEFTEÅ</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4638-2025</t>
        </is>
      </c>
      <c r="B11458" s="1" t="n">
        <v>45687.64986111111</v>
      </c>
      <c r="C11458" s="1" t="n">
        <v>46145</v>
      </c>
      <c r="D11458" t="inlineStr">
        <is>
          <t>VÄSTERBOTTENS LÄN</t>
        </is>
      </c>
      <c r="E11458" t="inlineStr">
        <is>
          <t>SKELLEFTEÅ</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16721-2025</t>
        </is>
      </c>
      <c r="B11459" s="1" t="n">
        <v>45754.49045138889</v>
      </c>
      <c r="C11459" s="1" t="n">
        <v>46145</v>
      </c>
      <c r="D11459" t="inlineStr">
        <is>
          <t>VÄSTERBOTTENS LÄN</t>
        </is>
      </c>
      <c r="E11459" t="inlineStr">
        <is>
          <t>VILHELMINA</t>
        </is>
      </c>
      <c r="F11459" t="inlineStr">
        <is>
          <t>SCA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60376-2024</t>
        </is>
      </c>
      <c r="B11460" s="1" t="n">
        <v>45643</v>
      </c>
      <c r="C11460" s="1" t="n">
        <v>46145</v>
      </c>
      <c r="D11460" t="inlineStr">
        <is>
          <t>VÄSTERBOTTENS LÄN</t>
        </is>
      </c>
      <c r="E11460" t="inlineStr">
        <is>
          <t>VILHELMINA</t>
        </is>
      </c>
      <c r="F11460" t="inlineStr">
        <is>
          <t>SCA</t>
        </is>
      </c>
      <c r="G11460" t="n">
        <v>11.5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19465-2025</t>
        </is>
      </c>
      <c r="B11461" s="1" t="n">
        <v>45770</v>
      </c>
      <c r="C11461" s="1" t="n">
        <v>46145</v>
      </c>
      <c r="D11461" t="inlineStr">
        <is>
          <t>VÄSTERBOTTENS LÄN</t>
        </is>
      </c>
      <c r="E11461" t="inlineStr">
        <is>
          <t>VILHELMINA</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19466-2025</t>
        </is>
      </c>
      <c r="B11462" s="1" t="n">
        <v>45769</v>
      </c>
      <c r="C11462" s="1" t="n">
        <v>46145</v>
      </c>
      <c r="D11462" t="inlineStr">
        <is>
          <t>VÄSTERBOTTENS LÄN</t>
        </is>
      </c>
      <c r="E11462" t="inlineStr">
        <is>
          <t>DOROTEA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19467-2025</t>
        </is>
      </c>
      <c r="B11463" s="1" t="n">
        <v>45769</v>
      </c>
      <c r="C11463" s="1" t="n">
        <v>46145</v>
      </c>
      <c r="D11463" t="inlineStr">
        <is>
          <t>VÄSTERBOTTENS LÄN</t>
        </is>
      </c>
      <c r="E11463" t="inlineStr">
        <is>
          <t>DOROTEA</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56123-2024</t>
        </is>
      </c>
      <c r="B11464" s="1" t="n">
        <v>45624.46928240741</v>
      </c>
      <c r="C11464" s="1" t="n">
        <v>46145</v>
      </c>
      <c r="D11464" t="inlineStr">
        <is>
          <t>VÄSTERBOTTENS LÄN</t>
        </is>
      </c>
      <c r="E11464" t="inlineStr">
        <is>
          <t>LYCKSELE</t>
        </is>
      </c>
      <c r="F11464" t="inlineStr">
        <is>
          <t>SCA</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53899-2024</t>
        </is>
      </c>
      <c r="B11465" s="1" t="n">
        <v>45615.7033912037</v>
      </c>
      <c r="C11465" s="1" t="n">
        <v>46145</v>
      </c>
      <c r="D11465" t="inlineStr">
        <is>
          <t>VÄSTERBOTTENS LÄN</t>
        </is>
      </c>
      <c r="E11465" t="inlineStr">
        <is>
          <t>BJURHOLM</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60033-2024</t>
        </is>
      </c>
      <c r="B11466" s="1" t="n">
        <v>45642.46236111111</v>
      </c>
      <c r="C11466" s="1" t="n">
        <v>46145</v>
      </c>
      <c r="D11466" t="inlineStr">
        <is>
          <t>VÄSTERBOTTENS LÄN</t>
        </is>
      </c>
      <c r="E11466" t="inlineStr">
        <is>
          <t>VÄNNÄS</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61406-2024</t>
        </is>
      </c>
      <c r="B11467" s="1" t="n">
        <v>45646.43638888889</v>
      </c>
      <c r="C11467" s="1" t="n">
        <v>46145</v>
      </c>
      <c r="D11467" t="inlineStr">
        <is>
          <t>VÄSTERBOTTENS LÄN</t>
        </is>
      </c>
      <c r="E11467" t="inlineStr">
        <is>
          <t>ROBERTSFORS</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13879-2025</t>
        </is>
      </c>
      <c r="B11468" s="1" t="n">
        <v>45737</v>
      </c>
      <c r="C11468" s="1" t="n">
        <v>46145</v>
      </c>
      <c r="D11468" t="inlineStr">
        <is>
          <t>VÄSTERBOTTENS LÄN</t>
        </is>
      </c>
      <c r="E11468" t="inlineStr">
        <is>
          <t>ÅSELE</t>
        </is>
      </c>
      <c r="F11468" t="inlineStr">
        <is>
          <t>SCA</t>
        </is>
      </c>
      <c r="G11468" t="n">
        <v>9.699999999999999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13883-2025</t>
        </is>
      </c>
      <c r="B11469" s="1" t="n">
        <v>45737.6024537037</v>
      </c>
      <c r="C11469" s="1" t="n">
        <v>46145</v>
      </c>
      <c r="D11469" t="inlineStr">
        <is>
          <t>VÄSTERBOTTENS LÄN</t>
        </is>
      </c>
      <c r="E11469" t="inlineStr">
        <is>
          <t>LYCKSELE</t>
        </is>
      </c>
      <c r="F11469" t="inlineStr">
        <is>
          <t>Naturvårdsverket</t>
        </is>
      </c>
      <c r="G11469" t="n">
        <v>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61280-2023</t>
        </is>
      </c>
      <c r="B11470" s="1" t="n">
        <v>45260</v>
      </c>
      <c r="C11470" s="1" t="n">
        <v>46145</v>
      </c>
      <c r="D11470" t="inlineStr">
        <is>
          <t>VÄSTERBOTTENS LÄN</t>
        </is>
      </c>
      <c r="E11470" t="inlineStr">
        <is>
          <t>UMEÅ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2018-2025</t>
        </is>
      </c>
      <c r="B11471" s="1" t="n">
        <v>45672</v>
      </c>
      <c r="C11471" s="1" t="n">
        <v>46145</v>
      </c>
      <c r="D11471" t="inlineStr">
        <is>
          <t>VÄSTERBOTTENS LÄN</t>
        </is>
      </c>
      <c r="E11471" t="inlineStr">
        <is>
          <t>VÄNNÄS</t>
        </is>
      </c>
      <c r="F11471" t="inlineStr">
        <is>
          <t>Kommuner</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9976-2024</t>
        </is>
      </c>
      <c r="B11472" s="1" t="n">
        <v>45363</v>
      </c>
      <c r="C11472" s="1" t="n">
        <v>46145</v>
      </c>
      <c r="D11472" t="inlineStr">
        <is>
          <t>VÄSTERBOTTENS LÄN</t>
        </is>
      </c>
      <c r="E11472" t="inlineStr">
        <is>
          <t>LYCKSELE</t>
        </is>
      </c>
      <c r="F11472" t="inlineStr">
        <is>
          <t>Holmen skog AB</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2020-2025</t>
        </is>
      </c>
      <c r="B11473" s="1" t="n">
        <v>45672</v>
      </c>
      <c r="C11473" s="1" t="n">
        <v>46145</v>
      </c>
      <c r="D11473" t="inlineStr">
        <is>
          <t>VÄSTERBOTTENS LÄN</t>
        </is>
      </c>
      <c r="E11473" t="inlineStr">
        <is>
          <t>VÄNNÄS</t>
        </is>
      </c>
      <c r="F11473" t="inlineStr">
        <is>
          <t>Kommuner</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27305-2024</t>
        </is>
      </c>
      <c r="B11474" s="1" t="n">
        <v>45471.9444212963</v>
      </c>
      <c r="C11474" s="1" t="n">
        <v>46145</v>
      </c>
      <c r="D11474" t="inlineStr">
        <is>
          <t>VÄSTERBOTTENS LÄN</t>
        </is>
      </c>
      <c r="E11474" t="inlineStr">
        <is>
          <t>DOROTEA</t>
        </is>
      </c>
      <c r="F11474" t="inlineStr">
        <is>
          <t>SCA</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26926-2024</t>
        </is>
      </c>
      <c r="B11475" s="1" t="n">
        <v>45470</v>
      </c>
      <c r="C11475" s="1" t="n">
        <v>46145</v>
      </c>
      <c r="D11475" t="inlineStr">
        <is>
          <t>VÄSTERBOTTENS LÄN</t>
        </is>
      </c>
      <c r="E11475" t="inlineStr">
        <is>
          <t>NORSJÖ</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27383-2024</t>
        </is>
      </c>
      <c r="B11476" s="1" t="n">
        <v>45473</v>
      </c>
      <c r="C11476" s="1" t="n">
        <v>46145</v>
      </c>
      <c r="D11476" t="inlineStr">
        <is>
          <t>VÄSTERBOTTENS LÄN</t>
        </is>
      </c>
      <c r="E11476" t="inlineStr">
        <is>
          <t>NORDMALING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28697-2024</t>
        </is>
      </c>
      <c r="B11477" s="1" t="n">
        <v>45478</v>
      </c>
      <c r="C11477" s="1" t="n">
        <v>46145</v>
      </c>
      <c r="D11477" t="inlineStr">
        <is>
          <t>VÄSTERBOTTENS LÄN</t>
        </is>
      </c>
      <c r="E11477" t="inlineStr">
        <is>
          <t>ÅSELE</t>
        </is>
      </c>
      <c r="F11477" t="inlineStr">
        <is>
          <t>Sveaskog</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24234-2023</t>
        </is>
      </c>
      <c r="B11478" s="1" t="n">
        <v>45079</v>
      </c>
      <c r="C11478" s="1" t="n">
        <v>46145</v>
      </c>
      <c r="D11478" t="inlineStr">
        <is>
          <t>VÄSTERBOTTENS LÄN</t>
        </is>
      </c>
      <c r="E11478" t="inlineStr">
        <is>
          <t>LYCKSELE</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37252-2024</t>
        </is>
      </c>
      <c r="B11479" s="1" t="n">
        <v>45540.3612037037</v>
      </c>
      <c r="C11479" s="1" t="n">
        <v>46145</v>
      </c>
      <c r="D11479" t="inlineStr">
        <is>
          <t>VÄSTERBOTTENS LÄN</t>
        </is>
      </c>
      <c r="E11479" t="inlineStr">
        <is>
          <t>NORSJÖ</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37260-2024</t>
        </is>
      </c>
      <c r="B11480" s="1" t="n">
        <v>45540.37623842592</v>
      </c>
      <c r="C11480" s="1" t="n">
        <v>46145</v>
      </c>
      <c r="D11480" t="inlineStr">
        <is>
          <t>VÄSTERBOTTENS LÄN</t>
        </is>
      </c>
      <c r="E11480" t="inlineStr">
        <is>
          <t>UMEÅ</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1225-2022</t>
        </is>
      </c>
      <c r="B11481" s="1" t="n">
        <v>44572</v>
      </c>
      <c r="C11481" s="1" t="n">
        <v>46145</v>
      </c>
      <c r="D11481" t="inlineStr">
        <is>
          <t>VÄSTERBOTTENS LÄN</t>
        </is>
      </c>
      <c r="E11481" t="inlineStr">
        <is>
          <t>VINDELN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28549-2023</t>
        </is>
      </c>
      <c r="B11482" s="1" t="n">
        <v>45103</v>
      </c>
      <c r="C11482" s="1" t="n">
        <v>46145</v>
      </c>
      <c r="D11482" t="inlineStr">
        <is>
          <t>VÄSTERBOTTENS LÄN</t>
        </is>
      </c>
      <c r="E11482" t="inlineStr">
        <is>
          <t>DOROTEA</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48932-2023</t>
        </is>
      </c>
      <c r="B11483" s="1" t="n">
        <v>45204</v>
      </c>
      <c r="C11483" s="1" t="n">
        <v>46145</v>
      </c>
      <c r="D11483" t="inlineStr">
        <is>
          <t>VÄSTERBOTTENS LÄN</t>
        </is>
      </c>
      <c r="E11483" t="inlineStr">
        <is>
          <t>NORDMALING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61730-2024</t>
        </is>
      </c>
      <c r="B11484" s="1" t="n">
        <v>45649</v>
      </c>
      <c r="C11484" s="1" t="n">
        <v>46145</v>
      </c>
      <c r="D11484" t="inlineStr">
        <is>
          <t>VÄSTERBOTTENS LÄN</t>
        </is>
      </c>
      <c r="E11484" t="inlineStr">
        <is>
          <t>BJURHOLM</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61735-2024</t>
        </is>
      </c>
      <c r="B11485" s="1" t="n">
        <v>45649.3635300926</v>
      </c>
      <c r="C11485" s="1" t="n">
        <v>46145</v>
      </c>
      <c r="D11485" t="inlineStr">
        <is>
          <t>VÄSTERBOTTENS LÄN</t>
        </is>
      </c>
      <c r="E11485" t="inlineStr">
        <is>
          <t>BJURHOLM</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14316-2025</t>
        </is>
      </c>
      <c r="B11486" s="1" t="n">
        <v>45740</v>
      </c>
      <c r="C11486" s="1" t="n">
        <v>46145</v>
      </c>
      <c r="D11486" t="inlineStr">
        <is>
          <t>VÄSTERBOTTENS LÄN</t>
        </is>
      </c>
      <c r="E11486" t="inlineStr">
        <is>
          <t>UMEÅ</t>
        </is>
      </c>
      <c r="G11486" t="n">
        <v>10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7800-2024</t>
        </is>
      </c>
      <c r="B11487" s="1" t="n">
        <v>45348</v>
      </c>
      <c r="C11487" s="1" t="n">
        <v>46145</v>
      </c>
      <c r="D11487" t="inlineStr">
        <is>
          <t>VÄSTERBOTTENS LÄN</t>
        </is>
      </c>
      <c r="E11487" t="inlineStr">
        <is>
          <t>SKELLEFTEÅ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7832-2024</t>
        </is>
      </c>
      <c r="B11488" s="1" t="n">
        <v>45349.80663194445</v>
      </c>
      <c r="C11488" s="1" t="n">
        <v>46145</v>
      </c>
      <c r="D11488" t="inlineStr">
        <is>
          <t>VÄSTERBOTTENS LÄN</t>
        </is>
      </c>
      <c r="E11488" t="inlineStr">
        <is>
          <t>SKELLEFTEÅ</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3254-2024</t>
        </is>
      </c>
      <c r="B11489" s="1" t="n">
        <v>45316</v>
      </c>
      <c r="C11489" s="1" t="n">
        <v>46145</v>
      </c>
      <c r="D11489" t="inlineStr">
        <is>
          <t>VÄSTERBOTTENS LÄN</t>
        </is>
      </c>
      <c r="E11489" t="inlineStr">
        <is>
          <t>UMEÅ</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17479-2024</t>
        </is>
      </c>
      <c r="B11490" s="1" t="n">
        <v>45415</v>
      </c>
      <c r="C11490" s="1" t="n">
        <v>46145</v>
      </c>
      <c r="D11490" t="inlineStr">
        <is>
          <t>VÄSTERBOTTENS LÄN</t>
        </is>
      </c>
      <c r="E11490" t="inlineStr">
        <is>
          <t>ROBERTSFORS</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52749-2023</t>
        </is>
      </c>
      <c r="B11491" s="1" t="n">
        <v>45225.9678587963</v>
      </c>
      <c r="C11491" s="1" t="n">
        <v>46145</v>
      </c>
      <c r="D11491" t="inlineStr">
        <is>
          <t>VÄSTERBOTTENS LÄN</t>
        </is>
      </c>
      <c r="E11491" t="inlineStr">
        <is>
          <t>VILHELMINA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52755-2023</t>
        </is>
      </c>
      <c r="B11492" s="1" t="n">
        <v>45225.96839120371</v>
      </c>
      <c r="C11492" s="1" t="n">
        <v>46145</v>
      </c>
      <c r="D11492" t="inlineStr">
        <is>
          <t>VÄSTERBOTTENS LÄN</t>
        </is>
      </c>
      <c r="E11492" t="inlineStr">
        <is>
          <t>LYCKSELE</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12772-2024</t>
        </is>
      </c>
      <c r="B11493" s="1" t="n">
        <v>45384</v>
      </c>
      <c r="C11493" s="1" t="n">
        <v>46145</v>
      </c>
      <c r="D11493" t="inlineStr">
        <is>
          <t>VÄSTERBOTTENS LÄN</t>
        </is>
      </c>
      <c r="E11493" t="inlineStr">
        <is>
          <t>SKELLEFTEÅ</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4926-2025</t>
        </is>
      </c>
      <c r="B11494" s="1" t="n">
        <v>45688.68453703704</v>
      </c>
      <c r="C11494" s="1" t="n">
        <v>46145</v>
      </c>
      <c r="D11494" t="inlineStr">
        <is>
          <t>VÄSTERBOTTENS LÄN</t>
        </is>
      </c>
      <c r="E11494" t="inlineStr">
        <is>
          <t>MALÅ</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37897-2023</t>
        </is>
      </c>
      <c r="B11495" s="1" t="n">
        <v>45159</v>
      </c>
      <c r="C11495" s="1" t="n">
        <v>46145</v>
      </c>
      <c r="D11495" t="inlineStr">
        <is>
          <t>VÄSTERBOTTENS LÄN</t>
        </is>
      </c>
      <c r="E11495" t="inlineStr">
        <is>
          <t>MALÅ</t>
        </is>
      </c>
      <c r="G11495" t="n">
        <v>30.4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58872-2021</t>
        </is>
      </c>
      <c r="B11496" s="1" t="n">
        <v>44489</v>
      </c>
      <c r="C11496" s="1" t="n">
        <v>46145</v>
      </c>
      <c r="D11496" t="inlineStr">
        <is>
          <t>VÄSTERBOTTENS LÄN</t>
        </is>
      </c>
      <c r="E11496" t="inlineStr">
        <is>
          <t>SKELLEFTEÅ</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7710-2023</t>
        </is>
      </c>
      <c r="B11497" s="1" t="n">
        <v>44972</v>
      </c>
      <c r="C11497" s="1" t="n">
        <v>46145</v>
      </c>
      <c r="D11497" t="inlineStr">
        <is>
          <t>VÄSTERBOTTENS LÄN</t>
        </is>
      </c>
      <c r="E11497" t="inlineStr">
        <is>
          <t>STORUMAN</t>
        </is>
      </c>
      <c r="G11497" t="n">
        <v>30.5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52536-2024</t>
        </is>
      </c>
      <c r="B11498" s="1" t="n">
        <v>45609.61851851852</v>
      </c>
      <c r="C11498" s="1" t="n">
        <v>46145</v>
      </c>
      <c r="D11498" t="inlineStr">
        <is>
          <t>VÄSTERBOTTENS LÄN</t>
        </is>
      </c>
      <c r="E11498" t="inlineStr">
        <is>
          <t>VÄNNÄS</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52550-2024</t>
        </is>
      </c>
      <c r="B11499" s="1" t="n">
        <v>45609.64046296296</v>
      </c>
      <c r="C11499" s="1" t="n">
        <v>46145</v>
      </c>
      <c r="D11499" t="inlineStr">
        <is>
          <t>VÄSTERBOTTENS LÄN</t>
        </is>
      </c>
      <c r="E11499" t="inlineStr">
        <is>
          <t>BJURHOLM</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24944-2022</t>
        </is>
      </c>
      <c r="B11500" s="1" t="n">
        <v>44728</v>
      </c>
      <c r="C11500" s="1" t="n">
        <v>46145</v>
      </c>
      <c r="D11500" t="inlineStr">
        <is>
          <t>VÄSTERBOTTENS LÄN</t>
        </is>
      </c>
      <c r="E11500" t="inlineStr">
        <is>
          <t>NORDMALING</t>
        </is>
      </c>
      <c r="G11500" t="n">
        <v>1.2</v>
      </c>
      <c r="H11500" t="n">
        <v>0</v>
      </c>
      <c r="I11500" t="n">
        <v>0</v>
      </c>
      <c r="J11500" t="n">
        <v>0</v>
      </c>
      <c r="K11500" t="n">
        <v>0</v>
      </c>
      <c r="L11500" t="n">
        <v>0</v>
      </c>
      <c r="M11500" t="n">
        <v>0</v>
      </c>
      <c r="N11500" t="n">
        <v>0</v>
      </c>
      <c r="O11500" t="n">
        <v>0</v>
      </c>
      <c r="P11500" t="n">
        <v>0</v>
      </c>
      <c r="Q11500" t="n">
        <v>0</v>
      </c>
      <c r="R11500" s="2" t="inlineStr"/>
      <c r="U11500">
        <f>HYPERLINK("https://klasma.github.io/Logging_2401/knärot/A 24944-2022 karta knärot.png", "A 24944-2022")</f>
        <v/>
      </c>
      <c r="V11500">
        <f>HYPERLINK("https://klasma.github.io/Logging_2401/klagomål/A 24944-2022 FSC-klagomål.docx", "A 24944-2022")</f>
        <v/>
      </c>
      <c r="W11500">
        <f>HYPERLINK("https://klasma.github.io/Logging_2401/klagomålsmail/A 24944-2022 FSC-klagomål mail.docx", "A 24944-2022")</f>
        <v/>
      </c>
      <c r="X11500">
        <f>HYPERLINK("https://klasma.github.io/Logging_2401/tillsyn/A 24944-2022 tillsynsbegäran.docx", "A 24944-2022")</f>
        <v/>
      </c>
      <c r="Y11500">
        <f>HYPERLINK("https://klasma.github.io/Logging_2401/tillsynsmail/A 24944-2022 tillsynsbegäran mail.docx", "A 24944-2022")</f>
        <v/>
      </c>
    </row>
    <row r="11501" ht="15" customHeight="1">
      <c r="A11501" t="inlineStr">
        <is>
          <t>A 15459-2025</t>
        </is>
      </c>
      <c r="B11501" s="1" t="n">
        <v>45747.50991898148</v>
      </c>
      <c r="C11501" s="1" t="n">
        <v>46145</v>
      </c>
      <c r="D11501" t="inlineStr">
        <is>
          <t>VÄSTERBOTTENS LÄN</t>
        </is>
      </c>
      <c r="E11501" t="inlineStr">
        <is>
          <t>UMEÅ</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60570-2024</t>
        </is>
      </c>
      <c r="B11502" s="1" t="n">
        <v>45644.32280092593</v>
      </c>
      <c r="C11502" s="1" t="n">
        <v>46145</v>
      </c>
      <c r="D11502" t="inlineStr">
        <is>
          <t>VÄSTERBOTTENS LÄN</t>
        </is>
      </c>
      <c r="E11502" t="inlineStr">
        <is>
          <t>ROBERTSFORS</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57008-2024</t>
        </is>
      </c>
      <c r="B11503" s="1" t="n">
        <v>45628</v>
      </c>
      <c r="C11503" s="1" t="n">
        <v>46145</v>
      </c>
      <c r="D11503" t="inlineStr">
        <is>
          <t>VÄSTERBOTTENS LÄN</t>
        </is>
      </c>
      <c r="E11503" t="inlineStr">
        <is>
          <t>ROBERTSFORS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38083-2023</t>
        </is>
      </c>
      <c r="B11504" s="1" t="n">
        <v>45160</v>
      </c>
      <c r="C11504" s="1" t="n">
        <v>46145</v>
      </c>
      <c r="D11504" t="inlineStr">
        <is>
          <t>VÄSTERBOTTENS LÄN</t>
        </is>
      </c>
      <c r="E11504" t="inlineStr">
        <is>
          <t>ROBERTSFORS</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20640-2025</t>
        </is>
      </c>
      <c r="B11505" s="1" t="n">
        <v>45776.37438657408</v>
      </c>
      <c r="C11505" s="1" t="n">
        <v>46145</v>
      </c>
      <c r="D11505" t="inlineStr">
        <is>
          <t>VÄSTERBOTTENS LÄN</t>
        </is>
      </c>
      <c r="E11505" t="inlineStr">
        <is>
          <t>VÄNNÄS</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20685-2025</t>
        </is>
      </c>
      <c r="B11506" s="1" t="n">
        <v>45776.45245370371</v>
      </c>
      <c r="C11506" s="1" t="n">
        <v>46145</v>
      </c>
      <c r="D11506" t="inlineStr">
        <is>
          <t>VÄSTERBOTTENS LÄN</t>
        </is>
      </c>
      <c r="E11506" t="inlineStr">
        <is>
          <t>LYCKSELE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20800-2025</t>
        </is>
      </c>
      <c r="B11507" s="1" t="n">
        <v>45776.6444212963</v>
      </c>
      <c r="C11507" s="1" t="n">
        <v>46145</v>
      </c>
      <c r="D11507" t="inlineStr">
        <is>
          <t>VÄSTERBOTTENS LÄN</t>
        </is>
      </c>
      <c r="E11507" t="inlineStr">
        <is>
          <t>VINDELN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31865-2023</t>
        </is>
      </c>
      <c r="B11508" s="1" t="n">
        <v>45118.61383101852</v>
      </c>
      <c r="C11508" s="1" t="n">
        <v>46145</v>
      </c>
      <c r="D11508" t="inlineStr">
        <is>
          <t>VÄSTERBOTTENS LÄN</t>
        </is>
      </c>
      <c r="E11508" t="inlineStr">
        <is>
          <t>VÄNNÄS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20796-2025</t>
        </is>
      </c>
      <c r="B11509" s="1" t="n">
        <v>45776.63987268518</v>
      </c>
      <c r="C11509" s="1" t="n">
        <v>46145</v>
      </c>
      <c r="D11509" t="inlineStr">
        <is>
          <t>VÄSTERBOTTENS LÄN</t>
        </is>
      </c>
      <c r="E11509" t="inlineStr">
        <is>
          <t>VINDELN</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30583-2024</t>
        </is>
      </c>
      <c r="B11510" s="1" t="n">
        <v>45492.96108796296</v>
      </c>
      <c r="C11510" s="1" t="n">
        <v>46145</v>
      </c>
      <c r="D11510" t="inlineStr">
        <is>
          <t>VÄSTERBOTTENS LÄN</t>
        </is>
      </c>
      <c r="E11510" t="inlineStr">
        <is>
          <t>VILHELMINA</t>
        </is>
      </c>
      <c r="F11510" t="inlineStr">
        <is>
          <t>SCA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40072-2024</t>
        </is>
      </c>
      <c r="B11511" s="1" t="n">
        <v>45554.32503472222</v>
      </c>
      <c r="C11511" s="1" t="n">
        <v>46145</v>
      </c>
      <c r="D11511" t="inlineStr">
        <is>
          <t>VÄSTERBOTTENS LÄN</t>
        </is>
      </c>
      <c r="E11511" t="inlineStr">
        <is>
          <t>SKELLEFTEÅ</t>
        </is>
      </c>
      <c r="F11511" t="inlineStr">
        <is>
          <t>Holmen skog AB</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38352-2023</t>
        </is>
      </c>
      <c r="B11512" s="1" t="n">
        <v>45161</v>
      </c>
      <c r="C11512" s="1" t="n">
        <v>46145</v>
      </c>
      <c r="D11512" t="inlineStr">
        <is>
          <t>VÄSTERBOTTENS LÄN</t>
        </is>
      </c>
      <c r="E11512" t="inlineStr">
        <is>
          <t>ROBERTSFORS</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58680-2024</t>
        </is>
      </c>
      <c r="B11513" s="1" t="n">
        <v>45635</v>
      </c>
      <c r="C11513" s="1" t="n">
        <v>46145</v>
      </c>
      <c r="D11513" t="inlineStr">
        <is>
          <t>VÄSTERBOTTENS LÄN</t>
        </is>
      </c>
      <c r="E11513" t="inlineStr">
        <is>
          <t>UMEÅ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20738-2025</t>
        </is>
      </c>
      <c r="B11514" s="1" t="n">
        <v>45776</v>
      </c>
      <c r="C11514" s="1" t="n">
        <v>46145</v>
      </c>
      <c r="D11514" t="inlineStr">
        <is>
          <t>VÄSTERBOTTENS LÄN</t>
        </is>
      </c>
      <c r="E11514" t="inlineStr">
        <is>
          <t>VINDELN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39371-2024</t>
        </is>
      </c>
      <c r="B11515" s="1" t="n">
        <v>45551</v>
      </c>
      <c r="C11515" s="1" t="n">
        <v>46145</v>
      </c>
      <c r="D11515" t="inlineStr">
        <is>
          <t>VÄSTERBOTTENS LÄN</t>
        </is>
      </c>
      <c r="E11515" t="inlineStr">
        <is>
          <t>SKELLEFTEÅ</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12550-2023</t>
        </is>
      </c>
      <c r="B11516" s="1" t="n">
        <v>44998</v>
      </c>
      <c r="C11516" s="1" t="n">
        <v>46145</v>
      </c>
      <c r="D11516" t="inlineStr">
        <is>
          <t>VÄSTERBOTTENS LÄN</t>
        </is>
      </c>
      <c r="E11516" t="inlineStr">
        <is>
          <t>STORUMAN</t>
        </is>
      </c>
      <c r="F11516" t="inlineStr">
        <is>
          <t>Övriga statliga verk och myndigheter</t>
        </is>
      </c>
      <c r="G11516" t="n">
        <v>9.300000000000001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12556-2023</t>
        </is>
      </c>
      <c r="B11517" s="1" t="n">
        <v>44998</v>
      </c>
      <c r="C11517" s="1" t="n">
        <v>46145</v>
      </c>
      <c r="D11517" t="inlineStr">
        <is>
          <t>VÄSTERBOTTENS LÄN</t>
        </is>
      </c>
      <c r="E11517" t="inlineStr">
        <is>
          <t>STORUMAN</t>
        </is>
      </c>
      <c r="F11517" t="inlineStr">
        <is>
          <t>Övriga statliga verk och myndigheter</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21046-2025</t>
        </is>
      </c>
      <c r="B11518" s="1" t="n">
        <v>45777.55637731482</v>
      </c>
      <c r="C11518" s="1" t="n">
        <v>46145</v>
      </c>
      <c r="D11518" t="inlineStr">
        <is>
          <t>VÄSTERBOTTENS LÄN</t>
        </is>
      </c>
      <c r="E11518" t="inlineStr">
        <is>
          <t>LYCKSELE</t>
        </is>
      </c>
      <c r="F11518" t="inlineStr">
        <is>
          <t>Holmen skog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58579-2023</t>
        </is>
      </c>
      <c r="B11519" s="1" t="n">
        <v>45246</v>
      </c>
      <c r="C11519" s="1" t="n">
        <v>46145</v>
      </c>
      <c r="D11519" t="inlineStr">
        <is>
          <t>VÄSTERBOTTENS LÄN</t>
        </is>
      </c>
      <c r="E11519" t="inlineStr">
        <is>
          <t>ROBERTSFORS</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58899-2024</t>
        </is>
      </c>
      <c r="B11520" s="1" t="n">
        <v>45636.4705787037</v>
      </c>
      <c r="C11520" s="1" t="n">
        <v>46145</v>
      </c>
      <c r="D11520" t="inlineStr">
        <is>
          <t>VÄSTERBOTTENS LÄN</t>
        </is>
      </c>
      <c r="E11520" t="inlineStr">
        <is>
          <t>UMEÅ</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20979-2025</t>
        </is>
      </c>
      <c r="B11521" s="1" t="n">
        <v>45777.46550925926</v>
      </c>
      <c r="C11521" s="1" t="n">
        <v>46145</v>
      </c>
      <c r="D11521" t="inlineStr">
        <is>
          <t>VÄSTERBOTTENS LÄN</t>
        </is>
      </c>
      <c r="E11521" t="inlineStr">
        <is>
          <t>LYCKSELE</t>
        </is>
      </c>
      <c r="F11521" t="inlineStr">
        <is>
          <t>Sveaskog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20981-2025</t>
        </is>
      </c>
      <c r="B11522" s="1" t="n">
        <v>45777.46688657408</v>
      </c>
      <c r="C11522" s="1" t="n">
        <v>46145</v>
      </c>
      <c r="D11522" t="inlineStr">
        <is>
          <t>VÄSTERBOTTENS LÄN</t>
        </is>
      </c>
      <c r="E11522" t="inlineStr">
        <is>
          <t>UMEÅ</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21131-2025</t>
        </is>
      </c>
      <c r="B11523" s="1" t="n">
        <v>45778.36864583333</v>
      </c>
      <c r="C11523" s="1" t="n">
        <v>46145</v>
      </c>
      <c r="D11523" t="inlineStr">
        <is>
          <t>VÄSTERBOTTENS LÄN</t>
        </is>
      </c>
      <c r="E11523" t="inlineStr">
        <is>
          <t>SKELLEFTEÅ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20941-2025</t>
        </is>
      </c>
      <c r="B11524" s="1" t="n">
        <v>45777</v>
      </c>
      <c r="C11524" s="1" t="n">
        <v>46145</v>
      </c>
      <c r="D11524" t="inlineStr">
        <is>
          <t>VÄSTERBOTTENS LÄN</t>
        </is>
      </c>
      <c r="E11524" t="inlineStr">
        <is>
          <t>VINDELN</t>
        </is>
      </c>
      <c r="F11524" t="inlineStr">
        <is>
          <t>Sveaskog</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20968-2025</t>
        </is>
      </c>
      <c r="B11525" s="1" t="n">
        <v>45777</v>
      </c>
      <c r="C11525" s="1" t="n">
        <v>46145</v>
      </c>
      <c r="D11525" t="inlineStr">
        <is>
          <t>VÄSTERBOTTENS LÄN</t>
        </is>
      </c>
      <c r="E11525" t="inlineStr">
        <is>
          <t>VINDELN</t>
        </is>
      </c>
      <c r="F11525" t="inlineStr">
        <is>
          <t>Sveaskog</t>
        </is>
      </c>
      <c r="G11525" t="n">
        <v>31.1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19729-2025</t>
        </is>
      </c>
      <c r="B11526" s="1" t="n">
        <v>45771.36559027778</v>
      </c>
      <c r="C11526" s="1" t="n">
        <v>46145</v>
      </c>
      <c r="D11526" t="inlineStr">
        <is>
          <t>VÄSTERBOTTENS LÄN</t>
        </is>
      </c>
      <c r="E11526" t="inlineStr">
        <is>
          <t>SKELLEFTEÅ</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19730-2025</t>
        </is>
      </c>
      <c r="B11527" s="1" t="n">
        <v>45771.36560185185</v>
      </c>
      <c r="C11527" s="1" t="n">
        <v>46145</v>
      </c>
      <c r="D11527" t="inlineStr">
        <is>
          <t>VÄSTERBOTTENS LÄN</t>
        </is>
      </c>
      <c r="E11527" t="inlineStr">
        <is>
          <t>SKELLEFTEÅ</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20900-2025</t>
        </is>
      </c>
      <c r="B11528" s="1" t="n">
        <v>45777</v>
      </c>
      <c r="C11528" s="1" t="n">
        <v>46145</v>
      </c>
      <c r="D11528" t="inlineStr">
        <is>
          <t>VÄSTERBOTTENS LÄN</t>
        </is>
      </c>
      <c r="E11528" t="inlineStr">
        <is>
          <t>VINDELN</t>
        </is>
      </c>
      <c r="F11528" t="inlineStr">
        <is>
          <t>Holmen skog AB</t>
        </is>
      </c>
      <c r="G11528" t="n">
        <v>13.4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21014-2025</t>
        </is>
      </c>
      <c r="B11529" s="1" t="n">
        <v>45777</v>
      </c>
      <c r="C11529" s="1" t="n">
        <v>46145</v>
      </c>
      <c r="D11529" t="inlineStr">
        <is>
          <t>VÄSTERBOTTENS LÄN</t>
        </is>
      </c>
      <c r="E11529" t="inlineStr">
        <is>
          <t>VINDELN</t>
        </is>
      </c>
      <c r="F11529" t="inlineStr">
        <is>
          <t>Sveaskog</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12561-2023</t>
        </is>
      </c>
      <c r="B11530" s="1" t="n">
        <v>44998</v>
      </c>
      <c r="C11530" s="1" t="n">
        <v>46145</v>
      </c>
      <c r="D11530" t="inlineStr">
        <is>
          <t>VÄSTERBOTTENS LÄN</t>
        </is>
      </c>
      <c r="E11530" t="inlineStr">
        <is>
          <t>STORUMAN</t>
        </is>
      </c>
      <c r="F11530" t="inlineStr">
        <is>
          <t>Övriga statliga verk och myndigheter</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20865-2025</t>
        </is>
      </c>
      <c r="B11531" s="1" t="n">
        <v>45777.34438657408</v>
      </c>
      <c r="C11531" s="1" t="n">
        <v>46145</v>
      </c>
      <c r="D11531" t="inlineStr">
        <is>
          <t>VÄSTERBOTTENS LÄN</t>
        </is>
      </c>
      <c r="E11531" t="inlineStr">
        <is>
          <t>SKELLEFTEÅ</t>
        </is>
      </c>
      <c r="F11531" t="inlineStr">
        <is>
          <t>SCA</t>
        </is>
      </c>
      <c r="G11531" t="n">
        <v>8.4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20962-2025</t>
        </is>
      </c>
      <c r="B11532" s="1" t="n">
        <v>45777.44890046296</v>
      </c>
      <c r="C11532" s="1" t="n">
        <v>46145</v>
      </c>
      <c r="D11532" t="inlineStr">
        <is>
          <t>VÄSTERBOTTENS LÄN</t>
        </is>
      </c>
      <c r="E11532" t="inlineStr">
        <is>
          <t>VINDELN</t>
        </is>
      </c>
      <c r="F11532" t="inlineStr">
        <is>
          <t>Holmen skog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20958-2025</t>
        </is>
      </c>
      <c r="B11533" s="1" t="n">
        <v>45777.44641203704</v>
      </c>
      <c r="C11533" s="1" t="n">
        <v>46145</v>
      </c>
      <c r="D11533" t="inlineStr">
        <is>
          <t>VÄSTERBOTTENS LÄN</t>
        </is>
      </c>
      <c r="E11533" t="inlineStr">
        <is>
          <t>LYCKSELE</t>
        </is>
      </c>
      <c r="F11533" t="inlineStr">
        <is>
          <t>Sveaskog</t>
        </is>
      </c>
      <c r="G11533" t="n">
        <v>31.1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21095-2025</t>
        </is>
      </c>
      <c r="B11534" s="1" t="n">
        <v>45777.63572916666</v>
      </c>
      <c r="C11534" s="1" t="n">
        <v>46145</v>
      </c>
      <c r="D11534" t="inlineStr">
        <is>
          <t>VÄSTERBOTTENS LÄN</t>
        </is>
      </c>
      <c r="E11534" t="inlineStr">
        <is>
          <t>ÅSELE</t>
        </is>
      </c>
      <c r="F11534" t="inlineStr">
        <is>
          <t>SCA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21035-2025</t>
        </is>
      </c>
      <c r="B11535" s="1" t="n">
        <v>45777.53157407408</v>
      </c>
      <c r="C11535" s="1" t="n">
        <v>46145</v>
      </c>
      <c r="D11535" t="inlineStr">
        <is>
          <t>VÄSTERBOTTENS LÄN</t>
        </is>
      </c>
      <c r="E11535" t="inlineStr">
        <is>
          <t>VILHELMINA</t>
        </is>
      </c>
      <c r="F11535" t="inlineStr">
        <is>
          <t>SCA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6224-2025</t>
        </is>
      </c>
      <c r="B11536" s="1" t="n">
        <v>45697</v>
      </c>
      <c r="C11536" s="1" t="n">
        <v>46145</v>
      </c>
      <c r="D11536" t="inlineStr">
        <is>
          <t>VÄSTERBOTTENS LÄN</t>
        </is>
      </c>
      <c r="E11536" t="inlineStr">
        <is>
          <t>SORSELE</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21127-2025</t>
        </is>
      </c>
      <c r="B11537" s="1" t="n">
        <v>45778.34434027778</v>
      </c>
      <c r="C11537" s="1" t="n">
        <v>46145</v>
      </c>
      <c r="D11537" t="inlineStr">
        <is>
          <t>VÄSTERBOTTENS LÄN</t>
        </is>
      </c>
      <c r="E11537" t="inlineStr">
        <is>
          <t>DOROTEA</t>
        </is>
      </c>
      <c r="F11537" t="inlineStr">
        <is>
          <t>SCA</t>
        </is>
      </c>
      <c r="G11537" t="n">
        <v>9.1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55409-2023</t>
        </is>
      </c>
      <c r="B11538" s="1" t="n">
        <v>45231</v>
      </c>
      <c r="C11538" s="1" t="n">
        <v>46145</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21069-2025</t>
        </is>
      </c>
      <c r="B11539" s="1" t="n">
        <v>45777.59427083333</v>
      </c>
      <c r="C11539" s="1" t="n">
        <v>46145</v>
      </c>
      <c r="D11539" t="inlineStr">
        <is>
          <t>VÄSTERBOTTENS LÄN</t>
        </is>
      </c>
      <c r="E11539" t="inlineStr">
        <is>
          <t>VILHELMINA</t>
        </is>
      </c>
      <c r="F11539" t="inlineStr">
        <is>
          <t>SCA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20964-2025</t>
        </is>
      </c>
      <c r="B11540" s="1" t="n">
        <v>45777</v>
      </c>
      <c r="C11540" s="1" t="n">
        <v>46145</v>
      </c>
      <c r="D11540" t="inlineStr">
        <is>
          <t>VÄSTERBOTTENS LÄN</t>
        </is>
      </c>
      <c r="E11540" t="inlineStr">
        <is>
          <t>VINDELN</t>
        </is>
      </c>
      <c r="F11540" t="inlineStr">
        <is>
          <t>Sveaskog</t>
        </is>
      </c>
      <c r="G11540" t="n">
        <v>11.6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58582-2023</t>
        </is>
      </c>
      <c r="B11541" s="1" t="n">
        <v>45246</v>
      </c>
      <c r="C11541" s="1" t="n">
        <v>46145</v>
      </c>
      <c r="D11541" t="inlineStr">
        <is>
          <t>VÄSTERBOTTENS LÄN</t>
        </is>
      </c>
      <c r="E11541" t="inlineStr">
        <is>
          <t>ROBERTSFORS</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21228-2025</t>
        </is>
      </c>
      <c r="B11542" s="1" t="n">
        <v>45779.52741898148</v>
      </c>
      <c r="C11542" s="1" t="n">
        <v>46145</v>
      </c>
      <c r="D11542" t="inlineStr">
        <is>
          <t>VÄSTERBOTTENS LÄN</t>
        </is>
      </c>
      <c r="E11542" t="inlineStr">
        <is>
          <t>UMEÅ</t>
        </is>
      </c>
      <c r="F11542" t="inlineStr">
        <is>
          <t>Holmen skog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21374-2025</t>
        </is>
      </c>
      <c r="B11543" s="1" t="n">
        <v>45782.44893518519</v>
      </c>
      <c r="C11543" s="1" t="n">
        <v>46145</v>
      </c>
      <c r="D11543" t="inlineStr">
        <is>
          <t>VÄSTERBOTTENS LÄN</t>
        </is>
      </c>
      <c r="E11543" t="inlineStr">
        <is>
          <t>LYCKSELE</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21404-2025</t>
        </is>
      </c>
      <c r="B11544" s="1" t="n">
        <v>45782</v>
      </c>
      <c r="C11544" s="1" t="n">
        <v>46145</v>
      </c>
      <c r="D11544" t="inlineStr">
        <is>
          <t>VÄSTERBOTTENS LÄN</t>
        </is>
      </c>
      <c r="E11544" t="inlineStr">
        <is>
          <t>DOROTEA</t>
        </is>
      </c>
      <c r="F11544" t="inlineStr">
        <is>
          <t>SCA</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21420-2025</t>
        </is>
      </c>
      <c r="B11545" s="1" t="n">
        <v>45782.5021875</v>
      </c>
      <c r="C11545" s="1" t="n">
        <v>46145</v>
      </c>
      <c r="D11545" t="inlineStr">
        <is>
          <t>VÄSTERBOTTENS LÄN</t>
        </is>
      </c>
      <c r="E11545" t="inlineStr">
        <is>
          <t>SKELLEFTEÅ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21435-2025</t>
        </is>
      </c>
      <c r="B11546" s="1" t="n">
        <v>45782.51766203704</v>
      </c>
      <c r="C11546" s="1" t="n">
        <v>46145</v>
      </c>
      <c r="D11546" t="inlineStr">
        <is>
          <t>VÄSTERBOTTENS LÄN</t>
        </is>
      </c>
      <c r="E11546" t="inlineStr">
        <is>
          <t>VÄNNÄS</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21437-2025</t>
        </is>
      </c>
      <c r="B11547" s="1" t="n">
        <v>45782.52001157407</v>
      </c>
      <c r="C11547" s="1" t="n">
        <v>46145</v>
      </c>
      <c r="D11547" t="inlineStr">
        <is>
          <t>VÄSTERBOTTENS LÄN</t>
        </is>
      </c>
      <c r="E11547" t="inlineStr">
        <is>
          <t>VÄNNÄS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50030-2024</t>
        </is>
      </c>
      <c r="B11548" s="1" t="n">
        <v>45599.74957175926</v>
      </c>
      <c r="C11548" s="1" t="n">
        <v>46145</v>
      </c>
      <c r="D11548" t="inlineStr">
        <is>
          <t>VÄSTERBOTTENS LÄN</t>
        </is>
      </c>
      <c r="E11548" t="inlineStr">
        <is>
          <t>ÅSELE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21207-2025</t>
        </is>
      </c>
      <c r="B11549" s="1" t="n">
        <v>45779.48564814815</v>
      </c>
      <c r="C11549" s="1" t="n">
        <v>46145</v>
      </c>
      <c r="D11549" t="inlineStr">
        <is>
          <t>VÄSTERBOTTENS LÄN</t>
        </is>
      </c>
      <c r="E11549" t="inlineStr">
        <is>
          <t>SKELLEFTEÅ</t>
        </is>
      </c>
      <c r="F11549" t="inlineStr">
        <is>
          <t>Holmen skog AB</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43944-2024</t>
        </is>
      </c>
      <c r="B11550" s="1" t="n">
        <v>45572.46914351852</v>
      </c>
      <c r="C11550" s="1" t="n">
        <v>46145</v>
      </c>
      <c r="D11550" t="inlineStr">
        <is>
          <t>VÄSTERBOTTENS LÄN</t>
        </is>
      </c>
      <c r="E11550" t="inlineStr">
        <is>
          <t>DOROTEA</t>
        </is>
      </c>
      <c r="F11550" t="inlineStr">
        <is>
          <t>SCA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21361-2025</t>
        </is>
      </c>
      <c r="B11551" s="1" t="n">
        <v>45782.43983796296</v>
      </c>
      <c r="C11551" s="1" t="n">
        <v>46145</v>
      </c>
      <c r="D11551" t="inlineStr">
        <is>
          <t>VÄSTERBOTTENS LÄN</t>
        </is>
      </c>
      <c r="E11551" t="inlineStr">
        <is>
          <t>VÄNNÄS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21371-2025</t>
        </is>
      </c>
      <c r="B11552" s="1" t="n">
        <v>45782.44856481482</v>
      </c>
      <c r="C11552" s="1" t="n">
        <v>46145</v>
      </c>
      <c r="D11552" t="inlineStr">
        <is>
          <t>VÄSTERBOTTENS LÄN</t>
        </is>
      </c>
      <c r="E11552" t="inlineStr">
        <is>
          <t>SORSELE</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21375-2025</t>
        </is>
      </c>
      <c r="B11553" s="1" t="n">
        <v>45782.44907407407</v>
      </c>
      <c r="C11553" s="1" t="n">
        <v>46145</v>
      </c>
      <c r="D11553" t="inlineStr">
        <is>
          <t>VÄSTERBOTTENS LÄN</t>
        </is>
      </c>
      <c r="E11553" t="inlineStr">
        <is>
          <t>SORSELE</t>
        </is>
      </c>
      <c r="F11553" t="inlineStr">
        <is>
          <t>SCA</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58838-2024</t>
        </is>
      </c>
      <c r="B11554" s="1" t="n">
        <v>45636.38042824074</v>
      </c>
      <c r="C11554" s="1" t="n">
        <v>46145</v>
      </c>
      <c r="D11554" t="inlineStr">
        <is>
          <t>VÄSTERBOTTENS LÄN</t>
        </is>
      </c>
      <c r="E11554" t="inlineStr">
        <is>
          <t>MALÅ</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28856-2024</t>
        </is>
      </c>
      <c r="B11555" s="1" t="n">
        <v>45478.92837962963</v>
      </c>
      <c r="C11555" s="1" t="n">
        <v>46145</v>
      </c>
      <c r="D11555" t="inlineStr">
        <is>
          <t>VÄSTERBOTTENS LÄN</t>
        </is>
      </c>
      <c r="E11555" t="inlineStr">
        <is>
          <t>DOROTEA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46107-2023</t>
        </is>
      </c>
      <c r="B11556" s="1" t="n">
        <v>45190</v>
      </c>
      <c r="C11556" s="1" t="n">
        <v>46145</v>
      </c>
      <c r="D11556" t="inlineStr">
        <is>
          <t>VÄSTERBOTTENS LÄN</t>
        </is>
      </c>
      <c r="E11556" t="inlineStr">
        <is>
          <t>SKELLEFTEÅ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5143-2023</t>
        </is>
      </c>
      <c r="B11557" s="1" t="n">
        <v>44958.92283564815</v>
      </c>
      <c r="C11557" s="1" t="n">
        <v>46145</v>
      </c>
      <c r="D11557" t="inlineStr">
        <is>
          <t>VÄSTERBOTTENS LÄN</t>
        </is>
      </c>
      <c r="E11557" t="inlineStr">
        <is>
          <t>NORSJÖ</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58751-2023</t>
        </is>
      </c>
      <c r="B11558" s="1" t="n">
        <v>45251</v>
      </c>
      <c r="C11558" s="1" t="n">
        <v>46145</v>
      </c>
      <c r="D11558" t="inlineStr">
        <is>
          <t>VÄSTERBOTTENS LÄN</t>
        </is>
      </c>
      <c r="E11558" t="inlineStr">
        <is>
          <t>SKELLEFTEÅ</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21410-2025</t>
        </is>
      </c>
      <c r="B11559" s="1" t="n">
        <v>45782</v>
      </c>
      <c r="C11559" s="1" t="n">
        <v>46145</v>
      </c>
      <c r="D11559" t="inlineStr">
        <is>
          <t>VÄSTERBOTTENS LÄN</t>
        </is>
      </c>
      <c r="E11559" t="inlineStr">
        <is>
          <t>VILHELMINA</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21424-2025</t>
        </is>
      </c>
      <c r="B11560" s="1" t="n">
        <v>45782.50584490741</v>
      </c>
      <c r="C11560" s="1" t="n">
        <v>46145</v>
      </c>
      <c r="D11560" t="inlineStr">
        <is>
          <t>VÄSTERBOTTENS LÄN</t>
        </is>
      </c>
      <c r="E11560" t="inlineStr">
        <is>
          <t>SKELLEFTEÅ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21411-2025</t>
        </is>
      </c>
      <c r="B11561" s="1" t="n">
        <v>45782</v>
      </c>
      <c r="C11561" s="1" t="n">
        <v>46145</v>
      </c>
      <c r="D11561" t="inlineStr">
        <is>
          <t>VÄSTERBOTTENS LÄN</t>
        </is>
      </c>
      <c r="E11561" t="inlineStr">
        <is>
          <t>DOROTEA</t>
        </is>
      </c>
      <c r="F11561" t="inlineStr">
        <is>
          <t>SCA</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21427-2025</t>
        </is>
      </c>
      <c r="B11562" s="1" t="n">
        <v>45782.50858796296</v>
      </c>
      <c r="C11562" s="1" t="n">
        <v>46145</v>
      </c>
      <c r="D11562" t="inlineStr">
        <is>
          <t>VÄSTERBOTTENS LÄN</t>
        </is>
      </c>
      <c r="E11562" t="inlineStr">
        <is>
          <t>SKELLEFTEÅ</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21148-2025</t>
        </is>
      </c>
      <c r="B11563" s="1" t="n">
        <v>45779.34300925926</v>
      </c>
      <c r="C11563" s="1" t="n">
        <v>46145</v>
      </c>
      <c r="D11563" t="inlineStr">
        <is>
          <t>VÄSTERBOTTENS LÄN</t>
        </is>
      </c>
      <c r="E11563" t="inlineStr">
        <is>
          <t>ROBERTSFORS</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21219-2025</t>
        </is>
      </c>
      <c r="B11564" s="1" t="n">
        <v>45779.4949537037</v>
      </c>
      <c r="C11564" s="1" t="n">
        <v>46145</v>
      </c>
      <c r="D11564" t="inlineStr">
        <is>
          <t>VÄSTERBOTTENS LÄN</t>
        </is>
      </c>
      <c r="E11564" t="inlineStr">
        <is>
          <t>ÅSELE</t>
        </is>
      </c>
      <c r="F11564" t="inlineStr">
        <is>
          <t>Holmen skog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41890-2022</t>
        </is>
      </c>
      <c r="B11565" s="1" t="n">
        <v>44830.32160879629</v>
      </c>
      <c r="C11565" s="1" t="n">
        <v>46145</v>
      </c>
      <c r="D11565" t="inlineStr">
        <is>
          <t>VÄSTERBOTTENS LÄN</t>
        </is>
      </c>
      <c r="E11565" t="inlineStr">
        <is>
          <t>NORSJÖ</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3431-2023</t>
        </is>
      </c>
      <c r="B11566" s="1" t="n">
        <v>44949</v>
      </c>
      <c r="C11566" s="1" t="n">
        <v>46145</v>
      </c>
      <c r="D11566" t="inlineStr">
        <is>
          <t>VÄSTERBOTTENS LÄN</t>
        </is>
      </c>
      <c r="E11566" t="inlineStr">
        <is>
          <t>VINDELN</t>
        </is>
      </c>
      <c r="F11566" t="inlineStr">
        <is>
          <t>Sveaskog</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52880-2022</t>
        </is>
      </c>
      <c r="B11567" s="1" t="n">
        <v>44875</v>
      </c>
      <c r="C11567" s="1" t="n">
        <v>46145</v>
      </c>
      <c r="D11567" t="inlineStr">
        <is>
          <t>VÄSTERBOTTENS LÄN</t>
        </is>
      </c>
      <c r="E11567" t="inlineStr">
        <is>
          <t>VINDELN</t>
        </is>
      </c>
      <c r="F11567" t="inlineStr">
        <is>
          <t>Sveaskog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3745-2023</t>
        </is>
      </c>
      <c r="B11568" s="1" t="n">
        <v>44949</v>
      </c>
      <c r="C11568" s="1" t="n">
        <v>46145</v>
      </c>
      <c r="D11568" t="inlineStr">
        <is>
          <t>VÄSTERBOTTENS LÄN</t>
        </is>
      </c>
      <c r="E11568" t="inlineStr">
        <is>
          <t>VILHELMINA</t>
        </is>
      </c>
      <c r="G11568" t="n">
        <v>36.6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10772-2023</t>
        </is>
      </c>
      <c r="B11569" s="1" t="n">
        <v>44988.93965277778</v>
      </c>
      <c r="C11569" s="1" t="n">
        <v>46145</v>
      </c>
      <c r="D11569" t="inlineStr">
        <is>
          <t>VÄSTERBOTTENS LÄN</t>
        </is>
      </c>
      <c r="E11569" t="inlineStr">
        <is>
          <t>ÅSELE</t>
        </is>
      </c>
      <c r="F11569" t="inlineStr">
        <is>
          <t>SCA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21195-2025</t>
        </is>
      </c>
      <c r="B11570" s="1" t="n">
        <v>45779.46914351852</v>
      </c>
      <c r="C11570" s="1" t="n">
        <v>46145</v>
      </c>
      <c r="D11570" t="inlineStr">
        <is>
          <t>VÄSTERBOTTENS LÄN</t>
        </is>
      </c>
      <c r="E11570" t="inlineStr">
        <is>
          <t>LYCKSELE</t>
        </is>
      </c>
      <c r="F11570" t="inlineStr">
        <is>
          <t>SCA</t>
        </is>
      </c>
      <c r="G11570" t="n">
        <v>6.5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21205-2025</t>
        </is>
      </c>
      <c r="B11571" s="1" t="n">
        <v>45779</v>
      </c>
      <c r="C11571" s="1" t="n">
        <v>46145</v>
      </c>
      <c r="D11571" t="inlineStr">
        <is>
          <t>VÄSTERBOTTENS LÄN</t>
        </is>
      </c>
      <c r="E11571" t="inlineStr">
        <is>
          <t>VILHELMINA</t>
        </is>
      </c>
      <c r="F11571" t="inlineStr">
        <is>
          <t>Allmännings- och besparingsskogar</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29450-2024</t>
        </is>
      </c>
      <c r="B11572" s="1" t="n">
        <v>45483.93383101852</v>
      </c>
      <c r="C11572" s="1" t="n">
        <v>46145</v>
      </c>
      <c r="D11572" t="inlineStr">
        <is>
          <t>VÄSTERBOTTENS LÄN</t>
        </is>
      </c>
      <c r="E11572" t="inlineStr">
        <is>
          <t>MALÅ</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21448-2025</t>
        </is>
      </c>
      <c r="B11573" s="1" t="n">
        <v>45782.55241898148</v>
      </c>
      <c r="C11573" s="1" t="n">
        <v>46145</v>
      </c>
      <c r="D11573" t="inlineStr">
        <is>
          <t>VÄSTERBOTTENS LÄN</t>
        </is>
      </c>
      <c r="E11573" t="inlineStr">
        <is>
          <t>VILHELMINA</t>
        </is>
      </c>
      <c r="F11573" t="inlineStr">
        <is>
          <t>SCA</t>
        </is>
      </c>
      <c r="G11573" t="n">
        <v>9.699999999999999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21144-2025</t>
        </is>
      </c>
      <c r="B11574" s="1" t="n">
        <v>45779.33128472222</v>
      </c>
      <c r="C11574" s="1" t="n">
        <v>46145</v>
      </c>
      <c r="D11574" t="inlineStr">
        <is>
          <t>VÄSTERBOTTENS LÄN</t>
        </is>
      </c>
      <c r="E11574" t="inlineStr">
        <is>
          <t>ROBERTSFORS</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21222-2025</t>
        </is>
      </c>
      <c r="B11575" s="1" t="n">
        <v>45779.5078125</v>
      </c>
      <c r="C11575" s="1" t="n">
        <v>46145</v>
      </c>
      <c r="D11575" t="inlineStr">
        <is>
          <t>VÄSTERBOTTENS LÄN</t>
        </is>
      </c>
      <c r="E11575" t="inlineStr">
        <is>
          <t>SKELLEFTEÅ</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36918-2021</t>
        </is>
      </c>
      <c r="B11576" s="1" t="n">
        <v>44393.48011574074</v>
      </c>
      <c r="C11576" s="1" t="n">
        <v>46145</v>
      </c>
      <c r="D11576" t="inlineStr">
        <is>
          <t>VÄSTERBOTTENS LÄN</t>
        </is>
      </c>
      <c r="E11576" t="inlineStr">
        <is>
          <t>STORUMAN</t>
        </is>
      </c>
      <c r="F11576" t="inlineStr">
        <is>
          <t>Sveaskog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43357-2021</t>
        </is>
      </c>
      <c r="B11577" s="1" t="n">
        <v>44432</v>
      </c>
      <c r="C11577" s="1" t="n">
        <v>46145</v>
      </c>
      <c r="D11577" t="inlineStr">
        <is>
          <t>VÄSTERBOTTENS LÄN</t>
        </is>
      </c>
      <c r="E11577" t="inlineStr">
        <is>
          <t>UMEÅ</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21510-2025</t>
        </is>
      </c>
      <c r="B11578" s="1" t="n">
        <v>45782.62412037037</v>
      </c>
      <c r="C11578" s="1" t="n">
        <v>46145</v>
      </c>
      <c r="D11578" t="inlineStr">
        <is>
          <t>VÄSTERBOTTENS LÄN</t>
        </is>
      </c>
      <c r="E11578" t="inlineStr">
        <is>
          <t>VINDELN</t>
        </is>
      </c>
      <c r="F11578" t="inlineStr">
        <is>
          <t>Holmen skog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21482-2025</t>
        </is>
      </c>
      <c r="B11579" s="1" t="n">
        <v>45782</v>
      </c>
      <c r="C11579" s="1" t="n">
        <v>46145</v>
      </c>
      <c r="D11579" t="inlineStr">
        <is>
          <t>VÄSTERBOTTENS LÄN</t>
        </is>
      </c>
      <c r="E11579" t="inlineStr">
        <is>
          <t>DOROTEA</t>
        </is>
      </c>
      <c r="F11579" t="inlineStr">
        <is>
          <t>SCA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21171-2025</t>
        </is>
      </c>
      <c r="B11580" s="1" t="n">
        <v>45779.42604166667</v>
      </c>
      <c r="C11580" s="1" t="n">
        <v>46145</v>
      </c>
      <c r="D11580" t="inlineStr">
        <is>
          <t>VÄSTERBOTTENS LÄN</t>
        </is>
      </c>
      <c r="E11580" t="inlineStr">
        <is>
          <t>LYCKSELE</t>
        </is>
      </c>
      <c r="F11580" t="inlineStr">
        <is>
          <t>Sveaskog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21350-2025</t>
        </is>
      </c>
      <c r="B11581" s="1" t="n">
        <v>45782.40702546296</v>
      </c>
      <c r="C11581" s="1" t="n">
        <v>46145</v>
      </c>
      <c r="D11581" t="inlineStr">
        <is>
          <t>VÄSTERBOTTENS LÄN</t>
        </is>
      </c>
      <c r="E11581" t="inlineStr">
        <is>
          <t>SKELLEFTEÅ</t>
        </is>
      </c>
      <c r="F11581" t="inlineStr">
        <is>
          <t>Holmen skog AB</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21381-2025</t>
        </is>
      </c>
      <c r="B11582" s="1" t="n">
        <v>45782.45925925926</v>
      </c>
      <c r="C11582" s="1" t="n">
        <v>46145</v>
      </c>
      <c r="D11582" t="inlineStr">
        <is>
          <t>VÄSTERBOTTENS LÄN</t>
        </is>
      </c>
      <c r="E11582" t="inlineStr">
        <is>
          <t>SKELLEFTEÅ</t>
        </is>
      </c>
      <c r="F11582" t="inlineStr">
        <is>
          <t>Holmen skog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21265-2025</t>
        </is>
      </c>
      <c r="B11583" s="1" t="n">
        <v>45779.61490740741</v>
      </c>
      <c r="C11583" s="1" t="n">
        <v>46145</v>
      </c>
      <c r="D11583" t="inlineStr">
        <is>
          <t>VÄSTERBOTTENS LÄN</t>
        </is>
      </c>
      <c r="E11583" t="inlineStr">
        <is>
          <t>DOROTEA</t>
        </is>
      </c>
      <c r="F11583" t="inlineStr">
        <is>
          <t>SCA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21266-2025</t>
        </is>
      </c>
      <c r="B11584" s="1" t="n">
        <v>45779.61503472222</v>
      </c>
      <c r="C11584" s="1" t="n">
        <v>46145</v>
      </c>
      <c r="D11584" t="inlineStr">
        <is>
          <t>VÄSTERBOTTENS LÄN</t>
        </is>
      </c>
      <c r="E11584" t="inlineStr">
        <is>
          <t>LYCKSELE</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21320-2025</t>
        </is>
      </c>
      <c r="B11585" s="1" t="n">
        <v>45782</v>
      </c>
      <c r="C11585" s="1" t="n">
        <v>46145</v>
      </c>
      <c r="D11585" t="inlineStr">
        <is>
          <t>VÄSTERBOTTENS LÄN</t>
        </is>
      </c>
      <c r="E11585" t="inlineStr">
        <is>
          <t>DOROTEA</t>
        </is>
      </c>
      <c r="F11585" t="inlineStr">
        <is>
          <t>SCA</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16758-2023</t>
        </is>
      </c>
      <c r="B11586" s="1" t="n">
        <v>45030</v>
      </c>
      <c r="C11586" s="1" t="n">
        <v>46145</v>
      </c>
      <c r="D11586" t="inlineStr">
        <is>
          <t>VÄSTERBOTTENS LÄN</t>
        </is>
      </c>
      <c r="E11586" t="inlineStr">
        <is>
          <t>NORDMALING</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53382-2024</t>
        </is>
      </c>
      <c r="B11587" s="1" t="n">
        <v>45614</v>
      </c>
      <c r="C11587" s="1" t="n">
        <v>46145</v>
      </c>
      <c r="D11587" t="inlineStr">
        <is>
          <t>VÄSTERBOTTENS LÄN</t>
        </is>
      </c>
      <c r="E11587" t="inlineStr">
        <is>
          <t>DOROTEA</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21190-2025</t>
        </is>
      </c>
      <c r="B11588" s="1" t="n">
        <v>45779.45958333334</v>
      </c>
      <c r="C11588" s="1" t="n">
        <v>46145</v>
      </c>
      <c r="D11588" t="inlineStr">
        <is>
          <t>VÄSTERBOTTENS LÄN</t>
        </is>
      </c>
      <c r="E11588" t="inlineStr">
        <is>
          <t>SKELLEFTEÅ</t>
        </is>
      </c>
      <c r="F11588" t="inlineStr">
        <is>
          <t>Holmen skog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21204-2025</t>
        </is>
      </c>
      <c r="B11589" s="1" t="n">
        <v>45779</v>
      </c>
      <c r="C11589" s="1" t="n">
        <v>46145</v>
      </c>
      <c r="D11589" t="inlineStr">
        <is>
          <t>VÄSTERBOTTENS LÄN</t>
        </is>
      </c>
      <c r="E11589" t="inlineStr">
        <is>
          <t>VILHELMINA</t>
        </is>
      </c>
      <c r="F11589" t="inlineStr">
        <is>
          <t>Allmännings- och besparingsskogar</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21215-2025</t>
        </is>
      </c>
      <c r="B11590" s="1" t="n">
        <v>45779.49037037037</v>
      </c>
      <c r="C11590" s="1" t="n">
        <v>46145</v>
      </c>
      <c r="D11590" t="inlineStr">
        <is>
          <t>VÄSTERBOTTENS LÄN</t>
        </is>
      </c>
      <c r="E11590" t="inlineStr">
        <is>
          <t>DOROTEA</t>
        </is>
      </c>
      <c r="F11590" t="inlineStr">
        <is>
          <t>SCA</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21861-2025</t>
        </is>
      </c>
      <c r="B11591" s="1" t="n">
        <v>45784.36506944444</v>
      </c>
      <c r="C11591" s="1" t="n">
        <v>46145</v>
      </c>
      <c r="D11591" t="inlineStr">
        <is>
          <t>VÄSTERBOTTENS LÄN</t>
        </is>
      </c>
      <c r="E11591" t="inlineStr">
        <is>
          <t>LYCKSELE</t>
        </is>
      </c>
      <c r="F11591" t="inlineStr">
        <is>
          <t>SCA</t>
        </is>
      </c>
      <c r="G11591" t="n">
        <v>10.5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21924-2025</t>
        </is>
      </c>
      <c r="B11592" s="1" t="n">
        <v>45784</v>
      </c>
      <c r="C11592" s="1" t="n">
        <v>46145</v>
      </c>
      <c r="D11592" t="inlineStr">
        <is>
          <t>VÄSTERBOTTENS LÄN</t>
        </is>
      </c>
      <c r="E11592" t="inlineStr">
        <is>
          <t>VILHELMINA</t>
        </is>
      </c>
      <c r="G11592" t="n">
        <v>10.2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21960-2025</t>
        </is>
      </c>
      <c r="B11593" s="1" t="n">
        <v>45784</v>
      </c>
      <c r="C11593" s="1" t="n">
        <v>46145</v>
      </c>
      <c r="D11593" t="inlineStr">
        <is>
          <t>VÄSTERBOTTENS LÄN</t>
        </is>
      </c>
      <c r="E11593" t="inlineStr">
        <is>
          <t>DOROTEA</t>
        </is>
      </c>
      <c r="F11593" t="inlineStr">
        <is>
          <t>SCA</t>
        </is>
      </c>
      <c r="G11593" t="n">
        <v>26.9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21750-2025</t>
        </is>
      </c>
      <c r="B11594" s="1" t="n">
        <v>45783.61346064815</v>
      </c>
      <c r="C11594" s="1" t="n">
        <v>46145</v>
      </c>
      <c r="D11594" t="inlineStr">
        <is>
          <t>VÄSTERBOTTENS LÄN</t>
        </is>
      </c>
      <c r="E11594" t="inlineStr">
        <is>
          <t>SKELLEFTEÅ</t>
        </is>
      </c>
      <c r="F11594" t="inlineStr">
        <is>
          <t>Kyrkan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15903-2025</t>
        </is>
      </c>
      <c r="B11595" s="1" t="n">
        <v>45749</v>
      </c>
      <c r="C11595" s="1" t="n">
        <v>46145</v>
      </c>
      <c r="D11595" t="inlineStr">
        <is>
          <t>VÄSTERBOTTENS LÄN</t>
        </is>
      </c>
      <c r="E11595" t="inlineStr">
        <is>
          <t>UMEÅ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5986-2025</t>
        </is>
      </c>
      <c r="B11596" s="1" t="n">
        <v>45695</v>
      </c>
      <c r="C11596" s="1" t="n">
        <v>46145</v>
      </c>
      <c r="D11596" t="inlineStr">
        <is>
          <t>VÄSTERBOTTENS LÄN</t>
        </is>
      </c>
      <c r="E11596" t="inlineStr">
        <is>
          <t>SKELLEFTEÅ</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21587-2025</t>
        </is>
      </c>
      <c r="B11597" s="1" t="n">
        <v>45783</v>
      </c>
      <c r="C11597" s="1" t="n">
        <v>46145</v>
      </c>
      <c r="D11597" t="inlineStr">
        <is>
          <t>VÄSTERBOTTENS LÄN</t>
        </is>
      </c>
      <c r="E11597" t="inlineStr">
        <is>
          <t>SKELLEFTEÅ</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21622-2025</t>
        </is>
      </c>
      <c r="B11598" s="1" t="n">
        <v>45783.40668981482</v>
      </c>
      <c r="C11598" s="1" t="n">
        <v>46145</v>
      </c>
      <c r="D11598" t="inlineStr">
        <is>
          <t>VÄSTERBOTTENS LÄN</t>
        </is>
      </c>
      <c r="E11598" t="inlineStr">
        <is>
          <t>DOROTEA</t>
        </is>
      </c>
      <c r="F11598" t="inlineStr">
        <is>
          <t>SCA</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21736-2025</t>
        </is>
      </c>
      <c r="B11599" s="1" t="n">
        <v>45783.58952546296</v>
      </c>
      <c r="C11599" s="1" t="n">
        <v>46145</v>
      </c>
      <c r="D11599" t="inlineStr">
        <is>
          <t>VÄSTERBOTTENS LÄN</t>
        </is>
      </c>
      <c r="E11599" t="inlineStr">
        <is>
          <t>NORDMALING</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21992-2025</t>
        </is>
      </c>
      <c r="B11600" s="1" t="n">
        <v>45784.66221064814</v>
      </c>
      <c r="C11600" s="1" t="n">
        <v>46145</v>
      </c>
      <c r="D11600" t="inlineStr">
        <is>
          <t>VÄSTERBOTTENS LÄN</t>
        </is>
      </c>
      <c r="E11600" t="inlineStr">
        <is>
          <t>SKELLEFTEÅ</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22007-2025</t>
        </is>
      </c>
      <c r="B11601" s="1" t="n">
        <v>45784</v>
      </c>
      <c r="C11601" s="1" t="n">
        <v>46145</v>
      </c>
      <c r="D11601" t="inlineStr">
        <is>
          <t>VÄSTERBOTTENS LÄN</t>
        </is>
      </c>
      <c r="E11601" t="inlineStr">
        <is>
          <t>UMEÅ</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21887-2025</t>
        </is>
      </c>
      <c r="B11602" s="1" t="n">
        <v>45784.42898148148</v>
      </c>
      <c r="C11602" s="1" t="n">
        <v>46145</v>
      </c>
      <c r="D11602" t="inlineStr">
        <is>
          <t>VÄSTERBOTTENS LÄN</t>
        </is>
      </c>
      <c r="E11602" t="inlineStr">
        <is>
          <t>BJURHOLM</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21906-2025</t>
        </is>
      </c>
      <c r="B11603" s="1" t="n">
        <v>45784</v>
      </c>
      <c r="C11603" s="1" t="n">
        <v>46145</v>
      </c>
      <c r="D11603" t="inlineStr">
        <is>
          <t>VÄSTERBOTTENS LÄN</t>
        </is>
      </c>
      <c r="E11603" t="inlineStr">
        <is>
          <t>NORSJÖ</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21888-2025</t>
        </is>
      </c>
      <c r="B11604" s="1" t="n">
        <v>45784.43131944445</v>
      </c>
      <c r="C11604" s="1" t="n">
        <v>46145</v>
      </c>
      <c r="D11604" t="inlineStr">
        <is>
          <t>VÄSTERBOTTENS LÄN</t>
        </is>
      </c>
      <c r="E11604" t="inlineStr">
        <is>
          <t>LYCKSELE</t>
        </is>
      </c>
      <c r="F11604" t="inlineStr">
        <is>
          <t>Holmen skog AB</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21910-2025</t>
        </is>
      </c>
      <c r="B11605" s="1" t="n">
        <v>45784.47021990741</v>
      </c>
      <c r="C11605" s="1" t="n">
        <v>46145</v>
      </c>
      <c r="D11605" t="inlineStr">
        <is>
          <t>VÄSTERBOTTENS LÄN</t>
        </is>
      </c>
      <c r="E11605" t="inlineStr">
        <is>
          <t>SKELLEFTEÅ</t>
        </is>
      </c>
      <c r="F11605" t="inlineStr">
        <is>
          <t>Holmen skog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21727-2025</t>
        </is>
      </c>
      <c r="B11606" s="1" t="n">
        <v>45783.57331018519</v>
      </c>
      <c r="C11606" s="1" t="n">
        <v>46145</v>
      </c>
      <c r="D11606" t="inlineStr">
        <is>
          <t>VÄSTERBOTTENS LÄN</t>
        </is>
      </c>
      <c r="E11606" t="inlineStr">
        <is>
          <t>LYCKSELE</t>
        </is>
      </c>
      <c r="F11606" t="inlineStr">
        <is>
          <t>SCA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21585-2025</t>
        </is>
      </c>
      <c r="B11607" s="1" t="n">
        <v>45783</v>
      </c>
      <c r="C11607" s="1" t="n">
        <v>46145</v>
      </c>
      <c r="D11607" t="inlineStr">
        <is>
          <t>VÄSTERBOTTENS LÄN</t>
        </is>
      </c>
      <c r="E11607" t="inlineStr">
        <is>
          <t>SKELLEFTEÅ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21800-2025</t>
        </is>
      </c>
      <c r="B11608" s="1" t="n">
        <v>45783.68863425926</v>
      </c>
      <c r="C11608" s="1" t="n">
        <v>46145</v>
      </c>
      <c r="D11608" t="inlineStr">
        <is>
          <t>VÄSTERBOTTENS LÄN</t>
        </is>
      </c>
      <c r="E11608" t="inlineStr">
        <is>
          <t>UMEÅ</t>
        </is>
      </c>
      <c r="F11608" t="inlineStr">
        <is>
          <t>Kyrkan</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21794-2025</t>
        </is>
      </c>
      <c r="B11609" s="1" t="n">
        <v>45783.67894675926</v>
      </c>
      <c r="C11609" s="1" t="n">
        <v>46145</v>
      </c>
      <c r="D11609" t="inlineStr">
        <is>
          <t>VÄSTERBOTTENS LÄN</t>
        </is>
      </c>
      <c r="E11609" t="inlineStr">
        <is>
          <t>UMEÅ</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50482-2023</t>
        </is>
      </c>
      <c r="B11610" s="1" t="n">
        <v>45216</v>
      </c>
      <c r="C11610" s="1" t="n">
        <v>46145</v>
      </c>
      <c r="D11610" t="inlineStr">
        <is>
          <t>VÄSTERBOTTENS LÄN</t>
        </is>
      </c>
      <c r="E11610" t="inlineStr">
        <is>
          <t>VILHELMINA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21701-2025</t>
        </is>
      </c>
      <c r="B11611" s="1" t="n">
        <v>45783</v>
      </c>
      <c r="C11611" s="1" t="n">
        <v>46145</v>
      </c>
      <c r="D11611" t="inlineStr">
        <is>
          <t>VÄSTERBOTTENS LÄN</t>
        </is>
      </c>
      <c r="E11611" t="inlineStr">
        <is>
          <t>DOROTEA</t>
        </is>
      </c>
      <c r="F11611" t="inlineStr">
        <is>
          <t>SCA</t>
        </is>
      </c>
      <c r="G11611" t="n">
        <v>10</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22004-2025</t>
        </is>
      </c>
      <c r="B11612" s="1" t="n">
        <v>45784</v>
      </c>
      <c r="C11612" s="1" t="n">
        <v>46145</v>
      </c>
      <c r="D11612" t="inlineStr">
        <is>
          <t>VÄSTERBOTTENS LÄN</t>
        </is>
      </c>
      <c r="E11612" t="inlineStr">
        <is>
          <t>UMEÅ</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21610-2025</t>
        </is>
      </c>
      <c r="B11613" s="1" t="n">
        <v>45783.39127314815</v>
      </c>
      <c r="C11613" s="1" t="n">
        <v>46145</v>
      </c>
      <c r="D11613" t="inlineStr">
        <is>
          <t>VÄSTERBOTTENS LÄN</t>
        </is>
      </c>
      <c r="E11613" t="inlineStr">
        <is>
          <t>UMEÅ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21612-2025</t>
        </is>
      </c>
      <c r="B11614" s="1" t="n">
        <v>45783.39449074074</v>
      </c>
      <c r="C11614" s="1" t="n">
        <v>46145</v>
      </c>
      <c r="D11614" t="inlineStr">
        <is>
          <t>VÄSTERBOTTENS LÄN</t>
        </is>
      </c>
      <c r="E11614" t="inlineStr">
        <is>
          <t>UMEÅ</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21795-2025</t>
        </is>
      </c>
      <c r="B11615" s="1" t="n">
        <v>45783.68131944445</v>
      </c>
      <c r="C11615" s="1" t="n">
        <v>46145</v>
      </c>
      <c r="D11615" t="inlineStr">
        <is>
          <t>VÄSTERBOTTENS LÄN</t>
        </is>
      </c>
      <c r="E11615" t="inlineStr">
        <is>
          <t>UMEÅ</t>
        </is>
      </c>
      <c r="F11615" t="inlineStr">
        <is>
          <t>Kyrkan</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21999-2025</t>
        </is>
      </c>
      <c r="B11616" s="1" t="n">
        <v>45784</v>
      </c>
      <c r="C11616" s="1" t="n">
        <v>46145</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21950-2025</t>
        </is>
      </c>
      <c r="B11617" s="1" t="n">
        <v>45784.59418981482</v>
      </c>
      <c r="C11617" s="1" t="n">
        <v>46145</v>
      </c>
      <c r="D11617" t="inlineStr">
        <is>
          <t>VÄSTERBOTTENS LÄN</t>
        </is>
      </c>
      <c r="E11617" t="inlineStr">
        <is>
          <t>VILHELMINA</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21623-2025</t>
        </is>
      </c>
      <c r="B11618" s="1" t="n">
        <v>45783</v>
      </c>
      <c r="C11618" s="1" t="n">
        <v>46145</v>
      </c>
      <c r="D11618" t="inlineStr">
        <is>
          <t>VÄSTERBOTTENS LÄN</t>
        </is>
      </c>
      <c r="E11618" t="inlineStr">
        <is>
          <t>VILHELMINA</t>
        </is>
      </c>
      <c r="F11618" t="inlineStr">
        <is>
          <t>SCA</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21650-2025</t>
        </is>
      </c>
      <c r="B11619" s="1" t="n">
        <v>45783.44258101852</v>
      </c>
      <c r="C11619" s="1" t="n">
        <v>46145</v>
      </c>
      <c r="D11619" t="inlineStr">
        <is>
          <t>VÄSTERBOTTENS LÄN</t>
        </is>
      </c>
      <c r="E11619" t="inlineStr">
        <is>
          <t>VINDELN</t>
        </is>
      </c>
      <c r="F11619" t="inlineStr">
        <is>
          <t>Holmen skog AB</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21670-2025</t>
        </is>
      </c>
      <c r="B11620" s="1" t="n">
        <v>45783.46917824074</v>
      </c>
      <c r="C11620" s="1" t="n">
        <v>46145</v>
      </c>
      <c r="D11620" t="inlineStr">
        <is>
          <t>VÄSTERBOTTENS LÄN</t>
        </is>
      </c>
      <c r="E11620" t="inlineStr">
        <is>
          <t>VILHELMINA</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21733-2025</t>
        </is>
      </c>
      <c r="B11621" s="1" t="n">
        <v>45783.58576388889</v>
      </c>
      <c r="C11621" s="1" t="n">
        <v>46145</v>
      </c>
      <c r="D11621" t="inlineStr">
        <is>
          <t>VÄSTERBOTTENS LÄN</t>
        </is>
      </c>
      <c r="E11621" t="inlineStr">
        <is>
          <t>NORDMALING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21972-2025</t>
        </is>
      </c>
      <c r="B11622" s="1" t="n">
        <v>45784.63592592593</v>
      </c>
      <c r="C11622" s="1" t="n">
        <v>46145</v>
      </c>
      <c r="D11622" t="inlineStr">
        <is>
          <t>VÄSTERBOTTENS LÄN</t>
        </is>
      </c>
      <c r="E11622" t="inlineStr">
        <is>
          <t>VILHELMINA</t>
        </is>
      </c>
      <c r="F11622" t="inlineStr">
        <is>
          <t>SCA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34809-2023</t>
        </is>
      </c>
      <c r="B11623" s="1" t="n">
        <v>45140</v>
      </c>
      <c r="C11623" s="1" t="n">
        <v>46145</v>
      </c>
      <c r="D11623" t="inlineStr">
        <is>
          <t>VÄSTERBOTTENS LÄN</t>
        </is>
      </c>
      <c r="E11623" t="inlineStr">
        <is>
          <t>VILHELMINA</t>
        </is>
      </c>
      <c r="G11623" t="n">
        <v>8.699999999999999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21615-2025</t>
        </is>
      </c>
      <c r="B11624" s="1" t="n">
        <v>45783.40077546296</v>
      </c>
      <c r="C11624" s="1" t="n">
        <v>46145</v>
      </c>
      <c r="D11624" t="inlineStr">
        <is>
          <t>VÄSTERBOTTENS LÄN</t>
        </is>
      </c>
      <c r="E11624" t="inlineStr">
        <is>
          <t>VÄNNÄS</t>
        </is>
      </c>
      <c r="F11624" t="inlineStr">
        <is>
          <t>Holmen skog AB</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21755-2025</t>
        </is>
      </c>
      <c r="B11625" s="1" t="n">
        <v>45783.61917824074</v>
      </c>
      <c r="C11625" s="1" t="n">
        <v>46145</v>
      </c>
      <c r="D11625" t="inlineStr">
        <is>
          <t>VÄSTERBOTTENS LÄN</t>
        </is>
      </c>
      <c r="E11625" t="inlineStr">
        <is>
          <t>SKELLEFTEÅ</t>
        </is>
      </c>
      <c r="G11625" t="n">
        <v>13.6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21757-2025</t>
        </is>
      </c>
      <c r="B11626" s="1" t="n">
        <v>45783</v>
      </c>
      <c r="C11626" s="1" t="n">
        <v>46145</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22032-2025</t>
        </is>
      </c>
      <c r="B11627" s="1" t="n">
        <v>45784</v>
      </c>
      <c r="C11627" s="1" t="n">
        <v>46145</v>
      </c>
      <c r="D11627" t="inlineStr">
        <is>
          <t>VÄSTERBOTTENS LÄN</t>
        </is>
      </c>
      <c r="E11627" t="inlineStr">
        <is>
          <t>ROBERTSFORS</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21743-2025</t>
        </is>
      </c>
      <c r="B11628" s="1" t="n">
        <v>45783.5943287037</v>
      </c>
      <c r="C11628" s="1" t="n">
        <v>46145</v>
      </c>
      <c r="D11628" t="inlineStr">
        <is>
          <t>VÄSTERBOTTENS LÄN</t>
        </is>
      </c>
      <c r="E11628" t="inlineStr">
        <is>
          <t>SORSELE</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22229-2025</t>
        </is>
      </c>
      <c r="B11629" s="1" t="n">
        <v>45785.66422453704</v>
      </c>
      <c r="C11629" s="1" t="n">
        <v>46145</v>
      </c>
      <c r="D11629" t="inlineStr">
        <is>
          <t>VÄSTERBOTTENS LÄN</t>
        </is>
      </c>
      <c r="E11629" t="inlineStr">
        <is>
          <t>LYCKSELE</t>
        </is>
      </c>
      <c r="F11629" t="inlineStr">
        <is>
          <t>Holmen skog AB</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22309-2025</t>
        </is>
      </c>
      <c r="B11630" s="1" t="n">
        <v>45786.36578703704</v>
      </c>
      <c r="C11630" s="1" t="n">
        <v>46145</v>
      </c>
      <c r="D11630" t="inlineStr">
        <is>
          <t>VÄSTERBOTTENS LÄN</t>
        </is>
      </c>
      <c r="E11630" t="inlineStr">
        <is>
          <t>LYCKSELE</t>
        </is>
      </c>
      <c r="F11630" t="inlineStr">
        <is>
          <t>Holmen skog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22048-2025</t>
        </is>
      </c>
      <c r="B11631" s="1" t="n">
        <v>45785.3443287037</v>
      </c>
      <c r="C11631" s="1" t="n">
        <v>46145</v>
      </c>
      <c r="D11631" t="inlineStr">
        <is>
          <t>VÄSTERBOTTENS LÄN</t>
        </is>
      </c>
      <c r="E11631" t="inlineStr">
        <is>
          <t>VILHELMINA</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22096-2025</t>
        </is>
      </c>
      <c r="B11632" s="1" t="n">
        <v>45785.46922453704</v>
      </c>
      <c r="C11632" s="1" t="n">
        <v>46145</v>
      </c>
      <c r="D11632" t="inlineStr">
        <is>
          <t>VÄSTERBOTTENS LÄN</t>
        </is>
      </c>
      <c r="E11632" t="inlineStr">
        <is>
          <t>BJURHOLM</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22145-2025</t>
        </is>
      </c>
      <c r="B11633" s="1" t="n">
        <v>45785.55422453704</v>
      </c>
      <c r="C11633" s="1" t="n">
        <v>46145</v>
      </c>
      <c r="D11633" t="inlineStr">
        <is>
          <t>VÄSTERBOTTENS LÄN</t>
        </is>
      </c>
      <c r="E11633" t="inlineStr">
        <is>
          <t>UMEÅ</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22146-2025</t>
        </is>
      </c>
      <c r="B11634" s="1" t="n">
        <v>45785.55462962963</v>
      </c>
      <c r="C11634" s="1" t="n">
        <v>46145</v>
      </c>
      <c r="D11634" t="inlineStr">
        <is>
          <t>VÄSTERBOTTENS LÄN</t>
        </is>
      </c>
      <c r="E11634" t="inlineStr">
        <is>
          <t>UMEÅ</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64391-2023</t>
        </is>
      </c>
      <c r="B11635" s="1" t="n">
        <v>45280</v>
      </c>
      <c r="C11635" s="1" t="n">
        <v>46145</v>
      </c>
      <c r="D11635" t="inlineStr">
        <is>
          <t>VÄSTERBOTTENS LÄN</t>
        </is>
      </c>
      <c r="E11635" t="inlineStr">
        <is>
          <t>LYCKSELE</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22284-2025</t>
        </is>
      </c>
      <c r="B11636" s="1" t="n">
        <v>45786.34259259259</v>
      </c>
      <c r="C11636" s="1" t="n">
        <v>46145</v>
      </c>
      <c r="D11636" t="inlineStr">
        <is>
          <t>VÄSTERBOTTENS LÄN</t>
        </is>
      </c>
      <c r="E11636" t="inlineStr">
        <is>
          <t>SKELLEFTEÅ</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22265-2025</t>
        </is>
      </c>
      <c r="B11637" s="1" t="n">
        <v>45785.84648148148</v>
      </c>
      <c r="C11637" s="1" t="n">
        <v>46145</v>
      </c>
      <c r="D11637" t="inlineStr">
        <is>
          <t>VÄSTERBOTTENS LÄN</t>
        </is>
      </c>
      <c r="E11637" t="inlineStr">
        <is>
          <t>BJURHOLM</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26293-2024</t>
        </is>
      </c>
      <c r="B11638" s="1" t="n">
        <v>45468.81053240741</v>
      </c>
      <c r="C11638" s="1" t="n">
        <v>46145</v>
      </c>
      <c r="D11638" t="inlineStr">
        <is>
          <t>VÄSTERBOTTENS LÄN</t>
        </is>
      </c>
      <c r="E11638" t="inlineStr">
        <is>
          <t>SKELLEFTEÅ</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22031-2025</t>
        </is>
      </c>
      <c r="B11639" s="1" t="n">
        <v>45785.27292824074</v>
      </c>
      <c r="C11639" s="1" t="n">
        <v>46145</v>
      </c>
      <c r="D11639" t="inlineStr">
        <is>
          <t>VÄSTERBOTTENS LÄN</t>
        </is>
      </c>
      <c r="E11639" t="inlineStr">
        <is>
          <t>SKELLEFTEÅ</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40754-2023</t>
        </is>
      </c>
      <c r="B11640" s="1" t="n">
        <v>45170.92561342593</v>
      </c>
      <c r="C11640" s="1" t="n">
        <v>46145</v>
      </c>
      <c r="D11640" t="inlineStr">
        <is>
          <t>VÄSTERBOTTENS LÄN</t>
        </is>
      </c>
      <c r="E11640" t="inlineStr">
        <is>
          <t>NORSJÖ</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32216-2024</t>
        </is>
      </c>
      <c r="B11641" s="1" t="n">
        <v>45511.92706018518</v>
      </c>
      <c r="C11641" s="1" t="n">
        <v>46145</v>
      </c>
      <c r="D11641" t="inlineStr">
        <is>
          <t>VÄSTERBOTTENS LÄN</t>
        </is>
      </c>
      <c r="E11641" t="inlineStr">
        <is>
          <t>NORSJÖ</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22486-2025</t>
        </is>
      </c>
      <c r="B11642" s="1" t="n">
        <v>45786.64646990741</v>
      </c>
      <c r="C11642" s="1" t="n">
        <v>46145</v>
      </c>
      <c r="D11642" t="inlineStr">
        <is>
          <t>VÄSTERBOTTENS LÄN</t>
        </is>
      </c>
      <c r="E11642" t="inlineStr">
        <is>
          <t>ÅSELE</t>
        </is>
      </c>
      <c r="F11642" t="inlineStr">
        <is>
          <t>Holmen skog AB</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22107-2025</t>
        </is>
      </c>
      <c r="B11643" s="1" t="n">
        <v>45785.49008101852</v>
      </c>
      <c r="C11643" s="1" t="n">
        <v>46145</v>
      </c>
      <c r="D11643" t="inlineStr">
        <is>
          <t>VÄSTERBOTTENS LÄN</t>
        </is>
      </c>
      <c r="E11643" t="inlineStr">
        <is>
          <t>LYCKSELE</t>
        </is>
      </c>
      <c r="F11643" t="inlineStr">
        <is>
          <t>SCA</t>
        </is>
      </c>
      <c r="G11643" t="n">
        <v>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29658-2024</t>
        </is>
      </c>
      <c r="B11644" s="1" t="n">
        <v>45484.9237037037</v>
      </c>
      <c r="C11644" s="1" t="n">
        <v>46145</v>
      </c>
      <c r="D11644" t="inlineStr">
        <is>
          <t>VÄSTERBOTTENS LÄN</t>
        </is>
      </c>
      <c r="E11644" t="inlineStr">
        <is>
          <t>UMEÅ</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27504-2023</t>
        </is>
      </c>
      <c r="B11645" s="1" t="n">
        <v>45097</v>
      </c>
      <c r="C11645" s="1" t="n">
        <v>46145</v>
      </c>
      <c r="D11645" t="inlineStr">
        <is>
          <t>VÄSTERBOTTENS LÄN</t>
        </is>
      </c>
      <c r="E11645" t="inlineStr">
        <is>
          <t>SKELLEFTEÅ</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22453-2025</t>
        </is>
      </c>
      <c r="B11646" s="1" t="n">
        <v>45786.60395833333</v>
      </c>
      <c r="C11646" s="1" t="n">
        <v>46145</v>
      </c>
      <c r="D11646" t="inlineStr">
        <is>
          <t>VÄSTERBOTTENS LÄN</t>
        </is>
      </c>
      <c r="E11646" t="inlineStr">
        <is>
          <t>LYCKSELE</t>
        </is>
      </c>
      <c r="F11646" t="inlineStr">
        <is>
          <t>Sveaskog</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22290-2025</t>
        </is>
      </c>
      <c r="B11647" s="1" t="n">
        <v>45786.34450231482</v>
      </c>
      <c r="C11647" s="1" t="n">
        <v>46145</v>
      </c>
      <c r="D11647" t="inlineStr">
        <is>
          <t>VÄSTERBOTTENS LÄN</t>
        </is>
      </c>
      <c r="E11647" t="inlineStr">
        <is>
          <t>BJURHOLM</t>
        </is>
      </c>
      <c r="F11647" t="inlineStr">
        <is>
          <t>SCA</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22452-2025</t>
        </is>
      </c>
      <c r="B11648" s="1" t="n">
        <v>45786.60216435185</v>
      </c>
      <c r="C11648" s="1" t="n">
        <v>46145</v>
      </c>
      <c r="D11648" t="inlineStr">
        <is>
          <t>VÄSTERBOTTENS LÄN</t>
        </is>
      </c>
      <c r="E11648" t="inlineStr">
        <is>
          <t>LYCKSELE</t>
        </is>
      </c>
      <c r="F11648" t="inlineStr">
        <is>
          <t>Sveaskog</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22343-2025</t>
        </is>
      </c>
      <c r="B11649" s="1" t="n">
        <v>45786.44841435185</v>
      </c>
      <c r="C11649" s="1" t="n">
        <v>46145</v>
      </c>
      <c r="D11649" t="inlineStr">
        <is>
          <t>VÄSTERBOTTENS LÄN</t>
        </is>
      </c>
      <c r="E11649" t="inlineStr">
        <is>
          <t>LYCKSELE</t>
        </is>
      </c>
      <c r="F11649" t="inlineStr">
        <is>
          <t>SCA</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36695-2023</t>
        </is>
      </c>
      <c r="B11650" s="1" t="n">
        <v>45152</v>
      </c>
      <c r="C11650" s="1" t="n">
        <v>46145</v>
      </c>
      <c r="D11650" t="inlineStr">
        <is>
          <t>VÄSTERBOTTENS LÄN</t>
        </is>
      </c>
      <c r="E11650" t="inlineStr">
        <is>
          <t>MALÅ</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22410-2025</t>
        </is>
      </c>
      <c r="B11651" s="1" t="n">
        <v>45786.5508449074</v>
      </c>
      <c r="C11651" s="1" t="n">
        <v>46145</v>
      </c>
      <c r="D11651" t="inlineStr">
        <is>
          <t>VÄSTERBOTTENS LÄN</t>
        </is>
      </c>
      <c r="E11651" t="inlineStr">
        <is>
          <t>VINDELN</t>
        </is>
      </c>
      <c r="F11651" t="inlineStr">
        <is>
          <t>Holmen skog AB</t>
        </is>
      </c>
      <c r="G11651" t="n">
        <v>16.3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1113-2025</t>
        </is>
      </c>
      <c r="B11652" s="1" t="n">
        <v>45666</v>
      </c>
      <c r="C11652" s="1" t="n">
        <v>46145</v>
      </c>
      <c r="D11652" t="inlineStr">
        <is>
          <t>VÄSTERBOTTENS LÄN</t>
        </is>
      </c>
      <c r="E11652" t="inlineStr">
        <is>
          <t>SKELLEFTEÅ</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22127-2025</t>
        </is>
      </c>
      <c r="B11653" s="1" t="n">
        <v>45785.53003472222</v>
      </c>
      <c r="C11653" s="1" t="n">
        <v>46145</v>
      </c>
      <c r="D11653" t="inlineStr">
        <is>
          <t>VÄSTERBOTTENS LÄN</t>
        </is>
      </c>
      <c r="E11653" t="inlineStr">
        <is>
          <t>LYCKSELE</t>
        </is>
      </c>
      <c r="F11653" t="inlineStr">
        <is>
          <t>Sveaskog</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61616-2023</t>
        </is>
      </c>
      <c r="B11654" s="1" t="n">
        <v>45261</v>
      </c>
      <c r="C11654" s="1" t="n">
        <v>46145</v>
      </c>
      <c r="D11654" t="inlineStr">
        <is>
          <t>VÄSTERBOTTENS LÄN</t>
        </is>
      </c>
      <c r="E11654" t="inlineStr">
        <is>
          <t>NORDMALING</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22408-2025</t>
        </is>
      </c>
      <c r="B11655" s="1" t="n">
        <v>45786</v>
      </c>
      <c r="C11655" s="1" t="n">
        <v>46145</v>
      </c>
      <c r="D11655" t="inlineStr">
        <is>
          <t>VÄSTERBOTTENS LÄN</t>
        </is>
      </c>
      <c r="E11655" t="inlineStr">
        <is>
          <t>LYCKSELE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22266-2025</t>
        </is>
      </c>
      <c r="B11656" s="1" t="n">
        <v>45785.84664351852</v>
      </c>
      <c r="C11656" s="1" t="n">
        <v>46145</v>
      </c>
      <c r="D11656" t="inlineStr">
        <is>
          <t>VÄSTERBOTTENS LÄN</t>
        </is>
      </c>
      <c r="E11656" t="inlineStr">
        <is>
          <t>BJURHOLM</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22311-2025</t>
        </is>
      </c>
      <c r="B11657" s="1" t="n">
        <v>45786</v>
      </c>
      <c r="C11657" s="1" t="n">
        <v>46145</v>
      </c>
      <c r="D11657" t="inlineStr">
        <is>
          <t>VÄSTERBOTTENS LÄN</t>
        </is>
      </c>
      <c r="E11657" t="inlineStr">
        <is>
          <t>SKELLEFTEÅ</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22456-2025</t>
        </is>
      </c>
      <c r="B11658" s="1" t="n">
        <v>45786.6059837963</v>
      </c>
      <c r="C11658" s="1" t="n">
        <v>46145</v>
      </c>
      <c r="D11658" t="inlineStr">
        <is>
          <t>VÄSTERBOTTENS LÄN</t>
        </is>
      </c>
      <c r="E11658" t="inlineStr">
        <is>
          <t>LYCKSELE</t>
        </is>
      </c>
      <c r="F11658" t="inlineStr">
        <is>
          <t>Sveaskog</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43852-2024</t>
        </is>
      </c>
      <c r="B11659" s="1" t="n">
        <v>45572.35177083333</v>
      </c>
      <c r="C11659" s="1" t="n">
        <v>46145</v>
      </c>
      <c r="D11659" t="inlineStr">
        <is>
          <t>VÄSTERBOTTENS LÄN</t>
        </is>
      </c>
      <c r="E11659" t="inlineStr">
        <is>
          <t>ROBERTSFORS</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22161-2025</t>
        </is>
      </c>
      <c r="B11660" s="1" t="n">
        <v>45785.58844907407</v>
      </c>
      <c r="C11660" s="1" t="n">
        <v>46145</v>
      </c>
      <c r="D11660" t="inlineStr">
        <is>
          <t>VÄSTERBOTTENS LÄN</t>
        </is>
      </c>
      <c r="E11660" t="inlineStr">
        <is>
          <t>UMEÅ</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22213-2025</t>
        </is>
      </c>
      <c r="B11661" s="1" t="n">
        <v>45785.65777777778</v>
      </c>
      <c r="C11661" s="1" t="n">
        <v>46145</v>
      </c>
      <c r="D11661" t="inlineStr">
        <is>
          <t>VÄSTERBOTTENS LÄN</t>
        </is>
      </c>
      <c r="E11661" t="inlineStr">
        <is>
          <t>DOROTEA</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44480-2024</t>
        </is>
      </c>
      <c r="B11662" s="1" t="n">
        <v>45574</v>
      </c>
      <c r="C11662" s="1" t="n">
        <v>46145</v>
      </c>
      <c r="D11662" t="inlineStr">
        <is>
          <t>VÄSTERBOTTENS LÄN</t>
        </is>
      </c>
      <c r="E11662" t="inlineStr">
        <is>
          <t>SKELLEFTEÅ</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22272-2025</t>
        </is>
      </c>
      <c r="B11663" s="1" t="n">
        <v>45785.94577546296</v>
      </c>
      <c r="C11663" s="1" t="n">
        <v>46145</v>
      </c>
      <c r="D11663" t="inlineStr">
        <is>
          <t>VÄSTERBOTTENS LÄN</t>
        </is>
      </c>
      <c r="E11663" t="inlineStr">
        <is>
          <t>VINDELN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22144-2025</t>
        </is>
      </c>
      <c r="B11664" s="1" t="n">
        <v>45785.55258101852</v>
      </c>
      <c r="C11664" s="1" t="n">
        <v>46145</v>
      </c>
      <c r="D11664" t="inlineStr">
        <is>
          <t>VÄSTERBOTTENS LÄN</t>
        </is>
      </c>
      <c r="E11664" t="inlineStr">
        <is>
          <t>ÅSELE</t>
        </is>
      </c>
      <c r="G11664" t="n">
        <v>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32474-2024</t>
        </is>
      </c>
      <c r="B11665" s="1" t="n">
        <v>45513.31015046296</v>
      </c>
      <c r="C11665" s="1" t="n">
        <v>46145</v>
      </c>
      <c r="D11665" t="inlineStr">
        <is>
          <t>VÄSTERBOTTENS LÄN</t>
        </is>
      </c>
      <c r="E11665" t="inlineStr">
        <is>
          <t>LYCKSELE</t>
        </is>
      </c>
      <c r="F11665" t="inlineStr">
        <is>
          <t>Holmen skog AB</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42104-2024</t>
        </is>
      </c>
      <c r="B11666" s="1" t="n">
        <v>45562</v>
      </c>
      <c r="C11666" s="1" t="n">
        <v>46145</v>
      </c>
      <c r="D11666" t="inlineStr">
        <is>
          <t>VÄSTERBOTTENS LÄN</t>
        </is>
      </c>
      <c r="E11666" t="inlineStr">
        <is>
          <t>DOROTEA</t>
        </is>
      </c>
      <c r="F11666" t="inlineStr">
        <is>
          <t>SCA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39165-2021</t>
        </is>
      </c>
      <c r="B11667" s="1" t="n">
        <v>44412</v>
      </c>
      <c r="C11667" s="1" t="n">
        <v>46145</v>
      </c>
      <c r="D11667" t="inlineStr">
        <is>
          <t>VÄSTERBOTTENS LÄN</t>
        </is>
      </c>
      <c r="E11667" t="inlineStr">
        <is>
          <t>LYCKSELE</t>
        </is>
      </c>
      <c r="G11667" t="n">
        <v>6.2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23631-2024</t>
        </is>
      </c>
      <c r="B11668" s="1" t="n">
        <v>45454</v>
      </c>
      <c r="C11668" s="1" t="n">
        <v>46145</v>
      </c>
      <c r="D11668" t="inlineStr">
        <is>
          <t>VÄSTERBOTTENS LÄN</t>
        </is>
      </c>
      <c r="E11668" t="inlineStr">
        <is>
          <t>MALÅ</t>
        </is>
      </c>
      <c r="G11668" t="n">
        <v>9.4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50969-2024</t>
        </is>
      </c>
      <c r="B11669" s="1" t="n">
        <v>45603.33398148148</v>
      </c>
      <c r="C11669" s="1" t="n">
        <v>46145</v>
      </c>
      <c r="D11669" t="inlineStr">
        <is>
          <t>VÄSTERBOTTENS LÄN</t>
        </is>
      </c>
      <c r="E11669" t="inlineStr">
        <is>
          <t>NORDMALING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22095-2025</t>
        </is>
      </c>
      <c r="B11670" s="1" t="n">
        <v>45785.46921296296</v>
      </c>
      <c r="C11670" s="1" t="n">
        <v>46145</v>
      </c>
      <c r="D11670" t="inlineStr">
        <is>
          <t>VÄSTERBOTTENS LÄN</t>
        </is>
      </c>
      <c r="E11670" t="inlineStr">
        <is>
          <t>BJURHOLM</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50549-2023</t>
        </is>
      </c>
      <c r="B11671" s="1" t="n">
        <v>45217.36358796297</v>
      </c>
      <c r="C11671" s="1" t="n">
        <v>46145</v>
      </c>
      <c r="D11671" t="inlineStr">
        <is>
          <t>VÄSTERBOTTENS LÄN</t>
        </is>
      </c>
      <c r="E11671" t="inlineStr">
        <is>
          <t>SKELLEFTEÅ</t>
        </is>
      </c>
      <c r="F11671" t="inlineStr">
        <is>
          <t>Holmen skog AB</t>
        </is>
      </c>
      <c r="G11671" t="n">
        <v>28.5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58670-2024</t>
        </is>
      </c>
      <c r="B11672" s="1" t="n">
        <v>45634</v>
      </c>
      <c r="C11672" s="1" t="n">
        <v>46145</v>
      </c>
      <c r="D11672" t="inlineStr">
        <is>
          <t>VÄSTERBOTTENS LÄN</t>
        </is>
      </c>
      <c r="E11672" t="inlineStr">
        <is>
          <t>SORSELE</t>
        </is>
      </c>
      <c r="G11672" t="n">
        <v>10.3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58708-2024</t>
        </is>
      </c>
      <c r="B11673" s="1" t="n">
        <v>45635</v>
      </c>
      <c r="C11673" s="1" t="n">
        <v>46145</v>
      </c>
      <c r="D11673" t="inlineStr">
        <is>
          <t>VÄSTERBOTTENS LÄN</t>
        </is>
      </c>
      <c r="E11673" t="inlineStr">
        <is>
          <t>UMEÅ</t>
        </is>
      </c>
      <c r="G11673" t="n">
        <v>10.8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22657-2025</t>
        </is>
      </c>
      <c r="B11674" s="1" t="n">
        <v>45789.47297453704</v>
      </c>
      <c r="C11674" s="1" t="n">
        <v>46145</v>
      </c>
      <c r="D11674" t="inlineStr">
        <is>
          <t>VÄSTERBOTTENS LÄN</t>
        </is>
      </c>
      <c r="E11674" t="inlineStr">
        <is>
          <t>UMEÅ</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22423-2025</t>
        </is>
      </c>
      <c r="B11675" s="1" t="n">
        <v>45786.5633912037</v>
      </c>
      <c r="C11675" s="1" t="n">
        <v>46145</v>
      </c>
      <c r="D11675" t="inlineStr">
        <is>
          <t>VÄSTERBOTTENS LÄN</t>
        </is>
      </c>
      <c r="E11675" t="inlineStr">
        <is>
          <t>LYCKSELE</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22833-2025</t>
        </is>
      </c>
      <c r="B11676" s="1" t="n">
        <v>45789.89773148148</v>
      </c>
      <c r="C11676" s="1" t="n">
        <v>46145</v>
      </c>
      <c r="D11676" t="inlineStr">
        <is>
          <t>VÄSTERBOTTENS LÄN</t>
        </is>
      </c>
      <c r="E11676" t="inlineStr">
        <is>
          <t>NORDMALING</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9724-2024</t>
        </is>
      </c>
      <c r="B11677" s="1" t="n">
        <v>45362</v>
      </c>
      <c r="C11677" s="1" t="n">
        <v>46145</v>
      </c>
      <c r="D11677" t="inlineStr">
        <is>
          <t>VÄSTERBOTTENS LÄN</t>
        </is>
      </c>
      <c r="E11677" t="inlineStr">
        <is>
          <t>NORSJÖ</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22551-2025</t>
        </is>
      </c>
      <c r="B11678" s="1" t="n">
        <v>45788.65594907408</v>
      </c>
      <c r="C11678" s="1" t="n">
        <v>46145</v>
      </c>
      <c r="D11678" t="inlineStr">
        <is>
          <t>VÄSTERBOTTENS LÄN</t>
        </is>
      </c>
      <c r="E11678" t="inlineStr">
        <is>
          <t>NORSJÖ</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22732-2025</t>
        </is>
      </c>
      <c r="B11679" s="1" t="n">
        <v>45789.58261574074</v>
      </c>
      <c r="C11679" s="1" t="n">
        <v>46145</v>
      </c>
      <c r="D11679" t="inlineStr">
        <is>
          <t>VÄSTERBOTTENS LÄN</t>
        </is>
      </c>
      <c r="E11679" t="inlineStr">
        <is>
          <t>LYCKSELE</t>
        </is>
      </c>
      <c r="F11679" t="inlineStr">
        <is>
          <t>Sveaskog</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60225-2024</t>
        </is>
      </c>
      <c r="B11680" s="1" t="n">
        <v>45642.71113425926</v>
      </c>
      <c r="C11680" s="1" t="n">
        <v>46145</v>
      </c>
      <c r="D11680" t="inlineStr">
        <is>
          <t>VÄSTERBOTTENS LÄN</t>
        </is>
      </c>
      <c r="E11680" t="inlineStr">
        <is>
          <t>ROBERTSFORS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22896-2025</t>
        </is>
      </c>
      <c r="B11681" s="1" t="n">
        <v>45790.40627314815</v>
      </c>
      <c r="C11681" s="1" t="n">
        <v>46145</v>
      </c>
      <c r="D11681" t="inlineStr">
        <is>
          <t>VÄSTERBOTTENS LÄN</t>
        </is>
      </c>
      <c r="E11681" t="inlineStr">
        <is>
          <t>VINDELN</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22912-2025</t>
        </is>
      </c>
      <c r="B11682" s="1" t="n">
        <v>45790</v>
      </c>
      <c r="C11682" s="1" t="n">
        <v>46145</v>
      </c>
      <c r="D11682" t="inlineStr">
        <is>
          <t>VÄSTERBOTTENS LÄN</t>
        </is>
      </c>
      <c r="E11682" t="inlineStr">
        <is>
          <t>UMEÅ</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22752-2025</t>
        </is>
      </c>
      <c r="B11683" s="1" t="n">
        <v>45789</v>
      </c>
      <c r="C11683" s="1" t="n">
        <v>46145</v>
      </c>
      <c r="D11683" t="inlineStr">
        <is>
          <t>VÄSTERBOTTENS LÄN</t>
        </is>
      </c>
      <c r="E11683" t="inlineStr">
        <is>
          <t>DOROTEA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23018-2025</t>
        </is>
      </c>
      <c r="B11684" s="1" t="n">
        <v>45790.6446875</v>
      </c>
      <c r="C11684" s="1" t="n">
        <v>46145</v>
      </c>
      <c r="D11684" t="inlineStr">
        <is>
          <t>VÄSTERBOTTENS LÄN</t>
        </is>
      </c>
      <c r="E11684" t="inlineStr">
        <is>
          <t>SKELLEFTEÅ</t>
        </is>
      </c>
      <c r="F11684" t="inlineStr">
        <is>
          <t>Holmen skog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11634-2023</t>
        </is>
      </c>
      <c r="B11685" s="1" t="n">
        <v>44992</v>
      </c>
      <c r="C11685" s="1" t="n">
        <v>46145</v>
      </c>
      <c r="D11685" t="inlineStr">
        <is>
          <t>VÄSTERBOTTENS LÄN</t>
        </is>
      </c>
      <c r="E11685" t="inlineStr">
        <is>
          <t>SORSELE</t>
        </is>
      </c>
      <c r="G11685" t="n">
        <v>12.4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23029-2025</t>
        </is>
      </c>
      <c r="B11686" s="1" t="n">
        <v>45790.65723379629</v>
      </c>
      <c r="C11686" s="1" t="n">
        <v>46145</v>
      </c>
      <c r="D11686" t="inlineStr">
        <is>
          <t>VÄSTERBOTTENS LÄN</t>
        </is>
      </c>
      <c r="E11686" t="inlineStr">
        <is>
          <t>NORDMALING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23041-2025</t>
        </is>
      </c>
      <c r="B11687" s="1" t="n">
        <v>45790.66664351852</v>
      </c>
      <c r="C11687" s="1" t="n">
        <v>46145</v>
      </c>
      <c r="D11687" t="inlineStr">
        <is>
          <t>VÄSTERBOTTENS LÄN</t>
        </is>
      </c>
      <c r="E11687" t="inlineStr">
        <is>
          <t>NORDMALING</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23074-2025</t>
        </is>
      </c>
      <c r="B11688" s="1" t="n">
        <v>45790</v>
      </c>
      <c r="C11688" s="1" t="n">
        <v>46145</v>
      </c>
      <c r="D11688" t="inlineStr">
        <is>
          <t>VÄSTERBOTTENS LÄN</t>
        </is>
      </c>
      <c r="E11688" t="inlineStr">
        <is>
          <t>BJURHOLM</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15664-2025</t>
        </is>
      </c>
      <c r="B11689" s="1" t="n">
        <v>45748</v>
      </c>
      <c r="C11689" s="1" t="n">
        <v>46145</v>
      </c>
      <c r="D11689" t="inlineStr">
        <is>
          <t>VÄSTERBOTTENS LÄN</t>
        </is>
      </c>
      <c r="E11689" t="inlineStr">
        <is>
          <t>UMEÅ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51380-2023</t>
        </is>
      </c>
      <c r="B11690" s="1" t="n">
        <v>45219</v>
      </c>
      <c r="C11690" s="1" t="n">
        <v>46145</v>
      </c>
      <c r="D11690" t="inlineStr">
        <is>
          <t>VÄSTERBOTTENS LÄN</t>
        </is>
      </c>
      <c r="E11690" t="inlineStr">
        <is>
          <t>MALÅ</t>
        </is>
      </c>
      <c r="F11690" t="inlineStr">
        <is>
          <t>Sveaskog</t>
        </is>
      </c>
      <c r="G11690" t="n">
        <v>21.5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22921-2025</t>
        </is>
      </c>
      <c r="B11691" s="1" t="n">
        <v>45790.43959490741</v>
      </c>
      <c r="C11691" s="1" t="n">
        <v>46145</v>
      </c>
      <c r="D11691" t="inlineStr">
        <is>
          <t>VÄSTERBOTTENS LÄN</t>
        </is>
      </c>
      <c r="E11691" t="inlineStr">
        <is>
          <t>SKELLEFTEÅ</t>
        </is>
      </c>
      <c r="F11691" t="inlineStr">
        <is>
          <t>Holmen skog AB</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22759-2025</t>
        </is>
      </c>
      <c r="B11692" s="1" t="n">
        <v>45789.61988425926</v>
      </c>
      <c r="C11692" s="1" t="n">
        <v>46145</v>
      </c>
      <c r="D11692" t="inlineStr">
        <is>
          <t>VÄSTERBOTTENS LÄN</t>
        </is>
      </c>
      <c r="E11692" t="inlineStr">
        <is>
          <t>LYCKSELE</t>
        </is>
      </c>
      <c r="F11692" t="inlineStr">
        <is>
          <t>Sveaskog</t>
        </is>
      </c>
      <c r="G11692" t="n">
        <v>25.5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17711-2023</t>
        </is>
      </c>
      <c r="B11693" s="1" t="n">
        <v>45036</v>
      </c>
      <c r="C11693" s="1" t="n">
        <v>46145</v>
      </c>
      <c r="D11693" t="inlineStr">
        <is>
          <t>VÄSTERBOTTENS LÄN</t>
        </is>
      </c>
      <c r="E11693" t="inlineStr">
        <is>
          <t>NORDMALING</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22550-2025</t>
        </is>
      </c>
      <c r="B11694" s="1" t="n">
        <v>45788.52340277778</v>
      </c>
      <c r="C11694" s="1" t="n">
        <v>46145</v>
      </c>
      <c r="D11694" t="inlineStr">
        <is>
          <t>VÄSTERBOTTENS LÄN</t>
        </is>
      </c>
      <c r="E11694" t="inlineStr">
        <is>
          <t>VINDELN</t>
        </is>
      </c>
      <c r="F11694" t="inlineStr">
        <is>
          <t>Holmen skog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21763-2025</t>
        </is>
      </c>
      <c r="B11695" s="1" t="n">
        <v>45783</v>
      </c>
      <c r="C11695" s="1" t="n">
        <v>46145</v>
      </c>
      <c r="D11695" t="inlineStr">
        <is>
          <t>VÄSTERBOTTENS LÄN</t>
        </is>
      </c>
      <c r="E11695" t="inlineStr">
        <is>
          <t>SKELLEFTEÅ</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22739-2025</t>
        </is>
      </c>
      <c r="B11696" s="1" t="n">
        <v>45789.59297453704</v>
      </c>
      <c r="C11696" s="1" t="n">
        <v>46145</v>
      </c>
      <c r="D11696" t="inlineStr">
        <is>
          <t>VÄSTERBOTTENS LÄN</t>
        </is>
      </c>
      <c r="E11696" t="inlineStr">
        <is>
          <t>NORDMALING</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22584-2025</t>
        </is>
      </c>
      <c r="B11697" s="1" t="n">
        <v>45789</v>
      </c>
      <c r="C11697" s="1" t="n">
        <v>46145</v>
      </c>
      <c r="D11697" t="inlineStr">
        <is>
          <t>VÄSTERBOTTENS LÄN</t>
        </is>
      </c>
      <c r="E11697" t="inlineStr">
        <is>
          <t>LYCKSELE</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22851-2025</t>
        </is>
      </c>
      <c r="B11698" s="1" t="n">
        <v>45790.34162037037</v>
      </c>
      <c r="C11698" s="1" t="n">
        <v>46145</v>
      </c>
      <c r="D11698" t="inlineStr">
        <is>
          <t>VÄSTERBOTTENS LÄN</t>
        </is>
      </c>
      <c r="E11698" t="inlineStr">
        <is>
          <t>UMEÅ</t>
        </is>
      </c>
      <c r="F11698" t="inlineStr">
        <is>
          <t>Holmen skog AB</t>
        </is>
      </c>
      <c r="G11698" t="n">
        <v>20.6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30643-2024</t>
        </is>
      </c>
      <c r="B11699" s="1" t="n">
        <v>45495.58291666667</v>
      </c>
      <c r="C11699" s="1" t="n">
        <v>46145</v>
      </c>
      <c r="D11699" t="inlineStr">
        <is>
          <t>VÄSTERBOTTENS LÄN</t>
        </is>
      </c>
      <c r="E11699" t="inlineStr">
        <is>
          <t>ROBERTSFORS</t>
        </is>
      </c>
      <c r="F11699" t="inlineStr">
        <is>
          <t>Holmen skog AB</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60535-2023</t>
        </is>
      </c>
      <c r="B11700" s="1" t="n">
        <v>45258</v>
      </c>
      <c r="C11700" s="1" t="n">
        <v>46145</v>
      </c>
      <c r="D11700" t="inlineStr">
        <is>
          <t>VÄSTERBOTTENS LÄN</t>
        </is>
      </c>
      <c r="E11700" t="inlineStr">
        <is>
          <t>STORUMAN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22778-2025</t>
        </is>
      </c>
      <c r="B11701" s="1" t="n">
        <v>45789.6372337963</v>
      </c>
      <c r="C11701" s="1" t="n">
        <v>46145</v>
      </c>
      <c r="D11701" t="inlineStr">
        <is>
          <t>VÄSTERBOTTENS LÄN</t>
        </is>
      </c>
      <c r="E11701" t="inlineStr">
        <is>
          <t>ROBERTSFORS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24706-2024</t>
        </is>
      </c>
      <c r="B11702" s="1" t="n">
        <v>45460.62152777778</v>
      </c>
      <c r="C11702" s="1" t="n">
        <v>46145</v>
      </c>
      <c r="D11702" t="inlineStr">
        <is>
          <t>VÄSTERBOTTENS LÄN</t>
        </is>
      </c>
      <c r="E11702" t="inlineStr">
        <is>
          <t>VINDELN</t>
        </is>
      </c>
      <c r="F11702" t="inlineStr">
        <is>
          <t>Holmen skog AB</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43848-2023</t>
        </is>
      </c>
      <c r="B11703" s="1" t="n">
        <v>45182</v>
      </c>
      <c r="C11703" s="1" t="n">
        <v>46145</v>
      </c>
      <c r="D11703" t="inlineStr">
        <is>
          <t>VÄSTERBOTTENS LÄN</t>
        </is>
      </c>
      <c r="E11703" t="inlineStr">
        <is>
          <t>NORSJÖ</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22720-2025</t>
        </is>
      </c>
      <c r="B11704" s="1" t="n">
        <v>45789.5709375</v>
      </c>
      <c r="C11704" s="1" t="n">
        <v>46145</v>
      </c>
      <c r="D11704" t="inlineStr">
        <is>
          <t>VÄSTERBOTTENS LÄN</t>
        </is>
      </c>
      <c r="E11704" t="inlineStr">
        <is>
          <t>LYCKSELE</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22344-2025</t>
        </is>
      </c>
      <c r="B11705" s="1" t="n">
        <v>45786.44856481482</v>
      </c>
      <c r="C11705" s="1" t="n">
        <v>46145</v>
      </c>
      <c r="D11705" t="inlineStr">
        <is>
          <t>VÄSTERBOTTENS LÄN</t>
        </is>
      </c>
      <c r="E11705" t="inlineStr">
        <is>
          <t>LYCKSELE</t>
        </is>
      </c>
      <c r="F11705" t="inlineStr">
        <is>
          <t>SCA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22955-2025</t>
        </is>
      </c>
      <c r="B11706" s="1" t="n">
        <v>45790.52902777777</v>
      </c>
      <c r="C11706" s="1" t="n">
        <v>46145</v>
      </c>
      <c r="D11706" t="inlineStr">
        <is>
          <t>VÄSTERBOTTENS LÄN</t>
        </is>
      </c>
      <c r="E11706" t="inlineStr">
        <is>
          <t>NORDMALING</t>
        </is>
      </c>
      <c r="G11706" t="n">
        <v>20.3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23037-2025</t>
        </is>
      </c>
      <c r="B11707" s="1" t="n">
        <v>45790.66141203704</v>
      </c>
      <c r="C11707" s="1" t="n">
        <v>46145</v>
      </c>
      <c r="D11707" t="inlineStr">
        <is>
          <t>VÄSTERBOTTENS LÄN</t>
        </is>
      </c>
      <c r="E11707" t="inlineStr">
        <is>
          <t>NORDMALING</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22557-2025</t>
        </is>
      </c>
      <c r="B11708" s="1" t="n">
        <v>45789.29510416667</v>
      </c>
      <c r="C11708" s="1" t="n">
        <v>46145</v>
      </c>
      <c r="D11708" t="inlineStr">
        <is>
          <t>VÄSTERBOTTENS LÄN</t>
        </is>
      </c>
      <c r="E11708" t="inlineStr">
        <is>
          <t>VINDELN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22764-2025</t>
        </is>
      </c>
      <c r="B11709" s="1" t="n">
        <v>45789.6282175926</v>
      </c>
      <c r="C11709" s="1" t="n">
        <v>46145</v>
      </c>
      <c r="D11709" t="inlineStr">
        <is>
          <t>VÄSTERBOTTENS LÄN</t>
        </is>
      </c>
      <c r="E11709" t="inlineStr">
        <is>
          <t>VINDELN</t>
        </is>
      </c>
      <c r="F11709" t="inlineStr">
        <is>
          <t>Holmen skog AB</t>
        </is>
      </c>
      <c r="G11709" t="n">
        <v>6.1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22774-2025</t>
        </is>
      </c>
      <c r="B11710" s="1" t="n">
        <v>45789.63657407407</v>
      </c>
      <c r="C11710" s="1" t="n">
        <v>46145</v>
      </c>
      <c r="D11710" t="inlineStr">
        <is>
          <t>VÄSTERBOTTENS LÄN</t>
        </is>
      </c>
      <c r="E11710" t="inlineStr">
        <is>
          <t>DOROTEA</t>
        </is>
      </c>
      <c r="F11710" t="inlineStr">
        <is>
          <t>SCA</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22962-2025</t>
        </is>
      </c>
      <c r="B11711" s="1" t="n">
        <v>45790.53908564815</v>
      </c>
      <c r="C11711" s="1" t="n">
        <v>46145</v>
      </c>
      <c r="D11711" t="inlineStr">
        <is>
          <t>VÄSTERBOTTENS LÄN</t>
        </is>
      </c>
      <c r="E11711" t="inlineStr">
        <is>
          <t>NORDMALING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22900-2025</t>
        </is>
      </c>
      <c r="B11712" s="1" t="n">
        <v>45790.41079861111</v>
      </c>
      <c r="C11712" s="1" t="n">
        <v>46145</v>
      </c>
      <c r="D11712" t="inlineStr">
        <is>
          <t>VÄSTERBOTTENS LÄN</t>
        </is>
      </c>
      <c r="E11712" t="inlineStr">
        <is>
          <t>VÄNNÄS</t>
        </is>
      </c>
      <c r="F11712" t="inlineStr">
        <is>
          <t>Holmen skog AB</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22560-2025</t>
        </is>
      </c>
      <c r="B11713" s="1" t="n">
        <v>45789.33638888889</v>
      </c>
      <c r="C11713" s="1" t="n">
        <v>46145</v>
      </c>
      <c r="D11713" t="inlineStr">
        <is>
          <t>VÄSTERBOTTENS LÄN</t>
        </is>
      </c>
      <c r="E11713" t="inlineStr">
        <is>
          <t>VINDELN</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57499-2022</t>
        </is>
      </c>
      <c r="B11714" s="1" t="n">
        <v>44889</v>
      </c>
      <c r="C11714" s="1" t="n">
        <v>46145</v>
      </c>
      <c r="D11714" t="inlineStr">
        <is>
          <t>VÄSTERBOTTENS LÄN</t>
        </is>
      </c>
      <c r="E11714" t="inlineStr">
        <is>
          <t>MALÅ</t>
        </is>
      </c>
      <c r="G11714" t="n">
        <v>10.2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23170-2025</t>
        </is>
      </c>
      <c r="B11715" s="1" t="n">
        <v>45791.42770833334</v>
      </c>
      <c r="C11715" s="1" t="n">
        <v>46145</v>
      </c>
      <c r="D11715" t="inlineStr">
        <is>
          <t>VÄSTERBOTTENS LÄN</t>
        </is>
      </c>
      <c r="E11715" t="inlineStr">
        <is>
          <t>ÅSELE</t>
        </is>
      </c>
      <c r="F11715" t="inlineStr">
        <is>
          <t>SCA</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10133-2024</t>
        </is>
      </c>
      <c r="B11716" s="1" t="n">
        <v>45364.59172453704</v>
      </c>
      <c r="C11716" s="1" t="n">
        <v>46145</v>
      </c>
      <c r="D11716" t="inlineStr">
        <is>
          <t>VÄSTERBOTTENS LÄN</t>
        </is>
      </c>
      <c r="E11716" t="inlineStr">
        <is>
          <t>SORSELE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23205-2025</t>
        </is>
      </c>
      <c r="B11717" s="1" t="n">
        <v>45791.46658564815</v>
      </c>
      <c r="C11717" s="1" t="n">
        <v>46145</v>
      </c>
      <c r="D11717" t="inlineStr">
        <is>
          <t>VÄSTERBOTTENS LÄN</t>
        </is>
      </c>
      <c r="E11717" t="inlineStr">
        <is>
          <t>VÄNNÄS</t>
        </is>
      </c>
      <c r="F11717" t="inlineStr">
        <is>
          <t>Holmen skog AB</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23213-2025</t>
        </is>
      </c>
      <c r="B11718" s="1" t="n">
        <v>45791</v>
      </c>
      <c r="C11718" s="1" t="n">
        <v>46145</v>
      </c>
      <c r="D11718" t="inlineStr">
        <is>
          <t>VÄSTERBOTTENS LÄN</t>
        </is>
      </c>
      <c r="E11718" t="inlineStr">
        <is>
          <t>SKELLEFTEÅ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23631-2025</t>
        </is>
      </c>
      <c r="B11719" s="1" t="n">
        <v>45792.67769675926</v>
      </c>
      <c r="C11719" s="1" t="n">
        <v>46145</v>
      </c>
      <c r="D11719" t="inlineStr">
        <is>
          <t>VÄSTERBOTTENS LÄN</t>
        </is>
      </c>
      <c r="E11719" t="inlineStr">
        <is>
          <t>ROBERTSFORS</t>
        </is>
      </c>
      <c r="G11719" t="n">
        <v>10.1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23523-2025</t>
        </is>
      </c>
      <c r="B11720" s="1" t="n">
        <v>45792.51623842592</v>
      </c>
      <c r="C11720" s="1" t="n">
        <v>46145</v>
      </c>
      <c r="D11720" t="inlineStr">
        <is>
          <t>VÄSTERBOTTENS LÄN</t>
        </is>
      </c>
      <c r="E11720" t="inlineStr">
        <is>
          <t>NORSJÖ</t>
        </is>
      </c>
      <c r="F11720" t="inlineStr">
        <is>
          <t>Holmen skog AB</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23101-2025</t>
        </is>
      </c>
      <c r="B11721" s="1" t="n">
        <v>45791.35427083333</v>
      </c>
      <c r="C11721" s="1" t="n">
        <v>46145</v>
      </c>
      <c r="D11721" t="inlineStr">
        <is>
          <t>VÄSTERBOTTENS LÄN</t>
        </is>
      </c>
      <c r="E11721" t="inlineStr">
        <is>
          <t>VÄNNÄS</t>
        </is>
      </c>
      <c r="F11721" t="inlineStr">
        <is>
          <t>Holmen skog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23593-2025</t>
        </is>
      </c>
      <c r="B11722" s="1" t="n">
        <v>45792.63686342593</v>
      </c>
      <c r="C11722" s="1" t="n">
        <v>46145</v>
      </c>
      <c r="D11722" t="inlineStr">
        <is>
          <t>VÄSTERBOTTENS LÄN</t>
        </is>
      </c>
      <c r="E11722" t="inlineStr">
        <is>
          <t>ROBERTSFORS</t>
        </is>
      </c>
      <c r="G11722" t="n">
        <v>11.3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23208-2025</t>
        </is>
      </c>
      <c r="B11723" s="1" t="n">
        <v>45791</v>
      </c>
      <c r="C11723" s="1" t="n">
        <v>46145</v>
      </c>
      <c r="D11723" t="inlineStr">
        <is>
          <t>VÄSTERBOTTENS LÄN</t>
        </is>
      </c>
      <c r="E11723" t="inlineStr">
        <is>
          <t>SKELLEFTEÅ</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23271-2025</t>
        </is>
      </c>
      <c r="B11724" s="1" t="n">
        <v>45791.5622337963</v>
      </c>
      <c r="C11724" s="1" t="n">
        <v>46145</v>
      </c>
      <c r="D11724" t="inlineStr">
        <is>
          <t>VÄSTERBOTTENS LÄN</t>
        </is>
      </c>
      <c r="E11724" t="inlineStr">
        <is>
          <t>UMEÅ</t>
        </is>
      </c>
      <c r="F11724" t="inlineStr">
        <is>
          <t>Holmen skog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23442-2025</t>
        </is>
      </c>
      <c r="B11725" s="1" t="n">
        <v>45792.3788425926</v>
      </c>
      <c r="C11725" s="1" t="n">
        <v>46145</v>
      </c>
      <c r="D11725" t="inlineStr">
        <is>
          <t>VÄSTERBOTTENS LÄN</t>
        </is>
      </c>
      <c r="E11725" t="inlineStr">
        <is>
          <t>UMEÅ</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23500-2025</t>
        </is>
      </c>
      <c r="B11726" s="1" t="n">
        <v>45792.48252314814</v>
      </c>
      <c r="C11726" s="1" t="n">
        <v>46145</v>
      </c>
      <c r="D11726" t="inlineStr">
        <is>
          <t>VÄSTERBOTTENS LÄN</t>
        </is>
      </c>
      <c r="E11726" t="inlineStr">
        <is>
          <t>UMEÅ</t>
        </is>
      </c>
      <c r="F11726" t="inlineStr">
        <is>
          <t>Holmen skog AB</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23554-2025</t>
        </is>
      </c>
      <c r="B11727" s="1" t="n">
        <v>45792.57557870371</v>
      </c>
      <c r="C11727" s="1" t="n">
        <v>46145</v>
      </c>
      <c r="D11727" t="inlineStr">
        <is>
          <t>VÄSTERBOTTENS LÄN</t>
        </is>
      </c>
      <c r="E11727" t="inlineStr">
        <is>
          <t>LYCKSELE</t>
        </is>
      </c>
      <c r="F11727" t="inlineStr">
        <is>
          <t>Holmen skog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23563-2025</t>
        </is>
      </c>
      <c r="B11728" s="1" t="n">
        <v>45792.58780092592</v>
      </c>
      <c r="C11728" s="1" t="n">
        <v>46145</v>
      </c>
      <c r="D11728" t="inlineStr">
        <is>
          <t>VÄSTERBOTTENS LÄN</t>
        </is>
      </c>
      <c r="E11728" t="inlineStr">
        <is>
          <t>UMEÅ</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39035-2024</t>
        </is>
      </c>
      <c r="B11729" s="1" t="n">
        <v>45548.46918981482</v>
      </c>
      <c r="C11729" s="1" t="n">
        <v>46145</v>
      </c>
      <c r="D11729" t="inlineStr">
        <is>
          <t>VÄSTERBOTTENS LÄN</t>
        </is>
      </c>
      <c r="E11729" t="inlineStr">
        <is>
          <t>VILHELMINA</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43398-2023</t>
        </is>
      </c>
      <c r="B11730" s="1" t="n">
        <v>45183</v>
      </c>
      <c r="C11730" s="1" t="n">
        <v>46145</v>
      </c>
      <c r="D11730" t="inlineStr">
        <is>
          <t>VÄSTERBOTTENS LÄN</t>
        </is>
      </c>
      <c r="E11730" t="inlineStr">
        <is>
          <t>NORSJÖ</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19889-2025</t>
        </is>
      </c>
      <c r="B11731" s="1" t="n">
        <v>45771.57355324074</v>
      </c>
      <c r="C11731" s="1" t="n">
        <v>46145</v>
      </c>
      <c r="D11731" t="inlineStr">
        <is>
          <t>VÄSTERBOTTENS LÄN</t>
        </is>
      </c>
      <c r="E11731" t="inlineStr">
        <is>
          <t>DOROTEA</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23373-2025</t>
        </is>
      </c>
      <c r="B11732" s="1" t="n">
        <v>45791.75634259259</v>
      </c>
      <c r="C11732" s="1" t="n">
        <v>46145</v>
      </c>
      <c r="D11732" t="inlineStr">
        <is>
          <t>VÄSTERBOTTENS LÄN</t>
        </is>
      </c>
      <c r="E11732" t="inlineStr">
        <is>
          <t>SKELLEFTEÅ</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23457-2025</t>
        </is>
      </c>
      <c r="B11733" s="1" t="n">
        <v>45792.42746527777</v>
      </c>
      <c r="C11733" s="1" t="n">
        <v>46145</v>
      </c>
      <c r="D11733" t="inlineStr">
        <is>
          <t>VÄSTERBOTTENS LÄN</t>
        </is>
      </c>
      <c r="E11733" t="inlineStr">
        <is>
          <t>DOROTEA</t>
        </is>
      </c>
      <c r="F11733" t="inlineStr">
        <is>
          <t>SCA</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23459-2025</t>
        </is>
      </c>
      <c r="B11734" s="1" t="n">
        <v>45792</v>
      </c>
      <c r="C11734" s="1" t="n">
        <v>46145</v>
      </c>
      <c r="D11734" t="inlineStr">
        <is>
          <t>VÄSTERBOTTENS LÄN</t>
        </is>
      </c>
      <c r="E11734" t="inlineStr">
        <is>
          <t>VILHELMINA</t>
        </is>
      </c>
      <c r="F11734" t="inlineStr">
        <is>
          <t>SCA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23461-2025</t>
        </is>
      </c>
      <c r="B11735" s="1" t="n">
        <v>45792</v>
      </c>
      <c r="C11735" s="1" t="n">
        <v>46145</v>
      </c>
      <c r="D11735" t="inlineStr">
        <is>
          <t>VÄSTERBOTTENS LÄN</t>
        </is>
      </c>
      <c r="E11735" t="inlineStr">
        <is>
          <t>VILHELMINA</t>
        </is>
      </c>
      <c r="F11735" t="inlineStr">
        <is>
          <t>SCA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23462-2025</t>
        </is>
      </c>
      <c r="B11736" s="1" t="n">
        <v>45792.43016203704</v>
      </c>
      <c r="C11736" s="1" t="n">
        <v>46145</v>
      </c>
      <c r="D11736" t="inlineStr">
        <is>
          <t>VÄSTERBOTTENS LÄN</t>
        </is>
      </c>
      <c r="E11736" t="inlineStr">
        <is>
          <t>VÄNNÄS</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23281-2025</t>
        </is>
      </c>
      <c r="B11737" s="1" t="n">
        <v>45791.57324074074</v>
      </c>
      <c r="C11737" s="1" t="n">
        <v>46145</v>
      </c>
      <c r="D11737" t="inlineStr">
        <is>
          <t>VÄSTERBOTTENS LÄN</t>
        </is>
      </c>
      <c r="E11737" t="inlineStr">
        <is>
          <t>VILHELMINA</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59801-2021</t>
        </is>
      </c>
      <c r="B11738" s="1" t="n">
        <v>44491</v>
      </c>
      <c r="C11738" s="1" t="n">
        <v>46145</v>
      </c>
      <c r="D11738" t="inlineStr">
        <is>
          <t>VÄSTERBOTTENS LÄN</t>
        </is>
      </c>
      <c r="E11738" t="inlineStr">
        <is>
          <t>MALÅ</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67383-2021</t>
        </is>
      </c>
      <c r="B11739" s="1" t="n">
        <v>44523</v>
      </c>
      <c r="C11739" s="1" t="n">
        <v>46145</v>
      </c>
      <c r="D11739" t="inlineStr">
        <is>
          <t>VÄSTERBOTTENS LÄN</t>
        </is>
      </c>
      <c r="E11739" t="inlineStr">
        <is>
          <t>MALÅ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15226-2024</t>
        </is>
      </c>
      <c r="B11740" s="1" t="n">
        <v>45400</v>
      </c>
      <c r="C11740" s="1" t="n">
        <v>46145</v>
      </c>
      <c r="D11740" t="inlineStr">
        <is>
          <t>VÄSTERBOTTENS LÄN</t>
        </is>
      </c>
      <c r="E11740" t="inlineStr">
        <is>
          <t>SORSELE</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23645-2025</t>
        </is>
      </c>
      <c r="B11741" s="1" t="n">
        <v>45792.69283564815</v>
      </c>
      <c r="C11741" s="1" t="n">
        <v>46145</v>
      </c>
      <c r="D11741" t="inlineStr">
        <is>
          <t>VÄSTERBOTTENS LÄN</t>
        </is>
      </c>
      <c r="E11741" t="inlineStr">
        <is>
          <t>LYCKSELE</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23567-2025</t>
        </is>
      </c>
      <c r="B11742" s="1" t="n">
        <v>45792.60107638889</v>
      </c>
      <c r="C11742" s="1" t="n">
        <v>46145</v>
      </c>
      <c r="D11742" t="inlineStr">
        <is>
          <t>VÄSTERBOTTENS LÄN</t>
        </is>
      </c>
      <c r="E11742" t="inlineStr">
        <is>
          <t>VÄNNÄS</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23605-2025</t>
        </is>
      </c>
      <c r="B11743" s="1" t="n">
        <v>45792.65528935185</v>
      </c>
      <c r="C11743" s="1" t="n">
        <v>46145</v>
      </c>
      <c r="D11743" t="inlineStr">
        <is>
          <t>VÄSTERBOTTENS LÄN</t>
        </is>
      </c>
      <c r="E11743" t="inlineStr">
        <is>
          <t>ROBERTSFORS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45126-2023</t>
        </is>
      </c>
      <c r="B11744" s="1" t="n">
        <v>45187</v>
      </c>
      <c r="C11744" s="1" t="n">
        <v>46145</v>
      </c>
      <c r="D11744" t="inlineStr">
        <is>
          <t>VÄSTERBOTTENS LÄN</t>
        </is>
      </c>
      <c r="E11744" t="inlineStr">
        <is>
          <t>VÄNNÄS</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32979-2024</t>
        </is>
      </c>
      <c r="B11745" s="1" t="n">
        <v>45516</v>
      </c>
      <c r="C11745" s="1" t="n">
        <v>46145</v>
      </c>
      <c r="D11745" t="inlineStr">
        <is>
          <t>VÄSTERBOTTENS LÄN</t>
        </is>
      </c>
      <c r="E11745" t="inlineStr">
        <is>
          <t>MALÅ</t>
        </is>
      </c>
      <c r="G11745" t="n">
        <v>15.5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23492-2025</t>
        </is>
      </c>
      <c r="B11746" s="1" t="n">
        <v>45792.46936342592</v>
      </c>
      <c r="C11746" s="1" t="n">
        <v>46145</v>
      </c>
      <c r="D11746" t="inlineStr">
        <is>
          <t>VÄSTERBOTTENS LÄN</t>
        </is>
      </c>
      <c r="E11746" t="inlineStr">
        <is>
          <t>DOROTEA</t>
        </is>
      </c>
      <c r="F11746" t="inlineStr">
        <is>
          <t>SCA</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26385-2024</t>
        </is>
      </c>
      <c r="B11747" s="1" t="n">
        <v>45469.42753472222</v>
      </c>
      <c r="C11747" s="1" t="n">
        <v>46145</v>
      </c>
      <c r="D11747" t="inlineStr">
        <is>
          <t>VÄSTERBOTTENS LÄN</t>
        </is>
      </c>
      <c r="E11747" t="inlineStr">
        <is>
          <t>NORSJÖ</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378-2024</t>
        </is>
      </c>
      <c r="B11748" s="1" t="n">
        <v>45296</v>
      </c>
      <c r="C11748" s="1" t="n">
        <v>46145</v>
      </c>
      <c r="D11748" t="inlineStr">
        <is>
          <t>VÄSTERBOTTENS LÄN</t>
        </is>
      </c>
      <c r="E11748" t="inlineStr">
        <is>
          <t>VINDELN</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43854-2024</t>
        </is>
      </c>
      <c r="B11749" s="1" t="n">
        <v>45572</v>
      </c>
      <c r="C11749" s="1" t="n">
        <v>46145</v>
      </c>
      <c r="D11749" t="inlineStr">
        <is>
          <t>VÄSTERBOTTENS LÄN</t>
        </is>
      </c>
      <c r="E11749" t="inlineStr">
        <is>
          <t>MALÅ</t>
        </is>
      </c>
      <c r="F11749" t="inlineStr">
        <is>
          <t>Kommuner</t>
        </is>
      </c>
      <c r="G11749" t="n">
        <v>12.7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22673-2025</t>
        </is>
      </c>
      <c r="B11750" s="1" t="n">
        <v>45789.49042824074</v>
      </c>
      <c r="C11750" s="1" t="n">
        <v>46145</v>
      </c>
      <c r="D11750" t="inlineStr">
        <is>
          <t>VÄSTERBOTTENS LÄN</t>
        </is>
      </c>
      <c r="E11750" t="inlineStr">
        <is>
          <t>ROBERTSFORS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22674-2025</t>
        </is>
      </c>
      <c r="B11751" s="1" t="n">
        <v>45789.49047453704</v>
      </c>
      <c r="C11751" s="1" t="n">
        <v>46145</v>
      </c>
      <c r="D11751" t="inlineStr">
        <is>
          <t>VÄSTERBOTTENS LÄN</t>
        </is>
      </c>
      <c r="E11751" t="inlineStr">
        <is>
          <t>UMEÅ</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23453-2025</t>
        </is>
      </c>
      <c r="B11752" s="1" t="n">
        <v>45792.42302083333</v>
      </c>
      <c r="C11752" s="1" t="n">
        <v>46145</v>
      </c>
      <c r="D11752" t="inlineStr">
        <is>
          <t>VÄSTERBOTTENS LÄN</t>
        </is>
      </c>
      <c r="E11752" t="inlineStr">
        <is>
          <t>VÄNNÄS</t>
        </is>
      </c>
      <c r="F11752" t="inlineStr">
        <is>
          <t>Holmen skog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23472-2025</t>
        </is>
      </c>
      <c r="B11753" s="1" t="n">
        <v>45792</v>
      </c>
      <c r="C11753" s="1" t="n">
        <v>46145</v>
      </c>
      <c r="D11753" t="inlineStr">
        <is>
          <t>VÄSTERBOTTENS LÄN</t>
        </is>
      </c>
      <c r="E11753" t="inlineStr">
        <is>
          <t>UMEÅ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23327-2025</t>
        </is>
      </c>
      <c r="B11754" s="1" t="n">
        <v>45791.62792824074</v>
      </c>
      <c r="C11754" s="1" t="n">
        <v>46145</v>
      </c>
      <c r="D11754" t="inlineStr">
        <is>
          <t>VÄSTERBOTTENS LÄN</t>
        </is>
      </c>
      <c r="E11754" t="inlineStr">
        <is>
          <t>SKELLEFTEÅ</t>
        </is>
      </c>
      <c r="F11754" t="inlineStr">
        <is>
          <t>Holmen skog AB</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29737-2024</t>
        </is>
      </c>
      <c r="B11755" s="1" t="n">
        <v>45485.38835648148</v>
      </c>
      <c r="C11755" s="1" t="n">
        <v>46145</v>
      </c>
      <c r="D11755" t="inlineStr">
        <is>
          <t>VÄSTERBOTTENS LÄN</t>
        </is>
      </c>
      <c r="E11755" t="inlineStr">
        <is>
          <t>DOROTEA</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45789-2023</t>
        </is>
      </c>
      <c r="B11756" s="1" t="n">
        <v>45189</v>
      </c>
      <c r="C11756" s="1" t="n">
        <v>46145</v>
      </c>
      <c r="D11756" t="inlineStr">
        <is>
          <t>VÄSTERBOTTENS LÄN</t>
        </is>
      </c>
      <c r="E11756" t="inlineStr">
        <is>
          <t>MALÅ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13451-2022</t>
        </is>
      </c>
      <c r="B11757" s="1" t="n">
        <v>44645</v>
      </c>
      <c r="C11757" s="1" t="n">
        <v>46145</v>
      </c>
      <c r="D11757" t="inlineStr">
        <is>
          <t>VÄSTERBOTTENS LÄN</t>
        </is>
      </c>
      <c r="E11757" t="inlineStr">
        <is>
          <t>DOROTEA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23415-2025</t>
        </is>
      </c>
      <c r="B11758" s="1" t="n">
        <v>45792.34643518519</v>
      </c>
      <c r="C11758" s="1" t="n">
        <v>46145</v>
      </c>
      <c r="D11758" t="inlineStr">
        <is>
          <t>VÄSTERBOTTENS LÄN</t>
        </is>
      </c>
      <c r="E11758" t="inlineStr">
        <is>
          <t>VILHELMINA</t>
        </is>
      </c>
      <c r="F11758" t="inlineStr">
        <is>
          <t>SCA</t>
        </is>
      </c>
      <c r="G11758" t="n">
        <v>36.9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23474-2025</t>
        </is>
      </c>
      <c r="B11759" s="1" t="n">
        <v>45792.4493287037</v>
      </c>
      <c r="C11759" s="1" t="n">
        <v>46145</v>
      </c>
      <c r="D11759" t="inlineStr">
        <is>
          <t>VÄSTERBOTTENS LÄN</t>
        </is>
      </c>
      <c r="E11759" t="inlineStr">
        <is>
          <t>UMEÅ</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23465-2025</t>
        </is>
      </c>
      <c r="B11760" s="1" t="n">
        <v>45792.43493055556</v>
      </c>
      <c r="C11760" s="1" t="n">
        <v>46145</v>
      </c>
      <c r="D11760" t="inlineStr">
        <is>
          <t>VÄSTERBOTTENS LÄN</t>
        </is>
      </c>
      <c r="E11760" t="inlineStr">
        <is>
          <t>VÄNNÄS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23406-2025</t>
        </is>
      </c>
      <c r="B11761" s="1" t="n">
        <v>45792.34540509259</v>
      </c>
      <c r="C11761" s="1" t="n">
        <v>46145</v>
      </c>
      <c r="D11761" t="inlineStr">
        <is>
          <t>VÄSTERBOTTENS LÄN</t>
        </is>
      </c>
      <c r="E11761" t="inlineStr">
        <is>
          <t>VILHELMINA</t>
        </is>
      </c>
      <c r="F11761" t="inlineStr">
        <is>
          <t>SCA</t>
        </is>
      </c>
      <c r="G11761" t="n">
        <v>15.4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8472-2025</t>
        </is>
      </c>
      <c r="B11762" s="1" t="n">
        <v>45709</v>
      </c>
      <c r="C11762" s="1" t="n">
        <v>46145</v>
      </c>
      <c r="D11762" t="inlineStr">
        <is>
          <t>VÄSTERBOTTENS LÄN</t>
        </is>
      </c>
      <c r="E11762" t="inlineStr">
        <is>
          <t>SORSELE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64340-2023</t>
        </is>
      </c>
      <c r="B11763" s="1" t="n">
        <v>45280.45571759259</v>
      </c>
      <c r="C11763" s="1" t="n">
        <v>46145</v>
      </c>
      <c r="D11763" t="inlineStr">
        <is>
          <t>VÄSTERBOTTENS LÄN</t>
        </is>
      </c>
      <c r="E11763" t="inlineStr">
        <is>
          <t>SKELLEFTEÅ</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44372-2023</t>
        </is>
      </c>
      <c r="B11764" s="1" t="n">
        <v>45188</v>
      </c>
      <c r="C11764" s="1" t="n">
        <v>46145</v>
      </c>
      <c r="D11764" t="inlineStr">
        <is>
          <t>VÄSTERBOTTENS LÄN</t>
        </is>
      </c>
      <c r="E11764" t="inlineStr">
        <is>
          <t>ROBERTSFORS</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59555-2022</t>
        </is>
      </c>
      <c r="B11765" s="1" t="n">
        <v>44900</v>
      </c>
      <c r="C11765" s="1" t="n">
        <v>46145</v>
      </c>
      <c r="D11765" t="inlineStr">
        <is>
          <t>VÄSTERBOTTENS LÄN</t>
        </is>
      </c>
      <c r="E11765" t="inlineStr">
        <is>
          <t>SORSELE</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46989-2023</t>
        </is>
      </c>
      <c r="B11766" s="1" t="n">
        <v>45201</v>
      </c>
      <c r="C11766" s="1" t="n">
        <v>46145</v>
      </c>
      <c r="D11766" t="inlineStr">
        <is>
          <t>VÄSTERBOTTENS LÄN</t>
        </is>
      </c>
      <c r="E11766" t="inlineStr">
        <is>
          <t>MALÅ</t>
        </is>
      </c>
      <c r="G11766" t="n">
        <v>22.9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51387-2023</t>
        </is>
      </c>
      <c r="B11767" s="1" t="n">
        <v>45219</v>
      </c>
      <c r="C11767" s="1" t="n">
        <v>46145</v>
      </c>
      <c r="D11767" t="inlineStr">
        <is>
          <t>VÄSTERBOTTENS LÄN</t>
        </is>
      </c>
      <c r="E11767" t="inlineStr">
        <is>
          <t>MALÅ</t>
        </is>
      </c>
      <c r="F11767" t="inlineStr">
        <is>
          <t>Sveaskog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23241-2025</t>
        </is>
      </c>
      <c r="B11768" s="1" t="n">
        <v>45791.50141203704</v>
      </c>
      <c r="C11768" s="1" t="n">
        <v>46145</v>
      </c>
      <c r="D11768" t="inlineStr">
        <is>
          <t>VÄSTERBOTTENS LÄN</t>
        </is>
      </c>
      <c r="E11768" t="inlineStr">
        <is>
          <t>SKELLEFTEÅ</t>
        </is>
      </c>
      <c r="F11768" t="inlineStr">
        <is>
          <t>Holmen skog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19873-2024</t>
        </is>
      </c>
      <c r="B11769" s="1" t="n">
        <v>45433</v>
      </c>
      <c r="C11769" s="1" t="n">
        <v>46145</v>
      </c>
      <c r="D11769" t="inlineStr">
        <is>
          <t>VÄSTERBOTTENS LÄN</t>
        </is>
      </c>
      <c r="E11769" t="inlineStr">
        <is>
          <t>VILHELMINA</t>
        </is>
      </c>
      <c r="G11769" t="n">
        <v>8.6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34820-2023</t>
        </is>
      </c>
      <c r="B11770" s="1" t="n">
        <v>45140</v>
      </c>
      <c r="C11770" s="1" t="n">
        <v>46145</v>
      </c>
      <c r="D11770" t="inlineStr">
        <is>
          <t>VÄSTERBOTTENS LÄN</t>
        </is>
      </c>
      <c r="E11770" t="inlineStr">
        <is>
          <t>DOROTEA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23260-2025</t>
        </is>
      </c>
      <c r="B11771" s="1" t="n">
        <v>45791.54234953703</v>
      </c>
      <c r="C11771" s="1" t="n">
        <v>46145</v>
      </c>
      <c r="D11771" t="inlineStr">
        <is>
          <t>VÄSTERBOTTENS LÄN</t>
        </is>
      </c>
      <c r="E11771" t="inlineStr">
        <is>
          <t>ROBERTSFORS</t>
        </is>
      </c>
      <c r="F11771" t="inlineStr">
        <is>
          <t>Holmen skog AB</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53226-2022</t>
        </is>
      </c>
      <c r="B11772" s="1" t="n">
        <v>44876.63155092593</v>
      </c>
      <c r="C11772" s="1" t="n">
        <v>46145</v>
      </c>
      <c r="D11772" t="inlineStr">
        <is>
          <t>VÄSTERBOTTENS LÄN</t>
        </is>
      </c>
      <c r="E11772" t="inlineStr">
        <is>
          <t>LYCKSELE</t>
        </is>
      </c>
      <c r="F11772" t="inlineStr">
        <is>
          <t>Holmen skog AB</t>
        </is>
      </c>
      <c r="G11772" t="n">
        <v>10.5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23153-2025</t>
        </is>
      </c>
      <c r="B11773" s="1" t="n">
        <v>45791</v>
      </c>
      <c r="C11773" s="1" t="n">
        <v>46145</v>
      </c>
      <c r="D11773" t="inlineStr">
        <is>
          <t>VÄSTERBOTTENS LÄN</t>
        </is>
      </c>
      <c r="E11773" t="inlineStr">
        <is>
          <t>SKELLEFTEÅ</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19349-2023</t>
        </is>
      </c>
      <c r="B11774" s="1" t="n">
        <v>45049.59215277778</v>
      </c>
      <c r="C11774" s="1" t="n">
        <v>46145</v>
      </c>
      <c r="D11774" t="inlineStr">
        <is>
          <t>VÄSTERBOTTENS LÄN</t>
        </is>
      </c>
      <c r="E11774" t="inlineStr">
        <is>
          <t>SKELLEFTEÅ</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23537-2025</t>
        </is>
      </c>
      <c r="B11775" s="1" t="n">
        <v>45792.54960648148</v>
      </c>
      <c r="C11775" s="1" t="n">
        <v>46145</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23551-2025</t>
        </is>
      </c>
      <c r="B11776" s="1" t="n">
        <v>45792.57373842593</v>
      </c>
      <c r="C11776" s="1" t="n">
        <v>46145</v>
      </c>
      <c r="D11776" t="inlineStr">
        <is>
          <t>VÄSTERBOTTENS LÄN</t>
        </is>
      </c>
      <c r="E11776" t="inlineStr">
        <is>
          <t>LYCKSELE</t>
        </is>
      </c>
      <c r="F11776" t="inlineStr">
        <is>
          <t>SCA</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23801-2025</t>
        </is>
      </c>
      <c r="B11777" s="1" t="n">
        <v>45793.55439814815</v>
      </c>
      <c r="C11777" s="1" t="n">
        <v>46145</v>
      </c>
      <c r="D11777" t="inlineStr">
        <is>
          <t>VÄSTERBOTTENS LÄN</t>
        </is>
      </c>
      <c r="E11777" t="inlineStr">
        <is>
          <t>LYCKSELE</t>
        </is>
      </c>
      <c r="F11777" t="inlineStr">
        <is>
          <t>Holmen skog AB</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37210-2021</t>
        </is>
      </c>
      <c r="B11778" s="1" t="n">
        <v>44396</v>
      </c>
      <c r="C11778" s="1" t="n">
        <v>46145</v>
      </c>
      <c r="D11778" t="inlineStr">
        <is>
          <t>VÄSTERBOTTENS LÄN</t>
        </is>
      </c>
      <c r="E11778" t="inlineStr">
        <is>
          <t>SKELLEFTEÅ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23678-2025</t>
        </is>
      </c>
      <c r="B11779" s="1" t="n">
        <v>45793.32435185185</v>
      </c>
      <c r="C11779" s="1" t="n">
        <v>46145</v>
      </c>
      <c r="D11779" t="inlineStr">
        <is>
          <t>VÄSTERBOTTENS LÄN</t>
        </is>
      </c>
      <c r="E11779" t="inlineStr">
        <is>
          <t>SKELLEFTEÅ</t>
        </is>
      </c>
      <c r="G11779" t="n">
        <v>7.1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23696-2025</t>
        </is>
      </c>
      <c r="B11780" s="1" t="n">
        <v>45793</v>
      </c>
      <c r="C11780" s="1" t="n">
        <v>46145</v>
      </c>
      <c r="D11780" t="inlineStr">
        <is>
          <t>VÄSTERBOTTENS LÄN</t>
        </is>
      </c>
      <c r="E11780" t="inlineStr">
        <is>
          <t>SKELLEFTEÅ</t>
        </is>
      </c>
      <c r="F11780" t="inlineStr">
        <is>
          <t>Sveaskog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10548-2022</t>
        </is>
      </c>
      <c r="B11781" s="1" t="n">
        <v>44623</v>
      </c>
      <c r="C11781" s="1" t="n">
        <v>46145</v>
      </c>
      <c r="D11781" t="inlineStr">
        <is>
          <t>VÄSTERBOTTENS LÄN</t>
        </is>
      </c>
      <c r="E11781" t="inlineStr">
        <is>
          <t>VILHELMINA</t>
        </is>
      </c>
      <c r="F11781" t="inlineStr">
        <is>
          <t>SCA</t>
        </is>
      </c>
      <c r="G11781" t="n">
        <v>11.5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51394-2022</t>
        </is>
      </c>
      <c r="B11782" s="1" t="n">
        <v>44866</v>
      </c>
      <c r="C11782" s="1" t="n">
        <v>46145</v>
      </c>
      <c r="D11782" t="inlineStr">
        <is>
          <t>VÄSTERBOTTENS LÄN</t>
        </is>
      </c>
      <c r="E11782" t="inlineStr">
        <is>
          <t>SORSELE</t>
        </is>
      </c>
      <c r="F11782" t="inlineStr">
        <is>
          <t>SCA</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29641-2024</t>
        </is>
      </c>
      <c r="B11783" s="1" t="n">
        <v>45484.71327546296</v>
      </c>
      <c r="C11783" s="1" t="n">
        <v>46145</v>
      </c>
      <c r="D11783" t="inlineStr">
        <is>
          <t>VÄSTERBOTTENS LÄN</t>
        </is>
      </c>
      <c r="E11783" t="inlineStr">
        <is>
          <t>BJURHOLM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48997-2021</t>
        </is>
      </c>
      <c r="B11784" s="1" t="n">
        <v>44453.44574074074</v>
      </c>
      <c r="C11784" s="1" t="n">
        <v>46145</v>
      </c>
      <c r="D11784" t="inlineStr">
        <is>
          <t>VÄSTERBOTTENS LÄN</t>
        </is>
      </c>
      <c r="E11784" t="inlineStr">
        <is>
          <t>LYCKSELE</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14357-2022</t>
        </is>
      </c>
      <c r="B11785" s="1" t="n">
        <v>44652</v>
      </c>
      <c r="C11785" s="1" t="n">
        <v>46145</v>
      </c>
      <c r="D11785" t="inlineStr">
        <is>
          <t>VÄSTERBOTTENS LÄN</t>
        </is>
      </c>
      <c r="E11785" t="inlineStr">
        <is>
          <t>VINDELN</t>
        </is>
      </c>
      <c r="G11785" t="n">
        <v>21.6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24068-2025</t>
        </is>
      </c>
      <c r="B11786" s="1" t="n">
        <v>45796.53878472222</v>
      </c>
      <c r="C11786" s="1" t="n">
        <v>46145</v>
      </c>
      <c r="D11786" t="inlineStr">
        <is>
          <t>VÄSTERBOTTENS LÄN</t>
        </is>
      </c>
      <c r="E11786" t="inlineStr">
        <is>
          <t>SKELLEFTEÅ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23881-2025</t>
        </is>
      </c>
      <c r="B11787" s="1" t="n">
        <v>45793</v>
      </c>
      <c r="C11787" s="1" t="n">
        <v>46145</v>
      </c>
      <c r="D11787" t="inlineStr">
        <is>
          <t>VÄSTERBOTTENS LÄN</t>
        </is>
      </c>
      <c r="E11787" t="inlineStr">
        <is>
          <t>SKELLEFTEÅ</t>
        </is>
      </c>
      <c r="F11787" t="inlineStr">
        <is>
          <t>Sveaskog</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24165-2025</t>
        </is>
      </c>
      <c r="B11788" s="1" t="n">
        <v>45796.67317129629</v>
      </c>
      <c r="C11788" s="1" t="n">
        <v>46145</v>
      </c>
      <c r="D11788" t="inlineStr">
        <is>
          <t>VÄSTERBOTTENS LÄN</t>
        </is>
      </c>
      <c r="E11788" t="inlineStr">
        <is>
          <t>VINDELN</t>
        </is>
      </c>
      <c r="F11788" t="inlineStr">
        <is>
          <t>Holmen skog AB</t>
        </is>
      </c>
      <c r="G11788" t="n">
        <v>17.6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32236-2024</t>
        </is>
      </c>
      <c r="B11789" s="1" t="n">
        <v>45511.92907407408</v>
      </c>
      <c r="C11789" s="1" t="n">
        <v>46145</v>
      </c>
      <c r="D11789" t="inlineStr">
        <is>
          <t>VÄSTERBOTTENS LÄN</t>
        </is>
      </c>
      <c r="E11789" t="inlineStr">
        <is>
          <t>NORSJÖ</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1812-2025</t>
        </is>
      </c>
      <c r="B11790" s="1" t="n">
        <v>45671.49204861111</v>
      </c>
      <c r="C11790" s="1" t="n">
        <v>46145</v>
      </c>
      <c r="D11790" t="inlineStr">
        <is>
          <t>VÄSTERBOTTENS LÄN</t>
        </is>
      </c>
      <c r="E11790" t="inlineStr">
        <is>
          <t>VINDELN</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38588-2024</t>
        </is>
      </c>
      <c r="B11791" s="1" t="n">
        <v>45546.65261574074</v>
      </c>
      <c r="C11791" s="1" t="n">
        <v>46145</v>
      </c>
      <c r="D11791" t="inlineStr">
        <is>
          <t>VÄSTERBOTTENS LÄN</t>
        </is>
      </c>
      <c r="E11791" t="inlineStr">
        <is>
          <t>SKELLEFTEÅ</t>
        </is>
      </c>
      <c r="F11791" t="inlineStr">
        <is>
          <t>Holmen skog AB</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23824-2025</t>
        </is>
      </c>
      <c r="B11792" s="1" t="n">
        <v>45793.59431712963</v>
      </c>
      <c r="C11792" s="1" t="n">
        <v>46145</v>
      </c>
      <c r="D11792" t="inlineStr">
        <is>
          <t>VÄSTERBOTTENS LÄN</t>
        </is>
      </c>
      <c r="E11792" t="inlineStr">
        <is>
          <t>ÅSELE</t>
        </is>
      </c>
      <c r="F11792" t="inlineStr">
        <is>
          <t>SCA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43714-2024</t>
        </is>
      </c>
      <c r="B11793" s="1" t="n">
        <v>45569</v>
      </c>
      <c r="C11793" s="1" t="n">
        <v>46145</v>
      </c>
      <c r="D11793" t="inlineStr">
        <is>
          <t>VÄSTERBOTTENS LÄN</t>
        </is>
      </c>
      <c r="E11793" t="inlineStr">
        <is>
          <t>SKELLEFTEÅ</t>
        </is>
      </c>
      <c r="G11793" t="n">
        <v>12.2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23676-2025</t>
        </is>
      </c>
      <c r="B11794" s="1" t="n">
        <v>45793.31434027778</v>
      </c>
      <c r="C11794" s="1" t="n">
        <v>46145</v>
      </c>
      <c r="D11794" t="inlineStr">
        <is>
          <t>VÄSTERBOTTENS LÄN</t>
        </is>
      </c>
      <c r="E11794" t="inlineStr">
        <is>
          <t>SKELLEFTEÅ</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60226-2022</t>
        </is>
      </c>
      <c r="B11795" s="1" t="n">
        <v>44910</v>
      </c>
      <c r="C11795" s="1" t="n">
        <v>46145</v>
      </c>
      <c r="D11795" t="inlineStr">
        <is>
          <t>VÄSTERBOTTENS LÄN</t>
        </is>
      </c>
      <c r="E11795" t="inlineStr">
        <is>
          <t>LYCKSELE</t>
        </is>
      </c>
      <c r="G11795" t="n">
        <v>5.4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23826-2025</t>
        </is>
      </c>
      <c r="B11796" s="1" t="n">
        <v>45793.59461805555</v>
      </c>
      <c r="C11796" s="1" t="n">
        <v>46145</v>
      </c>
      <c r="D11796" t="inlineStr">
        <is>
          <t>VÄSTERBOTTENS LÄN</t>
        </is>
      </c>
      <c r="E11796" t="inlineStr">
        <is>
          <t>VILHELMINA</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24129-2025</t>
        </is>
      </c>
      <c r="B11797" s="1" t="n">
        <v>45796</v>
      </c>
      <c r="C11797" s="1" t="n">
        <v>46145</v>
      </c>
      <c r="D11797" t="inlineStr">
        <is>
          <t>VÄSTERBOTTENS LÄN</t>
        </is>
      </c>
      <c r="E11797" t="inlineStr">
        <is>
          <t>LYCKSELE</t>
        </is>
      </c>
      <c r="F11797" t="inlineStr">
        <is>
          <t>Holmen skog AB</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33623-2023</t>
        </is>
      </c>
      <c r="B11798" s="1" t="n">
        <v>45132.38693287037</v>
      </c>
      <c r="C11798" s="1" t="n">
        <v>46145</v>
      </c>
      <c r="D11798" t="inlineStr">
        <is>
          <t>VÄSTERBOTTENS LÄN</t>
        </is>
      </c>
      <c r="E11798" t="inlineStr">
        <is>
          <t>NORSJÖ</t>
        </is>
      </c>
      <c r="F11798" t="inlineStr">
        <is>
          <t>Holmen skog AB</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24063-2025</t>
        </is>
      </c>
      <c r="B11799" s="1" t="n">
        <v>45796.53043981481</v>
      </c>
      <c r="C11799" s="1" t="n">
        <v>46145</v>
      </c>
      <c r="D11799" t="inlineStr">
        <is>
          <t>VÄSTERBOTTENS LÄN</t>
        </is>
      </c>
      <c r="E11799" t="inlineStr">
        <is>
          <t>LYCKSELE</t>
        </is>
      </c>
      <c r="G11799" t="n">
        <v>9.6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24065-2025</t>
        </is>
      </c>
      <c r="B11800" s="1" t="n">
        <v>45796.5358449074</v>
      </c>
      <c r="C11800" s="1" t="n">
        <v>46145</v>
      </c>
      <c r="D11800" t="inlineStr">
        <is>
          <t>VÄSTERBOTTENS LÄN</t>
        </is>
      </c>
      <c r="E11800" t="inlineStr">
        <is>
          <t>SKELLEFTEÅ</t>
        </is>
      </c>
      <c r="G11800" t="n">
        <v>7.5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2749-2023</t>
        </is>
      </c>
      <c r="B11801" s="1" t="n">
        <v>44943</v>
      </c>
      <c r="C11801" s="1" t="n">
        <v>46145</v>
      </c>
      <c r="D11801" t="inlineStr">
        <is>
          <t>VÄSTERBOTTENS LÄN</t>
        </is>
      </c>
      <c r="E11801" t="inlineStr">
        <is>
          <t>NORSJÖ</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35760-2023</t>
        </is>
      </c>
      <c r="B11802" s="1" t="n">
        <v>45147</v>
      </c>
      <c r="C11802" s="1" t="n">
        <v>46145</v>
      </c>
      <c r="D11802" t="inlineStr">
        <is>
          <t>VÄSTERBOTTENS LÄN</t>
        </is>
      </c>
      <c r="E11802" t="inlineStr">
        <is>
          <t>VILHELMINA</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20617-2024</t>
        </is>
      </c>
      <c r="B11803" s="1" t="n">
        <v>45436</v>
      </c>
      <c r="C11803" s="1" t="n">
        <v>46145</v>
      </c>
      <c r="D11803" t="inlineStr">
        <is>
          <t>VÄSTERBOTTENS LÄN</t>
        </is>
      </c>
      <c r="E11803" t="inlineStr">
        <is>
          <t>ÅSELE</t>
        </is>
      </c>
      <c r="F11803" t="inlineStr">
        <is>
          <t>Holmen skog AB</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23943-2025</t>
        </is>
      </c>
      <c r="B11804" s="1" t="n">
        <v>45794</v>
      </c>
      <c r="C11804" s="1" t="n">
        <v>46145</v>
      </c>
      <c r="D11804" t="inlineStr">
        <is>
          <t>VÄSTERBOTTENS LÄN</t>
        </is>
      </c>
      <c r="E11804" t="inlineStr">
        <is>
          <t>SORSELE</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24064-2025</t>
        </is>
      </c>
      <c r="B11805" s="1" t="n">
        <v>45796.53480324074</v>
      </c>
      <c r="C11805" s="1" t="n">
        <v>46145</v>
      </c>
      <c r="D11805" t="inlineStr">
        <is>
          <t>VÄSTERBOTTENS LÄN</t>
        </is>
      </c>
      <c r="E11805" t="inlineStr">
        <is>
          <t>SKELLEFTEÅ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24067-2025</t>
        </is>
      </c>
      <c r="B11806" s="1" t="n">
        <v>45796.53820601852</v>
      </c>
      <c r="C11806" s="1" t="n">
        <v>46145</v>
      </c>
      <c r="D11806" t="inlineStr">
        <is>
          <t>VÄSTERBOTTENS LÄN</t>
        </is>
      </c>
      <c r="E11806" t="inlineStr">
        <is>
          <t>SKELLEFTEÅ</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45503-2021</t>
        </is>
      </c>
      <c r="B11807" s="1" t="n">
        <v>44440</v>
      </c>
      <c r="C11807" s="1" t="n">
        <v>46145</v>
      </c>
      <c r="D11807" t="inlineStr">
        <is>
          <t>VÄSTERBOTTENS LÄN</t>
        </is>
      </c>
      <c r="E11807" t="inlineStr">
        <is>
          <t>LYCKSELE</t>
        </is>
      </c>
      <c r="G11807" t="n">
        <v>29.1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23847-2025</t>
        </is>
      </c>
      <c r="B11808" s="1" t="n">
        <v>45793.62730324074</v>
      </c>
      <c r="C11808" s="1" t="n">
        <v>46145</v>
      </c>
      <c r="D11808" t="inlineStr">
        <is>
          <t>VÄSTERBOTTENS LÄN</t>
        </is>
      </c>
      <c r="E11808" t="inlineStr">
        <is>
          <t>SKELLEFTEÅ</t>
        </is>
      </c>
      <c r="F11808" t="inlineStr">
        <is>
          <t>Holmen skog AB</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23886-2025</t>
        </is>
      </c>
      <c r="B11809" s="1" t="n">
        <v>45793</v>
      </c>
      <c r="C11809" s="1" t="n">
        <v>46145</v>
      </c>
      <c r="D11809" t="inlineStr">
        <is>
          <t>VÄSTERBOTTENS LÄN</t>
        </is>
      </c>
      <c r="E11809" t="inlineStr">
        <is>
          <t>SKELLEFTEÅ</t>
        </is>
      </c>
      <c r="F11809" t="inlineStr">
        <is>
          <t>Sveaskog</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23935-2025</t>
        </is>
      </c>
      <c r="B11810" s="1" t="n">
        <v>45795.8047337963</v>
      </c>
      <c r="C11810" s="1" t="n">
        <v>46145</v>
      </c>
      <c r="D11810" t="inlineStr">
        <is>
          <t>VÄSTERBOTTENS LÄN</t>
        </is>
      </c>
      <c r="E11810" t="inlineStr">
        <is>
          <t>SORSELE</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10693-2024</t>
        </is>
      </c>
      <c r="B11811" s="1" t="n">
        <v>45369</v>
      </c>
      <c r="C11811" s="1" t="n">
        <v>46145</v>
      </c>
      <c r="D11811" t="inlineStr">
        <is>
          <t>VÄSTERBOTTENS LÄN</t>
        </is>
      </c>
      <c r="E11811" t="inlineStr">
        <is>
          <t>SKELLEFTEÅ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32813-2024</t>
        </is>
      </c>
      <c r="B11812" s="1" t="n">
        <v>45516.57533564815</v>
      </c>
      <c r="C11812" s="1" t="n">
        <v>46145</v>
      </c>
      <c r="D11812" t="inlineStr">
        <is>
          <t>VÄSTERBOTTENS LÄN</t>
        </is>
      </c>
      <c r="E11812" t="inlineStr">
        <is>
          <t>UMEÅ</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39470-2024</t>
        </is>
      </c>
      <c r="B11813" s="1" t="n">
        <v>45551</v>
      </c>
      <c r="C11813" s="1" t="n">
        <v>46145</v>
      </c>
      <c r="D11813" t="inlineStr">
        <is>
          <t>VÄSTERBOTTENS LÄN</t>
        </is>
      </c>
      <c r="E11813" t="inlineStr">
        <is>
          <t>DOROTEA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23961-2025</t>
        </is>
      </c>
      <c r="B11814" s="1" t="n">
        <v>45794</v>
      </c>
      <c r="C11814" s="1" t="n">
        <v>46145</v>
      </c>
      <c r="D11814" t="inlineStr">
        <is>
          <t>VÄSTERBOTTENS LÄN</t>
        </is>
      </c>
      <c r="E11814" t="inlineStr">
        <is>
          <t>ROBERTSFORS</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23989-2025</t>
        </is>
      </c>
      <c r="B11815" s="1" t="n">
        <v>45796.40104166666</v>
      </c>
      <c r="C11815" s="1" t="n">
        <v>46145</v>
      </c>
      <c r="D11815" t="inlineStr">
        <is>
          <t>VÄSTERBOTTENS LÄN</t>
        </is>
      </c>
      <c r="E11815" t="inlineStr">
        <is>
          <t>ROBERTSFORS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33113-2024</t>
        </is>
      </c>
      <c r="B11816" s="1" t="n">
        <v>45517</v>
      </c>
      <c r="C11816" s="1" t="n">
        <v>46145</v>
      </c>
      <c r="D11816" t="inlineStr">
        <is>
          <t>VÄSTERBOTTENS LÄN</t>
        </is>
      </c>
      <c r="E11816" t="inlineStr">
        <is>
          <t>DOROTEA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23679-2025</t>
        </is>
      </c>
      <c r="B11817" s="1" t="n">
        <v>45793.32454861111</v>
      </c>
      <c r="C11817" s="1" t="n">
        <v>46145</v>
      </c>
      <c r="D11817" t="inlineStr">
        <is>
          <t>VÄSTERBOTTENS LÄN</t>
        </is>
      </c>
      <c r="E11817" t="inlineStr">
        <is>
          <t>LYCKSELE</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23750-2025</t>
        </is>
      </c>
      <c r="B11818" s="1" t="n">
        <v>45793.44913194444</v>
      </c>
      <c r="C11818" s="1" t="n">
        <v>46145</v>
      </c>
      <c r="D11818" t="inlineStr">
        <is>
          <t>VÄSTERBOTTENS LÄN</t>
        </is>
      </c>
      <c r="E11818" t="inlineStr">
        <is>
          <t>VINDELN</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23753-2025</t>
        </is>
      </c>
      <c r="B11819" s="1" t="n">
        <v>45793</v>
      </c>
      <c r="C11819" s="1" t="n">
        <v>46145</v>
      </c>
      <c r="D11819" t="inlineStr">
        <is>
          <t>VÄSTERBOTTENS LÄN</t>
        </is>
      </c>
      <c r="E11819" t="inlineStr">
        <is>
          <t>VINDELN</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58939-2024</t>
        </is>
      </c>
      <c r="B11820" s="1" t="n">
        <v>45636.53543981481</v>
      </c>
      <c r="C11820" s="1" t="n">
        <v>46145</v>
      </c>
      <c r="D11820" t="inlineStr">
        <is>
          <t>VÄSTERBOTTENS LÄN</t>
        </is>
      </c>
      <c r="E11820" t="inlineStr">
        <is>
          <t>SKELLEFTEÅ</t>
        </is>
      </c>
      <c r="G11820" t="n">
        <v>13.4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23744-2025</t>
        </is>
      </c>
      <c r="B11821" s="1" t="n">
        <v>45793.44201388889</v>
      </c>
      <c r="C11821" s="1" t="n">
        <v>46145</v>
      </c>
      <c r="D11821" t="inlineStr">
        <is>
          <t>VÄSTERBOTTENS LÄN</t>
        </is>
      </c>
      <c r="E11821" t="inlineStr">
        <is>
          <t>VINDELN</t>
        </is>
      </c>
      <c r="F11821" t="inlineStr">
        <is>
          <t>Holmen skog AB</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23764-2025</t>
        </is>
      </c>
      <c r="B11822" s="1" t="n">
        <v>45793</v>
      </c>
      <c r="C11822" s="1" t="n">
        <v>46145</v>
      </c>
      <c r="D11822" t="inlineStr">
        <is>
          <t>VÄSTERBOTTENS LÄN</t>
        </is>
      </c>
      <c r="E11822" t="inlineStr">
        <is>
          <t>VILHELMINA</t>
        </is>
      </c>
      <c r="F11822" t="inlineStr">
        <is>
          <t>SCA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3631-2024</t>
        </is>
      </c>
      <c r="B11823" s="1" t="n">
        <v>45320.95365740741</v>
      </c>
      <c r="C11823" s="1" t="n">
        <v>46145</v>
      </c>
      <c r="D11823" t="inlineStr">
        <is>
          <t>VÄSTERBOTTENS LÄN</t>
        </is>
      </c>
      <c r="E11823" t="inlineStr">
        <is>
          <t>VINDELN</t>
        </is>
      </c>
      <c r="F11823" t="inlineStr">
        <is>
          <t>SCA</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43043-2024</t>
        </is>
      </c>
      <c r="B11824" s="1" t="n">
        <v>45567</v>
      </c>
      <c r="C11824" s="1" t="n">
        <v>46145</v>
      </c>
      <c r="D11824" t="inlineStr">
        <is>
          <t>VÄSTERBOTTENS LÄN</t>
        </is>
      </c>
      <c r="E11824" t="inlineStr">
        <is>
          <t>BJURHOLM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23952-2025</t>
        </is>
      </c>
      <c r="B11825" s="1" t="n">
        <v>45794</v>
      </c>
      <c r="C11825" s="1" t="n">
        <v>46145</v>
      </c>
      <c r="D11825" t="inlineStr">
        <is>
          <t>VÄSTERBOTTENS LÄN</t>
        </is>
      </c>
      <c r="E11825" t="inlineStr">
        <is>
          <t>SORSELE</t>
        </is>
      </c>
      <c r="G11825" t="n">
        <v>20.7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36676-2023</t>
        </is>
      </c>
      <c r="B11826" s="1" t="n">
        <v>45152</v>
      </c>
      <c r="C11826" s="1" t="n">
        <v>46145</v>
      </c>
      <c r="D11826" t="inlineStr">
        <is>
          <t>VÄSTERBOTTENS LÄN</t>
        </is>
      </c>
      <c r="E11826" t="inlineStr">
        <is>
          <t>MALÅ</t>
        </is>
      </c>
      <c r="G11826" t="n">
        <v>16.6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23827-2025</t>
        </is>
      </c>
      <c r="B11827" s="1" t="n">
        <v>45793.59476851852</v>
      </c>
      <c r="C11827" s="1" t="n">
        <v>46145</v>
      </c>
      <c r="D11827" t="inlineStr">
        <is>
          <t>VÄSTERBOTTENS LÄN</t>
        </is>
      </c>
      <c r="E11827" t="inlineStr">
        <is>
          <t>LYCKSELE</t>
        </is>
      </c>
      <c r="F11827" t="inlineStr">
        <is>
          <t>SCA</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33319-2024</t>
        </is>
      </c>
      <c r="B11828" s="1" t="n">
        <v>45518</v>
      </c>
      <c r="C11828" s="1" t="n">
        <v>46145</v>
      </c>
      <c r="D11828" t="inlineStr">
        <is>
          <t>VÄSTERBOTTENS LÄN</t>
        </is>
      </c>
      <c r="E11828" t="inlineStr">
        <is>
          <t>VILHELMINA</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23903-2025</t>
        </is>
      </c>
      <c r="B11829" s="1" t="n">
        <v>45794</v>
      </c>
      <c r="C11829" s="1" t="n">
        <v>46145</v>
      </c>
      <c r="D11829" t="inlineStr">
        <is>
          <t>VÄSTERBOTTENS LÄN</t>
        </is>
      </c>
      <c r="E11829" t="inlineStr">
        <is>
          <t>VINDELN</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23979-2025</t>
        </is>
      </c>
      <c r="B11830" s="1" t="n">
        <v>45796.38870370371</v>
      </c>
      <c r="C11830" s="1" t="n">
        <v>46145</v>
      </c>
      <c r="D11830" t="inlineStr">
        <is>
          <t>VÄSTERBOTTENS LÄN</t>
        </is>
      </c>
      <c r="E11830" t="inlineStr">
        <is>
          <t>ROBERTSFORS</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23737-2025</t>
        </is>
      </c>
      <c r="B11831" s="1" t="n">
        <v>45793.42809027778</v>
      </c>
      <c r="C11831" s="1" t="n">
        <v>46145</v>
      </c>
      <c r="D11831" t="inlineStr">
        <is>
          <t>VÄSTERBOTTENS LÄN</t>
        </is>
      </c>
      <c r="E11831" t="inlineStr">
        <is>
          <t>ÅSELE</t>
        </is>
      </c>
      <c r="F11831" t="inlineStr">
        <is>
          <t>SCA</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24346-2024</t>
        </is>
      </c>
      <c r="B11832" s="1" t="n">
        <v>45457</v>
      </c>
      <c r="C11832" s="1" t="n">
        <v>46145</v>
      </c>
      <c r="D11832" t="inlineStr">
        <is>
          <t>VÄSTERBOTTENS LÄN</t>
        </is>
      </c>
      <c r="E11832" t="inlineStr">
        <is>
          <t>LYCKSELE</t>
        </is>
      </c>
      <c r="F11832" t="inlineStr">
        <is>
          <t>Holmen skog AB</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12800-2024</t>
        </is>
      </c>
      <c r="B11833" s="1" t="n">
        <v>45384</v>
      </c>
      <c r="C11833" s="1" t="n">
        <v>46145</v>
      </c>
      <c r="D11833" t="inlineStr">
        <is>
          <t>VÄSTERBOTTENS LÄN</t>
        </is>
      </c>
      <c r="E11833" t="inlineStr">
        <is>
          <t>NORSJÖ</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37057-2023</t>
        </is>
      </c>
      <c r="B11834" s="1" t="n">
        <v>45155</v>
      </c>
      <c r="C11834" s="1" t="n">
        <v>46145</v>
      </c>
      <c r="D11834" t="inlineStr">
        <is>
          <t>VÄSTERBOTTENS LÄN</t>
        </is>
      </c>
      <c r="E11834" t="inlineStr">
        <is>
          <t>NORSJÖ</t>
        </is>
      </c>
      <c r="F11834" t="inlineStr">
        <is>
          <t>Kommuner</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24066-2025</t>
        </is>
      </c>
      <c r="B11835" s="1" t="n">
        <v>45796.53686342593</v>
      </c>
      <c r="C11835" s="1" t="n">
        <v>46145</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24070-2025</t>
        </is>
      </c>
      <c r="B11836" s="1" t="n">
        <v>45796.54060185186</v>
      </c>
      <c r="C11836" s="1" t="n">
        <v>46145</v>
      </c>
      <c r="D11836" t="inlineStr">
        <is>
          <t>VÄSTERBOTTENS LÄN</t>
        </is>
      </c>
      <c r="E11836" t="inlineStr">
        <is>
          <t>SKELLEFTEÅ</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23971-2025</t>
        </is>
      </c>
      <c r="B11837" s="1" t="n">
        <v>45796.38513888889</v>
      </c>
      <c r="C11837" s="1" t="n">
        <v>46145</v>
      </c>
      <c r="D11837" t="inlineStr">
        <is>
          <t>VÄSTERBOTTENS LÄN</t>
        </is>
      </c>
      <c r="E11837" t="inlineStr">
        <is>
          <t>NORSJÖ</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16175-2025</t>
        </is>
      </c>
      <c r="B11838" s="1" t="n">
        <v>45750.5587962963</v>
      </c>
      <c r="C11838" s="1" t="n">
        <v>46145</v>
      </c>
      <c r="D11838" t="inlineStr">
        <is>
          <t>VÄSTERBOTTENS LÄN</t>
        </is>
      </c>
      <c r="E11838" t="inlineStr">
        <is>
          <t>ÅSELE</t>
        </is>
      </c>
      <c r="G11838" t="n">
        <v>15.4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60503-2024</t>
        </is>
      </c>
      <c r="B11839" s="1" t="n">
        <v>45643</v>
      </c>
      <c r="C11839" s="1" t="n">
        <v>46145</v>
      </c>
      <c r="D11839" t="inlineStr">
        <is>
          <t>VÄSTERBOTTENS LÄN</t>
        </is>
      </c>
      <c r="E11839" t="inlineStr">
        <is>
          <t>MALÅ</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23749-2025</t>
        </is>
      </c>
      <c r="B11840" s="1" t="n">
        <v>45793.44805555556</v>
      </c>
      <c r="C11840" s="1" t="n">
        <v>46145</v>
      </c>
      <c r="D11840" t="inlineStr">
        <is>
          <t>VÄSTERBOTTENS LÄN</t>
        </is>
      </c>
      <c r="E11840" t="inlineStr">
        <is>
          <t>VINDELN</t>
        </is>
      </c>
      <c r="G11840" t="n">
        <v>2</v>
      </c>
      <c r="H11840" t="n">
        <v>0</v>
      </c>
      <c r="I11840" t="n">
        <v>0</v>
      </c>
      <c r="J11840" t="n">
        <v>0</v>
      </c>
      <c r="K11840" t="n">
        <v>0</v>
      </c>
      <c r="L11840" t="n">
        <v>0</v>
      </c>
      <c r="M11840" t="n">
        <v>0</v>
      </c>
      <c r="N11840" t="n">
        <v>0</v>
      </c>
      <c r="O11840" t="n">
        <v>0</v>
      </c>
      <c r="P11840" t="n">
        <v>0</v>
      </c>
      <c r="Q11840" t="n">
        <v>0</v>
      </c>
      <c r="R11840" s="2" t="inlineStr"/>
      <c r="U11840">
        <f>HYPERLINK("https://klasma.github.io/Logging_2404/knärot/A 23749-2025 karta knärot.png", "A 23749-2025")</f>
        <v/>
      </c>
      <c r="V11840">
        <f>HYPERLINK("https://klasma.github.io/Logging_2404/klagomål/A 23749-2025 FSC-klagomål.docx", "A 23749-2025")</f>
        <v/>
      </c>
      <c r="W11840">
        <f>HYPERLINK("https://klasma.github.io/Logging_2404/klagomålsmail/A 23749-2025 FSC-klagomål mail.docx", "A 23749-2025")</f>
        <v/>
      </c>
      <c r="X11840">
        <f>HYPERLINK("https://klasma.github.io/Logging_2404/tillsyn/A 23749-2025 tillsynsbegäran.docx", "A 23749-2025")</f>
        <v/>
      </c>
      <c r="Y11840">
        <f>HYPERLINK("https://klasma.github.io/Logging_2404/tillsynsmail/A 23749-2025 tillsynsbegäran mail.docx", "A 23749-2025")</f>
        <v/>
      </c>
    </row>
    <row r="11841" ht="15" customHeight="1">
      <c r="A11841" t="inlineStr">
        <is>
          <t>A 23995-2025</t>
        </is>
      </c>
      <c r="B11841" s="1" t="n">
        <v>45796.41136574074</v>
      </c>
      <c r="C11841" s="1" t="n">
        <v>46145</v>
      </c>
      <c r="D11841" t="inlineStr">
        <is>
          <t>VÄSTERBOTTENS LÄN</t>
        </is>
      </c>
      <c r="E11841" t="inlineStr">
        <is>
          <t>VINDELN</t>
        </is>
      </c>
      <c r="F11841" t="inlineStr">
        <is>
          <t>Holmen skog AB</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23798-2025</t>
        </is>
      </c>
      <c r="B11842" s="1" t="n">
        <v>45793.55248842593</v>
      </c>
      <c r="C11842" s="1" t="n">
        <v>46145</v>
      </c>
      <c r="D11842" t="inlineStr">
        <is>
          <t>VÄSTERBOTTENS LÄN</t>
        </is>
      </c>
      <c r="E11842" t="inlineStr">
        <is>
          <t>LYCKSELE</t>
        </is>
      </c>
      <c r="F11842" t="inlineStr">
        <is>
          <t>SCA</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58278-2024</t>
        </is>
      </c>
      <c r="B11843" s="1" t="n">
        <v>45632.57494212963</v>
      </c>
      <c r="C11843" s="1" t="n">
        <v>46145</v>
      </c>
      <c r="D11843" t="inlineStr">
        <is>
          <t>VÄSTERBOTTENS LÄN</t>
        </is>
      </c>
      <c r="E11843" t="inlineStr">
        <is>
          <t>UMEÅ</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53380-2024</t>
        </is>
      </c>
      <c r="B11844" s="1" t="n">
        <v>45614</v>
      </c>
      <c r="C11844" s="1" t="n">
        <v>46145</v>
      </c>
      <c r="D11844" t="inlineStr">
        <is>
          <t>VÄSTERBOTTENS LÄN</t>
        </is>
      </c>
      <c r="E11844" t="inlineStr">
        <is>
          <t>DOROTEA</t>
        </is>
      </c>
      <c r="G11844" t="n">
        <v>12.8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23929-2025</t>
        </is>
      </c>
      <c r="B11845" s="1" t="n">
        <v>45795.49415509259</v>
      </c>
      <c r="C11845" s="1" t="n">
        <v>46145</v>
      </c>
      <c r="D11845" t="inlineStr">
        <is>
          <t>VÄSTERBOTTENS LÄN</t>
        </is>
      </c>
      <c r="E11845" t="inlineStr">
        <is>
          <t>SORSELE</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361-2024</t>
        </is>
      </c>
      <c r="B11846" s="1" t="n">
        <v>45295</v>
      </c>
      <c r="C11846" s="1" t="n">
        <v>46145</v>
      </c>
      <c r="D11846" t="inlineStr">
        <is>
          <t>VÄSTERBOTTENS LÄN</t>
        </is>
      </c>
      <c r="E11846" t="inlineStr">
        <is>
          <t>DOROTEA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24171-2025</t>
        </is>
      </c>
      <c r="B11847" s="1" t="n">
        <v>45796.68282407407</v>
      </c>
      <c r="C11847" s="1" t="n">
        <v>46145</v>
      </c>
      <c r="D11847" t="inlineStr">
        <is>
          <t>VÄSTERBOTTENS LÄN</t>
        </is>
      </c>
      <c r="E11847" t="inlineStr">
        <is>
          <t>NORSJÖ</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15386-2024</t>
        </is>
      </c>
      <c r="B11848" s="1" t="n">
        <v>45400</v>
      </c>
      <c r="C11848" s="1" t="n">
        <v>46145</v>
      </c>
      <c r="D11848" t="inlineStr">
        <is>
          <t>VÄSTERBOTTENS LÄN</t>
        </is>
      </c>
      <c r="E11848" t="inlineStr">
        <is>
          <t>STORUMAN</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23686-2025</t>
        </is>
      </c>
      <c r="B11849" s="1" t="n">
        <v>45793</v>
      </c>
      <c r="C11849" s="1" t="n">
        <v>46145</v>
      </c>
      <c r="D11849" t="inlineStr">
        <is>
          <t>VÄSTERBOTTENS LÄN</t>
        </is>
      </c>
      <c r="E11849" t="inlineStr">
        <is>
          <t>VILHELMINA</t>
        </is>
      </c>
      <c r="F11849" t="inlineStr">
        <is>
          <t>SCA</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23315-2024</t>
        </is>
      </c>
      <c r="B11850" s="1" t="n">
        <v>45453</v>
      </c>
      <c r="C11850" s="1" t="n">
        <v>46145</v>
      </c>
      <c r="D11850" t="inlineStr">
        <is>
          <t>VÄSTERBOTTENS LÄN</t>
        </is>
      </c>
      <c r="E11850" t="inlineStr">
        <is>
          <t>LYCKSELE</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24045-2025</t>
        </is>
      </c>
      <c r="B11851" s="1" t="n">
        <v>45796.49280092592</v>
      </c>
      <c r="C11851" s="1" t="n">
        <v>46145</v>
      </c>
      <c r="D11851" t="inlineStr">
        <is>
          <t>VÄSTERBOTTENS LÄN</t>
        </is>
      </c>
      <c r="E11851" t="inlineStr">
        <is>
          <t>NORDMALING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24061-2025</t>
        </is>
      </c>
      <c r="B11852" s="1" t="n">
        <v>45796.52805555556</v>
      </c>
      <c r="C11852" s="1" t="n">
        <v>46145</v>
      </c>
      <c r="D11852" t="inlineStr">
        <is>
          <t>VÄSTERBOTTENS LÄN</t>
        </is>
      </c>
      <c r="E11852" t="inlineStr">
        <is>
          <t>SKELLEFTEÅ</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14823-2024</t>
        </is>
      </c>
      <c r="B11853" s="1" t="n">
        <v>45397</v>
      </c>
      <c r="C11853" s="1" t="n">
        <v>46145</v>
      </c>
      <c r="D11853" t="inlineStr">
        <is>
          <t>VÄSTERBOTTENS LÄN</t>
        </is>
      </c>
      <c r="E11853" t="inlineStr">
        <is>
          <t>STORUMAN</t>
        </is>
      </c>
      <c r="G11853" t="n">
        <v>18.2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31848-2024</t>
        </is>
      </c>
      <c r="B11854" s="1" t="n">
        <v>45509.67273148148</v>
      </c>
      <c r="C11854" s="1" t="n">
        <v>46145</v>
      </c>
      <c r="D11854" t="inlineStr">
        <is>
          <t>VÄSTERBOTTENS LÄN</t>
        </is>
      </c>
      <c r="E11854" t="inlineStr">
        <is>
          <t>LYCKSELE</t>
        </is>
      </c>
      <c r="F11854" t="inlineStr">
        <is>
          <t>Holmen skog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32734-2024</t>
        </is>
      </c>
      <c r="B11855" s="1" t="n">
        <v>45516.43074074074</v>
      </c>
      <c r="C11855" s="1" t="n">
        <v>46145</v>
      </c>
      <c r="D11855" t="inlineStr">
        <is>
          <t>VÄSTERBOTTENS LÄN</t>
        </is>
      </c>
      <c r="E11855" t="inlineStr">
        <is>
          <t>VINDELN</t>
        </is>
      </c>
      <c r="F11855" t="inlineStr">
        <is>
          <t>Holmen skog AB</t>
        </is>
      </c>
      <c r="G11855" t="n">
        <v>17.1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23776-2025</t>
        </is>
      </c>
      <c r="B11856" s="1" t="n">
        <v>45793.50012731482</v>
      </c>
      <c r="C11856" s="1" t="n">
        <v>46145</v>
      </c>
      <c r="D11856" t="inlineStr">
        <is>
          <t>VÄSTERBOTTENS LÄN</t>
        </is>
      </c>
      <c r="E11856" t="inlineStr">
        <is>
          <t>VÄNNÄS</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30050-2024</t>
        </is>
      </c>
      <c r="B11857" s="1" t="n">
        <v>45488</v>
      </c>
      <c r="C11857" s="1" t="n">
        <v>46145</v>
      </c>
      <c r="D11857" t="inlineStr">
        <is>
          <t>VÄSTERBOTTENS LÄN</t>
        </is>
      </c>
      <c r="E11857" t="inlineStr">
        <is>
          <t>UMEÅ</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24152-2025</t>
        </is>
      </c>
      <c r="B11858" s="1" t="n">
        <v>45796.65622685185</v>
      </c>
      <c r="C11858" s="1" t="n">
        <v>46145</v>
      </c>
      <c r="D11858" t="inlineStr">
        <is>
          <t>VÄSTERBOTTENS LÄN</t>
        </is>
      </c>
      <c r="E11858" t="inlineStr">
        <is>
          <t>SORSELE</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36215-2023</t>
        </is>
      </c>
      <c r="B11859" s="1" t="n">
        <v>45149.95266203704</v>
      </c>
      <c r="C11859" s="1" t="n">
        <v>46145</v>
      </c>
      <c r="D11859" t="inlineStr">
        <is>
          <t>VÄSTERBOTTENS LÄN</t>
        </is>
      </c>
      <c r="E11859" t="inlineStr">
        <is>
          <t>VILHELMINA</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56332-2023</t>
        </is>
      </c>
      <c r="B11860" s="1" t="n">
        <v>45243.34</v>
      </c>
      <c r="C11860" s="1" t="n">
        <v>46145</v>
      </c>
      <c r="D11860" t="inlineStr">
        <is>
          <t>VÄSTERBOTTENS LÄN</t>
        </is>
      </c>
      <c r="E11860" t="inlineStr">
        <is>
          <t>UMEÅ</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24676-2025</t>
        </is>
      </c>
      <c r="B11861" s="1" t="n">
        <v>45798.65332175926</v>
      </c>
      <c r="C11861" s="1" t="n">
        <v>46145</v>
      </c>
      <c r="D11861" t="inlineStr">
        <is>
          <t>VÄSTERBOTTENS LÄN</t>
        </is>
      </c>
      <c r="E11861" t="inlineStr">
        <is>
          <t>NORSJÖ</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24679-2025</t>
        </is>
      </c>
      <c r="B11862" s="1" t="n">
        <v>45798</v>
      </c>
      <c r="C11862" s="1" t="n">
        <v>46145</v>
      </c>
      <c r="D11862" t="inlineStr">
        <is>
          <t>VÄSTERBOTTENS LÄN</t>
        </is>
      </c>
      <c r="E11862" t="inlineStr">
        <is>
          <t>LYCKSELE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24511-2025</t>
        </is>
      </c>
      <c r="B11863" s="1" t="n">
        <v>45798.40518518518</v>
      </c>
      <c r="C11863" s="1" t="n">
        <v>46145</v>
      </c>
      <c r="D11863" t="inlineStr">
        <is>
          <t>VÄSTERBOTTENS LÄN</t>
        </is>
      </c>
      <c r="E11863" t="inlineStr">
        <is>
          <t>LYCKSELE</t>
        </is>
      </c>
      <c r="F11863" t="inlineStr">
        <is>
          <t>Sveaskog</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24680-2025</t>
        </is>
      </c>
      <c r="B11864" s="1" t="n">
        <v>45798</v>
      </c>
      <c r="C11864" s="1" t="n">
        <v>46145</v>
      </c>
      <c r="D11864" t="inlineStr">
        <is>
          <t>VÄSTERBOTTENS LÄN</t>
        </is>
      </c>
      <c r="E11864" t="inlineStr">
        <is>
          <t>LYCKSELE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24603-2025</t>
        </is>
      </c>
      <c r="B11865" s="1" t="n">
        <v>45798.57329861111</v>
      </c>
      <c r="C11865" s="1" t="n">
        <v>46145</v>
      </c>
      <c r="D11865" t="inlineStr">
        <is>
          <t>VÄSTERBOTTENS LÄN</t>
        </is>
      </c>
      <c r="E11865" t="inlineStr">
        <is>
          <t>LYCKSELE</t>
        </is>
      </c>
      <c r="F11865" t="inlineStr">
        <is>
          <t>SCA</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24633-2025</t>
        </is>
      </c>
      <c r="B11866" s="1" t="n">
        <v>45798.60709490741</v>
      </c>
      <c r="C11866" s="1" t="n">
        <v>46145</v>
      </c>
      <c r="D11866" t="inlineStr">
        <is>
          <t>VÄSTERBOTTENS LÄN</t>
        </is>
      </c>
      <c r="E11866" t="inlineStr">
        <is>
          <t>VINDELN</t>
        </is>
      </c>
      <c r="G11866" t="n">
        <v>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24509-2025</t>
        </is>
      </c>
      <c r="B11867" s="1" t="n">
        <v>45798.40288194444</v>
      </c>
      <c r="C11867" s="1" t="n">
        <v>46145</v>
      </c>
      <c r="D11867" t="inlineStr">
        <is>
          <t>VÄSTERBOTTENS LÄN</t>
        </is>
      </c>
      <c r="E11867" t="inlineStr">
        <is>
          <t>LYCKSELE</t>
        </is>
      </c>
      <c r="F11867" t="inlineStr">
        <is>
          <t>Sveaskog</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6402-2025</t>
        </is>
      </c>
      <c r="B11868" s="1" t="n">
        <v>45699.44813657407</v>
      </c>
      <c r="C11868" s="1" t="n">
        <v>46145</v>
      </c>
      <c r="D11868" t="inlineStr">
        <is>
          <t>VÄSTERBOTTENS LÄN</t>
        </is>
      </c>
      <c r="E11868" t="inlineStr">
        <is>
          <t>NORDMALING</t>
        </is>
      </c>
      <c r="G11868" t="n">
        <v>7.4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24540-2025</t>
        </is>
      </c>
      <c r="B11869" s="1" t="n">
        <v>45798.44232638889</v>
      </c>
      <c r="C11869" s="1" t="n">
        <v>46145</v>
      </c>
      <c r="D11869" t="inlineStr">
        <is>
          <t>VÄSTERBOTTENS LÄN</t>
        </is>
      </c>
      <c r="E11869" t="inlineStr">
        <is>
          <t>UMEÅ</t>
        </is>
      </c>
      <c r="G11869" t="n">
        <v>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24208-2025</t>
        </is>
      </c>
      <c r="B11870" s="1" t="n">
        <v>45797.34456018519</v>
      </c>
      <c r="C11870" s="1" t="n">
        <v>46145</v>
      </c>
      <c r="D11870" t="inlineStr">
        <is>
          <t>VÄSTERBOTTENS LÄN</t>
        </is>
      </c>
      <c r="E11870" t="inlineStr">
        <is>
          <t>ÅSELE</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24595-2025</t>
        </is>
      </c>
      <c r="B11871" s="1" t="n">
        <v>45798</v>
      </c>
      <c r="C11871" s="1" t="n">
        <v>46145</v>
      </c>
      <c r="D11871" t="inlineStr">
        <is>
          <t>VÄSTERBOTTENS LÄN</t>
        </is>
      </c>
      <c r="E11871" t="inlineStr">
        <is>
          <t>UMEÅ</t>
        </is>
      </c>
      <c r="F11871" t="inlineStr">
        <is>
          <t>Holmen skog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24264-2025</t>
        </is>
      </c>
      <c r="B11872" s="1" t="n">
        <v>45797.42381944445</v>
      </c>
      <c r="C11872" s="1" t="n">
        <v>46145</v>
      </c>
      <c r="D11872" t="inlineStr">
        <is>
          <t>VÄSTERBOTTENS LÄN</t>
        </is>
      </c>
      <c r="E11872" t="inlineStr">
        <is>
          <t>SKELLEFTEÅ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44968-2024</t>
        </is>
      </c>
      <c r="B11873" s="1" t="n">
        <v>45575.45949074074</v>
      </c>
      <c r="C11873" s="1" t="n">
        <v>46145</v>
      </c>
      <c r="D11873" t="inlineStr">
        <is>
          <t>VÄSTERBOTTENS LÄN</t>
        </is>
      </c>
      <c r="E11873" t="inlineStr">
        <is>
          <t>SKELLEFTEÅ</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24705-2025</t>
        </is>
      </c>
      <c r="B11874" s="1" t="n">
        <v>45798</v>
      </c>
      <c r="C11874" s="1" t="n">
        <v>46145</v>
      </c>
      <c r="D11874" t="inlineStr">
        <is>
          <t>VÄSTERBOTTENS LÄN</t>
        </is>
      </c>
      <c r="E11874" t="inlineStr">
        <is>
          <t>ROBERTSFORS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24346-2025</t>
        </is>
      </c>
      <c r="B11875" s="1" t="n">
        <v>45797.58045138889</v>
      </c>
      <c r="C11875" s="1" t="n">
        <v>46145</v>
      </c>
      <c r="D11875" t="inlineStr">
        <is>
          <t>VÄSTERBOTTENS LÄN</t>
        </is>
      </c>
      <c r="E11875" t="inlineStr">
        <is>
          <t>VÄNNÄS</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24654-2025</t>
        </is>
      </c>
      <c r="B11876" s="1" t="n">
        <v>45798</v>
      </c>
      <c r="C11876" s="1" t="n">
        <v>46145</v>
      </c>
      <c r="D11876" t="inlineStr">
        <is>
          <t>VÄSTERBOTTENS LÄN</t>
        </is>
      </c>
      <c r="E11876" t="inlineStr">
        <is>
          <t>ÅSELE</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24681-2025</t>
        </is>
      </c>
      <c r="B11877" s="1" t="n">
        <v>45798</v>
      </c>
      <c r="C11877" s="1" t="n">
        <v>46145</v>
      </c>
      <c r="D11877" t="inlineStr">
        <is>
          <t>VÄSTERBOTTENS LÄN</t>
        </is>
      </c>
      <c r="E11877" t="inlineStr">
        <is>
          <t>MALÅ</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24342-2025</t>
        </is>
      </c>
      <c r="B11878" s="1" t="n">
        <v>45797.57418981481</v>
      </c>
      <c r="C11878" s="1" t="n">
        <v>46145</v>
      </c>
      <c r="D11878" t="inlineStr">
        <is>
          <t>VÄSTERBOTTENS LÄN</t>
        </is>
      </c>
      <c r="E11878" t="inlineStr">
        <is>
          <t>VÄNNÄS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47797-2021</t>
        </is>
      </c>
      <c r="B11879" s="1" t="n">
        <v>44448</v>
      </c>
      <c r="C11879" s="1" t="n">
        <v>46145</v>
      </c>
      <c r="D11879" t="inlineStr">
        <is>
          <t>VÄSTERBOTTENS LÄN</t>
        </is>
      </c>
      <c r="E11879" t="inlineStr">
        <is>
          <t>MALÅ</t>
        </is>
      </c>
      <c r="F11879" t="inlineStr">
        <is>
          <t>Sveaskog</t>
        </is>
      </c>
      <c r="G11879" t="n">
        <v>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24205-2025</t>
        </is>
      </c>
      <c r="B11880" s="1" t="n">
        <v>45797.32711805555</v>
      </c>
      <c r="C11880" s="1" t="n">
        <v>46145</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24514-2025</t>
        </is>
      </c>
      <c r="B11881" s="1" t="n">
        <v>45798.40986111111</v>
      </c>
      <c r="C11881" s="1" t="n">
        <v>46145</v>
      </c>
      <c r="D11881" t="inlineStr">
        <is>
          <t>VÄSTERBOTTENS LÄN</t>
        </is>
      </c>
      <c r="E11881" t="inlineStr">
        <is>
          <t>LYCKSELE</t>
        </is>
      </c>
      <c r="F11881" t="inlineStr">
        <is>
          <t>Sveaskog</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24569-2025</t>
        </is>
      </c>
      <c r="B11882" s="1" t="n">
        <v>45798.46928240741</v>
      </c>
      <c r="C11882" s="1" t="n">
        <v>46145</v>
      </c>
      <c r="D11882" t="inlineStr">
        <is>
          <t>VÄSTERBOTTENS LÄN</t>
        </is>
      </c>
      <c r="E11882" t="inlineStr">
        <is>
          <t>SKELLEFTEÅ</t>
        </is>
      </c>
      <c r="G11882" t="n">
        <v>20.9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54893-2023</t>
        </is>
      </c>
      <c r="B11883" s="1" t="n">
        <v>45236.63934027778</v>
      </c>
      <c r="C11883" s="1" t="n">
        <v>46145</v>
      </c>
      <c r="D11883" t="inlineStr">
        <is>
          <t>VÄSTERBOTTENS LÄN</t>
        </is>
      </c>
      <c r="E11883" t="inlineStr">
        <is>
          <t>LYCKSELE</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24518-2025</t>
        </is>
      </c>
      <c r="B11884" s="1" t="n">
        <v>45798.41498842592</v>
      </c>
      <c r="C11884" s="1" t="n">
        <v>46145</v>
      </c>
      <c r="D11884" t="inlineStr">
        <is>
          <t>VÄSTERBOTTENS LÄN</t>
        </is>
      </c>
      <c r="E11884" t="inlineStr">
        <is>
          <t>LYCKSELE</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24261-2025</t>
        </is>
      </c>
      <c r="B11885" s="1" t="n">
        <v>45797</v>
      </c>
      <c r="C11885" s="1" t="n">
        <v>46145</v>
      </c>
      <c r="D11885" t="inlineStr">
        <is>
          <t>VÄSTERBOTTENS LÄN</t>
        </is>
      </c>
      <c r="E11885" t="inlineStr">
        <is>
          <t>SKELLEFTEÅ</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18168-2025</t>
        </is>
      </c>
      <c r="B11886" s="1" t="n">
        <v>45761.6440625</v>
      </c>
      <c r="C11886" s="1" t="n">
        <v>46145</v>
      </c>
      <c r="D11886" t="inlineStr">
        <is>
          <t>VÄSTERBOTTENS LÄN</t>
        </is>
      </c>
      <c r="E11886" t="inlineStr">
        <is>
          <t>ROBERTSFORS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24224-2025</t>
        </is>
      </c>
      <c r="B11887" s="1" t="n">
        <v>45797</v>
      </c>
      <c r="C11887" s="1" t="n">
        <v>46145</v>
      </c>
      <c r="D11887" t="inlineStr">
        <is>
          <t>VÄSTERBOTTENS LÄN</t>
        </is>
      </c>
      <c r="E11887" t="inlineStr">
        <is>
          <t>VILHELMINA</t>
        </is>
      </c>
      <c r="G11887" t="n">
        <v>27.2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25341-2025</t>
        </is>
      </c>
      <c r="B11888" s="1" t="n">
        <v>45800.60171296296</v>
      </c>
      <c r="C11888" s="1" t="n">
        <v>46145</v>
      </c>
      <c r="D11888" t="inlineStr">
        <is>
          <t>VÄSTERBOTTENS LÄN</t>
        </is>
      </c>
      <c r="E11888" t="inlineStr">
        <is>
          <t>ROBERTSFORS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25377-2025</t>
        </is>
      </c>
      <c r="B11889" s="1" t="n">
        <v>45800.63631944444</v>
      </c>
      <c r="C11889" s="1" t="n">
        <v>46145</v>
      </c>
      <c r="D11889" t="inlineStr">
        <is>
          <t>VÄSTERBOTTENS LÄN</t>
        </is>
      </c>
      <c r="E11889" t="inlineStr">
        <is>
          <t>ÅSELE</t>
        </is>
      </c>
      <c r="F11889" t="inlineStr">
        <is>
          <t>SCA</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24925-2025</t>
        </is>
      </c>
      <c r="B11890" s="1" t="n">
        <v>45799.55289351852</v>
      </c>
      <c r="C11890" s="1" t="n">
        <v>46145</v>
      </c>
      <c r="D11890" t="inlineStr">
        <is>
          <t>VÄSTERBOTTENS LÄN</t>
        </is>
      </c>
      <c r="E11890" t="inlineStr">
        <is>
          <t>MALÅ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25310-2025</t>
        </is>
      </c>
      <c r="B11891" s="1" t="n">
        <v>45800.57395833333</v>
      </c>
      <c r="C11891" s="1" t="n">
        <v>46145</v>
      </c>
      <c r="D11891" t="inlineStr">
        <is>
          <t>VÄSTERBOTTENS LÄN</t>
        </is>
      </c>
      <c r="E11891" t="inlineStr">
        <is>
          <t>DOROTEA</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25333-2025</t>
        </is>
      </c>
      <c r="B11892" s="1" t="n">
        <v>45800.59549768519</v>
      </c>
      <c r="C11892" s="1" t="n">
        <v>46145</v>
      </c>
      <c r="D11892" t="inlineStr">
        <is>
          <t>VÄSTERBOTTENS LÄN</t>
        </is>
      </c>
      <c r="E11892" t="inlineStr">
        <is>
          <t>ROBERTSFORS</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24932-2025</t>
        </is>
      </c>
      <c r="B11893" s="1" t="n">
        <v>45799.55607638889</v>
      </c>
      <c r="C11893" s="1" t="n">
        <v>46145</v>
      </c>
      <c r="D11893" t="inlineStr">
        <is>
          <t>VÄSTERBOTTENS LÄN</t>
        </is>
      </c>
      <c r="E11893" t="inlineStr">
        <is>
          <t>NORSJÖ</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25206-2025</t>
        </is>
      </c>
      <c r="B11894" s="1" t="n">
        <v>45800.46908564815</v>
      </c>
      <c r="C11894" s="1" t="n">
        <v>46145</v>
      </c>
      <c r="D11894" t="inlineStr">
        <is>
          <t>VÄSTERBOTTENS LÄN</t>
        </is>
      </c>
      <c r="E11894" t="inlineStr">
        <is>
          <t>VÄNNÄS</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25018-2025</t>
        </is>
      </c>
      <c r="B11895" s="1" t="n">
        <v>45799.6438425926</v>
      </c>
      <c r="C11895" s="1" t="n">
        <v>46145</v>
      </c>
      <c r="D11895" t="inlineStr">
        <is>
          <t>VÄSTERBOTTENS LÄN</t>
        </is>
      </c>
      <c r="E11895" t="inlineStr">
        <is>
          <t>NORDMALING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24727-2025</t>
        </is>
      </c>
      <c r="B11896" s="1" t="n">
        <v>45799.33260416667</v>
      </c>
      <c r="C11896" s="1" t="n">
        <v>46145</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24785-2025</t>
        </is>
      </c>
      <c r="B11897" s="1" t="n">
        <v>45799</v>
      </c>
      <c r="C11897" s="1" t="n">
        <v>46145</v>
      </c>
      <c r="D11897" t="inlineStr">
        <is>
          <t>VÄSTERBOTTENS LÄN</t>
        </is>
      </c>
      <c r="E11897" t="inlineStr">
        <is>
          <t>DOROTEA</t>
        </is>
      </c>
      <c r="F11897" t="inlineStr">
        <is>
          <t>SCA</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24805-2025</t>
        </is>
      </c>
      <c r="B11898" s="1" t="n">
        <v>45799.4409375</v>
      </c>
      <c r="C11898" s="1" t="n">
        <v>46145</v>
      </c>
      <c r="D11898" t="inlineStr">
        <is>
          <t>VÄSTERBOTTENS LÄN</t>
        </is>
      </c>
      <c r="E11898" t="inlineStr">
        <is>
          <t>VÄNNÄS</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25137-2025</t>
        </is>
      </c>
      <c r="B11899" s="1" t="n">
        <v>45800.39288194444</v>
      </c>
      <c r="C11899" s="1" t="n">
        <v>46145</v>
      </c>
      <c r="D11899" t="inlineStr">
        <is>
          <t>VÄSTERBOTTENS LÄN</t>
        </is>
      </c>
      <c r="E11899" t="inlineStr">
        <is>
          <t>NORDMALING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24729-2025</t>
        </is>
      </c>
      <c r="B11900" s="1" t="n">
        <v>45799.34076388889</v>
      </c>
      <c r="C11900" s="1" t="n">
        <v>46145</v>
      </c>
      <c r="D11900" t="inlineStr">
        <is>
          <t>VÄSTERBOTTENS LÄN</t>
        </is>
      </c>
      <c r="E11900" t="inlineStr">
        <is>
          <t>LYCKSELE</t>
        </is>
      </c>
      <c r="F11900" t="inlineStr">
        <is>
          <t>Holmen skog AB</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24756-2025</t>
        </is>
      </c>
      <c r="B11901" s="1" t="n">
        <v>45799.37510416667</v>
      </c>
      <c r="C11901" s="1" t="n">
        <v>46145</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25356-2025</t>
        </is>
      </c>
      <c r="B11902" s="1" t="n">
        <v>45800.61635416667</v>
      </c>
      <c r="C11902" s="1" t="n">
        <v>46145</v>
      </c>
      <c r="D11902" t="inlineStr">
        <is>
          <t>VÄSTERBOTTENS LÄN</t>
        </is>
      </c>
      <c r="E11902" t="inlineStr">
        <is>
          <t>DOROTEA</t>
        </is>
      </c>
      <c r="F11902" t="inlineStr">
        <is>
          <t>SCA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25061-2025</t>
        </is>
      </c>
      <c r="B11903" s="1" t="n">
        <v>45799.69825231482</v>
      </c>
      <c r="C11903" s="1" t="n">
        <v>46145</v>
      </c>
      <c r="D11903" t="inlineStr">
        <is>
          <t>VÄSTERBOTTENS LÄN</t>
        </is>
      </c>
      <c r="E11903" t="inlineStr">
        <is>
          <t>LYCKSELE</t>
        </is>
      </c>
      <c r="F11903" t="inlineStr">
        <is>
          <t>SCA</t>
        </is>
      </c>
      <c r="G11903" t="n">
        <v>13.7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59640-2024</t>
        </is>
      </c>
      <c r="B11904" s="1" t="n">
        <v>45639.30232638889</v>
      </c>
      <c r="C11904" s="1" t="n">
        <v>46145</v>
      </c>
      <c r="D11904" t="inlineStr">
        <is>
          <t>VÄSTERBOTTENS LÄN</t>
        </is>
      </c>
      <c r="E11904" t="inlineStr">
        <is>
          <t>SKELLEFTEÅ</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24906-2025</t>
        </is>
      </c>
      <c r="B11905" s="1" t="n">
        <v>45799.5315162037</v>
      </c>
      <c r="C11905" s="1" t="n">
        <v>46145</v>
      </c>
      <c r="D11905" t="inlineStr">
        <is>
          <t>VÄSTERBOTTENS LÄN</t>
        </is>
      </c>
      <c r="E11905" t="inlineStr">
        <is>
          <t>LYCKSELE</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24930-2025</t>
        </is>
      </c>
      <c r="B11906" s="1" t="n">
        <v>45799.55508101852</v>
      </c>
      <c r="C11906" s="1" t="n">
        <v>46145</v>
      </c>
      <c r="D11906" t="inlineStr">
        <is>
          <t>VÄSTERBOTTENS LÄN</t>
        </is>
      </c>
      <c r="E11906" t="inlineStr">
        <is>
          <t>NORSJÖ</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29375-2023</t>
        </is>
      </c>
      <c r="B11907" s="1" t="n">
        <v>45098</v>
      </c>
      <c r="C11907" s="1" t="n">
        <v>46145</v>
      </c>
      <c r="D11907" t="inlineStr">
        <is>
          <t>VÄSTERBOTTENS LÄN</t>
        </is>
      </c>
      <c r="E11907" t="inlineStr">
        <is>
          <t>MALÅ</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17587-2024</t>
        </is>
      </c>
      <c r="B11908" s="1" t="n">
        <v>45415.94033564815</v>
      </c>
      <c r="C11908" s="1" t="n">
        <v>46145</v>
      </c>
      <c r="D11908" t="inlineStr">
        <is>
          <t>VÄSTERBOTTENS LÄN</t>
        </is>
      </c>
      <c r="E11908" t="inlineStr">
        <is>
          <t>VILHELMINA</t>
        </is>
      </c>
      <c r="F11908" t="inlineStr">
        <is>
          <t>SCA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25201-2025</t>
        </is>
      </c>
      <c r="B11909" s="1" t="n">
        <v>45800.4647337963</v>
      </c>
      <c r="C11909" s="1" t="n">
        <v>46145</v>
      </c>
      <c r="D11909" t="inlineStr">
        <is>
          <t>VÄSTERBOTTENS LÄN</t>
        </is>
      </c>
      <c r="E11909" t="inlineStr">
        <is>
          <t>ROBERTSFORS</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25688-2025</t>
        </is>
      </c>
      <c r="B11910" s="1" t="n">
        <v>45800</v>
      </c>
      <c r="C11910" s="1" t="n">
        <v>46145</v>
      </c>
      <c r="D11910" t="inlineStr">
        <is>
          <t>VÄSTERBOTTENS LÄN</t>
        </is>
      </c>
      <c r="E11910" t="inlineStr">
        <is>
          <t>SKELLEFTEÅ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25403-2025</t>
        </is>
      </c>
      <c r="B11911" s="1" t="n">
        <v>45800.65652777778</v>
      </c>
      <c r="C11911" s="1" t="n">
        <v>46145</v>
      </c>
      <c r="D11911" t="inlineStr">
        <is>
          <t>VÄSTERBOTTENS LÄN</t>
        </is>
      </c>
      <c r="E11911" t="inlineStr">
        <is>
          <t>SKELLEFTEÅ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25405-2025</t>
        </is>
      </c>
      <c r="B11912" s="1" t="n">
        <v>45800.65744212963</v>
      </c>
      <c r="C11912" s="1" t="n">
        <v>46145</v>
      </c>
      <c r="D11912" t="inlineStr">
        <is>
          <t>VÄSTERBOTTENS LÄN</t>
        </is>
      </c>
      <c r="E11912" t="inlineStr">
        <is>
          <t>BJURHOLM</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25417-2025</t>
        </is>
      </c>
      <c r="B11913" s="1" t="n">
        <v>45800.67762731481</v>
      </c>
      <c r="C11913" s="1" t="n">
        <v>46145</v>
      </c>
      <c r="D11913" t="inlineStr">
        <is>
          <t>VÄSTERBOTTENS LÄN</t>
        </is>
      </c>
      <c r="E11913" t="inlineStr">
        <is>
          <t>ÅSELE</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25046-2025</t>
        </is>
      </c>
      <c r="B11914" s="1" t="n">
        <v>45799.6671412037</v>
      </c>
      <c r="C11914" s="1" t="n">
        <v>46145</v>
      </c>
      <c r="D11914" t="inlineStr">
        <is>
          <t>VÄSTERBOTTENS LÄN</t>
        </is>
      </c>
      <c r="E11914" t="inlineStr">
        <is>
          <t>SKELLEFTEÅ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40676-2024</t>
        </is>
      </c>
      <c r="B11915" s="1" t="n">
        <v>45558.36774305555</v>
      </c>
      <c r="C11915" s="1" t="n">
        <v>46145</v>
      </c>
      <c r="D11915" t="inlineStr">
        <is>
          <t>VÄSTERBOTTENS LÄN</t>
        </is>
      </c>
      <c r="E11915" t="inlineStr">
        <is>
          <t>STORUMAN</t>
        </is>
      </c>
      <c r="F11915" t="inlineStr">
        <is>
          <t>Holmen skog AB</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25416-2025</t>
        </is>
      </c>
      <c r="B11916" s="1" t="n">
        <v>45800.67747685185</v>
      </c>
      <c r="C11916" s="1" t="n">
        <v>46145</v>
      </c>
      <c r="D11916" t="inlineStr">
        <is>
          <t>VÄSTERBOTTENS LÄN</t>
        </is>
      </c>
      <c r="E11916" t="inlineStr">
        <is>
          <t>DOROTEA</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25162-2025</t>
        </is>
      </c>
      <c r="B11917" s="1" t="n">
        <v>45800.43075231482</v>
      </c>
      <c r="C11917" s="1" t="n">
        <v>46145</v>
      </c>
      <c r="D11917" t="inlineStr">
        <is>
          <t>VÄSTERBOTTENS LÄN</t>
        </is>
      </c>
      <c r="E11917" t="inlineStr">
        <is>
          <t>NORDMALING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25411-2025</t>
        </is>
      </c>
      <c r="B11918" s="1" t="n">
        <v>45800.66145833334</v>
      </c>
      <c r="C11918" s="1" t="n">
        <v>46145</v>
      </c>
      <c r="D11918" t="inlineStr">
        <is>
          <t>VÄSTERBOTTENS LÄN</t>
        </is>
      </c>
      <c r="E11918" t="inlineStr">
        <is>
          <t>ÅSELE</t>
        </is>
      </c>
      <c r="F11918" t="inlineStr">
        <is>
          <t>Sveaskog</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24762-2025</t>
        </is>
      </c>
      <c r="B11919" s="1" t="n">
        <v>45799.38585648148</v>
      </c>
      <c r="C11919" s="1" t="n">
        <v>46145</v>
      </c>
      <c r="D11919" t="inlineStr">
        <is>
          <t>VÄSTERBOTTENS LÄN</t>
        </is>
      </c>
      <c r="E11919" t="inlineStr">
        <is>
          <t>ÅSELE</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24770-2025</t>
        </is>
      </c>
      <c r="B11920" s="1" t="n">
        <v>45799.39927083333</v>
      </c>
      <c r="C11920" s="1" t="n">
        <v>46145</v>
      </c>
      <c r="D11920" t="inlineStr">
        <is>
          <t>VÄSTERBOTTENS LÄN</t>
        </is>
      </c>
      <c r="E11920" t="inlineStr">
        <is>
          <t>LYCKSELE</t>
        </is>
      </c>
      <c r="F11920" t="inlineStr">
        <is>
          <t>Holmen skog AB</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24870-2025</t>
        </is>
      </c>
      <c r="B11921" s="1" t="n">
        <v>45799.49025462963</v>
      </c>
      <c r="C11921" s="1" t="n">
        <v>46145</v>
      </c>
      <c r="D11921" t="inlineStr">
        <is>
          <t>VÄSTERBOTTENS LÄN</t>
        </is>
      </c>
      <c r="E11921" t="inlineStr">
        <is>
          <t>VILHELMINA</t>
        </is>
      </c>
      <c r="F11921" t="inlineStr">
        <is>
          <t>SCA</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24873-2025</t>
        </is>
      </c>
      <c r="B11922" s="1" t="n">
        <v>45799</v>
      </c>
      <c r="C11922" s="1" t="n">
        <v>46145</v>
      </c>
      <c r="D11922" t="inlineStr">
        <is>
          <t>VÄSTERBOTTENS LÄN</t>
        </is>
      </c>
      <c r="E11922" t="inlineStr">
        <is>
          <t>DOROTEA</t>
        </is>
      </c>
      <c r="F11922" t="inlineStr">
        <is>
          <t>SCA</t>
        </is>
      </c>
      <c r="G11922" t="n">
        <v>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24780-2025</t>
        </is>
      </c>
      <c r="B11923" s="1" t="n">
        <v>45799</v>
      </c>
      <c r="C11923" s="1" t="n">
        <v>46145</v>
      </c>
      <c r="D11923" t="inlineStr">
        <is>
          <t>VÄSTERBOTTENS LÄN</t>
        </is>
      </c>
      <c r="E11923" t="inlineStr">
        <is>
          <t>UMEÅ</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25205-2025</t>
        </is>
      </c>
      <c r="B11924" s="1" t="n">
        <v>45800.46907407408</v>
      </c>
      <c r="C11924" s="1" t="n">
        <v>46145</v>
      </c>
      <c r="D11924" t="inlineStr">
        <is>
          <t>VÄSTERBOTTENS LÄN</t>
        </is>
      </c>
      <c r="E11924" t="inlineStr">
        <is>
          <t>VÄNNÄS</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25239-2025</t>
        </is>
      </c>
      <c r="B11925" s="1" t="n">
        <v>45800</v>
      </c>
      <c r="C11925" s="1" t="n">
        <v>46145</v>
      </c>
      <c r="D11925" t="inlineStr">
        <is>
          <t>VÄSTERBOTTENS LÄN</t>
        </is>
      </c>
      <c r="E11925" t="inlineStr">
        <is>
          <t>VILHELMINA</t>
        </is>
      </c>
      <c r="F11925" t="inlineStr">
        <is>
          <t>SCA</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24728-2025</t>
        </is>
      </c>
      <c r="B11926" s="1" t="n">
        <v>45799</v>
      </c>
      <c r="C11926" s="1" t="n">
        <v>46145</v>
      </c>
      <c r="D11926" t="inlineStr">
        <is>
          <t>VÄSTERBOTTENS LÄN</t>
        </is>
      </c>
      <c r="E11926" t="inlineStr">
        <is>
          <t>SKELLEFTEÅ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25309-2025</t>
        </is>
      </c>
      <c r="B11927" s="1" t="n">
        <v>45800.57380787037</v>
      </c>
      <c r="C11927" s="1" t="n">
        <v>46145</v>
      </c>
      <c r="D11927" t="inlineStr">
        <is>
          <t>VÄSTERBOTTENS LÄN</t>
        </is>
      </c>
      <c r="E11927" t="inlineStr">
        <is>
          <t>VILHELMINA</t>
        </is>
      </c>
      <c r="F11927" t="inlineStr">
        <is>
          <t>SCA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25131-2025</t>
        </is>
      </c>
      <c r="B11928" s="1" t="n">
        <v>45800.38581018519</v>
      </c>
      <c r="C11928" s="1" t="n">
        <v>46145</v>
      </c>
      <c r="D11928" t="inlineStr">
        <is>
          <t>VÄSTERBOTTENS LÄN</t>
        </is>
      </c>
      <c r="E11928" t="inlineStr">
        <is>
          <t>DOROTEA</t>
        </is>
      </c>
      <c r="F11928" t="inlineStr">
        <is>
          <t>SCA</t>
        </is>
      </c>
      <c r="G11928" t="n">
        <v>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24935-2025</t>
        </is>
      </c>
      <c r="B11929" s="1" t="n">
        <v>45799.55739583333</v>
      </c>
      <c r="C11929" s="1" t="n">
        <v>46145</v>
      </c>
      <c r="D11929" t="inlineStr">
        <is>
          <t>VÄSTERBOTTENS LÄN</t>
        </is>
      </c>
      <c r="E11929" t="inlineStr">
        <is>
          <t>NORSJÖ</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25373-2025</t>
        </is>
      </c>
      <c r="B11930" s="1" t="n">
        <v>45800.63518518519</v>
      </c>
      <c r="C11930" s="1" t="n">
        <v>46145</v>
      </c>
      <c r="D11930" t="inlineStr">
        <is>
          <t>VÄSTERBOTTENS LÄN</t>
        </is>
      </c>
      <c r="E11930" t="inlineStr">
        <is>
          <t>ROBERTSFORS</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25394-2025</t>
        </is>
      </c>
      <c r="B11931" s="1" t="n">
        <v>45800.64912037037</v>
      </c>
      <c r="C11931" s="1" t="n">
        <v>46145</v>
      </c>
      <c r="D11931" t="inlineStr">
        <is>
          <t>VÄSTERBOTTENS LÄN</t>
        </is>
      </c>
      <c r="E11931" t="inlineStr">
        <is>
          <t>ÅSELE</t>
        </is>
      </c>
      <c r="F11931" t="inlineStr">
        <is>
          <t>Sveaskog</t>
        </is>
      </c>
      <c r="G11931" t="n">
        <v>10.9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14089-2023</t>
        </is>
      </c>
      <c r="B11932" s="1" t="n">
        <v>45009.33761574074</v>
      </c>
      <c r="C11932" s="1" t="n">
        <v>46145</v>
      </c>
      <c r="D11932" t="inlineStr">
        <is>
          <t>VÄSTERBOTTENS LÄN</t>
        </is>
      </c>
      <c r="E11932" t="inlineStr">
        <is>
          <t>SKELLEFTEÅ</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12842-2025</t>
        </is>
      </c>
      <c r="B11933" s="1" t="n">
        <v>45733.64532407407</v>
      </c>
      <c r="C11933" s="1" t="n">
        <v>46145</v>
      </c>
      <c r="D11933" t="inlineStr">
        <is>
          <t>VÄSTERBOTTENS LÄN</t>
        </is>
      </c>
      <c r="E11933" t="inlineStr">
        <is>
          <t>SKELLEFTEÅ</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46318-2022</t>
        </is>
      </c>
      <c r="B11934" s="1" t="n">
        <v>44847</v>
      </c>
      <c r="C11934" s="1" t="n">
        <v>46145</v>
      </c>
      <c r="D11934" t="inlineStr">
        <is>
          <t>VÄSTERBOTTENS LÄN</t>
        </is>
      </c>
      <c r="E11934" t="inlineStr">
        <is>
          <t>VILHELMINA</t>
        </is>
      </c>
      <c r="G11934" t="n">
        <v>11.7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24858-2025</t>
        </is>
      </c>
      <c r="B11935" s="1" t="n">
        <v>45799.47877314815</v>
      </c>
      <c r="C11935" s="1" t="n">
        <v>46145</v>
      </c>
      <c r="D11935" t="inlineStr">
        <is>
          <t>VÄSTERBOTTENS LÄN</t>
        </is>
      </c>
      <c r="E11935" t="inlineStr">
        <is>
          <t>SKELLEFTEÅ</t>
        </is>
      </c>
      <c r="F11935" t="inlineStr">
        <is>
          <t>Holmen skog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24868-2025</t>
        </is>
      </c>
      <c r="B11936" s="1" t="n">
        <v>45799.48819444444</v>
      </c>
      <c r="C11936" s="1" t="n">
        <v>46145</v>
      </c>
      <c r="D11936" t="inlineStr">
        <is>
          <t>VÄSTERBOTTENS LÄN</t>
        </is>
      </c>
      <c r="E11936" t="inlineStr">
        <is>
          <t>VÄNNÄS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24871-2025</t>
        </is>
      </c>
      <c r="B11937" s="1" t="n">
        <v>45799.49028935185</v>
      </c>
      <c r="C11937" s="1" t="n">
        <v>46145</v>
      </c>
      <c r="D11937" t="inlineStr">
        <is>
          <t>VÄSTERBOTTENS LÄN</t>
        </is>
      </c>
      <c r="E11937" t="inlineStr">
        <is>
          <t>VILHELMINA</t>
        </is>
      </c>
      <c r="F11937" t="inlineStr">
        <is>
          <t>SCA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24891-2025</t>
        </is>
      </c>
      <c r="B11938" s="1" t="n">
        <v>45799.51130787037</v>
      </c>
      <c r="C11938" s="1" t="n">
        <v>46145</v>
      </c>
      <c r="D11938" t="inlineStr">
        <is>
          <t>VÄSTERBOTTENS LÄN</t>
        </is>
      </c>
      <c r="E11938" t="inlineStr">
        <is>
          <t>NORSJÖ</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24924-2025</t>
        </is>
      </c>
      <c r="B11939" s="1" t="n">
        <v>45799.55288194444</v>
      </c>
      <c r="C11939" s="1" t="n">
        <v>46145</v>
      </c>
      <c r="D11939" t="inlineStr">
        <is>
          <t>VÄSTERBOTTENS LÄN</t>
        </is>
      </c>
      <c r="E11939" t="inlineStr">
        <is>
          <t>MALÅ</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24951-2025</t>
        </is>
      </c>
      <c r="B11940" s="1" t="n">
        <v>45799.56951388889</v>
      </c>
      <c r="C11940" s="1" t="n">
        <v>46145</v>
      </c>
      <c r="D11940" t="inlineStr">
        <is>
          <t>VÄSTERBOTTENS LÄN</t>
        </is>
      </c>
      <c r="E11940" t="inlineStr">
        <is>
          <t>LYCKSELE</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60134-2024</t>
        </is>
      </c>
      <c r="B11941" s="1" t="n">
        <v>45642.60092592592</v>
      </c>
      <c r="C11941" s="1" t="n">
        <v>46145</v>
      </c>
      <c r="D11941" t="inlineStr">
        <is>
          <t>VÄSTERBOTTENS LÄN</t>
        </is>
      </c>
      <c r="E11941" t="inlineStr">
        <is>
          <t>SKELLEFTEÅ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24812-2025</t>
        </is>
      </c>
      <c r="B11942" s="1" t="n">
        <v>45799.44790509259</v>
      </c>
      <c r="C11942" s="1" t="n">
        <v>46145</v>
      </c>
      <c r="D11942" t="inlineStr">
        <is>
          <t>VÄSTERBOTTENS LÄN</t>
        </is>
      </c>
      <c r="E11942" t="inlineStr">
        <is>
          <t>VÄNNÄS</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24829-2025</t>
        </is>
      </c>
      <c r="B11943" s="1" t="n">
        <v>45799.45777777778</v>
      </c>
      <c r="C11943" s="1" t="n">
        <v>46145</v>
      </c>
      <c r="D11943" t="inlineStr">
        <is>
          <t>VÄSTERBOTTENS LÄN</t>
        </is>
      </c>
      <c r="E11943" t="inlineStr">
        <is>
          <t>SKELLEFTEÅ</t>
        </is>
      </c>
      <c r="F11943" t="inlineStr">
        <is>
          <t>Holmen skog AB</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24856-2025</t>
        </is>
      </c>
      <c r="B11944" s="1" t="n">
        <v>45799.47508101852</v>
      </c>
      <c r="C11944" s="1" t="n">
        <v>46145</v>
      </c>
      <c r="D11944" t="inlineStr">
        <is>
          <t>VÄSTERBOTTENS LÄN</t>
        </is>
      </c>
      <c r="E11944" t="inlineStr">
        <is>
          <t>VÄNNÄS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42423-2024</t>
        </is>
      </c>
      <c r="B11945" s="1" t="n">
        <v>45565.39368055556</v>
      </c>
      <c r="C11945" s="1" t="n">
        <v>46145</v>
      </c>
      <c r="D11945" t="inlineStr">
        <is>
          <t>VÄSTERBOTTENS LÄN</t>
        </is>
      </c>
      <c r="E11945" t="inlineStr">
        <is>
          <t>STORUMAN</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25062-2025</t>
        </is>
      </c>
      <c r="B11946" s="1" t="n">
        <v>45799.69844907407</v>
      </c>
      <c r="C11946" s="1" t="n">
        <v>46145</v>
      </c>
      <c r="D11946" t="inlineStr">
        <is>
          <t>VÄSTERBOTTENS LÄN</t>
        </is>
      </c>
      <c r="E11946" t="inlineStr">
        <is>
          <t>VILHELMINA</t>
        </is>
      </c>
      <c r="F11946" t="inlineStr">
        <is>
          <t>SCA</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25043-2025</t>
        </is>
      </c>
      <c r="B11947" s="1" t="n">
        <v>45799.66578703704</v>
      </c>
      <c r="C11947" s="1" t="n">
        <v>46145</v>
      </c>
      <c r="D11947" t="inlineStr">
        <is>
          <t>VÄSTERBOTTENS LÄN</t>
        </is>
      </c>
      <c r="E11947" t="inlineStr">
        <is>
          <t>NORDMALING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24846-2025</t>
        </is>
      </c>
      <c r="B11948" s="1" t="n">
        <v>45799.46851851852</v>
      </c>
      <c r="C11948" s="1" t="n">
        <v>46145</v>
      </c>
      <c r="D11948" t="inlineStr">
        <is>
          <t>VÄSTERBOTTENS LÄN</t>
        </is>
      </c>
      <c r="E11948" t="inlineStr">
        <is>
          <t>VÄNNÄS</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25100-2025</t>
        </is>
      </c>
      <c r="B11949" s="1" t="n">
        <v>45800.34435185185</v>
      </c>
      <c r="C11949" s="1" t="n">
        <v>46145</v>
      </c>
      <c r="D11949" t="inlineStr">
        <is>
          <t>VÄSTERBOTTENS LÄN</t>
        </is>
      </c>
      <c r="E11949" t="inlineStr">
        <is>
          <t>BJURHOLM</t>
        </is>
      </c>
      <c r="F11949" t="inlineStr">
        <is>
          <t>SCA</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24744-2025</t>
        </is>
      </c>
      <c r="B11950" s="1" t="n">
        <v>45799</v>
      </c>
      <c r="C11950" s="1" t="n">
        <v>46145</v>
      </c>
      <c r="D11950" t="inlineStr">
        <is>
          <t>VÄSTERBOTTENS LÄN</t>
        </is>
      </c>
      <c r="E11950" t="inlineStr">
        <is>
          <t>ÅSELE</t>
        </is>
      </c>
      <c r="F11950" t="inlineStr">
        <is>
          <t>SCA</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25074-2025</t>
        </is>
      </c>
      <c r="B11951" s="1" t="n">
        <v>45799.80739583333</v>
      </c>
      <c r="C11951" s="1" t="n">
        <v>46145</v>
      </c>
      <c r="D11951" t="inlineStr">
        <is>
          <t>VÄSTERBOTTENS LÄN</t>
        </is>
      </c>
      <c r="E11951" t="inlineStr">
        <is>
          <t>NORDMALING</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24792-2025</t>
        </is>
      </c>
      <c r="B11952" s="1" t="n">
        <v>45799</v>
      </c>
      <c r="C11952" s="1" t="n">
        <v>46145</v>
      </c>
      <c r="D11952" t="inlineStr">
        <is>
          <t>VÄSTERBOTTENS LÄN</t>
        </is>
      </c>
      <c r="E11952" t="inlineStr">
        <is>
          <t>VÄNNÄS</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25581-2025</t>
        </is>
      </c>
      <c r="B11953" s="1" t="n">
        <v>45803.4812962963</v>
      </c>
      <c r="C11953" s="1" t="n">
        <v>46145</v>
      </c>
      <c r="D11953" t="inlineStr">
        <is>
          <t>VÄSTERBOTTENS LÄN</t>
        </is>
      </c>
      <c r="E11953" t="inlineStr">
        <is>
          <t>LYCKSELE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25617-2025</t>
        </is>
      </c>
      <c r="B11954" s="1" t="n">
        <v>45803.5733912037</v>
      </c>
      <c r="C11954" s="1" t="n">
        <v>46145</v>
      </c>
      <c r="D11954" t="inlineStr">
        <is>
          <t>VÄSTERBOTTENS LÄN</t>
        </is>
      </c>
      <c r="E11954" t="inlineStr">
        <is>
          <t>DOROTEA</t>
        </is>
      </c>
      <c r="F11954" t="inlineStr">
        <is>
          <t>SCA</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8233-2025</t>
        </is>
      </c>
      <c r="B11955" s="1" t="n">
        <v>45707</v>
      </c>
      <c r="C11955" s="1" t="n">
        <v>46145</v>
      </c>
      <c r="D11955" t="inlineStr">
        <is>
          <t>VÄSTERBOTTENS LÄN</t>
        </is>
      </c>
      <c r="E11955" t="inlineStr">
        <is>
          <t>SORSELE</t>
        </is>
      </c>
      <c r="G11955" t="n">
        <v>36.6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25590-2025</t>
        </is>
      </c>
      <c r="B11956" s="1" t="n">
        <v>45803.49502314815</v>
      </c>
      <c r="C11956" s="1" t="n">
        <v>46145</v>
      </c>
      <c r="D11956" t="inlineStr">
        <is>
          <t>VÄSTERBOTTENS LÄN</t>
        </is>
      </c>
      <c r="E11956" t="inlineStr">
        <is>
          <t>LYCKSELE</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25641-2025</t>
        </is>
      </c>
      <c r="B11957" s="1" t="n">
        <v>45803.60377314815</v>
      </c>
      <c r="C11957" s="1" t="n">
        <v>46145</v>
      </c>
      <c r="D11957" t="inlineStr">
        <is>
          <t>VÄSTERBOTTENS LÄN</t>
        </is>
      </c>
      <c r="E11957" t="inlineStr">
        <is>
          <t>SKELLEFTEÅ</t>
        </is>
      </c>
      <c r="F11957" t="inlineStr">
        <is>
          <t>Holmen skog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5641-2022</t>
        </is>
      </c>
      <c r="B11958" s="1" t="n">
        <v>44595.92319444445</v>
      </c>
      <c r="C11958" s="1" t="n">
        <v>46145</v>
      </c>
      <c r="D11958" t="inlineStr">
        <is>
          <t>VÄSTERBOTTENS LÄN</t>
        </is>
      </c>
      <c r="E11958" t="inlineStr">
        <is>
          <t>ÅSELE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25527-2025</t>
        </is>
      </c>
      <c r="B11959" s="1" t="n">
        <v>45803.38699074074</v>
      </c>
      <c r="C11959" s="1" t="n">
        <v>46145</v>
      </c>
      <c r="D11959" t="inlineStr">
        <is>
          <t>VÄSTERBOTTENS LÄN</t>
        </is>
      </c>
      <c r="E11959" t="inlineStr">
        <is>
          <t>SKELLEFTEÅ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25708-2025</t>
        </is>
      </c>
      <c r="B11960" s="1" t="n">
        <v>45803.68094907407</v>
      </c>
      <c r="C11960" s="1" t="n">
        <v>46145</v>
      </c>
      <c r="D11960" t="inlineStr">
        <is>
          <t>VÄSTERBOTTENS LÄN</t>
        </is>
      </c>
      <c r="E11960" t="inlineStr">
        <is>
          <t>VINDELN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25537-2025</t>
        </is>
      </c>
      <c r="B11961" s="1" t="n">
        <v>45803.41887731481</v>
      </c>
      <c r="C11961" s="1" t="n">
        <v>46145</v>
      </c>
      <c r="D11961" t="inlineStr">
        <is>
          <t>VÄSTERBOTTENS LÄN</t>
        </is>
      </c>
      <c r="E11961" t="inlineStr">
        <is>
          <t>LYCKSELE</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25542-2025</t>
        </is>
      </c>
      <c r="B11962" s="1" t="n">
        <v>45803.42774305555</v>
      </c>
      <c r="C11962" s="1" t="n">
        <v>46145</v>
      </c>
      <c r="D11962" t="inlineStr">
        <is>
          <t>VÄSTERBOTTENS LÄN</t>
        </is>
      </c>
      <c r="E11962" t="inlineStr">
        <is>
          <t>SKELLEFTEÅ</t>
        </is>
      </c>
      <c r="F11962" t="inlineStr">
        <is>
          <t>Holmen skog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25526-2025</t>
        </is>
      </c>
      <c r="B11963" s="1" t="n">
        <v>45803.38655092593</v>
      </c>
      <c r="C11963" s="1" t="n">
        <v>46145</v>
      </c>
      <c r="D11963" t="inlineStr">
        <is>
          <t>VÄSTERBOTTENS LÄN</t>
        </is>
      </c>
      <c r="E11963" t="inlineStr">
        <is>
          <t>SKELLEFTEÅ</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25603-2025</t>
        </is>
      </c>
      <c r="B11964" s="1" t="n">
        <v>45803.55256944444</v>
      </c>
      <c r="C11964" s="1" t="n">
        <v>46145</v>
      </c>
      <c r="D11964" t="inlineStr">
        <is>
          <t>VÄSTERBOTTENS LÄN</t>
        </is>
      </c>
      <c r="E11964" t="inlineStr">
        <is>
          <t>DOROTEA</t>
        </is>
      </c>
      <c r="F11964" t="inlineStr">
        <is>
          <t>SCA</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25606-2025</t>
        </is>
      </c>
      <c r="B11965" s="1" t="n">
        <v>45803.55297453704</v>
      </c>
      <c r="C11965" s="1" t="n">
        <v>46145</v>
      </c>
      <c r="D11965" t="inlineStr">
        <is>
          <t>VÄSTERBOTTENS LÄN</t>
        </is>
      </c>
      <c r="E11965" t="inlineStr">
        <is>
          <t>DOROTEA</t>
        </is>
      </c>
      <c r="F11965" t="inlineStr">
        <is>
          <t>SCA</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25801-2025</t>
        </is>
      </c>
      <c r="B11966" s="1" t="n">
        <v>45803</v>
      </c>
      <c r="C11966" s="1" t="n">
        <v>46145</v>
      </c>
      <c r="D11966" t="inlineStr">
        <is>
          <t>VÄSTERBOTTENS LÄN</t>
        </is>
      </c>
      <c r="E11966" t="inlineStr">
        <is>
          <t>SKELLEFTEÅ</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25804-2025</t>
        </is>
      </c>
      <c r="B11967" s="1" t="n">
        <v>45803</v>
      </c>
      <c r="C11967" s="1" t="n">
        <v>46145</v>
      </c>
      <c r="D11967" t="inlineStr">
        <is>
          <t>VÄSTERBOTTENS LÄN</t>
        </is>
      </c>
      <c r="E11967" t="inlineStr">
        <is>
          <t>SKELLEFTEÅ</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43080-2024</t>
        </is>
      </c>
      <c r="B11968" s="1" t="n">
        <v>45567.50909722222</v>
      </c>
      <c r="C11968" s="1" t="n">
        <v>46145</v>
      </c>
      <c r="D11968" t="inlineStr">
        <is>
          <t>VÄSTERBOTTENS LÄN</t>
        </is>
      </c>
      <c r="E11968" t="inlineStr">
        <is>
          <t>VINDELN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25773-2025</t>
        </is>
      </c>
      <c r="B11969" s="1" t="n">
        <v>45804.34528935186</v>
      </c>
      <c r="C11969" s="1" t="n">
        <v>46145</v>
      </c>
      <c r="D11969" t="inlineStr">
        <is>
          <t>VÄSTERBOTTENS LÄN</t>
        </is>
      </c>
      <c r="E11969" t="inlineStr">
        <is>
          <t>SKELLEFTEÅ</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25958-2025</t>
        </is>
      </c>
      <c r="B11970" s="1" t="n">
        <v>45804.60783564814</v>
      </c>
      <c r="C11970" s="1" t="n">
        <v>46145</v>
      </c>
      <c r="D11970" t="inlineStr">
        <is>
          <t>VÄSTERBOTTENS LÄN</t>
        </is>
      </c>
      <c r="E11970" t="inlineStr">
        <is>
          <t>SKELLEFTEÅ</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25524-2025</t>
        </is>
      </c>
      <c r="B11971" s="1" t="n">
        <v>45803.38644675926</v>
      </c>
      <c r="C11971" s="1" t="n">
        <v>46145</v>
      </c>
      <c r="D11971" t="inlineStr">
        <is>
          <t>VÄSTERBOTTENS LÄN</t>
        </is>
      </c>
      <c r="E11971" t="inlineStr">
        <is>
          <t>VILHELMINA</t>
        </is>
      </c>
      <c r="F11971" t="inlineStr">
        <is>
          <t>SCA</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25797-2025</t>
        </is>
      </c>
      <c r="B11972" s="1" t="n">
        <v>45804.3993287037</v>
      </c>
      <c r="C11972" s="1" t="n">
        <v>46145</v>
      </c>
      <c r="D11972" t="inlineStr">
        <is>
          <t>VÄSTERBOTTENS LÄN</t>
        </is>
      </c>
      <c r="E11972" t="inlineStr">
        <is>
          <t>STORUMAN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25838-2025</t>
        </is>
      </c>
      <c r="B11973" s="1" t="n">
        <v>45804.44883101852</v>
      </c>
      <c r="C11973" s="1" t="n">
        <v>46145</v>
      </c>
      <c r="D11973" t="inlineStr">
        <is>
          <t>VÄSTERBOTTENS LÄN</t>
        </is>
      </c>
      <c r="E11973" t="inlineStr">
        <is>
          <t>UMEÅ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25616-2025</t>
        </is>
      </c>
      <c r="B11974" s="1" t="n">
        <v>45803.56601851852</v>
      </c>
      <c r="C11974" s="1" t="n">
        <v>46145</v>
      </c>
      <c r="D11974" t="inlineStr">
        <is>
          <t>VÄSTERBOTTENS LÄN</t>
        </is>
      </c>
      <c r="E11974" t="inlineStr">
        <is>
          <t>LYCKSELE</t>
        </is>
      </c>
      <c r="F11974" t="inlineStr">
        <is>
          <t>Sveaskog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26049-2025</t>
        </is>
      </c>
      <c r="B11975" s="1" t="n">
        <v>45804.71578703704</v>
      </c>
      <c r="C11975" s="1" t="n">
        <v>46145</v>
      </c>
      <c r="D11975" t="inlineStr">
        <is>
          <t>VÄSTERBOTTENS LÄN</t>
        </is>
      </c>
      <c r="E11975" t="inlineStr">
        <is>
          <t>SKELLEFTEÅ</t>
        </is>
      </c>
      <c r="G11975" t="n">
        <v>12.5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25770-2025</t>
        </is>
      </c>
      <c r="B11976" s="1" t="n">
        <v>45804.3449537037</v>
      </c>
      <c r="C11976" s="1" t="n">
        <v>46145</v>
      </c>
      <c r="D11976" t="inlineStr">
        <is>
          <t>VÄSTERBOTTENS LÄN</t>
        </is>
      </c>
      <c r="E11976" t="inlineStr">
        <is>
          <t>VILHELMINA</t>
        </is>
      </c>
      <c r="F11976" t="inlineStr">
        <is>
          <t>SCA</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25579-2025</t>
        </is>
      </c>
      <c r="B11977" s="1" t="n">
        <v>45803.47896990741</v>
      </c>
      <c r="C11977" s="1" t="n">
        <v>46145</v>
      </c>
      <c r="D11977" t="inlineStr">
        <is>
          <t>VÄSTERBOTTENS LÄN</t>
        </is>
      </c>
      <c r="E11977" t="inlineStr">
        <is>
          <t>ROBERTSFORS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25605-2025</t>
        </is>
      </c>
      <c r="B11978" s="1" t="n">
        <v>45803.5528125</v>
      </c>
      <c r="C11978" s="1" t="n">
        <v>46145</v>
      </c>
      <c r="D11978" t="inlineStr">
        <is>
          <t>VÄSTERBOTTENS LÄN</t>
        </is>
      </c>
      <c r="E11978" t="inlineStr">
        <is>
          <t>DOROTEA</t>
        </is>
      </c>
      <c r="F11978" t="inlineStr">
        <is>
          <t>SCA</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58489-2023</t>
        </is>
      </c>
      <c r="B11979" s="1" t="n">
        <v>45251.33342592593</v>
      </c>
      <c r="C11979" s="1" t="n">
        <v>46145</v>
      </c>
      <c r="D11979" t="inlineStr">
        <is>
          <t>VÄSTERBOTTENS LÄN</t>
        </is>
      </c>
      <c r="E11979" t="inlineStr">
        <is>
          <t>BJURHOLM</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25573-2025</t>
        </is>
      </c>
      <c r="B11980" s="1" t="n">
        <v>45803.47020833333</v>
      </c>
      <c r="C11980" s="1" t="n">
        <v>46145</v>
      </c>
      <c r="D11980" t="inlineStr">
        <is>
          <t>VÄSTERBOTTENS LÄN</t>
        </is>
      </c>
      <c r="E11980" t="inlineStr">
        <is>
          <t>LYCKSELE</t>
        </is>
      </c>
      <c r="G11980" t="n">
        <v>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25577-2025</t>
        </is>
      </c>
      <c r="B11981" s="1" t="n">
        <v>45803.47759259259</v>
      </c>
      <c r="C11981" s="1" t="n">
        <v>46145</v>
      </c>
      <c r="D11981" t="inlineStr">
        <is>
          <t>VÄSTERBOTTENS LÄN</t>
        </is>
      </c>
      <c r="E11981" t="inlineStr">
        <is>
          <t>ROBERTSFORS</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25618-2025</t>
        </is>
      </c>
      <c r="B11982" s="1" t="n">
        <v>45803.57362268519</v>
      </c>
      <c r="C11982" s="1" t="n">
        <v>46145</v>
      </c>
      <c r="D11982" t="inlineStr">
        <is>
          <t>VÄSTERBOTTENS LÄN</t>
        </is>
      </c>
      <c r="E11982" t="inlineStr">
        <is>
          <t>LYCKSELE</t>
        </is>
      </c>
      <c r="F11982" t="inlineStr">
        <is>
          <t>SCA</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25676-2025</t>
        </is>
      </c>
      <c r="B11983" s="1" t="n">
        <v>45803.63585648148</v>
      </c>
      <c r="C11983" s="1" t="n">
        <v>46145</v>
      </c>
      <c r="D11983" t="inlineStr">
        <is>
          <t>VÄSTERBOTTENS LÄN</t>
        </is>
      </c>
      <c r="E11983" t="inlineStr">
        <is>
          <t>DOROTEA</t>
        </is>
      </c>
      <c r="F11983" t="inlineStr">
        <is>
          <t>SCA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25686-2025</t>
        </is>
      </c>
      <c r="B11984" s="1" t="n">
        <v>45803.65416666667</v>
      </c>
      <c r="C11984" s="1" t="n">
        <v>46145</v>
      </c>
      <c r="D11984" t="inlineStr">
        <is>
          <t>VÄSTERBOTTENS LÄN</t>
        </is>
      </c>
      <c r="E11984" t="inlineStr">
        <is>
          <t>VINDELN</t>
        </is>
      </c>
      <c r="F11984" t="inlineStr">
        <is>
          <t>Holmen skog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60339-2023</t>
        </is>
      </c>
      <c r="B11985" s="1" t="n">
        <v>45259</v>
      </c>
      <c r="C11985" s="1" t="n">
        <v>46145</v>
      </c>
      <c r="D11985" t="inlineStr">
        <is>
          <t>VÄSTERBOTTENS LÄN</t>
        </is>
      </c>
      <c r="E11985" t="inlineStr">
        <is>
          <t>SKELLEFTEÅ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25774-2025</t>
        </is>
      </c>
      <c r="B11986" s="1" t="n">
        <v>45804.34530092592</v>
      </c>
      <c r="C11986" s="1" t="n">
        <v>46145</v>
      </c>
      <c r="D11986" t="inlineStr">
        <is>
          <t>VÄSTERBOTTENS LÄN</t>
        </is>
      </c>
      <c r="E11986" t="inlineStr">
        <is>
          <t>SKELLEFTEÅ</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25655-2025</t>
        </is>
      </c>
      <c r="B11987" s="1" t="n">
        <v>45803.61508101852</v>
      </c>
      <c r="C11987" s="1" t="n">
        <v>46145</v>
      </c>
      <c r="D11987" t="inlineStr">
        <is>
          <t>VÄSTERBOTTENS LÄN</t>
        </is>
      </c>
      <c r="E11987" t="inlineStr">
        <is>
          <t>LYCKSELE</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28166-2023</t>
        </is>
      </c>
      <c r="B11988" s="1" t="n">
        <v>45096</v>
      </c>
      <c r="C11988" s="1" t="n">
        <v>46145</v>
      </c>
      <c r="D11988" t="inlineStr">
        <is>
          <t>VÄSTERBOTTENS LÄN</t>
        </is>
      </c>
      <c r="E11988" t="inlineStr">
        <is>
          <t>SKELLEFTEÅ</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60714-2022</t>
        </is>
      </c>
      <c r="B11989" s="1" t="n">
        <v>44912.69100694444</v>
      </c>
      <c r="C11989" s="1" t="n">
        <v>46145</v>
      </c>
      <c r="D11989" t="inlineStr">
        <is>
          <t>VÄSTERBOTTENS LÄN</t>
        </is>
      </c>
      <c r="E11989" t="inlineStr">
        <is>
          <t>LYCKSELE</t>
        </is>
      </c>
      <c r="F11989" t="inlineStr">
        <is>
          <t>Sveaskog</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26045-2025</t>
        </is>
      </c>
      <c r="B11990" s="1" t="n">
        <v>45804.70626157407</v>
      </c>
      <c r="C11990" s="1" t="n">
        <v>46145</v>
      </c>
      <c r="D11990" t="inlineStr">
        <is>
          <t>VÄSTERBOTTENS LÄN</t>
        </is>
      </c>
      <c r="E11990" t="inlineStr">
        <is>
          <t>SKELLEFTEÅ</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25942-2025</t>
        </is>
      </c>
      <c r="B11991" s="1" t="n">
        <v>45804.59461805555</v>
      </c>
      <c r="C11991" s="1" t="n">
        <v>46145</v>
      </c>
      <c r="D11991" t="inlineStr">
        <is>
          <t>VÄSTERBOTTENS LÄN</t>
        </is>
      </c>
      <c r="E11991" t="inlineStr">
        <is>
          <t>VILHELMINA</t>
        </is>
      </c>
      <c r="F11991" t="inlineStr">
        <is>
          <t>SCA</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25657-2025</t>
        </is>
      </c>
      <c r="B11992" s="1" t="n">
        <v>45803.61543981481</v>
      </c>
      <c r="C11992" s="1" t="n">
        <v>46145</v>
      </c>
      <c r="D11992" t="inlineStr">
        <is>
          <t>VÄSTERBOTTENS LÄN</t>
        </is>
      </c>
      <c r="E11992" t="inlineStr">
        <is>
          <t>NORSJÖ</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25514-2025</t>
        </is>
      </c>
      <c r="B11993" s="1" t="n">
        <v>45803.36482638889</v>
      </c>
      <c r="C11993" s="1" t="n">
        <v>46145</v>
      </c>
      <c r="D11993" t="inlineStr">
        <is>
          <t>VÄSTERBOTTENS LÄN</t>
        </is>
      </c>
      <c r="E11993" t="inlineStr">
        <is>
          <t>SKELLEFTEÅ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1257-2024</t>
        </is>
      </c>
      <c r="B11994" s="1" t="n">
        <v>45302</v>
      </c>
      <c r="C11994" s="1" t="n">
        <v>46145</v>
      </c>
      <c r="D11994" t="inlineStr">
        <is>
          <t>VÄSTERBOTTENS LÄN</t>
        </is>
      </c>
      <c r="E11994" t="inlineStr">
        <is>
          <t>SKELLEFTEÅ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25523-2025</t>
        </is>
      </c>
      <c r="B11995" s="1" t="n">
        <v>45803.38633101852</v>
      </c>
      <c r="C11995" s="1" t="n">
        <v>46145</v>
      </c>
      <c r="D11995" t="inlineStr">
        <is>
          <t>VÄSTERBOTTENS LÄN</t>
        </is>
      </c>
      <c r="E11995" t="inlineStr">
        <is>
          <t>DOROTEA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25525-2025</t>
        </is>
      </c>
      <c r="B11996" s="1" t="n">
        <v>45803.3865162037</v>
      </c>
      <c r="C11996" s="1" t="n">
        <v>46145</v>
      </c>
      <c r="D11996" t="inlineStr">
        <is>
          <t>VÄSTERBOTTENS LÄN</t>
        </is>
      </c>
      <c r="E11996" t="inlineStr">
        <is>
          <t>SKELLEFTEÅ</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26892-2022</t>
        </is>
      </c>
      <c r="B11997" s="1" t="n">
        <v>44740</v>
      </c>
      <c r="C11997" s="1" t="n">
        <v>46145</v>
      </c>
      <c r="D11997" t="inlineStr">
        <is>
          <t>VÄSTERBOTTENS LÄN</t>
        </is>
      </c>
      <c r="E11997" t="inlineStr">
        <is>
          <t>MALÅ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26307-2025</t>
        </is>
      </c>
      <c r="B11998" s="1" t="n">
        <v>45805.64918981482</v>
      </c>
      <c r="C11998" s="1" t="n">
        <v>46145</v>
      </c>
      <c r="D11998" t="inlineStr">
        <is>
          <t>VÄSTERBOTTENS LÄN</t>
        </is>
      </c>
      <c r="E11998" t="inlineStr">
        <is>
          <t>VINDELN</t>
        </is>
      </c>
      <c r="F11998" t="inlineStr">
        <is>
          <t>Holmen skog AB</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53075-2022</t>
        </is>
      </c>
      <c r="B11999" s="1" t="n">
        <v>44876</v>
      </c>
      <c r="C11999" s="1" t="n">
        <v>46145</v>
      </c>
      <c r="D11999" t="inlineStr">
        <is>
          <t>VÄSTERBOTTENS LÄN</t>
        </is>
      </c>
      <c r="E11999" t="inlineStr">
        <is>
          <t>SKELLEFTEÅ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26194-2025</t>
        </is>
      </c>
      <c r="B12000" s="1" t="n">
        <v>45805.48989583334</v>
      </c>
      <c r="C12000" s="1" t="n">
        <v>46145</v>
      </c>
      <c r="D12000" t="inlineStr">
        <is>
          <t>VÄSTERBOTTENS LÄN</t>
        </is>
      </c>
      <c r="E12000" t="inlineStr">
        <is>
          <t>SKELLEFTEÅ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26483-2022</t>
        </is>
      </c>
      <c r="B12001" s="1" t="n">
        <v>44739</v>
      </c>
      <c r="C12001" s="1" t="n">
        <v>46145</v>
      </c>
      <c r="D12001" t="inlineStr">
        <is>
          <t>VÄSTERBOTTENS LÄN</t>
        </is>
      </c>
      <c r="E12001" t="inlineStr">
        <is>
          <t>SKELLEFTEÅ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26098-2025</t>
        </is>
      </c>
      <c r="B12002" s="1" t="n">
        <v>45805</v>
      </c>
      <c r="C12002" s="1" t="n">
        <v>46145</v>
      </c>
      <c r="D12002" t="inlineStr">
        <is>
          <t>VÄSTERBOTTENS LÄN</t>
        </is>
      </c>
      <c r="E12002" t="inlineStr">
        <is>
          <t>VILHELMINA</t>
        </is>
      </c>
      <c r="F12002" t="inlineStr">
        <is>
          <t>Övriga statliga verk och myndigheter</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26151-2025</t>
        </is>
      </c>
      <c r="B12003" s="1" t="n">
        <v>45805.43233796296</v>
      </c>
      <c r="C12003" s="1" t="n">
        <v>46145</v>
      </c>
      <c r="D12003" t="inlineStr">
        <is>
          <t>VÄSTERBOTTENS LÄN</t>
        </is>
      </c>
      <c r="E12003" t="inlineStr">
        <is>
          <t>LYCKSELE</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26168-2025</t>
        </is>
      </c>
      <c r="B12004" s="1" t="n">
        <v>45805.4591087963</v>
      </c>
      <c r="C12004" s="1" t="n">
        <v>46145</v>
      </c>
      <c r="D12004" t="inlineStr">
        <is>
          <t>VÄSTERBOTTENS LÄN</t>
        </is>
      </c>
      <c r="E12004" t="inlineStr">
        <is>
          <t>VINDELN</t>
        </is>
      </c>
      <c r="F12004" t="inlineStr">
        <is>
          <t>Holmen skog AB</t>
        </is>
      </c>
      <c r="G12004" t="n">
        <v>11.5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26113-2025</t>
        </is>
      </c>
      <c r="B12005" s="1" t="n">
        <v>45805.36946759259</v>
      </c>
      <c r="C12005" s="1" t="n">
        <v>46145</v>
      </c>
      <c r="D12005" t="inlineStr">
        <is>
          <t>VÄSTERBOTTENS LÄN</t>
        </is>
      </c>
      <c r="E12005" t="inlineStr">
        <is>
          <t>ÅSELE</t>
        </is>
      </c>
      <c r="F12005" t="inlineStr">
        <is>
          <t>Sveaskog</t>
        </is>
      </c>
      <c r="G12005" t="n">
        <v>45.5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27355-2023</t>
        </is>
      </c>
      <c r="B12006" s="1" t="n">
        <v>45096</v>
      </c>
      <c r="C12006" s="1" t="n">
        <v>46145</v>
      </c>
      <c r="D12006" t="inlineStr">
        <is>
          <t>VÄSTERBOTTENS LÄN</t>
        </is>
      </c>
      <c r="E12006" t="inlineStr">
        <is>
          <t>VILHELMINA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26227-2025</t>
        </is>
      </c>
      <c r="B12007" s="1" t="n">
        <v>45805</v>
      </c>
      <c r="C12007" s="1" t="n">
        <v>46145</v>
      </c>
      <c r="D12007" t="inlineStr">
        <is>
          <t>VÄSTERBOTTENS LÄN</t>
        </is>
      </c>
      <c r="E12007" t="inlineStr">
        <is>
          <t>LYCKSELE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26234-2025</t>
        </is>
      </c>
      <c r="B12008" s="1" t="n">
        <v>45805</v>
      </c>
      <c r="C12008" s="1" t="n">
        <v>46145</v>
      </c>
      <c r="D12008" t="inlineStr">
        <is>
          <t>VÄSTERBOTTENS LÄN</t>
        </is>
      </c>
      <c r="E12008" t="inlineStr">
        <is>
          <t>LYCKSELE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26315-2025</t>
        </is>
      </c>
      <c r="B12009" s="1" t="n">
        <v>45805.65696759259</v>
      </c>
      <c r="C12009" s="1" t="n">
        <v>46145</v>
      </c>
      <c r="D12009" t="inlineStr">
        <is>
          <t>VÄSTERBOTTENS LÄN</t>
        </is>
      </c>
      <c r="E12009" t="inlineStr">
        <is>
          <t>DOROTEA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26310-2025</t>
        </is>
      </c>
      <c r="B12010" s="1" t="n">
        <v>45805.65432870371</v>
      </c>
      <c r="C12010" s="1" t="n">
        <v>46145</v>
      </c>
      <c r="D12010" t="inlineStr">
        <is>
          <t>VÄSTERBOTTENS LÄN</t>
        </is>
      </c>
      <c r="E12010" t="inlineStr">
        <is>
          <t>UMEÅ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26329-2025</t>
        </is>
      </c>
      <c r="B12011" s="1" t="n">
        <v>45805</v>
      </c>
      <c r="C12011" s="1" t="n">
        <v>46145</v>
      </c>
      <c r="D12011" t="inlineStr">
        <is>
          <t>VÄSTERBOTTENS LÄN</t>
        </is>
      </c>
      <c r="E12011" t="inlineStr">
        <is>
          <t>STORUMAN</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26332-2025</t>
        </is>
      </c>
      <c r="B12012" s="1" t="n">
        <v>45805.68605324074</v>
      </c>
      <c r="C12012" s="1" t="n">
        <v>46145</v>
      </c>
      <c r="D12012" t="inlineStr">
        <is>
          <t>VÄSTERBOTTENS LÄN</t>
        </is>
      </c>
      <c r="E12012" t="inlineStr">
        <is>
          <t>VINDELN</t>
        </is>
      </c>
      <c r="F12012" t="inlineStr">
        <is>
          <t>Holmen skog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26159-2025</t>
        </is>
      </c>
      <c r="B12013" s="1" t="n">
        <v>45805.44869212963</v>
      </c>
      <c r="C12013" s="1" t="n">
        <v>46145</v>
      </c>
      <c r="D12013" t="inlineStr">
        <is>
          <t>VÄSTERBOTTENS LÄN</t>
        </is>
      </c>
      <c r="E12013" t="inlineStr">
        <is>
          <t>ÅSELE</t>
        </is>
      </c>
      <c r="F12013" t="inlineStr">
        <is>
          <t>SCA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57195-2021</t>
        </is>
      </c>
      <c r="B12014" s="1" t="n">
        <v>44482.9227662037</v>
      </c>
      <c r="C12014" s="1" t="n">
        <v>46145</v>
      </c>
      <c r="D12014" t="inlineStr">
        <is>
          <t>VÄSTERBOTTENS LÄN</t>
        </is>
      </c>
      <c r="E12014" t="inlineStr">
        <is>
          <t>NORSJÖ</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26104-2025</t>
        </is>
      </c>
      <c r="B12015" s="1" t="n">
        <v>45805.36008101852</v>
      </c>
      <c r="C12015" s="1" t="n">
        <v>46145</v>
      </c>
      <c r="D12015" t="inlineStr">
        <is>
          <t>VÄSTERBOTTENS LÄN</t>
        </is>
      </c>
      <c r="E12015" t="inlineStr">
        <is>
          <t>ÅSELE</t>
        </is>
      </c>
      <c r="F12015" t="inlineStr">
        <is>
          <t>Sveaskog</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26075-2025</t>
        </is>
      </c>
      <c r="B12016" s="1" t="n">
        <v>45805.32921296296</v>
      </c>
      <c r="C12016" s="1" t="n">
        <v>46145</v>
      </c>
      <c r="D12016" t="inlineStr">
        <is>
          <t>VÄSTERBOTTENS LÄN</t>
        </is>
      </c>
      <c r="E12016" t="inlineStr">
        <is>
          <t>ÅSELE</t>
        </is>
      </c>
      <c r="F12016" t="inlineStr">
        <is>
          <t>Sveaskog</t>
        </is>
      </c>
      <c r="G12016" t="n">
        <v>10</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26078-2025</t>
        </is>
      </c>
      <c r="B12017" s="1" t="n">
        <v>45805.3371412037</v>
      </c>
      <c r="C12017" s="1" t="n">
        <v>46145</v>
      </c>
      <c r="D12017" t="inlineStr">
        <is>
          <t>VÄSTERBOTTENS LÄN</t>
        </is>
      </c>
      <c r="E12017" t="inlineStr">
        <is>
          <t>ÅSELE</t>
        </is>
      </c>
      <c r="F12017" t="inlineStr">
        <is>
          <t>Sveaskog</t>
        </is>
      </c>
      <c r="G12017" t="n">
        <v>15.4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58946-2024</t>
        </is>
      </c>
      <c r="B12018" s="1" t="n">
        <v>45636.55063657407</v>
      </c>
      <c r="C12018" s="1" t="n">
        <v>46145</v>
      </c>
      <c r="D12018" t="inlineStr">
        <is>
          <t>VÄSTERBOTTENS LÄN</t>
        </is>
      </c>
      <c r="E12018" t="inlineStr">
        <is>
          <t>VILHELMINA</t>
        </is>
      </c>
      <c r="F12018" t="inlineStr">
        <is>
          <t>Kommuner</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26295-2025</t>
        </is>
      </c>
      <c r="B12019" s="1" t="n">
        <v>45805.63583333333</v>
      </c>
      <c r="C12019" s="1" t="n">
        <v>46145</v>
      </c>
      <c r="D12019" t="inlineStr">
        <is>
          <t>VÄSTERBOTTENS LÄN</t>
        </is>
      </c>
      <c r="E12019" t="inlineStr">
        <is>
          <t>LYCKSELE</t>
        </is>
      </c>
      <c r="F12019" t="inlineStr">
        <is>
          <t>SCA</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26352-2025</t>
        </is>
      </c>
      <c r="B12020" s="1" t="n">
        <v>45805.86056712963</v>
      </c>
      <c r="C12020" s="1" t="n">
        <v>46145</v>
      </c>
      <c r="D12020" t="inlineStr">
        <is>
          <t>VÄSTERBOTTENS LÄN</t>
        </is>
      </c>
      <c r="E12020" t="inlineStr">
        <is>
          <t>VINDELN</t>
        </is>
      </c>
      <c r="F12020" t="inlineStr">
        <is>
          <t>Holmen skog AB</t>
        </is>
      </c>
      <c r="G12020" t="n">
        <v>16.5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3924-2022</t>
        </is>
      </c>
      <c r="B12021" s="1" t="n">
        <v>44587</v>
      </c>
      <c r="C12021" s="1" t="n">
        <v>46145</v>
      </c>
      <c r="D12021" t="inlineStr">
        <is>
          <t>VÄSTERBOTTENS LÄN</t>
        </is>
      </c>
      <c r="E12021" t="inlineStr">
        <is>
          <t>SKELLEFTEÅ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26245-2025</t>
        </is>
      </c>
      <c r="B12022" s="1" t="n">
        <v>45805</v>
      </c>
      <c r="C12022" s="1" t="n">
        <v>46145</v>
      </c>
      <c r="D12022" t="inlineStr">
        <is>
          <t>VÄSTERBOTTENS LÄN</t>
        </is>
      </c>
      <c r="E12022" t="inlineStr">
        <is>
          <t>ÅSELE</t>
        </is>
      </c>
      <c r="F12022" t="inlineStr">
        <is>
          <t>SCA</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26169-2025</t>
        </is>
      </c>
      <c r="B12023" s="1" t="n">
        <v>45805.46100694445</v>
      </c>
      <c r="C12023" s="1" t="n">
        <v>46145</v>
      </c>
      <c r="D12023" t="inlineStr">
        <is>
          <t>VÄSTERBOTTENS LÄN</t>
        </is>
      </c>
      <c r="E12023" t="inlineStr">
        <is>
          <t>VINDELN</t>
        </is>
      </c>
      <c r="F12023" t="inlineStr">
        <is>
          <t>Holmen skog AB</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26199-2025</t>
        </is>
      </c>
      <c r="B12024" s="1" t="n">
        <v>45805.50157407407</v>
      </c>
      <c r="C12024" s="1" t="n">
        <v>46145</v>
      </c>
      <c r="D12024" t="inlineStr">
        <is>
          <t>VÄSTERBOTTENS LÄN</t>
        </is>
      </c>
      <c r="E12024" t="inlineStr">
        <is>
          <t>LYCKSELE</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39589-2021</t>
        </is>
      </c>
      <c r="B12025" s="1" t="n">
        <v>44413</v>
      </c>
      <c r="C12025" s="1" t="n">
        <v>46145</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60909-2021</t>
        </is>
      </c>
      <c r="B12026" s="1" t="n">
        <v>44496</v>
      </c>
      <c r="C12026" s="1" t="n">
        <v>46145</v>
      </c>
      <c r="D12026" t="inlineStr">
        <is>
          <t>VÄSTERBOTTENS LÄN</t>
        </is>
      </c>
      <c r="E12026" t="inlineStr">
        <is>
          <t>SORSELE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52178-2022</t>
        </is>
      </c>
      <c r="B12027" s="1" t="n">
        <v>44868</v>
      </c>
      <c r="C12027" s="1" t="n">
        <v>46145</v>
      </c>
      <c r="D12027" t="inlineStr">
        <is>
          <t>VÄSTERBOTTENS LÄN</t>
        </is>
      </c>
      <c r="E12027" t="inlineStr">
        <is>
          <t>VINDELN</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31419-2021</t>
        </is>
      </c>
      <c r="B12028" s="1" t="n">
        <v>44368</v>
      </c>
      <c r="C12028" s="1" t="n">
        <v>46145</v>
      </c>
      <c r="D12028" t="inlineStr">
        <is>
          <t>VÄSTERBOTTENS LÄN</t>
        </is>
      </c>
      <c r="E12028" t="inlineStr">
        <is>
          <t>SKELLEFTEÅ</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17825-2024</t>
        </is>
      </c>
      <c r="B12029" s="1" t="n">
        <v>45418</v>
      </c>
      <c r="C12029" s="1" t="n">
        <v>46145</v>
      </c>
      <c r="D12029" t="inlineStr">
        <is>
          <t>VÄSTERBOTTENS LÄN</t>
        </is>
      </c>
      <c r="E12029" t="inlineStr">
        <is>
          <t>DOROTEA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13852-2025</t>
        </is>
      </c>
      <c r="B12030" s="1" t="n">
        <v>45742</v>
      </c>
      <c r="C12030" s="1" t="n">
        <v>46145</v>
      </c>
      <c r="D12030" t="inlineStr">
        <is>
          <t>VÄSTERBOTTENS LÄN</t>
        </is>
      </c>
      <c r="E12030" t="inlineStr">
        <is>
          <t>DOROTEA</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26286-2025</t>
        </is>
      </c>
      <c r="B12031" s="1" t="n">
        <v>45805.62082175926</v>
      </c>
      <c r="C12031" s="1" t="n">
        <v>46145</v>
      </c>
      <c r="D12031" t="inlineStr">
        <is>
          <t>VÄSTERBOTTENS LÄN</t>
        </is>
      </c>
      <c r="E12031" t="inlineStr">
        <is>
          <t>SKELLEFTEÅ</t>
        </is>
      </c>
      <c r="F12031" t="inlineStr">
        <is>
          <t>Sveaskog</t>
        </is>
      </c>
      <c r="G12031" t="n">
        <v>10.9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34082-2022</t>
        </is>
      </c>
      <c r="B12032" s="1" t="n">
        <v>44791</v>
      </c>
      <c r="C12032" s="1" t="n">
        <v>46145</v>
      </c>
      <c r="D12032" t="inlineStr">
        <is>
          <t>VÄSTERBOTTENS LÄN</t>
        </is>
      </c>
      <c r="E12032" t="inlineStr">
        <is>
          <t>SKELLEFTEÅ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26318-2024</t>
        </is>
      </c>
      <c r="B12033" s="1" t="n">
        <v>45468.97400462963</v>
      </c>
      <c r="C12033" s="1" t="n">
        <v>46145</v>
      </c>
      <c r="D12033" t="inlineStr">
        <is>
          <t>VÄSTERBOTTENS LÄN</t>
        </is>
      </c>
      <c r="E12033" t="inlineStr">
        <is>
          <t>LYCKSELE</t>
        </is>
      </c>
      <c r="F12033" t="inlineStr">
        <is>
          <t>SCA</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26228-2025</t>
        </is>
      </c>
      <c r="B12034" s="1" t="n">
        <v>45805.56206018518</v>
      </c>
      <c r="C12034" s="1" t="n">
        <v>46145</v>
      </c>
      <c r="D12034" t="inlineStr">
        <is>
          <t>VÄSTERBOTTENS LÄN</t>
        </is>
      </c>
      <c r="E12034" t="inlineStr">
        <is>
          <t>LYCKSELE</t>
        </is>
      </c>
      <c r="F12034" t="inlineStr">
        <is>
          <t>Sveaskog</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21345-2024</t>
        </is>
      </c>
      <c r="B12035" s="1" t="n">
        <v>45440.92866898148</v>
      </c>
      <c r="C12035" s="1" t="n">
        <v>46145</v>
      </c>
      <c r="D12035" t="inlineStr">
        <is>
          <t>VÄSTERBOTTENS LÄN</t>
        </is>
      </c>
      <c r="E12035" t="inlineStr">
        <is>
          <t>VILHELMINA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26115-2025</t>
        </is>
      </c>
      <c r="B12036" s="1" t="n">
        <v>45805.37388888889</v>
      </c>
      <c r="C12036" s="1" t="n">
        <v>46145</v>
      </c>
      <c r="D12036" t="inlineStr">
        <is>
          <t>VÄSTERBOTTENS LÄN</t>
        </is>
      </c>
      <c r="E12036" t="inlineStr">
        <is>
          <t>ÅSELE</t>
        </is>
      </c>
      <c r="F12036" t="inlineStr">
        <is>
          <t>Sveaskog</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26215-2025</t>
        </is>
      </c>
      <c r="B12037" s="1" t="n">
        <v>45805.54438657407</v>
      </c>
      <c r="C12037" s="1" t="n">
        <v>46145</v>
      </c>
      <c r="D12037" t="inlineStr">
        <is>
          <t>VÄSTERBOTTENS LÄN</t>
        </is>
      </c>
      <c r="E12037" t="inlineStr">
        <is>
          <t>SKELLEFTEÅ</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26344-2025</t>
        </is>
      </c>
      <c r="B12038" s="1" t="n">
        <v>45805</v>
      </c>
      <c r="C12038" s="1" t="n">
        <v>46145</v>
      </c>
      <c r="D12038" t="inlineStr">
        <is>
          <t>VÄSTERBOTTENS LÄN</t>
        </is>
      </c>
      <c r="E12038" t="inlineStr">
        <is>
          <t>STORUMAN</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26183-2025</t>
        </is>
      </c>
      <c r="B12039" s="1" t="n">
        <v>45805.47530092593</v>
      </c>
      <c r="C12039" s="1" t="n">
        <v>46145</v>
      </c>
      <c r="D12039" t="inlineStr">
        <is>
          <t>VÄSTERBOTTENS LÄN</t>
        </is>
      </c>
      <c r="E12039" t="inlineStr">
        <is>
          <t>UMEÅ</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26475-2025</t>
        </is>
      </c>
      <c r="B12040" s="1" t="n">
        <v>45807</v>
      </c>
      <c r="C12040" s="1" t="n">
        <v>46145</v>
      </c>
      <c r="D12040" t="inlineStr">
        <is>
          <t>VÄSTERBOTTENS LÄN</t>
        </is>
      </c>
      <c r="E12040" t="inlineStr">
        <is>
          <t>DOROTEA</t>
        </is>
      </c>
      <c r="F12040" t="inlineStr">
        <is>
          <t>SCA</t>
        </is>
      </c>
      <c r="G12040" t="n">
        <v>18.5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55250-2024</t>
        </is>
      </c>
      <c r="B12041" s="1" t="n">
        <v>45621.595</v>
      </c>
      <c r="C12041" s="1" t="n">
        <v>46145</v>
      </c>
      <c r="D12041" t="inlineStr">
        <is>
          <t>VÄSTERBOTTENS LÄN</t>
        </is>
      </c>
      <c r="E12041" t="inlineStr">
        <is>
          <t>LYCKSELE</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26622-2025</t>
        </is>
      </c>
      <c r="B12042" s="1" t="n">
        <v>45810.32515046297</v>
      </c>
      <c r="C12042" s="1" t="n">
        <v>46145</v>
      </c>
      <c r="D12042" t="inlineStr">
        <is>
          <t>VÄSTERBOTTENS LÄN</t>
        </is>
      </c>
      <c r="E12042" t="inlineStr">
        <is>
          <t>LYCKSELE</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26601-2025</t>
        </is>
      </c>
      <c r="B12043" s="1" t="n">
        <v>45808.88428240741</v>
      </c>
      <c r="C12043" s="1" t="n">
        <v>46145</v>
      </c>
      <c r="D12043" t="inlineStr">
        <is>
          <t>VÄSTERBOTTENS LÄN</t>
        </is>
      </c>
      <c r="E12043" t="inlineStr">
        <is>
          <t>SKELLEFTEÅ</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8859-2023</t>
        </is>
      </c>
      <c r="B12044" s="1" t="n">
        <v>44978</v>
      </c>
      <c r="C12044" s="1" t="n">
        <v>46145</v>
      </c>
      <c r="D12044" t="inlineStr">
        <is>
          <t>VÄSTERBOTTENS LÄN</t>
        </is>
      </c>
      <c r="E12044" t="inlineStr">
        <is>
          <t>VILHELMINA</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26718-2025</t>
        </is>
      </c>
      <c r="B12045" s="1" t="n">
        <v>45810.47646990741</v>
      </c>
      <c r="C12045" s="1" t="n">
        <v>46145</v>
      </c>
      <c r="D12045" t="inlineStr">
        <is>
          <t>VÄSTERBOTTENS LÄN</t>
        </is>
      </c>
      <c r="E12045" t="inlineStr">
        <is>
          <t>STORUMAN</t>
        </is>
      </c>
      <c r="F12045" t="inlineStr">
        <is>
          <t>Sveaskog</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26722-2025</t>
        </is>
      </c>
      <c r="B12046" s="1" t="n">
        <v>45810</v>
      </c>
      <c r="C12046" s="1" t="n">
        <v>46145</v>
      </c>
      <c r="D12046" t="inlineStr">
        <is>
          <t>VÄSTERBOTTENS LÄN</t>
        </is>
      </c>
      <c r="E12046" t="inlineStr">
        <is>
          <t>VILHELMINA</t>
        </is>
      </c>
      <c r="F12046" t="inlineStr">
        <is>
          <t>SCA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7768-2023</t>
        </is>
      </c>
      <c r="B12047" s="1" t="n">
        <v>44973.39023148148</v>
      </c>
      <c r="C12047" s="1" t="n">
        <v>46145</v>
      </c>
      <c r="D12047" t="inlineStr">
        <is>
          <t>VÄSTERBOTTENS LÄN</t>
        </is>
      </c>
      <c r="E12047" t="inlineStr">
        <is>
          <t>LYCKSELE</t>
        </is>
      </c>
      <c r="G12047" t="n">
        <v>2.3</v>
      </c>
      <c r="H12047" t="n">
        <v>0</v>
      </c>
      <c r="I12047" t="n">
        <v>0</v>
      </c>
      <c r="J12047" t="n">
        <v>0</v>
      </c>
      <c r="K12047" t="n">
        <v>0</v>
      </c>
      <c r="L12047" t="n">
        <v>0</v>
      </c>
      <c r="M12047" t="n">
        <v>0</v>
      </c>
      <c r="N12047" t="n">
        <v>0</v>
      </c>
      <c r="O12047" t="n">
        <v>0</v>
      </c>
      <c r="P12047" t="n">
        <v>0</v>
      </c>
      <c r="Q12047" t="n">
        <v>0</v>
      </c>
      <c r="R12047" s="2" t="inlineStr"/>
      <c r="U12047">
        <f>HYPERLINK("https://klasma.github.io/Logging_2481/knärot/A 7768-2023 karta knärot.png", "A 7768-2023")</f>
        <v/>
      </c>
      <c r="V12047">
        <f>HYPERLINK("https://klasma.github.io/Logging_2481/klagomål/A 7768-2023 FSC-klagomål.docx", "A 7768-2023")</f>
        <v/>
      </c>
      <c r="W12047">
        <f>HYPERLINK("https://klasma.github.io/Logging_2481/klagomålsmail/A 7768-2023 FSC-klagomål mail.docx", "A 7768-2023")</f>
        <v/>
      </c>
      <c r="X12047">
        <f>HYPERLINK("https://klasma.github.io/Logging_2481/tillsyn/A 7768-2023 tillsynsbegäran.docx", "A 7768-2023")</f>
        <v/>
      </c>
      <c r="Y12047">
        <f>HYPERLINK("https://klasma.github.io/Logging_2481/tillsynsmail/A 7768-2023 tillsynsbegäran mail.docx", "A 7768-2023")</f>
        <v/>
      </c>
    </row>
    <row r="12048" ht="15" customHeight="1">
      <c r="A12048" t="inlineStr">
        <is>
          <t>A 1003-2025</t>
        </is>
      </c>
      <c r="B12048" s="1" t="n">
        <v>45666.47462962963</v>
      </c>
      <c r="C12048" s="1" t="n">
        <v>46145</v>
      </c>
      <c r="D12048" t="inlineStr">
        <is>
          <t>VÄSTERBOTTENS LÄN</t>
        </is>
      </c>
      <c r="E12048" t="inlineStr">
        <is>
          <t>UMEÅ</t>
        </is>
      </c>
      <c r="G12048" t="n">
        <v>13.5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55627-2023</t>
        </is>
      </c>
      <c r="B12049" s="1" t="n">
        <v>45238.92649305556</v>
      </c>
      <c r="C12049" s="1" t="n">
        <v>46145</v>
      </c>
      <c r="D12049" t="inlineStr">
        <is>
          <t>VÄSTERBOTTENS LÄN</t>
        </is>
      </c>
      <c r="E12049" t="inlineStr">
        <is>
          <t>NORDMALING</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26646-2025</t>
        </is>
      </c>
      <c r="B12050" s="1" t="n">
        <v>45810.38410879629</v>
      </c>
      <c r="C12050" s="1" t="n">
        <v>46145</v>
      </c>
      <c r="D12050" t="inlineStr">
        <is>
          <t>VÄSTERBOTTENS LÄN</t>
        </is>
      </c>
      <c r="E12050" t="inlineStr">
        <is>
          <t>SKELLEFTEÅ</t>
        </is>
      </c>
      <c r="F12050" t="inlineStr">
        <is>
          <t>Holmen skog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3303-2024</t>
        </is>
      </c>
      <c r="B12051" s="1" t="n">
        <v>45316</v>
      </c>
      <c r="C12051" s="1" t="n">
        <v>46145</v>
      </c>
      <c r="D12051" t="inlineStr">
        <is>
          <t>VÄSTERBOTTENS LÄN</t>
        </is>
      </c>
      <c r="E12051" t="inlineStr">
        <is>
          <t>LYCKSELE</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26782-2025</t>
        </is>
      </c>
      <c r="B12052" s="1" t="n">
        <v>45810</v>
      </c>
      <c r="C12052" s="1" t="n">
        <v>46145</v>
      </c>
      <c r="D12052" t="inlineStr">
        <is>
          <t>VÄSTERBOTTENS LÄN</t>
        </is>
      </c>
      <c r="E12052" t="inlineStr">
        <is>
          <t>ÅSELE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26481-2025</t>
        </is>
      </c>
      <c r="B12053" s="1" t="n">
        <v>45807.47043981482</v>
      </c>
      <c r="C12053" s="1" t="n">
        <v>46145</v>
      </c>
      <c r="D12053" t="inlineStr">
        <is>
          <t>VÄSTERBOTTENS LÄN</t>
        </is>
      </c>
      <c r="E12053" t="inlineStr">
        <is>
          <t>DOROTEA</t>
        </is>
      </c>
      <c r="F12053" t="inlineStr">
        <is>
          <t>SCA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26665-2025</t>
        </is>
      </c>
      <c r="B12054" s="1" t="n">
        <v>45810</v>
      </c>
      <c r="C12054" s="1" t="n">
        <v>46145</v>
      </c>
      <c r="D12054" t="inlineStr">
        <is>
          <t>VÄSTERBOTTENS LÄN</t>
        </is>
      </c>
      <c r="E12054" t="inlineStr">
        <is>
          <t>VÄNNÄS</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26768-2025</t>
        </is>
      </c>
      <c r="B12055" s="1" t="n">
        <v>45810.56736111111</v>
      </c>
      <c r="C12055" s="1" t="n">
        <v>46145</v>
      </c>
      <c r="D12055" t="inlineStr">
        <is>
          <t>VÄSTERBOTTENS LÄN</t>
        </is>
      </c>
      <c r="E12055" t="inlineStr">
        <is>
          <t>STORUMAN</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26512-2025</t>
        </is>
      </c>
      <c r="B12056" s="1" t="n">
        <v>45807.54668981482</v>
      </c>
      <c r="C12056" s="1" t="n">
        <v>46145</v>
      </c>
      <c r="D12056" t="inlineStr">
        <is>
          <t>VÄSTERBOTTENS LÄN</t>
        </is>
      </c>
      <c r="E12056" t="inlineStr">
        <is>
          <t>VINDELN</t>
        </is>
      </c>
      <c r="F12056" t="inlineStr">
        <is>
          <t>Holmen skog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26576-2025</t>
        </is>
      </c>
      <c r="B12057" s="1" t="n">
        <v>45807.68725694445</v>
      </c>
      <c r="C12057" s="1" t="n">
        <v>46145</v>
      </c>
      <c r="D12057" t="inlineStr">
        <is>
          <t>VÄSTERBOTTENS LÄN</t>
        </is>
      </c>
      <c r="E12057" t="inlineStr">
        <is>
          <t>VÄNNÄS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26744-2025</t>
        </is>
      </c>
      <c r="B12058" s="1" t="n">
        <v>45810.53185185185</v>
      </c>
      <c r="C12058" s="1" t="n">
        <v>46145</v>
      </c>
      <c r="D12058" t="inlineStr">
        <is>
          <t>VÄSTERBOTTENS LÄN</t>
        </is>
      </c>
      <c r="E12058" t="inlineStr">
        <is>
          <t>VILHELMINA</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26764-2025</t>
        </is>
      </c>
      <c r="B12059" s="1" t="n">
        <v>45810.56498842593</v>
      </c>
      <c r="C12059" s="1" t="n">
        <v>46145</v>
      </c>
      <c r="D12059" t="inlineStr">
        <is>
          <t>VÄSTERBOTTENS LÄN</t>
        </is>
      </c>
      <c r="E12059" t="inlineStr">
        <is>
          <t>STORUMAN</t>
        </is>
      </c>
      <c r="F12059" t="inlineStr">
        <is>
          <t>Sveaskog</t>
        </is>
      </c>
      <c r="G12059" t="n">
        <v>12.6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4602-2025</t>
        </is>
      </c>
      <c r="B12060" s="1" t="n">
        <v>45687.56137731481</v>
      </c>
      <c r="C12060" s="1" t="n">
        <v>46145</v>
      </c>
      <c r="D12060" t="inlineStr">
        <is>
          <t>VÄSTERBOTTENS LÄN</t>
        </is>
      </c>
      <c r="E12060" t="inlineStr">
        <is>
          <t>ROBERTSFORS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26774-2025</t>
        </is>
      </c>
      <c r="B12061" s="1" t="n">
        <v>45810.57378472222</v>
      </c>
      <c r="C12061" s="1" t="n">
        <v>46145</v>
      </c>
      <c r="D12061" t="inlineStr">
        <is>
          <t>VÄSTERBOTTENS LÄN</t>
        </is>
      </c>
      <c r="E12061" t="inlineStr">
        <is>
          <t>ÅSELE</t>
        </is>
      </c>
      <c r="F12061" t="inlineStr">
        <is>
          <t>SCA</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26790-2025</t>
        </is>
      </c>
      <c r="B12062" s="1" t="n">
        <v>45810.59417824074</v>
      </c>
      <c r="C12062" s="1" t="n">
        <v>46145</v>
      </c>
      <c r="D12062" t="inlineStr">
        <is>
          <t>VÄSTERBOTTENS LÄN</t>
        </is>
      </c>
      <c r="E12062" t="inlineStr">
        <is>
          <t>VILHELMINA</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44301-2023</t>
        </is>
      </c>
      <c r="B12063" s="1" t="n">
        <v>45188</v>
      </c>
      <c r="C12063" s="1" t="n">
        <v>46145</v>
      </c>
      <c r="D12063" t="inlineStr">
        <is>
          <t>VÄSTERBOTTENS LÄN</t>
        </is>
      </c>
      <c r="E12063" t="inlineStr">
        <is>
          <t>SKELLEFTEÅ</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26439-2025</t>
        </is>
      </c>
      <c r="B12064" s="1" t="n">
        <v>45807.40659722222</v>
      </c>
      <c r="C12064" s="1" t="n">
        <v>46145</v>
      </c>
      <c r="D12064" t="inlineStr">
        <is>
          <t>VÄSTERBOTTENS LÄN</t>
        </is>
      </c>
      <c r="E12064" t="inlineStr">
        <is>
          <t>DOROTEA</t>
        </is>
      </c>
      <c r="F12064" t="inlineStr">
        <is>
          <t>SCA</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26480-2025</t>
        </is>
      </c>
      <c r="B12065" s="1" t="n">
        <v>45807.47040509259</v>
      </c>
      <c r="C12065" s="1" t="n">
        <v>46145</v>
      </c>
      <c r="D12065" t="inlineStr">
        <is>
          <t>VÄSTERBOTTENS LÄN</t>
        </is>
      </c>
      <c r="E12065" t="inlineStr">
        <is>
          <t>DOROTEA</t>
        </is>
      </c>
      <c r="F12065" t="inlineStr">
        <is>
          <t>SCA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26767-2025</t>
        </is>
      </c>
      <c r="B12066" s="1" t="n">
        <v>45810.56726851852</v>
      </c>
      <c r="C12066" s="1" t="n">
        <v>46145</v>
      </c>
      <c r="D12066" t="inlineStr">
        <is>
          <t>VÄSTERBOTTENS LÄN</t>
        </is>
      </c>
      <c r="E12066" t="inlineStr">
        <is>
          <t>SKELLEFTEÅ</t>
        </is>
      </c>
      <c r="F12066" t="inlineStr">
        <is>
          <t>Holmen skog AB</t>
        </is>
      </c>
      <c r="G12066" t="n">
        <v>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26745-2025</t>
        </is>
      </c>
      <c r="B12067" s="1" t="n">
        <v>45810.53188657408</v>
      </c>
      <c r="C12067" s="1" t="n">
        <v>46145</v>
      </c>
      <c r="D12067" t="inlineStr">
        <is>
          <t>VÄSTERBOTTENS LÄN</t>
        </is>
      </c>
      <c r="E12067" t="inlineStr">
        <is>
          <t>VILHELMINA</t>
        </is>
      </c>
      <c r="F12067" t="inlineStr">
        <is>
          <t>SCA</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797-2025</t>
        </is>
      </c>
      <c r="B12068" s="1" t="n">
        <v>45664</v>
      </c>
      <c r="C12068" s="1" t="n">
        <v>46145</v>
      </c>
      <c r="D12068" t="inlineStr">
        <is>
          <t>VÄSTERBOTTENS LÄN</t>
        </is>
      </c>
      <c r="E12068" t="inlineStr">
        <is>
          <t>DOROTEA</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43518-2023</t>
        </is>
      </c>
      <c r="B12069" s="1" t="n">
        <v>45181</v>
      </c>
      <c r="C12069" s="1" t="n">
        <v>46145</v>
      </c>
      <c r="D12069" t="inlineStr">
        <is>
          <t>VÄSTERBOTTENS LÄN</t>
        </is>
      </c>
      <c r="E12069" t="inlineStr">
        <is>
          <t>VINDELN</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36585-2024</t>
        </is>
      </c>
      <c r="B12070" s="1" t="n">
        <v>45537.52844907407</v>
      </c>
      <c r="C12070" s="1" t="n">
        <v>46145</v>
      </c>
      <c r="D12070" t="inlineStr">
        <is>
          <t>VÄSTERBOTTENS LÄN</t>
        </is>
      </c>
      <c r="E12070" t="inlineStr">
        <is>
          <t>NORSJÖ</t>
        </is>
      </c>
      <c r="F12070" t="inlineStr">
        <is>
          <t>Holmen skog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26419-2025</t>
        </is>
      </c>
      <c r="B12071" s="1" t="n">
        <v>45807.36931712963</v>
      </c>
      <c r="C12071" s="1" t="n">
        <v>46145</v>
      </c>
      <c r="D12071" t="inlineStr">
        <is>
          <t>VÄSTERBOTTENS LÄN</t>
        </is>
      </c>
      <c r="E12071" t="inlineStr">
        <is>
          <t>LYCKSELE</t>
        </is>
      </c>
      <c r="F12071" t="inlineStr">
        <is>
          <t>Sveaskog</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26440-2025</t>
        </is>
      </c>
      <c r="B12072" s="1" t="n">
        <v>45807</v>
      </c>
      <c r="C12072" s="1" t="n">
        <v>46145</v>
      </c>
      <c r="D12072" t="inlineStr">
        <is>
          <t>VÄSTERBOTTENS LÄN</t>
        </is>
      </c>
      <c r="E12072" t="inlineStr">
        <is>
          <t>DOROTEA</t>
        </is>
      </c>
      <c r="F12072" t="inlineStr">
        <is>
          <t>SCA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50082-2024</t>
        </is>
      </c>
      <c r="B12073" s="1" t="n">
        <v>45597</v>
      </c>
      <c r="C12073" s="1" t="n">
        <v>46145</v>
      </c>
      <c r="D12073" t="inlineStr">
        <is>
          <t>VÄSTERBOTTENS LÄN</t>
        </is>
      </c>
      <c r="E12073" t="inlineStr">
        <is>
          <t>SKELLEFTEÅ</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26474-2025</t>
        </is>
      </c>
      <c r="B12074" s="1" t="n">
        <v>45807</v>
      </c>
      <c r="C12074" s="1" t="n">
        <v>46145</v>
      </c>
      <c r="D12074" t="inlineStr">
        <is>
          <t>VÄSTERBOTTENS LÄN</t>
        </is>
      </c>
      <c r="E12074" t="inlineStr">
        <is>
          <t>ÅSELE</t>
        </is>
      </c>
      <c r="F12074" t="inlineStr">
        <is>
          <t>SCA</t>
        </is>
      </c>
      <c r="G12074" t="n">
        <v>11.5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22538-2024</t>
        </is>
      </c>
      <c r="B12075" s="1" t="n">
        <v>45447.46972222222</v>
      </c>
      <c r="C12075" s="1" t="n">
        <v>46145</v>
      </c>
      <c r="D12075" t="inlineStr">
        <is>
          <t>VÄSTERBOTTENS LÄN</t>
        </is>
      </c>
      <c r="E12075" t="inlineStr">
        <is>
          <t>UMEÅ</t>
        </is>
      </c>
      <c r="F12075" t="inlineStr">
        <is>
          <t>Holmen skog AB</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26632-2025</t>
        </is>
      </c>
      <c r="B12076" s="1" t="n">
        <v>45810.35230324074</v>
      </c>
      <c r="C12076" s="1" t="n">
        <v>46145</v>
      </c>
      <c r="D12076" t="inlineStr">
        <is>
          <t>VÄSTERBOTTENS LÄN</t>
        </is>
      </c>
      <c r="E12076" t="inlineStr">
        <is>
          <t>NORDMALING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26644-2025</t>
        </is>
      </c>
      <c r="B12077" s="1" t="n">
        <v>45810.37159722222</v>
      </c>
      <c r="C12077" s="1" t="n">
        <v>46145</v>
      </c>
      <c r="D12077" t="inlineStr">
        <is>
          <t>VÄSTERBOTTENS LÄN</t>
        </is>
      </c>
      <c r="E12077" t="inlineStr">
        <is>
          <t>ROBERTSFORS</t>
        </is>
      </c>
      <c r="F12077" t="inlineStr">
        <is>
          <t>Holmen skog AB</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26635-2025</t>
        </is>
      </c>
      <c r="B12078" s="1" t="n">
        <v>45810.35407407407</v>
      </c>
      <c r="C12078" s="1" t="n">
        <v>46145</v>
      </c>
      <c r="D12078" t="inlineStr">
        <is>
          <t>VÄSTERBOTTENS LÄN</t>
        </is>
      </c>
      <c r="E12078" t="inlineStr">
        <is>
          <t>NORDMALING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26522-2025</t>
        </is>
      </c>
      <c r="B12079" s="1" t="n">
        <v>45807.56353009259</v>
      </c>
      <c r="C12079" s="1" t="n">
        <v>46145</v>
      </c>
      <c r="D12079" t="inlineStr">
        <is>
          <t>VÄSTERBOTTENS LÄN</t>
        </is>
      </c>
      <c r="E12079" t="inlineStr">
        <is>
          <t>VINDELN</t>
        </is>
      </c>
      <c r="F12079" t="inlineStr">
        <is>
          <t>Holmen skog AB</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26542-2025</t>
        </is>
      </c>
      <c r="B12080" s="1" t="n">
        <v>45807.58521990741</v>
      </c>
      <c r="C12080" s="1" t="n">
        <v>46145</v>
      </c>
      <c r="D12080" t="inlineStr">
        <is>
          <t>VÄSTERBOTTENS LÄN</t>
        </is>
      </c>
      <c r="E12080" t="inlineStr">
        <is>
          <t>SKELLEFTEÅ</t>
        </is>
      </c>
      <c r="F12080" t="inlineStr">
        <is>
          <t>Holmen skog AB</t>
        </is>
      </c>
      <c r="G12080" t="n">
        <v>11.8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54162-2024</t>
        </is>
      </c>
      <c r="B12081" s="1" t="n">
        <v>45616</v>
      </c>
      <c r="C12081" s="1" t="n">
        <v>46145</v>
      </c>
      <c r="D12081" t="inlineStr">
        <is>
          <t>VÄSTERBOTTENS LÄN</t>
        </is>
      </c>
      <c r="E12081" t="inlineStr">
        <is>
          <t>SKELLEFTEÅ</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26394-2025</t>
        </is>
      </c>
      <c r="B12082" s="1" t="n">
        <v>45806.84342592592</v>
      </c>
      <c r="C12082" s="1" t="n">
        <v>46145</v>
      </c>
      <c r="D12082" t="inlineStr">
        <is>
          <t>VÄSTERBOTTENS LÄN</t>
        </is>
      </c>
      <c r="E12082" t="inlineStr">
        <is>
          <t>ROBERTSFORS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26398-2025</t>
        </is>
      </c>
      <c r="B12083" s="1" t="n">
        <v>45807.31575231482</v>
      </c>
      <c r="C12083" s="1" t="n">
        <v>46145</v>
      </c>
      <c r="D12083" t="inlineStr">
        <is>
          <t>VÄSTERBOTTENS LÄN</t>
        </is>
      </c>
      <c r="E12083" t="inlineStr">
        <is>
          <t>LYCKSELE</t>
        </is>
      </c>
      <c r="F12083" t="inlineStr">
        <is>
          <t>Holmen skog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52039-2023</t>
        </is>
      </c>
      <c r="B12084" s="1" t="n">
        <v>45223</v>
      </c>
      <c r="C12084" s="1" t="n">
        <v>46145</v>
      </c>
      <c r="D12084" t="inlineStr">
        <is>
          <t>VÄSTERBOTTENS LÄN</t>
        </is>
      </c>
      <c r="E12084" t="inlineStr">
        <is>
          <t>LYCKSELE</t>
        </is>
      </c>
      <c r="F12084" t="inlineStr">
        <is>
          <t>Sveaskog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5248-2024</t>
        </is>
      </c>
      <c r="B12085" s="1" t="n">
        <v>45330</v>
      </c>
      <c r="C12085" s="1" t="n">
        <v>46145</v>
      </c>
      <c r="D12085" t="inlineStr">
        <is>
          <t>VÄSTERBOTTENS LÄN</t>
        </is>
      </c>
      <c r="E12085" t="inlineStr">
        <is>
          <t>VINDELN</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4732-2025</t>
        </is>
      </c>
      <c r="B12086" s="1" t="n">
        <v>45688.43670138889</v>
      </c>
      <c r="C12086" s="1" t="n">
        <v>46145</v>
      </c>
      <c r="D12086" t="inlineStr">
        <is>
          <t>VÄSTERBOTTENS LÄN</t>
        </is>
      </c>
      <c r="E12086" t="inlineStr">
        <is>
          <t>NORDMALING</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26729-2025</t>
        </is>
      </c>
      <c r="B12087" s="1" t="n">
        <v>45810.50392361111</v>
      </c>
      <c r="C12087" s="1" t="n">
        <v>46145</v>
      </c>
      <c r="D12087" t="inlineStr">
        <is>
          <t>VÄSTERBOTTENS LÄN</t>
        </is>
      </c>
      <c r="E12087" t="inlineStr">
        <is>
          <t>STORUMAN</t>
        </is>
      </c>
      <c r="F12087" t="inlineStr">
        <is>
          <t>Sveaskog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26769-2025</t>
        </is>
      </c>
      <c r="B12088" s="1" t="n">
        <v>45810.56748842593</v>
      </c>
      <c r="C12088" s="1" t="n">
        <v>46145</v>
      </c>
      <c r="D12088" t="inlineStr">
        <is>
          <t>VÄSTERBOTTENS LÄN</t>
        </is>
      </c>
      <c r="E12088" t="inlineStr">
        <is>
          <t>VINDELN</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55817-2022</t>
        </is>
      </c>
      <c r="B12089" s="1" t="n">
        <v>44886</v>
      </c>
      <c r="C12089" s="1" t="n">
        <v>46145</v>
      </c>
      <c r="D12089" t="inlineStr">
        <is>
          <t>VÄSTERBOTTENS LÄN</t>
        </is>
      </c>
      <c r="E12089" t="inlineStr">
        <is>
          <t>SORSELE</t>
        </is>
      </c>
      <c r="G12089" t="n">
        <v>10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55053-2023</t>
        </is>
      </c>
      <c r="B12090" s="1" t="n">
        <v>45237</v>
      </c>
      <c r="C12090" s="1" t="n">
        <v>46145</v>
      </c>
      <c r="D12090" t="inlineStr">
        <is>
          <t>VÄSTERBOTTENS LÄN</t>
        </is>
      </c>
      <c r="E12090" t="inlineStr">
        <is>
          <t>UMEÅ</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58119-2024</t>
        </is>
      </c>
      <c r="B12091" s="1" t="n">
        <v>45632.39261574074</v>
      </c>
      <c r="C12091" s="1" t="n">
        <v>46145</v>
      </c>
      <c r="D12091" t="inlineStr">
        <is>
          <t>VÄSTERBOTTENS LÄN</t>
        </is>
      </c>
      <c r="E12091" t="inlineStr">
        <is>
          <t>SKELLEFTEÅ</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59028-2024</t>
        </is>
      </c>
      <c r="B12092" s="1" t="n">
        <v>45636</v>
      </c>
      <c r="C12092" s="1" t="n">
        <v>46145</v>
      </c>
      <c r="D12092" t="inlineStr">
        <is>
          <t>VÄSTERBOTTENS LÄN</t>
        </is>
      </c>
      <c r="E12092" t="inlineStr">
        <is>
          <t>ROBERTSFORS</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14759-2025</t>
        </is>
      </c>
      <c r="B12093" s="1" t="n">
        <v>45742</v>
      </c>
      <c r="C12093" s="1" t="n">
        <v>46145</v>
      </c>
      <c r="D12093" t="inlineStr">
        <is>
          <t>VÄSTERBOTTENS LÄN</t>
        </is>
      </c>
      <c r="E12093" t="inlineStr">
        <is>
          <t>DOROTEA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5636-2024</t>
        </is>
      </c>
      <c r="B12094" s="1" t="n">
        <v>45334.61045138889</v>
      </c>
      <c r="C12094" s="1" t="n">
        <v>46145</v>
      </c>
      <c r="D12094" t="inlineStr">
        <is>
          <t>VÄSTERBOTTENS LÄN</t>
        </is>
      </c>
      <c r="E12094" t="inlineStr">
        <is>
          <t>SKELLEFTEÅ</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11771-2023</t>
        </is>
      </c>
      <c r="B12095" s="1" t="n">
        <v>44994.6418287037</v>
      </c>
      <c r="C12095" s="1" t="n">
        <v>46145</v>
      </c>
      <c r="D12095" t="inlineStr">
        <is>
          <t>VÄSTERBOTTENS LÄN</t>
        </is>
      </c>
      <c r="E12095" t="inlineStr">
        <is>
          <t>SKELLEFTEÅ</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51695-2024</t>
        </is>
      </c>
      <c r="B12096" s="1" t="n">
        <v>45607.34743055556</v>
      </c>
      <c r="C12096" s="1" t="n">
        <v>46145</v>
      </c>
      <c r="D12096" t="inlineStr">
        <is>
          <t>VÄSTERBOTTENS LÄN</t>
        </is>
      </c>
      <c r="E12096" t="inlineStr">
        <is>
          <t>NORDMALING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26422-2025</t>
        </is>
      </c>
      <c r="B12097" s="1" t="n">
        <v>45807.37386574074</v>
      </c>
      <c r="C12097" s="1" t="n">
        <v>46145</v>
      </c>
      <c r="D12097" t="inlineStr">
        <is>
          <t>VÄSTERBOTTENS LÄN</t>
        </is>
      </c>
      <c r="E12097" t="inlineStr">
        <is>
          <t>LYCKSELE</t>
        </is>
      </c>
      <c r="F12097" t="inlineStr">
        <is>
          <t>Sveaskog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26410-2025</t>
        </is>
      </c>
      <c r="B12098" s="1" t="n">
        <v>45807.34731481481</v>
      </c>
      <c r="C12098" s="1" t="n">
        <v>46145</v>
      </c>
      <c r="D12098" t="inlineStr">
        <is>
          <t>VÄSTERBOTTENS LÄN</t>
        </is>
      </c>
      <c r="E12098" t="inlineStr">
        <is>
          <t>LYCKSELE</t>
        </is>
      </c>
      <c r="F12098" t="inlineStr">
        <is>
          <t>Holmen skog AB</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26425-2025</t>
        </is>
      </c>
      <c r="B12099" s="1" t="n">
        <v>45807.38453703704</v>
      </c>
      <c r="C12099" s="1" t="n">
        <v>46145</v>
      </c>
      <c r="D12099" t="inlineStr">
        <is>
          <t>VÄSTERBOTTENS LÄN</t>
        </is>
      </c>
      <c r="E12099" t="inlineStr">
        <is>
          <t>SKELLEFTEÅ</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37576-2024</t>
        </is>
      </c>
      <c r="B12100" s="1" t="n">
        <v>45541</v>
      </c>
      <c r="C12100" s="1" t="n">
        <v>46145</v>
      </c>
      <c r="D12100" t="inlineStr">
        <is>
          <t>VÄSTERBOTTENS LÄN</t>
        </is>
      </c>
      <c r="E12100" t="inlineStr">
        <is>
          <t>ÅSELE</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26904-2025</t>
        </is>
      </c>
      <c r="B12101" s="1" t="n">
        <v>45811</v>
      </c>
      <c r="C12101" s="1" t="n">
        <v>46145</v>
      </c>
      <c r="D12101" t="inlineStr">
        <is>
          <t>VÄSTERBOTTENS LÄN</t>
        </is>
      </c>
      <c r="E12101" t="inlineStr">
        <is>
          <t>DOROTEA</t>
        </is>
      </c>
      <c r="F12101" t="inlineStr">
        <is>
          <t>SCA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27010-2025</t>
        </is>
      </c>
      <c r="B12102" s="1" t="n">
        <v>45811.56021990741</v>
      </c>
      <c r="C12102" s="1" t="n">
        <v>46145</v>
      </c>
      <c r="D12102" t="inlineStr">
        <is>
          <t>VÄSTERBOTTENS LÄN</t>
        </is>
      </c>
      <c r="E12102" t="inlineStr">
        <is>
          <t>SKELLEFTEÅ</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27051-2025</t>
        </is>
      </c>
      <c r="B12103" s="1" t="n">
        <v>45811.62070601852</v>
      </c>
      <c r="C12103" s="1" t="n">
        <v>46145</v>
      </c>
      <c r="D12103" t="inlineStr">
        <is>
          <t>VÄSTERBOTTENS LÄN</t>
        </is>
      </c>
      <c r="E12103" t="inlineStr">
        <is>
          <t>VINDELN</t>
        </is>
      </c>
      <c r="F12103" t="inlineStr">
        <is>
          <t>Sveaskog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27082-2025</t>
        </is>
      </c>
      <c r="B12104" s="1" t="n">
        <v>45811.65423611111</v>
      </c>
      <c r="C12104" s="1" t="n">
        <v>46145</v>
      </c>
      <c r="D12104" t="inlineStr">
        <is>
          <t>VÄSTERBOTTENS LÄN</t>
        </is>
      </c>
      <c r="E12104" t="inlineStr">
        <is>
          <t>SKELLEFTEÅ</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16415-2025</t>
        </is>
      </c>
      <c r="B12105" s="1" t="n">
        <v>45751.46192129629</v>
      </c>
      <c r="C12105" s="1" t="n">
        <v>46145</v>
      </c>
      <c r="D12105" t="inlineStr">
        <is>
          <t>VÄSTERBOTTENS LÄN</t>
        </is>
      </c>
      <c r="E12105" t="inlineStr">
        <is>
          <t>SKELLEFTEÅ</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52105-2023</t>
        </is>
      </c>
      <c r="B12106" s="1" t="n">
        <v>45223.92668981481</v>
      </c>
      <c r="C12106" s="1" t="n">
        <v>46145</v>
      </c>
      <c r="D12106" t="inlineStr">
        <is>
          <t>VÄSTERBOTTENS LÄN</t>
        </is>
      </c>
      <c r="E12106" t="inlineStr">
        <is>
          <t>SKELLEFTEÅ</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27306-2025</t>
        </is>
      </c>
      <c r="B12107" s="1" t="n">
        <v>45812.57329861111</v>
      </c>
      <c r="C12107" s="1" t="n">
        <v>46145</v>
      </c>
      <c r="D12107" t="inlineStr">
        <is>
          <t>VÄSTERBOTTENS LÄN</t>
        </is>
      </c>
      <c r="E12107" t="inlineStr">
        <is>
          <t>LYCKSELE</t>
        </is>
      </c>
      <c r="F12107" t="inlineStr">
        <is>
          <t>SCA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27246-2025</t>
        </is>
      </c>
      <c r="B12108" s="1" t="n">
        <v>45812.46246527778</v>
      </c>
      <c r="C12108" s="1" t="n">
        <v>46145</v>
      </c>
      <c r="D12108" t="inlineStr">
        <is>
          <t>VÄSTERBOTTENS LÄN</t>
        </is>
      </c>
      <c r="E12108" t="inlineStr">
        <is>
          <t>UMEÅ</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27851-2024</t>
        </is>
      </c>
      <c r="B12109" s="1" t="n">
        <v>45475.6459837963</v>
      </c>
      <c r="C12109" s="1" t="n">
        <v>46145</v>
      </c>
      <c r="D12109" t="inlineStr">
        <is>
          <t>VÄSTERBOTTENS LÄN</t>
        </is>
      </c>
      <c r="E12109" t="inlineStr">
        <is>
          <t>SKELLEFTEÅ</t>
        </is>
      </c>
      <c r="F12109" t="inlineStr">
        <is>
          <t>Sveaskog</t>
        </is>
      </c>
      <c r="G12109" t="n">
        <v>13.3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27237-2025</t>
        </is>
      </c>
      <c r="B12110" s="1" t="n">
        <v>45812.44833333333</v>
      </c>
      <c r="C12110" s="1" t="n">
        <v>46145</v>
      </c>
      <c r="D12110" t="inlineStr">
        <is>
          <t>VÄSTERBOTTENS LÄN</t>
        </is>
      </c>
      <c r="E12110" t="inlineStr">
        <is>
          <t>DOROTEA</t>
        </is>
      </c>
      <c r="F12110" t="inlineStr">
        <is>
          <t>SCA</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26883-2025</t>
        </is>
      </c>
      <c r="B12111" s="1" t="n">
        <v>45810.8708912037</v>
      </c>
      <c r="C12111" s="1" t="n">
        <v>46145</v>
      </c>
      <c r="D12111" t="inlineStr">
        <is>
          <t>VÄSTERBOTTENS LÄN</t>
        </is>
      </c>
      <c r="E12111" t="inlineStr">
        <is>
          <t>BJURHOLM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10568-2023</t>
        </is>
      </c>
      <c r="B12112" s="1" t="n">
        <v>44981</v>
      </c>
      <c r="C12112" s="1" t="n">
        <v>46145</v>
      </c>
      <c r="D12112" t="inlineStr">
        <is>
          <t>VÄSTERBOTTENS LÄN</t>
        </is>
      </c>
      <c r="E12112" t="inlineStr">
        <is>
          <t>SKELLEFTEÅ</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27214-2025</t>
        </is>
      </c>
      <c r="B12113" s="1" t="n">
        <v>45812.41510416667</v>
      </c>
      <c r="C12113" s="1" t="n">
        <v>46145</v>
      </c>
      <c r="D12113" t="inlineStr">
        <is>
          <t>VÄSTERBOTTENS LÄN</t>
        </is>
      </c>
      <c r="E12113" t="inlineStr">
        <is>
          <t>NORSJÖ</t>
        </is>
      </c>
      <c r="F12113" t="inlineStr">
        <is>
          <t>Holmen skog AB</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6448-2024</t>
        </is>
      </c>
      <c r="B12114" s="1" t="n">
        <v>45338.67314814815</v>
      </c>
      <c r="C12114" s="1" t="n">
        <v>46145</v>
      </c>
      <c r="D12114" t="inlineStr">
        <is>
          <t>VÄSTERBOTTENS LÄN</t>
        </is>
      </c>
      <c r="E12114" t="inlineStr">
        <is>
          <t>SKELLEFTEÅ</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26951-2025</t>
        </is>
      </c>
      <c r="B12115" s="1" t="n">
        <v>45811.44082175926</v>
      </c>
      <c r="C12115" s="1" t="n">
        <v>46145</v>
      </c>
      <c r="D12115" t="inlineStr">
        <is>
          <t>VÄSTERBOTTENS LÄN</t>
        </is>
      </c>
      <c r="E12115" t="inlineStr">
        <is>
          <t>LYCKSELE</t>
        </is>
      </c>
      <c r="F12115" t="inlineStr">
        <is>
          <t>Holmen skog AB</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26984-2025</t>
        </is>
      </c>
      <c r="B12116" s="1" t="n">
        <v>45811.49811342593</v>
      </c>
      <c r="C12116" s="1" t="n">
        <v>46145</v>
      </c>
      <c r="D12116" t="inlineStr">
        <is>
          <t>VÄSTERBOTTENS LÄN</t>
        </is>
      </c>
      <c r="E12116" t="inlineStr">
        <is>
          <t>ROBERTSFORS</t>
        </is>
      </c>
      <c r="F12116" t="inlineStr">
        <is>
          <t>Holmen skog AB</t>
        </is>
      </c>
      <c r="G12116" t="n">
        <v>12.7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26930-2025</t>
        </is>
      </c>
      <c r="B12117" s="1" t="n">
        <v>45811.39753472222</v>
      </c>
      <c r="C12117" s="1" t="n">
        <v>46145</v>
      </c>
      <c r="D12117" t="inlineStr">
        <is>
          <t>VÄSTERBOTTENS LÄN</t>
        </is>
      </c>
      <c r="E12117" t="inlineStr">
        <is>
          <t>UMEÅ</t>
        </is>
      </c>
      <c r="F12117" t="inlineStr">
        <is>
          <t>Sveaskog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26903-2025</t>
        </is>
      </c>
      <c r="B12118" s="1" t="n">
        <v>45811</v>
      </c>
      <c r="C12118" s="1" t="n">
        <v>46145</v>
      </c>
      <c r="D12118" t="inlineStr">
        <is>
          <t>VÄSTERBOTTENS LÄN</t>
        </is>
      </c>
      <c r="E12118" t="inlineStr">
        <is>
          <t>NORDMALING</t>
        </is>
      </c>
      <c r="F12118" t="inlineStr">
        <is>
          <t>SCA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26902-2025</t>
        </is>
      </c>
      <c r="B12119" s="1" t="n">
        <v>45811</v>
      </c>
      <c r="C12119" s="1" t="n">
        <v>46145</v>
      </c>
      <c r="D12119" t="inlineStr">
        <is>
          <t>VÄSTERBOTTENS LÄN</t>
        </is>
      </c>
      <c r="E12119" t="inlineStr">
        <is>
          <t>DOROTEA</t>
        </is>
      </c>
      <c r="F12119" t="inlineStr">
        <is>
          <t>SCA</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26909-2025</t>
        </is>
      </c>
      <c r="B12120" s="1" t="n">
        <v>45811.3458912037</v>
      </c>
      <c r="C12120" s="1" t="n">
        <v>46145</v>
      </c>
      <c r="D12120" t="inlineStr">
        <is>
          <t>VÄSTERBOTTENS LÄN</t>
        </is>
      </c>
      <c r="E12120" t="inlineStr">
        <is>
          <t>SKELLEFTEÅ</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26919-2025</t>
        </is>
      </c>
      <c r="B12121" s="1" t="n">
        <v>45811.37582175926</v>
      </c>
      <c r="C12121" s="1" t="n">
        <v>46145</v>
      </c>
      <c r="D12121" t="inlineStr">
        <is>
          <t>VÄSTERBOTTENS LÄN</t>
        </is>
      </c>
      <c r="E12121" t="inlineStr">
        <is>
          <t>VINDELN</t>
        </is>
      </c>
      <c r="F12121" t="inlineStr">
        <is>
          <t>Sveaskog</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56085-2024</t>
        </is>
      </c>
      <c r="B12122" s="1" t="n">
        <v>45623</v>
      </c>
      <c r="C12122" s="1" t="n">
        <v>46145</v>
      </c>
      <c r="D12122" t="inlineStr">
        <is>
          <t>VÄSTERBOTTENS LÄN</t>
        </is>
      </c>
      <c r="E12122" t="inlineStr">
        <is>
          <t>UMEÅ</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16409-2025</t>
        </is>
      </c>
      <c r="B12123" s="1" t="n">
        <v>45751.45391203704</v>
      </c>
      <c r="C12123" s="1" t="n">
        <v>46145</v>
      </c>
      <c r="D12123" t="inlineStr">
        <is>
          <t>VÄSTERBOTTENS LÄN</t>
        </is>
      </c>
      <c r="E12123" t="inlineStr">
        <is>
          <t>SKELLEFTEÅ</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27168-2025</t>
        </is>
      </c>
      <c r="B12124" s="1" t="n">
        <v>45812.34475694445</v>
      </c>
      <c r="C12124" s="1" t="n">
        <v>46145</v>
      </c>
      <c r="D12124" t="inlineStr">
        <is>
          <t>VÄSTERBOTTENS LÄN</t>
        </is>
      </c>
      <c r="E12124" t="inlineStr">
        <is>
          <t>ÅSELE</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64334-2023</t>
        </is>
      </c>
      <c r="B12125" s="1" t="n">
        <v>45279</v>
      </c>
      <c r="C12125" s="1" t="n">
        <v>46145</v>
      </c>
      <c r="D12125" t="inlineStr">
        <is>
          <t>VÄSTERBOTTENS LÄN</t>
        </is>
      </c>
      <c r="E12125" t="inlineStr">
        <is>
          <t>LYCKSELE</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244-2024</t>
        </is>
      </c>
      <c r="B12126" s="1" t="n">
        <v>45294.93322916667</v>
      </c>
      <c r="C12126" s="1" t="n">
        <v>46145</v>
      </c>
      <c r="D12126" t="inlineStr">
        <is>
          <t>VÄSTERBOTTENS LÄN</t>
        </is>
      </c>
      <c r="E12126" t="inlineStr">
        <is>
          <t>STORUMAN</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6052-2025</t>
        </is>
      </c>
      <c r="B12127" s="1" t="n">
        <v>45695.71142361111</v>
      </c>
      <c r="C12127" s="1" t="n">
        <v>46145</v>
      </c>
      <c r="D12127" t="inlineStr">
        <is>
          <t>VÄSTERBOTTENS LÄN</t>
        </is>
      </c>
      <c r="E12127" t="inlineStr">
        <is>
          <t>VINDELN</t>
        </is>
      </c>
      <c r="G12127" t="n">
        <v>18.6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27144-2025</t>
        </is>
      </c>
      <c r="B12128" s="1" t="n">
        <v>45812.28108796296</v>
      </c>
      <c r="C12128" s="1" t="n">
        <v>46145</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27172-2025</t>
        </is>
      </c>
      <c r="B12129" s="1" t="n">
        <v>45812.34858796297</v>
      </c>
      <c r="C12129" s="1" t="n">
        <v>46145</v>
      </c>
      <c r="D12129" t="inlineStr">
        <is>
          <t>VÄSTERBOTTENS LÄN</t>
        </is>
      </c>
      <c r="E12129" t="inlineStr">
        <is>
          <t>UMEÅ</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27173-2025</t>
        </is>
      </c>
      <c r="B12130" s="1" t="n">
        <v>45812.34997685185</v>
      </c>
      <c r="C12130" s="1" t="n">
        <v>46145</v>
      </c>
      <c r="D12130" t="inlineStr">
        <is>
          <t>VÄSTERBOTTENS LÄN</t>
        </is>
      </c>
      <c r="E12130" t="inlineStr">
        <is>
          <t>UMEÅ</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27091-2025</t>
        </is>
      </c>
      <c r="B12131" s="1" t="n">
        <v>45811.66915509259</v>
      </c>
      <c r="C12131" s="1" t="n">
        <v>46145</v>
      </c>
      <c r="D12131" t="inlineStr">
        <is>
          <t>VÄSTERBOTTENS LÄN</t>
        </is>
      </c>
      <c r="E12131" t="inlineStr">
        <is>
          <t>SKELLEFTEÅ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26981-2025</t>
        </is>
      </c>
      <c r="B12132" s="1" t="n">
        <v>45811.48984953704</v>
      </c>
      <c r="C12132" s="1" t="n">
        <v>46145</v>
      </c>
      <c r="D12132" t="inlineStr">
        <is>
          <t>VÄSTERBOTTENS LÄN</t>
        </is>
      </c>
      <c r="E12132" t="inlineStr">
        <is>
          <t>MALÅ</t>
        </is>
      </c>
      <c r="F12132" t="inlineStr">
        <is>
          <t>Sveaskog</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27080-2025</t>
        </is>
      </c>
      <c r="B12133" s="1" t="n">
        <v>45811.65400462963</v>
      </c>
      <c r="C12133" s="1" t="n">
        <v>46145</v>
      </c>
      <c r="D12133" t="inlineStr">
        <is>
          <t>VÄSTERBOTTENS LÄN</t>
        </is>
      </c>
      <c r="E12133" t="inlineStr">
        <is>
          <t>LYCKSELE</t>
        </is>
      </c>
      <c r="F12133" t="inlineStr">
        <is>
          <t>Holmen skog AB</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27400-2025</t>
        </is>
      </c>
      <c r="B12134" s="1" t="n">
        <v>45812.69835648148</v>
      </c>
      <c r="C12134" s="1" t="n">
        <v>46145</v>
      </c>
      <c r="D12134" t="inlineStr">
        <is>
          <t>VÄSTERBOTTENS LÄN</t>
        </is>
      </c>
      <c r="E12134" t="inlineStr">
        <is>
          <t>SKELLEFTEÅ</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25161-2024</t>
        </is>
      </c>
      <c r="B12135" s="1" t="n">
        <v>45462.53011574074</v>
      </c>
      <c r="C12135" s="1" t="n">
        <v>46145</v>
      </c>
      <c r="D12135" t="inlineStr">
        <is>
          <t>VÄSTERBOTTENS LÄN</t>
        </is>
      </c>
      <c r="E12135" t="inlineStr">
        <is>
          <t>NORSJÖ</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121-2023</t>
        </is>
      </c>
      <c r="B12136" s="1" t="n">
        <v>44918</v>
      </c>
      <c r="C12136" s="1" t="n">
        <v>46145</v>
      </c>
      <c r="D12136" t="inlineStr">
        <is>
          <t>VÄSTERBOTTENS LÄN</t>
        </is>
      </c>
      <c r="E12136" t="inlineStr">
        <is>
          <t>SKELLEFTEÅ</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51073-2024</t>
        </is>
      </c>
      <c r="B12137" s="1" t="n">
        <v>45603.44994212963</v>
      </c>
      <c r="C12137" s="1" t="n">
        <v>46145</v>
      </c>
      <c r="D12137" t="inlineStr">
        <is>
          <t>VÄSTERBOTTENS LÄN</t>
        </is>
      </c>
      <c r="E12137" t="inlineStr">
        <is>
          <t>VINDELN</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26893-2025</t>
        </is>
      </c>
      <c r="B12138" s="1" t="n">
        <v>45811.33413194444</v>
      </c>
      <c r="C12138" s="1" t="n">
        <v>46145</v>
      </c>
      <c r="D12138" t="inlineStr">
        <is>
          <t>VÄSTERBOTTENS LÄN</t>
        </is>
      </c>
      <c r="E12138" t="inlineStr">
        <is>
          <t>LYCKSELE</t>
        </is>
      </c>
      <c r="F12138" t="inlineStr">
        <is>
          <t>Holmen skog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27049-2025</t>
        </is>
      </c>
      <c r="B12139" s="1" t="n">
        <v>45811.61696759259</v>
      </c>
      <c r="C12139" s="1" t="n">
        <v>46145</v>
      </c>
      <c r="D12139" t="inlineStr">
        <is>
          <t>VÄSTERBOTTENS LÄN</t>
        </is>
      </c>
      <c r="E12139" t="inlineStr">
        <is>
          <t>VINDELN</t>
        </is>
      </c>
      <c r="F12139" t="inlineStr">
        <is>
          <t>Sveaskog</t>
        </is>
      </c>
      <c r="G12139" t="n">
        <v>18.4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27072-2025</t>
        </is>
      </c>
      <c r="B12140" s="1" t="n">
        <v>45811.64100694445</v>
      </c>
      <c r="C12140" s="1" t="n">
        <v>46145</v>
      </c>
      <c r="D12140" t="inlineStr">
        <is>
          <t>VÄSTERBOTTENS LÄN</t>
        </is>
      </c>
      <c r="E12140" t="inlineStr">
        <is>
          <t>LYCKSELE</t>
        </is>
      </c>
      <c r="F12140" t="inlineStr">
        <is>
          <t>Sveaskog</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21600-2024</t>
        </is>
      </c>
      <c r="B12141" s="1" t="n">
        <v>45441</v>
      </c>
      <c r="C12141" s="1" t="n">
        <v>46145</v>
      </c>
      <c r="D12141" t="inlineStr">
        <is>
          <t>VÄSTERBOTTENS LÄN</t>
        </is>
      </c>
      <c r="E12141" t="inlineStr">
        <is>
          <t>NORSJÖ</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26987-2025</t>
        </is>
      </c>
      <c r="B12142" s="1" t="n">
        <v>45811.50929398148</v>
      </c>
      <c r="C12142" s="1" t="n">
        <v>46145</v>
      </c>
      <c r="D12142" t="inlineStr">
        <is>
          <t>VÄSTERBOTTENS LÄN</t>
        </is>
      </c>
      <c r="E12142" t="inlineStr">
        <is>
          <t>ROBERTSFORS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27256-2025</t>
        </is>
      </c>
      <c r="B12143" s="1" t="n">
        <v>45812.47314814815</v>
      </c>
      <c r="C12143" s="1" t="n">
        <v>46145</v>
      </c>
      <c r="D12143" t="inlineStr">
        <is>
          <t>VÄSTERBOTTENS LÄN</t>
        </is>
      </c>
      <c r="E12143" t="inlineStr">
        <is>
          <t>BJURHOLM</t>
        </is>
      </c>
      <c r="G12143" t="n">
        <v>48.1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27588-2025</t>
        </is>
      </c>
      <c r="B12144" s="1" t="n">
        <v>45813.50950231482</v>
      </c>
      <c r="C12144" s="1" t="n">
        <v>46145</v>
      </c>
      <c r="D12144" t="inlineStr">
        <is>
          <t>VÄSTERBOTTENS LÄN</t>
        </is>
      </c>
      <c r="E12144" t="inlineStr">
        <is>
          <t>LYCKSELE</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33995-2024</t>
        </is>
      </c>
      <c r="B12145" s="1" t="n">
        <v>45523</v>
      </c>
      <c r="C12145" s="1" t="n">
        <v>46145</v>
      </c>
      <c r="D12145" t="inlineStr">
        <is>
          <t>VÄSTERBOTTENS LÄN</t>
        </is>
      </c>
      <c r="E12145" t="inlineStr">
        <is>
          <t>NORSJÖ</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27578-2025</t>
        </is>
      </c>
      <c r="B12146" s="1" t="n">
        <v>45813</v>
      </c>
      <c r="C12146" s="1" t="n">
        <v>46145</v>
      </c>
      <c r="D12146" t="inlineStr">
        <is>
          <t>VÄSTERBOTTENS LÄN</t>
        </is>
      </c>
      <c r="E12146" t="inlineStr">
        <is>
          <t>SKELLEFTEÅ</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27579-2025</t>
        </is>
      </c>
      <c r="B12147" s="1" t="n">
        <v>45813</v>
      </c>
      <c r="C12147" s="1" t="n">
        <v>46145</v>
      </c>
      <c r="D12147" t="inlineStr">
        <is>
          <t>VÄSTERBOTTENS LÄN</t>
        </is>
      </c>
      <c r="E12147" t="inlineStr">
        <is>
          <t>SKELLEFTEÅ</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27597-2025</t>
        </is>
      </c>
      <c r="B12148" s="1" t="n">
        <v>45813.52341435185</v>
      </c>
      <c r="C12148" s="1" t="n">
        <v>46145</v>
      </c>
      <c r="D12148" t="inlineStr">
        <is>
          <t>VÄSTERBOTTENS LÄN</t>
        </is>
      </c>
      <c r="E12148" t="inlineStr">
        <is>
          <t>BJURHOLM</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27654-2025</t>
        </is>
      </c>
      <c r="B12149" s="1" t="n">
        <v>45813.60324074074</v>
      </c>
      <c r="C12149" s="1" t="n">
        <v>46145</v>
      </c>
      <c r="D12149" t="inlineStr">
        <is>
          <t>VÄSTERBOTTENS LÄN</t>
        </is>
      </c>
      <c r="E12149" t="inlineStr">
        <is>
          <t>VINDELN</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27681-2025</t>
        </is>
      </c>
      <c r="B12150" s="1" t="n">
        <v>45813.646875</v>
      </c>
      <c r="C12150" s="1" t="n">
        <v>46145</v>
      </c>
      <c r="D12150" t="inlineStr">
        <is>
          <t>VÄSTERBOTTENS LÄN</t>
        </is>
      </c>
      <c r="E12150" t="inlineStr">
        <is>
          <t>UMEÅ</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13563-2023</t>
        </is>
      </c>
      <c r="B12151" s="1" t="n">
        <v>45006.48116898148</v>
      </c>
      <c r="C12151" s="1" t="n">
        <v>46145</v>
      </c>
      <c r="D12151" t="inlineStr">
        <is>
          <t>VÄSTERBOTTENS LÄN</t>
        </is>
      </c>
      <c r="E12151" t="inlineStr">
        <is>
          <t>LYCKSELE</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27627-2025</t>
        </is>
      </c>
      <c r="B12152" s="1" t="n">
        <v>45813.55851851852</v>
      </c>
      <c r="C12152" s="1" t="n">
        <v>46145</v>
      </c>
      <c r="D12152" t="inlineStr">
        <is>
          <t>VÄSTERBOTTENS LÄN</t>
        </is>
      </c>
      <c r="E12152" t="inlineStr">
        <is>
          <t>VINDELN</t>
        </is>
      </c>
      <c r="F12152" t="inlineStr">
        <is>
          <t>Holmen skog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27612-2025</t>
        </is>
      </c>
      <c r="B12153" s="1" t="n">
        <v>45813.53979166667</v>
      </c>
      <c r="C12153" s="1" t="n">
        <v>46145</v>
      </c>
      <c r="D12153" t="inlineStr">
        <is>
          <t>VÄSTERBOTTENS LÄN</t>
        </is>
      </c>
      <c r="E12153" t="inlineStr">
        <is>
          <t>BJURHOLM</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27657-2025</t>
        </is>
      </c>
      <c r="B12154" s="1" t="n">
        <v>45813.61297453703</v>
      </c>
      <c r="C12154" s="1" t="n">
        <v>46145</v>
      </c>
      <c r="D12154" t="inlineStr">
        <is>
          <t>VÄSTERBOTTENS LÄN</t>
        </is>
      </c>
      <c r="E12154" t="inlineStr">
        <is>
          <t>VINDELN</t>
        </is>
      </c>
      <c r="F12154" t="inlineStr">
        <is>
          <t>Holmen skog AB</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27687-2025</t>
        </is>
      </c>
      <c r="B12155" s="1" t="n">
        <v>45813.654375</v>
      </c>
      <c r="C12155" s="1" t="n">
        <v>46145</v>
      </c>
      <c r="D12155" t="inlineStr">
        <is>
          <t>VÄSTERBOTTENS LÄN</t>
        </is>
      </c>
      <c r="E12155" t="inlineStr">
        <is>
          <t>ROBERTSFORS</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18850-2024</t>
        </is>
      </c>
      <c r="B12156" s="1" t="n">
        <v>45426</v>
      </c>
      <c r="C12156" s="1" t="n">
        <v>46145</v>
      </c>
      <c r="D12156" t="inlineStr">
        <is>
          <t>VÄSTERBOTTENS LÄN</t>
        </is>
      </c>
      <c r="E12156" t="inlineStr">
        <is>
          <t>NORSJÖ</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27641-2025</t>
        </is>
      </c>
      <c r="B12157" s="1" t="n">
        <v>45813.58498842592</v>
      </c>
      <c r="C12157" s="1" t="n">
        <v>46145</v>
      </c>
      <c r="D12157" t="inlineStr">
        <is>
          <t>VÄSTERBOTTENS LÄN</t>
        </is>
      </c>
      <c r="E12157" t="inlineStr">
        <is>
          <t>SKELLEFTEÅ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27471-2025</t>
        </is>
      </c>
      <c r="B12158" s="1" t="n">
        <v>45813.36581018518</v>
      </c>
      <c r="C12158" s="1" t="n">
        <v>46145</v>
      </c>
      <c r="D12158" t="inlineStr">
        <is>
          <t>VÄSTERBOTTENS LÄN</t>
        </is>
      </c>
      <c r="E12158" t="inlineStr">
        <is>
          <t>LYCKSELE</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27564-2025</t>
        </is>
      </c>
      <c r="B12159" s="1" t="n">
        <v>45813.48702546296</v>
      </c>
      <c r="C12159" s="1" t="n">
        <v>46145</v>
      </c>
      <c r="D12159" t="inlineStr">
        <is>
          <t>VÄSTERBOTTENS LÄN</t>
        </is>
      </c>
      <c r="E12159" t="inlineStr">
        <is>
          <t>LYCKSELE</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27568-2025</t>
        </is>
      </c>
      <c r="B12160" s="1" t="n">
        <v>45813.49008101852</v>
      </c>
      <c r="C12160" s="1" t="n">
        <v>46145</v>
      </c>
      <c r="D12160" t="inlineStr">
        <is>
          <t>VÄSTERBOTTENS LÄN</t>
        </is>
      </c>
      <c r="E12160" t="inlineStr">
        <is>
          <t>VINDELN</t>
        </is>
      </c>
      <c r="F12160" t="inlineStr">
        <is>
          <t>SCA</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27595-2025</t>
        </is>
      </c>
      <c r="B12161" s="1" t="n">
        <v>45813.52065972222</v>
      </c>
      <c r="C12161" s="1" t="n">
        <v>46145</v>
      </c>
      <c r="D12161" t="inlineStr">
        <is>
          <t>VÄSTERBOTTENS LÄN</t>
        </is>
      </c>
      <c r="E12161" t="inlineStr">
        <is>
          <t>LYCKSELE</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27610-2025</t>
        </is>
      </c>
      <c r="B12162" s="1" t="n">
        <v>45813.53611111111</v>
      </c>
      <c r="C12162" s="1" t="n">
        <v>46145</v>
      </c>
      <c r="D12162" t="inlineStr">
        <is>
          <t>VÄSTERBOTTENS LÄN</t>
        </is>
      </c>
      <c r="E12162" t="inlineStr">
        <is>
          <t>LYCKSELE</t>
        </is>
      </c>
      <c r="F12162" t="inlineStr">
        <is>
          <t>Holmen skog AB</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48093-2024</t>
        </is>
      </c>
      <c r="B12163" s="1" t="n">
        <v>45589.60805555555</v>
      </c>
      <c r="C12163" s="1" t="n">
        <v>46145</v>
      </c>
      <c r="D12163" t="inlineStr">
        <is>
          <t>VÄSTERBOTTENS LÄN</t>
        </is>
      </c>
      <c r="E12163" t="inlineStr">
        <is>
          <t>SKELLEFTEÅ</t>
        </is>
      </c>
      <c r="F12163" t="inlineStr">
        <is>
          <t>Holmen skog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27442-2025</t>
        </is>
      </c>
      <c r="B12164" s="1" t="n">
        <v>45813.31957175926</v>
      </c>
      <c r="C12164" s="1" t="n">
        <v>46145</v>
      </c>
      <c r="D12164" t="inlineStr">
        <is>
          <t>VÄSTERBOTTENS LÄN</t>
        </is>
      </c>
      <c r="E12164" t="inlineStr">
        <is>
          <t>SKELLEFTEÅ</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27428-2025</t>
        </is>
      </c>
      <c r="B12165" s="1" t="n">
        <v>45813.28868055555</v>
      </c>
      <c r="C12165" s="1" t="n">
        <v>46145</v>
      </c>
      <c r="D12165" t="inlineStr">
        <is>
          <t>VÄSTERBOTTENS LÄN</t>
        </is>
      </c>
      <c r="E12165" t="inlineStr">
        <is>
          <t>VINDELN</t>
        </is>
      </c>
      <c r="F12165" t="inlineStr">
        <is>
          <t>Holmen skog AB</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27698-2025</t>
        </is>
      </c>
      <c r="B12166" s="1" t="n">
        <v>45813.67741898148</v>
      </c>
      <c r="C12166" s="1" t="n">
        <v>46145</v>
      </c>
      <c r="D12166" t="inlineStr">
        <is>
          <t>VÄSTERBOTTENS LÄN</t>
        </is>
      </c>
      <c r="E12166" t="inlineStr">
        <is>
          <t>ÅSELE</t>
        </is>
      </c>
      <c r="F12166" t="inlineStr">
        <is>
          <t>SCA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27699-2025</t>
        </is>
      </c>
      <c r="B12167" s="1" t="n">
        <v>45813.67763888889</v>
      </c>
      <c r="C12167" s="1" t="n">
        <v>46145</v>
      </c>
      <c r="D12167" t="inlineStr">
        <is>
          <t>VÄSTERBOTTENS LÄN</t>
        </is>
      </c>
      <c r="E12167" t="inlineStr">
        <is>
          <t>VINDELN</t>
        </is>
      </c>
      <c r="F12167" t="inlineStr">
        <is>
          <t>SCA</t>
        </is>
      </c>
      <c r="G12167" t="n">
        <v>25.3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27722-2025</t>
        </is>
      </c>
      <c r="B12168" s="1" t="n">
        <v>45814</v>
      </c>
      <c r="C12168" s="1" t="n">
        <v>46145</v>
      </c>
      <c r="D12168" t="inlineStr">
        <is>
          <t>VÄSTERBOTTENS LÄN</t>
        </is>
      </c>
      <c r="E12168" t="inlineStr">
        <is>
          <t>ÅSELE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27614-2025</t>
        </is>
      </c>
      <c r="B12169" s="1" t="n">
        <v>45813.54122685185</v>
      </c>
      <c r="C12169" s="1" t="n">
        <v>46145</v>
      </c>
      <c r="D12169" t="inlineStr">
        <is>
          <t>VÄSTERBOTTENS LÄN</t>
        </is>
      </c>
      <c r="E12169" t="inlineStr">
        <is>
          <t>BJURHOLM</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27720-2025</t>
        </is>
      </c>
      <c r="B12170" s="1" t="n">
        <v>45814</v>
      </c>
      <c r="C12170" s="1" t="n">
        <v>46145</v>
      </c>
      <c r="D12170" t="inlineStr">
        <is>
          <t>VÄSTERBOTTENS LÄN</t>
        </is>
      </c>
      <c r="E12170" t="inlineStr">
        <is>
          <t>ÅSELE</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27689-2025</t>
        </is>
      </c>
      <c r="B12171" s="1" t="n">
        <v>45813.65648148148</v>
      </c>
      <c r="C12171" s="1" t="n">
        <v>46145</v>
      </c>
      <c r="D12171" t="inlineStr">
        <is>
          <t>VÄSTERBOTTENS LÄN</t>
        </is>
      </c>
      <c r="E12171" t="inlineStr">
        <is>
          <t>UMEÅ</t>
        </is>
      </c>
      <c r="F12171" t="inlineStr">
        <is>
          <t>Holmen skog AB</t>
        </is>
      </c>
      <c r="G12171" t="n">
        <v>6.7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48089-2024</t>
        </is>
      </c>
      <c r="B12172" s="1" t="n">
        <v>45589</v>
      </c>
      <c r="C12172" s="1" t="n">
        <v>46145</v>
      </c>
      <c r="D12172" t="inlineStr">
        <is>
          <t>VÄSTERBOTTENS LÄN</t>
        </is>
      </c>
      <c r="E12172" t="inlineStr">
        <is>
          <t>MALÅ</t>
        </is>
      </c>
      <c r="F12172" t="inlineStr">
        <is>
          <t>SCA</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27479-2025</t>
        </is>
      </c>
      <c r="B12173" s="1" t="n">
        <v>45813.37797453703</v>
      </c>
      <c r="C12173" s="1" t="n">
        <v>46145</v>
      </c>
      <c r="D12173" t="inlineStr">
        <is>
          <t>VÄSTERBOTTENS LÄN</t>
        </is>
      </c>
      <c r="E12173" t="inlineStr">
        <is>
          <t>ROBERTSFORS</t>
        </is>
      </c>
      <c r="F12173" t="inlineStr">
        <is>
          <t>Holmen skog AB</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27715-2025</t>
        </is>
      </c>
      <c r="B12174" s="1" t="n">
        <v>45813.92237268519</v>
      </c>
      <c r="C12174" s="1" t="n">
        <v>46145</v>
      </c>
      <c r="D12174" t="inlineStr">
        <is>
          <t>VÄSTERBOTTENS LÄN</t>
        </is>
      </c>
      <c r="E12174" t="inlineStr">
        <is>
          <t>SKELLEFTEÅ</t>
        </is>
      </c>
      <c r="F12174" t="inlineStr">
        <is>
          <t>Sveaskog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27695-2025</t>
        </is>
      </c>
      <c r="B12175" s="1" t="n">
        <v>45813.65725694445</v>
      </c>
      <c r="C12175" s="1" t="n">
        <v>46145</v>
      </c>
      <c r="D12175" t="inlineStr">
        <is>
          <t>VÄSTERBOTTENS LÄN</t>
        </is>
      </c>
      <c r="E12175" t="inlineStr">
        <is>
          <t>VINDELN</t>
        </is>
      </c>
      <c r="F12175" t="inlineStr">
        <is>
          <t>SCA</t>
        </is>
      </c>
      <c r="G12175" t="n">
        <v>20.5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27721-2025</t>
        </is>
      </c>
      <c r="B12176" s="1" t="n">
        <v>45814</v>
      </c>
      <c r="C12176" s="1" t="n">
        <v>46145</v>
      </c>
      <c r="D12176" t="inlineStr">
        <is>
          <t>VÄSTERBOTTENS LÄN</t>
        </is>
      </c>
      <c r="E12176" t="inlineStr">
        <is>
          <t>ÅSELE</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27723-2025</t>
        </is>
      </c>
      <c r="B12177" s="1" t="n">
        <v>45814.39700231481</v>
      </c>
      <c r="C12177" s="1" t="n">
        <v>46145</v>
      </c>
      <c r="D12177" t="inlineStr">
        <is>
          <t>VÄSTERBOTTENS LÄN</t>
        </is>
      </c>
      <c r="E12177" t="inlineStr">
        <is>
          <t>ÅSELE</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27643-2025</t>
        </is>
      </c>
      <c r="B12178" s="1" t="n">
        <v>45813.59416666667</v>
      </c>
      <c r="C12178" s="1" t="n">
        <v>46145</v>
      </c>
      <c r="D12178" t="inlineStr">
        <is>
          <t>VÄSTERBOTTENS LÄN</t>
        </is>
      </c>
      <c r="E12178" t="inlineStr">
        <is>
          <t>LYCKSELE</t>
        </is>
      </c>
      <c r="F12178" t="inlineStr">
        <is>
          <t>SCA</t>
        </is>
      </c>
      <c r="G12178" t="n">
        <v>6.3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27645-2025</t>
        </is>
      </c>
      <c r="B12179" s="1" t="n">
        <v>45813.59431712963</v>
      </c>
      <c r="C12179" s="1" t="n">
        <v>46145</v>
      </c>
      <c r="D12179" t="inlineStr">
        <is>
          <t>VÄSTERBOTTENS LÄN</t>
        </is>
      </c>
      <c r="E12179" t="inlineStr">
        <is>
          <t>VINDELN</t>
        </is>
      </c>
      <c r="F12179" t="inlineStr">
        <is>
          <t>SCA</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27433-2025</t>
        </is>
      </c>
      <c r="B12180" s="1" t="n">
        <v>45813.31068287037</v>
      </c>
      <c r="C12180" s="1" t="n">
        <v>46145</v>
      </c>
      <c r="D12180" t="inlineStr">
        <is>
          <t>VÄSTERBOTTENS LÄN</t>
        </is>
      </c>
      <c r="E12180" t="inlineStr">
        <is>
          <t>SKELLEFTEÅ</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27601-2025</t>
        </is>
      </c>
      <c r="B12181" s="1" t="n">
        <v>45813.52791666667</v>
      </c>
      <c r="C12181" s="1" t="n">
        <v>46145</v>
      </c>
      <c r="D12181" t="inlineStr">
        <is>
          <t>VÄSTERBOTTENS LÄN</t>
        </is>
      </c>
      <c r="E12181" t="inlineStr">
        <is>
          <t>VILHELMINA</t>
        </is>
      </c>
      <c r="F12181" t="inlineStr">
        <is>
          <t>Övriga statliga verk och myndigheter</t>
        </is>
      </c>
      <c r="G12181" t="n">
        <v>36.5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27621-2025</t>
        </is>
      </c>
      <c r="B12182" s="1" t="n">
        <v>45813.55248842593</v>
      </c>
      <c r="C12182" s="1" t="n">
        <v>46145</v>
      </c>
      <c r="D12182" t="inlineStr">
        <is>
          <t>VÄSTERBOTTENS LÄN</t>
        </is>
      </c>
      <c r="E12182" t="inlineStr">
        <is>
          <t>DOROTEA</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27464-2025</t>
        </is>
      </c>
      <c r="B12183" s="1" t="n">
        <v>45813</v>
      </c>
      <c r="C12183" s="1" t="n">
        <v>46145</v>
      </c>
      <c r="D12183" t="inlineStr">
        <is>
          <t>VÄSTERBOTTENS LÄN</t>
        </is>
      </c>
      <c r="E12183" t="inlineStr">
        <is>
          <t>ÅSELE</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27477-2025</t>
        </is>
      </c>
      <c r="B12184" s="1" t="n">
        <v>45813.37619212963</v>
      </c>
      <c r="C12184" s="1" t="n">
        <v>46145</v>
      </c>
      <c r="D12184" t="inlineStr">
        <is>
          <t>VÄSTERBOTTENS LÄN</t>
        </is>
      </c>
      <c r="E12184" t="inlineStr">
        <is>
          <t>SKELLEFTEÅ</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27541-2025</t>
        </is>
      </c>
      <c r="B12185" s="1" t="n">
        <v>45813.46613425926</v>
      </c>
      <c r="C12185" s="1" t="n">
        <v>46145</v>
      </c>
      <c r="D12185" t="inlineStr">
        <is>
          <t>VÄSTERBOTTENS LÄN</t>
        </is>
      </c>
      <c r="E12185" t="inlineStr">
        <is>
          <t>ROBERTSFORS</t>
        </is>
      </c>
      <c r="G12185" t="n">
        <v>7.6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35168-2024</t>
        </is>
      </c>
      <c r="B12186" s="1" t="n">
        <v>45530.40608796296</v>
      </c>
      <c r="C12186" s="1" t="n">
        <v>46145</v>
      </c>
      <c r="D12186" t="inlineStr">
        <is>
          <t>VÄSTERBOTTENS LÄN</t>
        </is>
      </c>
      <c r="E12186" t="inlineStr">
        <is>
          <t>SKELLEFTEÅ</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27437-2025</t>
        </is>
      </c>
      <c r="B12187" s="1" t="n">
        <v>45813.31398148148</v>
      </c>
      <c r="C12187" s="1" t="n">
        <v>46145</v>
      </c>
      <c r="D12187" t="inlineStr">
        <is>
          <t>VÄSTERBOTTENS LÄN</t>
        </is>
      </c>
      <c r="E12187" t="inlineStr">
        <is>
          <t>SKELLEFTEÅ</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19219-2025</t>
        </is>
      </c>
      <c r="B12188" s="1" t="n">
        <v>45769.44732638889</v>
      </c>
      <c r="C12188" s="1" t="n">
        <v>46145</v>
      </c>
      <c r="D12188" t="inlineStr">
        <is>
          <t>VÄSTERBOTTENS LÄN</t>
        </is>
      </c>
      <c r="E12188" t="inlineStr">
        <is>
          <t>UMEÅ</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27945-2025</t>
        </is>
      </c>
      <c r="B12189" s="1" t="n">
        <v>45817</v>
      </c>
      <c r="C12189" s="1" t="n">
        <v>46145</v>
      </c>
      <c r="D12189" t="inlineStr">
        <is>
          <t>VÄSTERBOTTENS LÄN</t>
        </is>
      </c>
      <c r="E12189" t="inlineStr">
        <is>
          <t>VILHELMINA</t>
        </is>
      </c>
      <c r="F12189" t="inlineStr">
        <is>
          <t>SCA</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28014-2025</t>
        </is>
      </c>
      <c r="B12190" s="1" t="n">
        <v>45817</v>
      </c>
      <c r="C12190" s="1" t="n">
        <v>46145</v>
      </c>
      <c r="D12190" t="inlineStr">
        <is>
          <t>VÄSTERBOTTENS LÄN</t>
        </is>
      </c>
      <c r="E12190" t="inlineStr">
        <is>
          <t>VINDELN</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28221-2025</t>
        </is>
      </c>
      <c r="B12191" s="1" t="n">
        <v>45818</v>
      </c>
      <c r="C12191" s="1" t="n">
        <v>46145</v>
      </c>
      <c r="D12191" t="inlineStr">
        <is>
          <t>VÄSTERBOTTENS LÄN</t>
        </is>
      </c>
      <c r="E12191" t="inlineStr">
        <is>
          <t>SKELLEFTEÅ</t>
        </is>
      </c>
      <c r="F12191" t="inlineStr">
        <is>
          <t>Holmen skog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28348-2025</t>
        </is>
      </c>
      <c r="B12192" s="1" t="n">
        <v>45818.71905092592</v>
      </c>
      <c r="C12192" s="1" t="n">
        <v>46145</v>
      </c>
      <c r="D12192" t="inlineStr">
        <is>
          <t>VÄSTERBOTTENS LÄN</t>
        </is>
      </c>
      <c r="E12192" t="inlineStr">
        <is>
          <t>DOROTEA</t>
        </is>
      </c>
      <c r="G12192" t="n">
        <v>14.3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28156-2025</t>
        </is>
      </c>
      <c r="B12193" s="1" t="n">
        <v>45818.36496527777</v>
      </c>
      <c r="C12193" s="1" t="n">
        <v>46145</v>
      </c>
      <c r="D12193" t="inlineStr">
        <is>
          <t>VÄSTERBOTTENS LÄN</t>
        </is>
      </c>
      <c r="E12193" t="inlineStr">
        <is>
          <t>DOROTEA</t>
        </is>
      </c>
      <c r="F12193" t="inlineStr">
        <is>
          <t>SCA</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21081-2024</t>
        </is>
      </c>
      <c r="B12194" s="1" t="n">
        <v>45439</v>
      </c>
      <c r="C12194" s="1" t="n">
        <v>46145</v>
      </c>
      <c r="D12194" t="inlineStr">
        <is>
          <t>VÄSTERBOTTENS LÄN</t>
        </is>
      </c>
      <c r="E12194" t="inlineStr">
        <is>
          <t>UMEÅ</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28330-2025</t>
        </is>
      </c>
      <c r="B12195" s="1" t="n">
        <v>45818.65878472223</v>
      </c>
      <c r="C12195" s="1" t="n">
        <v>46145</v>
      </c>
      <c r="D12195" t="inlineStr">
        <is>
          <t>VÄSTERBOTTENS LÄN</t>
        </is>
      </c>
      <c r="E12195" t="inlineStr">
        <is>
          <t>ROBERTSFORS</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35374-2024</t>
        </is>
      </c>
      <c r="B12196" s="1" t="n">
        <v>45531.37258101852</v>
      </c>
      <c r="C12196" s="1" t="n">
        <v>46145</v>
      </c>
      <c r="D12196" t="inlineStr">
        <is>
          <t>VÄSTERBOTTENS LÄN</t>
        </is>
      </c>
      <c r="E12196" t="inlineStr">
        <is>
          <t>STORUMAN</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28002-2025</t>
        </is>
      </c>
      <c r="B12197" s="1" t="n">
        <v>45817.59523148148</v>
      </c>
      <c r="C12197" s="1" t="n">
        <v>46145</v>
      </c>
      <c r="D12197" t="inlineStr">
        <is>
          <t>VÄSTERBOTTENS LÄN</t>
        </is>
      </c>
      <c r="E12197" t="inlineStr">
        <is>
          <t>DOROTEA</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28114-2025</t>
        </is>
      </c>
      <c r="B12198" s="1" t="n">
        <v>45817.96760416667</v>
      </c>
      <c r="C12198" s="1" t="n">
        <v>46145</v>
      </c>
      <c r="D12198" t="inlineStr">
        <is>
          <t>VÄSTERBOTTENS LÄN</t>
        </is>
      </c>
      <c r="E12198" t="inlineStr">
        <is>
          <t>SKELLEFTEÅ</t>
        </is>
      </c>
      <c r="F12198" t="inlineStr">
        <is>
          <t>Sveaskog</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27735-2025</t>
        </is>
      </c>
      <c r="B12199" s="1" t="n">
        <v>45815</v>
      </c>
      <c r="C12199" s="1" t="n">
        <v>46145</v>
      </c>
      <c r="D12199" t="inlineStr">
        <is>
          <t>VÄSTERBOTTENS LÄN</t>
        </is>
      </c>
      <c r="E12199" t="inlineStr">
        <is>
          <t>LYCKSELE</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27736-2025</t>
        </is>
      </c>
      <c r="B12200" s="1" t="n">
        <v>45815.323125</v>
      </c>
      <c r="C12200" s="1" t="n">
        <v>46145</v>
      </c>
      <c r="D12200" t="inlineStr">
        <is>
          <t>VÄSTERBOTTENS LÄN</t>
        </is>
      </c>
      <c r="E12200" t="inlineStr">
        <is>
          <t>LYCKSELE</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28066-2025</t>
        </is>
      </c>
      <c r="B12201" s="1" t="n">
        <v>45817</v>
      </c>
      <c r="C12201" s="1" t="n">
        <v>46145</v>
      </c>
      <c r="D12201" t="inlineStr">
        <is>
          <t>VÄSTERBOTTENS LÄN</t>
        </is>
      </c>
      <c r="E12201" t="inlineStr">
        <is>
          <t>ÅSELE</t>
        </is>
      </c>
      <c r="F12201" t="inlineStr">
        <is>
          <t>Sveaskog</t>
        </is>
      </c>
      <c r="G12201" t="n">
        <v>7.1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27869-2025</t>
        </is>
      </c>
      <c r="B12202" s="1" t="n">
        <v>45817.42847222222</v>
      </c>
      <c r="C12202" s="1" t="n">
        <v>46145</v>
      </c>
      <c r="D12202" t="inlineStr">
        <is>
          <t>VÄSTERBOTTENS LÄN</t>
        </is>
      </c>
      <c r="E12202" t="inlineStr">
        <is>
          <t>SKELLEFTEÅ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21965-2025</t>
        </is>
      </c>
      <c r="B12203" s="1" t="n">
        <v>45784</v>
      </c>
      <c r="C12203" s="1" t="n">
        <v>46145</v>
      </c>
      <c r="D12203" t="inlineStr">
        <is>
          <t>VÄSTERBOTTENS LÄN</t>
        </is>
      </c>
      <c r="E12203" t="inlineStr">
        <is>
          <t>VILHELMINA</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27875-2025</t>
        </is>
      </c>
      <c r="B12204" s="1" t="n">
        <v>45817.43524305556</v>
      </c>
      <c r="C12204" s="1" t="n">
        <v>46145</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29277-2023</t>
        </is>
      </c>
      <c r="B12205" s="1" t="n">
        <v>45105.70230324074</v>
      </c>
      <c r="C12205" s="1" t="n">
        <v>46145</v>
      </c>
      <c r="D12205" t="inlineStr">
        <is>
          <t>VÄSTERBOTTENS LÄN</t>
        </is>
      </c>
      <c r="E12205" t="inlineStr">
        <is>
          <t>LYCKSELE</t>
        </is>
      </c>
      <c r="F12205" t="inlineStr">
        <is>
          <t>Naturvårdsverket</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28019-2025</t>
        </is>
      </c>
      <c r="B12206" s="1" t="n">
        <v>45817.61545138889</v>
      </c>
      <c r="C12206" s="1" t="n">
        <v>46145</v>
      </c>
      <c r="D12206" t="inlineStr">
        <is>
          <t>VÄSTERBOTTENS LÄN</t>
        </is>
      </c>
      <c r="E12206" t="inlineStr">
        <is>
          <t>VILHELMINA</t>
        </is>
      </c>
      <c r="F12206" t="inlineStr">
        <is>
          <t>SCA</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27843-2025</t>
        </is>
      </c>
      <c r="B12207" s="1" t="n">
        <v>45817.38577546296</v>
      </c>
      <c r="C12207" s="1" t="n">
        <v>46145</v>
      </c>
      <c r="D12207" t="inlineStr">
        <is>
          <t>VÄSTERBOTTENS LÄN</t>
        </is>
      </c>
      <c r="E12207" t="inlineStr">
        <is>
          <t>DOROTEA</t>
        </is>
      </c>
      <c r="F12207" t="inlineStr">
        <is>
          <t>SCA</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3944-2022</t>
        </is>
      </c>
      <c r="B12208" s="1" t="n">
        <v>44587</v>
      </c>
      <c r="C12208" s="1" t="n">
        <v>46145</v>
      </c>
      <c r="D12208" t="inlineStr">
        <is>
          <t>VÄSTERBOTTENS LÄN</t>
        </is>
      </c>
      <c r="E12208" t="inlineStr">
        <is>
          <t>SKELLEFTEÅ</t>
        </is>
      </c>
      <c r="F12208" t="inlineStr">
        <is>
          <t>Kommuner</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28495-2025</t>
        </is>
      </c>
      <c r="B12209" s="1" t="n">
        <v>45818</v>
      </c>
      <c r="C12209" s="1" t="n">
        <v>46145</v>
      </c>
      <c r="D12209" t="inlineStr">
        <is>
          <t>VÄSTERBOTTENS LÄN</t>
        </is>
      </c>
      <c r="E12209" t="inlineStr">
        <is>
          <t>ÅSELE</t>
        </is>
      </c>
      <c r="G12209" t="n">
        <v>37.6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30161-2024</t>
        </is>
      </c>
      <c r="B12210" s="1" t="n">
        <v>45488</v>
      </c>
      <c r="C12210" s="1" t="n">
        <v>46145</v>
      </c>
      <c r="D12210" t="inlineStr">
        <is>
          <t>VÄSTERBOTTENS LÄN</t>
        </is>
      </c>
      <c r="E12210" t="inlineStr">
        <is>
          <t>LYCKSELE</t>
        </is>
      </c>
      <c r="F12210" t="inlineStr">
        <is>
          <t>Sveaskog</t>
        </is>
      </c>
      <c r="G12210" t="n">
        <v>16.1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27876-2025</t>
        </is>
      </c>
      <c r="B12211" s="1" t="n">
        <v>45817.43787037037</v>
      </c>
      <c r="C12211" s="1" t="n">
        <v>46145</v>
      </c>
      <c r="D12211" t="inlineStr">
        <is>
          <t>VÄSTERBOTTENS LÄN</t>
        </is>
      </c>
      <c r="E12211" t="inlineStr">
        <is>
          <t>SKELLEFTEÅ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28306-2025</t>
        </is>
      </c>
      <c r="B12212" s="1" t="n">
        <v>45818.61637731481</v>
      </c>
      <c r="C12212" s="1" t="n">
        <v>46145</v>
      </c>
      <c r="D12212" t="inlineStr">
        <is>
          <t>VÄSTERBOTTENS LÄN</t>
        </is>
      </c>
      <c r="E12212" t="inlineStr">
        <is>
          <t>LYCKSELE</t>
        </is>
      </c>
      <c r="F12212" t="inlineStr">
        <is>
          <t>Sveaskog</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28311-2025</t>
        </is>
      </c>
      <c r="B12213" s="1" t="n">
        <v>45818.62216435185</v>
      </c>
      <c r="C12213" s="1" t="n">
        <v>46145</v>
      </c>
      <c r="D12213" t="inlineStr">
        <is>
          <t>VÄSTERBOTTENS LÄN</t>
        </is>
      </c>
      <c r="E12213" t="inlineStr">
        <is>
          <t>SKELLEFTEÅ</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27943-2025</t>
        </is>
      </c>
      <c r="B12214" s="1" t="n">
        <v>45817.51078703703</v>
      </c>
      <c r="C12214" s="1" t="n">
        <v>46145</v>
      </c>
      <c r="D12214" t="inlineStr">
        <is>
          <t>VÄSTERBOTTENS LÄN</t>
        </is>
      </c>
      <c r="E12214" t="inlineStr">
        <is>
          <t>VILHELMINA</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27952-2025</t>
        </is>
      </c>
      <c r="B12215" s="1" t="n">
        <v>45817.53157407408</v>
      </c>
      <c r="C12215" s="1" t="n">
        <v>46145</v>
      </c>
      <c r="D12215" t="inlineStr">
        <is>
          <t>VÄSTERBOTTENS LÄN</t>
        </is>
      </c>
      <c r="E12215" t="inlineStr">
        <is>
          <t>VILHELMINA</t>
        </is>
      </c>
      <c r="F12215" t="inlineStr">
        <is>
          <t>SCA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28337-2025</t>
        </is>
      </c>
      <c r="B12216" s="1" t="n">
        <v>45817</v>
      </c>
      <c r="C12216" s="1" t="n">
        <v>46145</v>
      </c>
      <c r="D12216" t="inlineStr">
        <is>
          <t>VÄSTERBOTTENS LÄN</t>
        </is>
      </c>
      <c r="E12216" t="inlineStr">
        <is>
          <t>SKELLEFTEÅ</t>
        </is>
      </c>
      <c r="G12216" t="n">
        <v>16.4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27744-2025</t>
        </is>
      </c>
      <c r="B12217" s="1" t="n">
        <v>45815.60288194445</v>
      </c>
      <c r="C12217" s="1" t="n">
        <v>46145</v>
      </c>
      <c r="D12217" t="inlineStr">
        <is>
          <t>VÄSTERBOTTENS LÄN</t>
        </is>
      </c>
      <c r="E12217" t="inlineStr">
        <is>
          <t>SORSELE</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27746-2025</t>
        </is>
      </c>
      <c r="B12218" s="1" t="n">
        <v>45815.64054398148</v>
      </c>
      <c r="C12218" s="1" t="n">
        <v>46145</v>
      </c>
      <c r="D12218" t="inlineStr">
        <is>
          <t>VÄSTERBOTTENS LÄN</t>
        </is>
      </c>
      <c r="E12218" t="inlineStr">
        <is>
          <t>SORSELE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27877-2025</t>
        </is>
      </c>
      <c r="B12219" s="1" t="n">
        <v>45817.44212962963</v>
      </c>
      <c r="C12219" s="1" t="n">
        <v>46145</v>
      </c>
      <c r="D12219" t="inlineStr">
        <is>
          <t>VÄSTERBOTTENS LÄN</t>
        </is>
      </c>
      <c r="E12219" t="inlineStr">
        <is>
          <t>SKELLEFTEÅ</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28016-2025</t>
        </is>
      </c>
      <c r="B12220" s="1" t="n">
        <v>45817.61506944444</v>
      </c>
      <c r="C12220" s="1" t="n">
        <v>46145</v>
      </c>
      <c r="D12220" t="inlineStr">
        <is>
          <t>VÄSTERBOTTENS LÄN</t>
        </is>
      </c>
      <c r="E12220" t="inlineStr">
        <is>
          <t>VILHELMINA</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3544-2025</t>
        </is>
      </c>
      <c r="B12221" s="1" t="n">
        <v>45680.64877314815</v>
      </c>
      <c r="C12221" s="1" t="n">
        <v>46145</v>
      </c>
      <c r="D12221" t="inlineStr">
        <is>
          <t>VÄSTERBOTTENS LÄN</t>
        </is>
      </c>
      <c r="E12221" t="inlineStr">
        <is>
          <t>STORUMAN</t>
        </is>
      </c>
      <c r="G12221" t="n">
        <v>19.3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5039-2025</t>
        </is>
      </c>
      <c r="B12222" s="1" t="n">
        <v>45691</v>
      </c>
      <c r="C12222" s="1" t="n">
        <v>46145</v>
      </c>
      <c r="D12222" t="inlineStr">
        <is>
          <t>VÄSTERBOTTENS LÄN</t>
        </is>
      </c>
      <c r="E12222" t="inlineStr">
        <is>
          <t>LYCKSELE</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28316-2025</t>
        </is>
      </c>
      <c r="B12223" s="1" t="n">
        <v>45818.62799768519</v>
      </c>
      <c r="C12223" s="1" t="n">
        <v>46145</v>
      </c>
      <c r="D12223" t="inlineStr">
        <is>
          <t>VÄSTERBOTTENS LÄN</t>
        </is>
      </c>
      <c r="E12223" t="inlineStr">
        <is>
          <t>SKELLEFTEÅ</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28327-2025</t>
        </is>
      </c>
      <c r="B12224" s="1" t="n">
        <v>45817</v>
      </c>
      <c r="C12224" s="1" t="n">
        <v>46145</v>
      </c>
      <c r="D12224" t="inlineStr">
        <is>
          <t>VÄSTERBOTTENS LÄN</t>
        </is>
      </c>
      <c r="E12224" t="inlineStr">
        <is>
          <t>SKELLEFTEÅ</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28050-2025</t>
        </is>
      </c>
      <c r="B12225" s="1" t="n">
        <v>45817.65658564815</v>
      </c>
      <c r="C12225" s="1" t="n">
        <v>46145</v>
      </c>
      <c r="D12225" t="inlineStr">
        <is>
          <t>VÄSTERBOTTENS LÄN</t>
        </is>
      </c>
      <c r="E12225" t="inlineStr">
        <is>
          <t>VILHELMINA</t>
        </is>
      </c>
      <c r="F12225" t="inlineStr">
        <is>
          <t>SCA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28051-2025</t>
        </is>
      </c>
      <c r="B12226" s="1" t="n">
        <v>45817.65678240741</v>
      </c>
      <c r="C12226" s="1" t="n">
        <v>46145</v>
      </c>
      <c r="D12226" t="inlineStr">
        <is>
          <t>VÄSTERBOTTENS LÄN</t>
        </is>
      </c>
      <c r="E12226" t="inlineStr">
        <is>
          <t>VINDELN</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28186-2025</t>
        </is>
      </c>
      <c r="B12227" s="1" t="n">
        <v>45818</v>
      </c>
      <c r="C12227" s="1" t="n">
        <v>46145</v>
      </c>
      <c r="D12227" t="inlineStr">
        <is>
          <t>VÄSTERBOTTENS LÄN</t>
        </is>
      </c>
      <c r="E12227" t="inlineStr">
        <is>
          <t>SORSELE</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27799-2025</t>
        </is>
      </c>
      <c r="B12228" s="1" t="n">
        <v>45816.90836805556</v>
      </c>
      <c r="C12228" s="1" t="n">
        <v>46145</v>
      </c>
      <c r="D12228" t="inlineStr">
        <is>
          <t>VÄSTERBOTTENS LÄN</t>
        </is>
      </c>
      <c r="E12228" t="inlineStr">
        <is>
          <t>VINDELN</t>
        </is>
      </c>
      <c r="F12228" t="inlineStr">
        <is>
          <t>Holmen skog AB</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28022-2025</t>
        </is>
      </c>
      <c r="B12229" s="1" t="n">
        <v>45817.61836805556</v>
      </c>
      <c r="C12229" s="1" t="n">
        <v>46145</v>
      </c>
      <c r="D12229" t="inlineStr">
        <is>
          <t>VÄSTERBOTTENS LÄN</t>
        </is>
      </c>
      <c r="E12229" t="inlineStr">
        <is>
          <t>BJURHOLM</t>
        </is>
      </c>
      <c r="F12229" t="inlineStr">
        <is>
          <t>Holmen skog AB</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28032-2025</t>
        </is>
      </c>
      <c r="B12230" s="1" t="n">
        <v>45817.63113425926</v>
      </c>
      <c r="C12230" s="1" t="n">
        <v>46145</v>
      </c>
      <c r="D12230" t="inlineStr">
        <is>
          <t>VÄSTERBOTTENS LÄN</t>
        </is>
      </c>
      <c r="E12230" t="inlineStr">
        <is>
          <t>BJURHOLM</t>
        </is>
      </c>
      <c r="F12230" t="inlineStr">
        <is>
          <t>Holmen skog AB</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18564-2022</t>
        </is>
      </c>
      <c r="B12231" s="1" t="n">
        <v>44686</v>
      </c>
      <c r="C12231" s="1" t="n">
        <v>46145</v>
      </c>
      <c r="D12231" t="inlineStr">
        <is>
          <t>VÄSTERBOTTENS LÄN</t>
        </is>
      </c>
      <c r="E12231" t="inlineStr">
        <is>
          <t>VILHELMINA</t>
        </is>
      </c>
      <c r="F12231" t="inlineStr">
        <is>
          <t>SCA</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28220-2025</t>
        </is>
      </c>
      <c r="B12232" s="1" t="n">
        <v>45818.47373842593</v>
      </c>
      <c r="C12232" s="1" t="n">
        <v>46145</v>
      </c>
      <c r="D12232" t="inlineStr">
        <is>
          <t>VÄSTERBOTTENS LÄN</t>
        </is>
      </c>
      <c r="E12232" t="inlineStr">
        <is>
          <t>SKELLEFTEÅ</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28071-2025</t>
        </is>
      </c>
      <c r="B12233" s="1" t="n">
        <v>45817.67755787037</v>
      </c>
      <c r="C12233" s="1" t="n">
        <v>46145</v>
      </c>
      <c r="D12233" t="inlineStr">
        <is>
          <t>VÄSTERBOTTENS LÄN</t>
        </is>
      </c>
      <c r="E12233" t="inlineStr">
        <is>
          <t>VILHELMINA</t>
        </is>
      </c>
      <c r="F12233" t="inlineStr">
        <is>
          <t>SCA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28072-2025</t>
        </is>
      </c>
      <c r="B12234" s="1" t="n">
        <v>45817.6778587963</v>
      </c>
      <c r="C12234" s="1" t="n">
        <v>46145</v>
      </c>
      <c r="D12234" t="inlineStr">
        <is>
          <t>VÄSTERBOTTENS LÄN</t>
        </is>
      </c>
      <c r="E12234" t="inlineStr">
        <is>
          <t>DOROTEA</t>
        </is>
      </c>
      <c r="F12234" t="inlineStr">
        <is>
          <t>SCA</t>
        </is>
      </c>
      <c r="G12234" t="n">
        <v>17.7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57845-2023</t>
        </is>
      </c>
      <c r="B12235" s="1" t="n">
        <v>45247</v>
      </c>
      <c r="C12235" s="1" t="n">
        <v>46145</v>
      </c>
      <c r="D12235" t="inlineStr">
        <is>
          <t>VÄSTERBOTTENS LÄN</t>
        </is>
      </c>
      <c r="E12235" t="inlineStr">
        <is>
          <t>LYCKSELE</t>
        </is>
      </c>
      <c r="F12235" t="inlineStr">
        <is>
          <t>Sveaskog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8313-2025</t>
        </is>
      </c>
      <c r="B12236" s="1" t="n">
        <v>45708.61552083334</v>
      </c>
      <c r="C12236" s="1" t="n">
        <v>46145</v>
      </c>
      <c r="D12236" t="inlineStr">
        <is>
          <t>VÄSTERBOTTENS LÄN</t>
        </is>
      </c>
      <c r="E12236" t="inlineStr">
        <is>
          <t>LYCKSELE</t>
        </is>
      </c>
      <c r="F12236" t="inlineStr">
        <is>
          <t>SCA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27864-2025</t>
        </is>
      </c>
      <c r="B12237" s="1" t="n">
        <v>45817.42127314815</v>
      </c>
      <c r="C12237" s="1" t="n">
        <v>46145</v>
      </c>
      <c r="D12237" t="inlineStr">
        <is>
          <t>VÄSTERBOTTENS LÄN</t>
        </is>
      </c>
      <c r="E12237" t="inlineStr">
        <is>
          <t>SKELLEFTEÅ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29468-2024</t>
        </is>
      </c>
      <c r="B12238" s="1" t="n">
        <v>45483</v>
      </c>
      <c r="C12238" s="1" t="n">
        <v>46145</v>
      </c>
      <c r="D12238" t="inlineStr">
        <is>
          <t>VÄSTERBOTTENS LÄN</t>
        </is>
      </c>
      <c r="E12238" t="inlineStr">
        <is>
          <t>VINDELN</t>
        </is>
      </c>
      <c r="F12238" t="inlineStr">
        <is>
          <t>SCA</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28577-2025</t>
        </is>
      </c>
      <c r="B12239" s="1" t="n">
        <v>45819</v>
      </c>
      <c r="C12239" s="1" t="n">
        <v>46145</v>
      </c>
      <c r="D12239" t="inlineStr">
        <is>
          <t>VÄSTERBOTTENS LÄN</t>
        </is>
      </c>
      <c r="E12239" t="inlineStr">
        <is>
          <t>SKELLEFTEÅ</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28377-2025</t>
        </is>
      </c>
      <c r="B12240" s="1" t="n">
        <v>45819</v>
      </c>
      <c r="C12240" s="1" t="n">
        <v>46145</v>
      </c>
      <c r="D12240" t="inlineStr">
        <is>
          <t>VÄSTERBOTTENS LÄN</t>
        </is>
      </c>
      <c r="E12240" t="inlineStr">
        <is>
          <t>SKELLEFTEÅ</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28929-2025</t>
        </is>
      </c>
      <c r="B12241" s="1" t="n">
        <v>45820.6775</v>
      </c>
      <c r="C12241" s="1" t="n">
        <v>46145</v>
      </c>
      <c r="D12241" t="inlineStr">
        <is>
          <t>VÄSTERBOTTENS LÄN</t>
        </is>
      </c>
      <c r="E12241" t="inlineStr">
        <is>
          <t>ÅSELE</t>
        </is>
      </c>
      <c r="F12241" t="inlineStr">
        <is>
          <t>SCA</t>
        </is>
      </c>
      <c r="G12241" t="n">
        <v>11.4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28706-2025</t>
        </is>
      </c>
      <c r="B12242" s="1" t="n">
        <v>45820.31462962963</v>
      </c>
      <c r="C12242" s="1" t="n">
        <v>46145</v>
      </c>
      <c r="D12242" t="inlineStr">
        <is>
          <t>VÄSTERBOTTENS LÄN</t>
        </is>
      </c>
      <c r="E12242" t="inlineStr">
        <is>
          <t>VINDELN</t>
        </is>
      </c>
      <c r="F12242" t="inlineStr">
        <is>
          <t>Holmen skog AB</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28486-2025</t>
        </is>
      </c>
      <c r="B12243" s="1" t="n">
        <v>45819</v>
      </c>
      <c r="C12243" s="1" t="n">
        <v>46145</v>
      </c>
      <c r="D12243" t="inlineStr">
        <is>
          <t>VÄSTERBOTTENS LÄN</t>
        </is>
      </c>
      <c r="E12243" t="inlineStr">
        <is>
          <t>LYCKSELE</t>
        </is>
      </c>
      <c r="F12243" t="inlineStr">
        <is>
          <t>Holmen skog AB</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28354-2025</t>
        </is>
      </c>
      <c r="B12244" s="1" t="n">
        <v>45818.77484953704</v>
      </c>
      <c r="C12244" s="1" t="n">
        <v>46145</v>
      </c>
      <c r="D12244" t="inlineStr">
        <is>
          <t>VÄSTERBOTTENS LÄN</t>
        </is>
      </c>
      <c r="E12244" t="inlineStr">
        <is>
          <t>SKELLEFTEÅ</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28358-2025</t>
        </is>
      </c>
      <c r="B12245" s="1" t="n">
        <v>45818.79246527778</v>
      </c>
      <c r="C12245" s="1" t="n">
        <v>46145</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28832-2025</t>
        </is>
      </c>
      <c r="B12246" s="1" t="n">
        <v>45820.55613425926</v>
      </c>
      <c r="C12246" s="1" t="n">
        <v>46145</v>
      </c>
      <c r="D12246" t="inlineStr">
        <is>
          <t>VÄSTERBOTTENS LÄN</t>
        </is>
      </c>
      <c r="E12246" t="inlineStr">
        <is>
          <t>UMEÅ</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28833-2025</t>
        </is>
      </c>
      <c r="B12247" s="1" t="n">
        <v>45820.55636574074</v>
      </c>
      <c r="C12247" s="1" t="n">
        <v>46145</v>
      </c>
      <c r="D12247" t="inlineStr">
        <is>
          <t>VÄSTERBOTTENS LÄN</t>
        </is>
      </c>
      <c r="E12247" t="inlineStr">
        <is>
          <t>LYCKSELE</t>
        </is>
      </c>
      <c r="F12247" t="inlineStr">
        <is>
          <t>Sveaskog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28897-2025</t>
        </is>
      </c>
      <c r="B12248" s="1" t="n">
        <v>45820.6360300926</v>
      </c>
      <c r="C12248" s="1" t="n">
        <v>46145</v>
      </c>
      <c r="D12248" t="inlineStr">
        <is>
          <t>VÄSTERBOTTENS LÄN</t>
        </is>
      </c>
      <c r="E12248" t="inlineStr">
        <is>
          <t>VILHELMINA</t>
        </is>
      </c>
      <c r="F12248" t="inlineStr">
        <is>
          <t>SCA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28726-2025</t>
        </is>
      </c>
      <c r="B12249" s="1" t="n">
        <v>45820</v>
      </c>
      <c r="C12249" s="1" t="n">
        <v>46145</v>
      </c>
      <c r="D12249" t="inlineStr">
        <is>
          <t>VÄSTERBOTTENS LÄN</t>
        </is>
      </c>
      <c r="E12249" t="inlineStr">
        <is>
          <t>LYCKSELE</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28581-2025</t>
        </is>
      </c>
      <c r="B12250" s="1" t="n">
        <v>45819</v>
      </c>
      <c r="C12250" s="1" t="n">
        <v>46145</v>
      </c>
      <c r="D12250" t="inlineStr">
        <is>
          <t>VÄSTERBOTTENS LÄN</t>
        </is>
      </c>
      <c r="E12250" t="inlineStr">
        <is>
          <t>ÅSELE</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28804-2025</t>
        </is>
      </c>
      <c r="B12251" s="1" t="n">
        <v>45820.50423611111</v>
      </c>
      <c r="C12251" s="1" t="n">
        <v>46145</v>
      </c>
      <c r="D12251" t="inlineStr">
        <is>
          <t>VÄSTERBOTTENS LÄN</t>
        </is>
      </c>
      <c r="E12251" t="inlineStr">
        <is>
          <t>SKELLEFTEÅ</t>
        </is>
      </c>
      <c r="F12251" t="inlineStr">
        <is>
          <t>Holmen skog AB</t>
        </is>
      </c>
      <c r="G12251" t="n">
        <v>10.5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28373-2025</t>
        </is>
      </c>
      <c r="B12252" s="1" t="n">
        <v>45819</v>
      </c>
      <c r="C12252" s="1" t="n">
        <v>46145</v>
      </c>
      <c r="D12252" t="inlineStr">
        <is>
          <t>VÄSTERBOTTENS LÄN</t>
        </is>
      </c>
      <c r="E12252" t="inlineStr">
        <is>
          <t>SKELLEFTEÅ</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28818-2025</t>
        </is>
      </c>
      <c r="B12253" s="1" t="n">
        <v>45820.53545138889</v>
      </c>
      <c r="C12253" s="1" t="n">
        <v>46145</v>
      </c>
      <c r="D12253" t="inlineStr">
        <is>
          <t>VÄSTERBOTTENS LÄN</t>
        </is>
      </c>
      <c r="E12253" t="inlineStr">
        <is>
          <t>NORDMALING</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22159-2025</t>
        </is>
      </c>
      <c r="B12254" s="1" t="n">
        <v>45785.58716435185</v>
      </c>
      <c r="C12254" s="1" t="n">
        <v>46145</v>
      </c>
      <c r="D12254" t="inlineStr">
        <is>
          <t>VÄSTERBOTTENS LÄN</t>
        </is>
      </c>
      <c r="E12254" t="inlineStr">
        <is>
          <t>UMEÅ</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28777-2025</t>
        </is>
      </c>
      <c r="B12255" s="1" t="n">
        <v>45820.44814814815</v>
      </c>
      <c r="C12255" s="1" t="n">
        <v>46145</v>
      </c>
      <c r="D12255" t="inlineStr">
        <is>
          <t>VÄSTERBOTTENS LÄN</t>
        </is>
      </c>
      <c r="E12255" t="inlineStr">
        <is>
          <t>SKELLEFTEÅ</t>
        </is>
      </c>
      <c r="G12255" t="n">
        <v>12.4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28694-2025</t>
        </is>
      </c>
      <c r="B12256" s="1" t="n">
        <v>45819.88594907407</v>
      </c>
      <c r="C12256" s="1" t="n">
        <v>46145</v>
      </c>
      <c r="D12256" t="inlineStr">
        <is>
          <t>VÄSTERBOTTENS LÄN</t>
        </is>
      </c>
      <c r="E12256" t="inlineStr">
        <is>
          <t>VÄNNÄS</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28528-2025</t>
        </is>
      </c>
      <c r="B12257" s="1" t="n">
        <v>45819.49827546296</v>
      </c>
      <c r="C12257" s="1" t="n">
        <v>46145</v>
      </c>
      <c r="D12257" t="inlineStr">
        <is>
          <t>VÄSTERBOTTENS LÄN</t>
        </is>
      </c>
      <c r="E12257" t="inlineStr">
        <is>
          <t>VINDELN</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28787-2025</t>
        </is>
      </c>
      <c r="B12258" s="1" t="n">
        <v>45820.46806712963</v>
      </c>
      <c r="C12258" s="1" t="n">
        <v>46145</v>
      </c>
      <c r="D12258" t="inlineStr">
        <is>
          <t>VÄSTERBOTTENS LÄN</t>
        </is>
      </c>
      <c r="E12258" t="inlineStr">
        <is>
          <t>SKELLEFTEÅ</t>
        </is>
      </c>
      <c r="F12258" t="inlineStr">
        <is>
          <t>Holmen skog AB</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28408-2025</t>
        </is>
      </c>
      <c r="B12259" s="1" t="n">
        <v>45819.34600694444</v>
      </c>
      <c r="C12259" s="1" t="n">
        <v>46145</v>
      </c>
      <c r="D12259" t="inlineStr">
        <is>
          <t>VÄSTERBOTTENS LÄN</t>
        </is>
      </c>
      <c r="E12259" t="inlineStr">
        <is>
          <t>SKELLEFTEÅ</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28816-2025</t>
        </is>
      </c>
      <c r="B12260" s="1" t="n">
        <v>45820.5315625</v>
      </c>
      <c r="C12260" s="1" t="n">
        <v>46145</v>
      </c>
      <c r="D12260" t="inlineStr">
        <is>
          <t>VÄSTERBOTTENS LÄN</t>
        </is>
      </c>
      <c r="E12260" t="inlineStr">
        <is>
          <t>VINDELN</t>
        </is>
      </c>
      <c r="F12260" t="inlineStr">
        <is>
          <t>SCA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28822-2025</t>
        </is>
      </c>
      <c r="B12261" s="1" t="n">
        <v>45820</v>
      </c>
      <c r="C12261" s="1" t="n">
        <v>46145</v>
      </c>
      <c r="D12261" t="inlineStr">
        <is>
          <t>VÄSTERBOTTENS LÄN</t>
        </is>
      </c>
      <c r="E12261" t="inlineStr">
        <is>
          <t>NORSJÖ</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28825-2025</t>
        </is>
      </c>
      <c r="B12262" s="1" t="n">
        <v>45820.54582175926</v>
      </c>
      <c r="C12262" s="1" t="n">
        <v>46145</v>
      </c>
      <c r="D12262" t="inlineStr">
        <is>
          <t>VÄSTERBOTTENS LÄN</t>
        </is>
      </c>
      <c r="E12262" t="inlineStr">
        <is>
          <t>LYCKSELE</t>
        </is>
      </c>
      <c r="F12262" t="inlineStr">
        <is>
          <t>Sveaskog</t>
        </is>
      </c>
      <c r="G12262" t="n">
        <v>11.9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28826-2025</t>
        </is>
      </c>
      <c r="B12263" s="1" t="n">
        <v>45820.54883101852</v>
      </c>
      <c r="C12263" s="1" t="n">
        <v>46145</v>
      </c>
      <c r="D12263" t="inlineStr">
        <is>
          <t>VÄSTERBOTTENS LÄN</t>
        </is>
      </c>
      <c r="E12263" t="inlineStr">
        <is>
          <t>LYCKSELE</t>
        </is>
      </c>
      <c r="F12263" t="inlineStr">
        <is>
          <t>Sveaskog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28836-2025</t>
        </is>
      </c>
      <c r="B12264" s="1" t="n">
        <v>45820.55875</v>
      </c>
      <c r="C12264" s="1" t="n">
        <v>46145</v>
      </c>
      <c r="D12264" t="inlineStr">
        <is>
          <t>VÄSTERBOTTENS LÄN</t>
        </is>
      </c>
      <c r="E12264" t="inlineStr">
        <is>
          <t>UMEÅ</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28908-2025</t>
        </is>
      </c>
      <c r="B12265" s="1" t="n">
        <v>45820.65319444444</v>
      </c>
      <c r="C12265" s="1" t="n">
        <v>46145</v>
      </c>
      <c r="D12265" t="inlineStr">
        <is>
          <t>VÄSTERBOTTENS LÄN</t>
        </is>
      </c>
      <c r="E12265" t="inlineStr">
        <is>
          <t>NORSJÖ</t>
        </is>
      </c>
      <c r="F12265" t="inlineStr">
        <is>
          <t>Holmen skog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22516-2023</t>
        </is>
      </c>
      <c r="B12266" s="1" t="n">
        <v>45069</v>
      </c>
      <c r="C12266" s="1" t="n">
        <v>46145</v>
      </c>
      <c r="D12266" t="inlineStr">
        <is>
          <t>VÄSTERBOTTENS LÄN</t>
        </is>
      </c>
      <c r="E12266" t="inlineStr">
        <is>
          <t>SKELLEFTEÅ</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28360-2025</t>
        </is>
      </c>
      <c r="B12267" s="1" t="n">
        <v>45818.80997685185</v>
      </c>
      <c r="C12267" s="1" t="n">
        <v>46145</v>
      </c>
      <c r="D12267" t="inlineStr">
        <is>
          <t>VÄSTERBOTTENS LÄN</t>
        </is>
      </c>
      <c r="E12267" t="inlineStr">
        <is>
          <t>SKELLEFTEÅ</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28359-2025</t>
        </is>
      </c>
      <c r="B12268" s="1" t="n">
        <v>45818.79951388889</v>
      </c>
      <c r="C12268" s="1" t="n">
        <v>46145</v>
      </c>
      <c r="D12268" t="inlineStr">
        <is>
          <t>VÄSTERBOTTENS LÄN</t>
        </is>
      </c>
      <c r="E12268" t="inlineStr">
        <is>
          <t>SKELLEFTEÅ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28823-2025</t>
        </is>
      </c>
      <c r="B12269" s="1" t="n">
        <v>45820</v>
      </c>
      <c r="C12269" s="1" t="n">
        <v>46145</v>
      </c>
      <c r="D12269" t="inlineStr">
        <is>
          <t>VÄSTERBOTTENS LÄN</t>
        </is>
      </c>
      <c r="E12269" t="inlineStr">
        <is>
          <t>NORSJÖ</t>
        </is>
      </c>
      <c r="G12269" t="n">
        <v>14.1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28827-2025</t>
        </is>
      </c>
      <c r="B12270" s="1" t="n">
        <v>45820.55162037037</v>
      </c>
      <c r="C12270" s="1" t="n">
        <v>46145</v>
      </c>
      <c r="D12270" t="inlineStr">
        <is>
          <t>VÄSTERBOTTENS LÄN</t>
        </is>
      </c>
      <c r="E12270" t="inlineStr">
        <is>
          <t>UMEÅ</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28749-2025</t>
        </is>
      </c>
      <c r="B12271" s="1" t="n">
        <v>45820.39708333334</v>
      </c>
      <c r="C12271" s="1" t="n">
        <v>46145</v>
      </c>
      <c r="D12271" t="inlineStr">
        <is>
          <t>VÄSTERBOTTENS LÄN</t>
        </is>
      </c>
      <c r="E12271" t="inlineStr">
        <is>
          <t>VINDELN</t>
        </is>
      </c>
      <c r="F12271" t="inlineStr">
        <is>
          <t>Naturvårdsverket</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28989-2025</t>
        </is>
      </c>
      <c r="B12272" s="1" t="n">
        <v>45821.37027777778</v>
      </c>
      <c r="C12272" s="1" t="n">
        <v>46145</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28999-2025</t>
        </is>
      </c>
      <c r="B12273" s="1" t="n">
        <v>45821.38677083333</v>
      </c>
      <c r="C12273" s="1" t="n">
        <v>46145</v>
      </c>
      <c r="D12273" t="inlineStr">
        <is>
          <t>VÄSTERBOTTENS LÄN</t>
        </is>
      </c>
      <c r="E12273" t="inlineStr">
        <is>
          <t>NORSJÖ</t>
        </is>
      </c>
      <c r="F12273" t="inlineStr">
        <is>
          <t>Holmen skog AB</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29235-2025</t>
        </is>
      </c>
      <c r="B12274" s="1" t="n">
        <v>45824.34488425926</v>
      </c>
      <c r="C12274" s="1" t="n">
        <v>46145</v>
      </c>
      <c r="D12274" t="inlineStr">
        <is>
          <t>VÄSTERBOTTENS LÄN</t>
        </is>
      </c>
      <c r="E12274" t="inlineStr">
        <is>
          <t>LYCKSELE</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29438-2025</t>
        </is>
      </c>
      <c r="B12275" s="1" t="n">
        <v>45824.65788194445</v>
      </c>
      <c r="C12275" s="1" t="n">
        <v>46145</v>
      </c>
      <c r="D12275" t="inlineStr">
        <is>
          <t>VÄSTERBOTTENS LÄN</t>
        </is>
      </c>
      <c r="E12275" t="inlineStr">
        <is>
          <t>LYCKSELE</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29203-2025</t>
        </is>
      </c>
      <c r="B12276" s="1" t="n">
        <v>45823</v>
      </c>
      <c r="C12276" s="1" t="n">
        <v>46145</v>
      </c>
      <c r="D12276" t="inlineStr">
        <is>
          <t>VÄSTERBOTTENS LÄN</t>
        </is>
      </c>
      <c r="E12276" t="inlineStr">
        <is>
          <t>VILHELMINA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29379-2025</t>
        </is>
      </c>
      <c r="B12277" s="1" t="n">
        <v>45824.58925925926</v>
      </c>
      <c r="C12277" s="1" t="n">
        <v>46145</v>
      </c>
      <c r="D12277" t="inlineStr">
        <is>
          <t>VÄSTERBOTTENS LÄN</t>
        </is>
      </c>
      <c r="E12277" t="inlineStr">
        <is>
          <t>NORSJÖ</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29236-2025</t>
        </is>
      </c>
      <c r="B12278" s="1" t="n">
        <v>45824.34488425926</v>
      </c>
      <c r="C12278" s="1" t="n">
        <v>46145</v>
      </c>
      <c r="D12278" t="inlineStr">
        <is>
          <t>VÄSTERBOTTENS LÄN</t>
        </is>
      </c>
      <c r="E12278" t="inlineStr">
        <is>
          <t>LYCKSELE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28984-2025</t>
        </is>
      </c>
      <c r="B12279" s="1" t="n">
        <v>45821.36861111111</v>
      </c>
      <c r="C12279" s="1" t="n">
        <v>46145</v>
      </c>
      <c r="D12279" t="inlineStr">
        <is>
          <t>VÄSTERBOTTENS LÄN</t>
        </is>
      </c>
      <c r="E12279" t="inlineStr">
        <is>
          <t>SKELLEFTEÅ</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29465-2025</t>
        </is>
      </c>
      <c r="B12280" s="1" t="n">
        <v>45824</v>
      </c>
      <c r="C12280" s="1" t="n">
        <v>46145</v>
      </c>
      <c r="D12280" t="inlineStr">
        <is>
          <t>VÄSTERBOTTENS LÄN</t>
        </is>
      </c>
      <c r="E12280" t="inlineStr">
        <is>
          <t>DOROTEA</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6667-2024</t>
        </is>
      </c>
      <c r="B12281" s="1" t="n">
        <v>45341</v>
      </c>
      <c r="C12281" s="1" t="n">
        <v>46145</v>
      </c>
      <c r="D12281" t="inlineStr">
        <is>
          <t>VÄSTERBOTTENS LÄN</t>
        </is>
      </c>
      <c r="E12281" t="inlineStr">
        <is>
          <t>NORSJÖ</t>
        </is>
      </c>
      <c r="F12281" t="inlineStr">
        <is>
          <t>Holmen skog AB</t>
        </is>
      </c>
      <c r="G12281" t="n">
        <v>10.8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29088-2025</t>
        </is>
      </c>
      <c r="B12282" s="1" t="n">
        <v>45821.54648148148</v>
      </c>
      <c r="C12282" s="1" t="n">
        <v>46145</v>
      </c>
      <c r="D12282" t="inlineStr">
        <is>
          <t>VÄSTERBOTTENS LÄN</t>
        </is>
      </c>
      <c r="E12282" t="inlineStr">
        <is>
          <t>LYCKSELE</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29120-2025</t>
        </is>
      </c>
      <c r="B12283" s="1" t="n">
        <v>45821</v>
      </c>
      <c r="C12283" s="1" t="n">
        <v>46145</v>
      </c>
      <c r="D12283" t="inlineStr">
        <is>
          <t>VÄSTERBOTTENS LÄN</t>
        </is>
      </c>
      <c r="E12283" t="inlineStr">
        <is>
          <t>VILHELMINA</t>
        </is>
      </c>
      <c r="F12283" t="inlineStr">
        <is>
          <t>SCA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29134-2025</t>
        </is>
      </c>
      <c r="B12284" s="1" t="n">
        <v>45821.60568287037</v>
      </c>
      <c r="C12284" s="1" t="n">
        <v>46145</v>
      </c>
      <c r="D12284" t="inlineStr">
        <is>
          <t>VÄSTERBOTTENS LÄN</t>
        </is>
      </c>
      <c r="E12284" t="inlineStr">
        <is>
          <t>SKELLEFTEÅ</t>
        </is>
      </c>
      <c r="F12284" t="inlineStr">
        <is>
          <t>Holmen skog AB</t>
        </is>
      </c>
      <c r="G12284" t="n">
        <v>10.5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29194-2025</t>
        </is>
      </c>
      <c r="B12285" s="1" t="n">
        <v>45822</v>
      </c>
      <c r="C12285" s="1" t="n">
        <v>46145</v>
      </c>
      <c r="D12285" t="inlineStr">
        <is>
          <t>VÄSTERBOTTENS LÄN</t>
        </is>
      </c>
      <c r="E12285" t="inlineStr">
        <is>
          <t>SKELLEFTEÅ</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28961-2025</t>
        </is>
      </c>
      <c r="B12286" s="1" t="n">
        <v>45821.32046296296</v>
      </c>
      <c r="C12286" s="1" t="n">
        <v>46145</v>
      </c>
      <c r="D12286" t="inlineStr">
        <is>
          <t>VÄSTERBOTTENS LÄN</t>
        </is>
      </c>
      <c r="E12286" t="inlineStr">
        <is>
          <t>SKELLEFTEÅ</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29395-2025</t>
        </is>
      </c>
      <c r="B12287" s="1" t="n">
        <v>45824.60665509259</v>
      </c>
      <c r="C12287" s="1" t="n">
        <v>46145</v>
      </c>
      <c r="D12287" t="inlineStr">
        <is>
          <t>VÄSTERBOTTENS LÄN</t>
        </is>
      </c>
      <c r="E12287" t="inlineStr">
        <is>
          <t>NORSJÖ</t>
        </is>
      </c>
      <c r="F12287" t="inlineStr">
        <is>
          <t>Holmen skog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29442-2025</t>
        </is>
      </c>
      <c r="B12288" s="1" t="n">
        <v>45824.66078703704</v>
      </c>
      <c r="C12288" s="1" t="n">
        <v>46145</v>
      </c>
      <c r="D12288" t="inlineStr">
        <is>
          <t>VÄSTERBOTTENS LÄN</t>
        </is>
      </c>
      <c r="E12288" t="inlineStr">
        <is>
          <t>SKELLEFTEÅ</t>
        </is>
      </c>
      <c r="F12288" t="inlineStr">
        <is>
          <t>Holmen skog AB</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29455-2025</t>
        </is>
      </c>
      <c r="B12289" s="1" t="n">
        <v>45824.68148148148</v>
      </c>
      <c r="C12289" s="1" t="n">
        <v>46145</v>
      </c>
      <c r="D12289" t="inlineStr">
        <is>
          <t>VÄSTERBOTTENS LÄN</t>
        </is>
      </c>
      <c r="E12289" t="inlineStr">
        <is>
          <t>SKELLEFTEÅ</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29034-2025</t>
        </is>
      </c>
      <c r="B12290" s="1" t="n">
        <v>45821.44274305556</v>
      </c>
      <c r="C12290" s="1" t="n">
        <v>46145</v>
      </c>
      <c r="D12290" t="inlineStr">
        <is>
          <t>VÄSTERBOTTENS LÄN</t>
        </is>
      </c>
      <c r="E12290" t="inlineStr">
        <is>
          <t>LYCKSELE</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29045-2025</t>
        </is>
      </c>
      <c r="B12291" s="1" t="n">
        <v>45821.45783564815</v>
      </c>
      <c r="C12291" s="1" t="n">
        <v>46145</v>
      </c>
      <c r="D12291" t="inlineStr">
        <is>
          <t>VÄSTERBOTTENS LÄN</t>
        </is>
      </c>
      <c r="E12291" t="inlineStr">
        <is>
          <t>LYCKSELE</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29258-2025</t>
        </is>
      </c>
      <c r="B12292" s="1" t="n">
        <v>45824.38880787037</v>
      </c>
      <c r="C12292" s="1" t="n">
        <v>46145</v>
      </c>
      <c r="D12292" t="inlineStr">
        <is>
          <t>VÄSTERBOTTENS LÄN</t>
        </is>
      </c>
      <c r="E12292" t="inlineStr">
        <is>
          <t>DOROTEA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29262-2025</t>
        </is>
      </c>
      <c r="B12293" s="1" t="n">
        <v>45824.39509259259</v>
      </c>
      <c r="C12293" s="1" t="n">
        <v>46145</v>
      </c>
      <c r="D12293" t="inlineStr">
        <is>
          <t>VÄSTERBOTTENS LÄN</t>
        </is>
      </c>
      <c r="E12293" t="inlineStr">
        <is>
          <t>ROBERTSFORS</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29272-2025</t>
        </is>
      </c>
      <c r="B12294" s="1" t="n">
        <v>45824.41008101852</v>
      </c>
      <c r="C12294" s="1" t="n">
        <v>46145</v>
      </c>
      <c r="D12294" t="inlineStr">
        <is>
          <t>VÄSTERBOTTENS LÄN</t>
        </is>
      </c>
      <c r="E12294" t="inlineStr">
        <is>
          <t>ROBERTSFORS</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29330-2025</t>
        </is>
      </c>
      <c r="B12295" s="1" t="n">
        <v>45824.48680555556</v>
      </c>
      <c r="C12295" s="1" t="n">
        <v>46145</v>
      </c>
      <c r="D12295" t="inlineStr">
        <is>
          <t>VÄSTERBOTTENS LÄN</t>
        </is>
      </c>
      <c r="E12295" t="inlineStr">
        <is>
          <t>UMEÅ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29229-2025</t>
        </is>
      </c>
      <c r="B12296" s="1" t="n">
        <v>45822</v>
      </c>
      <c r="C12296" s="1" t="n">
        <v>46145</v>
      </c>
      <c r="D12296" t="inlineStr">
        <is>
          <t>VÄSTERBOTTENS LÄN</t>
        </is>
      </c>
      <c r="E12296" t="inlineStr">
        <is>
          <t>SORSELE</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29234-2025</t>
        </is>
      </c>
      <c r="B12297" s="1" t="n">
        <v>45824.34478009259</v>
      </c>
      <c r="C12297" s="1" t="n">
        <v>46145</v>
      </c>
      <c r="D12297" t="inlineStr">
        <is>
          <t>VÄSTERBOTTENS LÄN</t>
        </is>
      </c>
      <c r="E12297" t="inlineStr">
        <is>
          <t>VILHELMINA</t>
        </is>
      </c>
      <c r="F12297" t="inlineStr">
        <is>
          <t>SCA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29344-2025</t>
        </is>
      </c>
      <c r="B12298" s="1" t="n">
        <v>45824.50795138889</v>
      </c>
      <c r="C12298" s="1" t="n">
        <v>46145</v>
      </c>
      <c r="D12298" t="inlineStr">
        <is>
          <t>VÄSTERBOTTENS LÄN</t>
        </is>
      </c>
      <c r="E12298" t="inlineStr">
        <is>
          <t>UMEÅ</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29413-2025</t>
        </is>
      </c>
      <c r="B12299" s="1" t="n">
        <v>45824.62412037037</v>
      </c>
      <c r="C12299" s="1" t="n">
        <v>46145</v>
      </c>
      <c r="D12299" t="inlineStr">
        <is>
          <t>VÄSTERBOTTENS LÄN</t>
        </is>
      </c>
      <c r="E12299" t="inlineStr">
        <is>
          <t>SKELLEFTEÅ</t>
        </is>
      </c>
      <c r="F12299" t="inlineStr">
        <is>
          <t>Holmen skog AB</t>
        </is>
      </c>
      <c r="G12299" t="n">
        <v>13.2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29277-2025</t>
        </is>
      </c>
      <c r="B12300" s="1" t="n">
        <v>45824.41894675926</v>
      </c>
      <c r="C12300" s="1" t="n">
        <v>46145</v>
      </c>
      <c r="D12300" t="inlineStr">
        <is>
          <t>VÄSTERBOTTENS LÄN</t>
        </is>
      </c>
      <c r="E12300" t="inlineStr">
        <is>
          <t>SKELLEFTEÅ</t>
        </is>
      </c>
      <c r="G12300" t="n">
        <v>9.199999999999999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29327-2025</t>
        </is>
      </c>
      <c r="B12301" s="1" t="n">
        <v>45824.48300925926</v>
      </c>
      <c r="C12301" s="1" t="n">
        <v>46145</v>
      </c>
      <c r="D12301" t="inlineStr">
        <is>
          <t>VÄSTERBOTTENS LÄN</t>
        </is>
      </c>
      <c r="E12301" t="inlineStr">
        <is>
          <t>UMEÅ</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29347-2025</t>
        </is>
      </c>
      <c r="B12302" s="1" t="n">
        <v>45824.51351851852</v>
      </c>
      <c r="C12302" s="1" t="n">
        <v>46145</v>
      </c>
      <c r="D12302" t="inlineStr">
        <is>
          <t>VÄSTERBOTTENS LÄN</t>
        </is>
      </c>
      <c r="E12302" t="inlineStr">
        <is>
          <t>NORSJÖ</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29352-2025</t>
        </is>
      </c>
      <c r="B12303" s="1" t="n">
        <v>45824.54091435186</v>
      </c>
      <c r="C12303" s="1" t="n">
        <v>46145</v>
      </c>
      <c r="D12303" t="inlineStr">
        <is>
          <t>VÄSTERBOTTENS LÄN</t>
        </is>
      </c>
      <c r="E12303" t="inlineStr">
        <is>
          <t>UMEÅ</t>
        </is>
      </c>
      <c r="F12303" t="inlineStr">
        <is>
          <t>Holmen skog AB</t>
        </is>
      </c>
      <c r="G12303" t="n">
        <v>10.8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29283-2025</t>
        </is>
      </c>
      <c r="B12304" s="1" t="n">
        <v>45824.43114583333</v>
      </c>
      <c r="C12304" s="1" t="n">
        <v>46145</v>
      </c>
      <c r="D12304" t="inlineStr">
        <is>
          <t>VÄSTERBOTTENS LÄN</t>
        </is>
      </c>
      <c r="E12304" t="inlineStr">
        <is>
          <t>UMEÅ</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29195-2025</t>
        </is>
      </c>
      <c r="B12305" s="1" t="n">
        <v>45822.96603009259</v>
      </c>
      <c r="C12305" s="1" t="n">
        <v>46145</v>
      </c>
      <c r="D12305" t="inlineStr">
        <is>
          <t>VÄSTERBOTTENS LÄN</t>
        </is>
      </c>
      <c r="E12305" t="inlineStr">
        <is>
          <t>LYCKSELE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29475-2025</t>
        </is>
      </c>
      <c r="B12306" s="1" t="n">
        <v>45824.7070949074</v>
      </c>
      <c r="C12306" s="1" t="n">
        <v>46145</v>
      </c>
      <c r="D12306" t="inlineStr">
        <is>
          <t>VÄSTERBOTTENS LÄN</t>
        </is>
      </c>
      <c r="E12306" t="inlineStr">
        <is>
          <t>NORSJÖ</t>
        </is>
      </c>
      <c r="F12306" t="inlineStr">
        <is>
          <t>Holmen skog AB</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26106-2025</t>
        </is>
      </c>
      <c r="B12307" s="1" t="n">
        <v>45805</v>
      </c>
      <c r="C12307" s="1" t="n">
        <v>46145</v>
      </c>
      <c r="D12307" t="inlineStr">
        <is>
          <t>VÄSTERBOTTENS LÄN</t>
        </is>
      </c>
      <c r="E12307" t="inlineStr">
        <is>
          <t>STORUMAN</t>
        </is>
      </c>
      <c r="F12307" t="inlineStr">
        <is>
          <t>Allmännings- och besparingsskogar</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29096-2025</t>
        </is>
      </c>
      <c r="B12308" s="1" t="n">
        <v>45821.56319444445</v>
      </c>
      <c r="C12308" s="1" t="n">
        <v>46145</v>
      </c>
      <c r="D12308" t="inlineStr">
        <is>
          <t>VÄSTERBOTTENS LÄN</t>
        </is>
      </c>
      <c r="E12308" t="inlineStr">
        <is>
          <t>UMEÅ</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29123-2025</t>
        </is>
      </c>
      <c r="B12309" s="1" t="n">
        <v>45821.59451388889</v>
      </c>
      <c r="C12309" s="1" t="n">
        <v>46145</v>
      </c>
      <c r="D12309" t="inlineStr">
        <is>
          <t>VÄSTERBOTTENS LÄN</t>
        </is>
      </c>
      <c r="E12309" t="inlineStr">
        <is>
          <t>LYCKSELE</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29095-2025</t>
        </is>
      </c>
      <c r="B12310" s="1" t="n">
        <v>45821.56167824074</v>
      </c>
      <c r="C12310" s="1" t="n">
        <v>46145</v>
      </c>
      <c r="D12310" t="inlineStr">
        <is>
          <t>VÄSTERBOTTENS LÄN</t>
        </is>
      </c>
      <c r="E12310" t="inlineStr">
        <is>
          <t>LYCKSELE</t>
        </is>
      </c>
      <c r="F12310" t="inlineStr">
        <is>
          <t>Holmen skog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29468-2025</t>
        </is>
      </c>
      <c r="B12311" s="1" t="n">
        <v>45824.69888888889</v>
      </c>
      <c r="C12311" s="1" t="n">
        <v>46145</v>
      </c>
      <c r="D12311" t="inlineStr">
        <is>
          <t>VÄSTERBOTTENS LÄN</t>
        </is>
      </c>
      <c r="E12311" t="inlineStr">
        <is>
          <t>VILHELMINA</t>
        </is>
      </c>
      <c r="F12311" t="inlineStr">
        <is>
          <t>SCA</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29219-2025</t>
        </is>
      </c>
      <c r="B12312" s="1" t="n">
        <v>45824.31930555555</v>
      </c>
      <c r="C12312" s="1" t="n">
        <v>46145</v>
      </c>
      <c r="D12312" t="inlineStr">
        <is>
          <t>VÄSTERBOTTENS LÄN</t>
        </is>
      </c>
      <c r="E12312" t="inlineStr">
        <is>
          <t>UMEÅ</t>
        </is>
      </c>
      <c r="F12312" t="inlineStr">
        <is>
          <t>Holmen skog AB</t>
        </is>
      </c>
      <c r="G12312" t="n">
        <v>12.1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29224-2025</t>
        </is>
      </c>
      <c r="B12313" s="1" t="n">
        <v>45824.33494212963</v>
      </c>
      <c r="C12313" s="1" t="n">
        <v>46145</v>
      </c>
      <c r="D12313" t="inlineStr">
        <is>
          <t>VÄSTERBOTTENS LÄN</t>
        </is>
      </c>
      <c r="E12313" t="inlineStr">
        <is>
          <t>ROBERTSFORS</t>
        </is>
      </c>
      <c r="F12313" t="inlineStr">
        <is>
          <t>Holmen skog AB</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29466-2025</t>
        </is>
      </c>
      <c r="B12314" s="1" t="n">
        <v>45824.69865740741</v>
      </c>
      <c r="C12314" s="1" t="n">
        <v>46145</v>
      </c>
      <c r="D12314" t="inlineStr">
        <is>
          <t>VÄSTERBOTTENS LÄN</t>
        </is>
      </c>
      <c r="E12314" t="inlineStr">
        <is>
          <t>VILHELMINA</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29847-2025</t>
        </is>
      </c>
      <c r="B12315" s="1" t="n">
        <v>45826.32677083334</v>
      </c>
      <c r="C12315" s="1" t="n">
        <v>46145</v>
      </c>
      <c r="D12315" t="inlineStr">
        <is>
          <t>VÄSTERBOTTENS LÄN</t>
        </is>
      </c>
      <c r="E12315" t="inlineStr">
        <is>
          <t>ROBERTSFORS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29877-2025</t>
        </is>
      </c>
      <c r="B12316" s="1" t="n">
        <v>45826.36219907407</v>
      </c>
      <c r="C12316" s="1" t="n">
        <v>46145</v>
      </c>
      <c r="D12316" t="inlineStr">
        <is>
          <t>VÄSTERBOTTENS LÄN</t>
        </is>
      </c>
      <c r="E12316" t="inlineStr">
        <is>
          <t>VINDELN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29939-2025</t>
        </is>
      </c>
      <c r="B12317" s="1" t="n">
        <v>45826.45071759259</v>
      </c>
      <c r="C12317" s="1" t="n">
        <v>46145</v>
      </c>
      <c r="D12317" t="inlineStr">
        <is>
          <t>VÄSTERBOTTENS LÄN</t>
        </is>
      </c>
      <c r="E12317" t="inlineStr">
        <is>
          <t>ROBERTSFORS</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29940-2025</t>
        </is>
      </c>
      <c r="B12318" s="1" t="n">
        <v>45826.45104166667</v>
      </c>
      <c r="C12318" s="1" t="n">
        <v>46145</v>
      </c>
      <c r="D12318" t="inlineStr">
        <is>
          <t>VÄSTERBOTTENS LÄN</t>
        </is>
      </c>
      <c r="E12318" t="inlineStr">
        <is>
          <t>VILHELMINA</t>
        </is>
      </c>
      <c r="F12318" t="inlineStr">
        <is>
          <t>Sveaskog</t>
        </is>
      </c>
      <c r="G12318" t="n">
        <v>11.6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29925-2025</t>
        </is>
      </c>
      <c r="B12319" s="1" t="n">
        <v>45826.42918981481</v>
      </c>
      <c r="C12319" s="1" t="n">
        <v>46145</v>
      </c>
      <c r="D12319" t="inlineStr">
        <is>
          <t>VÄSTERBOTTENS LÄN</t>
        </is>
      </c>
      <c r="E12319" t="inlineStr">
        <is>
          <t>UMEÅ</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29752-2025</t>
        </is>
      </c>
      <c r="B12320" s="1" t="n">
        <v>45825.60962962963</v>
      </c>
      <c r="C12320" s="1" t="n">
        <v>46145</v>
      </c>
      <c r="D12320" t="inlineStr">
        <is>
          <t>VÄSTERBOTTENS LÄN</t>
        </is>
      </c>
      <c r="E12320" t="inlineStr">
        <is>
          <t>VINDELN</t>
        </is>
      </c>
      <c r="F12320" t="inlineStr">
        <is>
          <t>Holmen skog AB</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29765-2025</t>
        </is>
      </c>
      <c r="B12321" s="1" t="n">
        <v>45825.61898148148</v>
      </c>
      <c r="C12321" s="1" t="n">
        <v>46145</v>
      </c>
      <c r="D12321" t="inlineStr">
        <is>
          <t>VÄSTERBOTTENS LÄN</t>
        </is>
      </c>
      <c r="E12321" t="inlineStr">
        <is>
          <t>SKELLEFTEÅ</t>
        </is>
      </c>
      <c r="G12321" t="n">
        <v>6.6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29774-2025</t>
        </is>
      </c>
      <c r="B12322" s="1" t="n">
        <v>45825.63641203703</v>
      </c>
      <c r="C12322" s="1" t="n">
        <v>46145</v>
      </c>
      <c r="D12322" t="inlineStr">
        <is>
          <t>VÄSTERBOTTENS LÄN</t>
        </is>
      </c>
      <c r="E12322" t="inlineStr">
        <is>
          <t>UMEÅ</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12873-2025</t>
        </is>
      </c>
      <c r="B12323" s="1" t="n">
        <v>45733</v>
      </c>
      <c r="C12323" s="1" t="n">
        <v>46145</v>
      </c>
      <c r="D12323" t="inlineStr">
        <is>
          <t>VÄSTERBOTTENS LÄN</t>
        </is>
      </c>
      <c r="E12323" t="inlineStr">
        <is>
          <t>SKELLEFTEÅ</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29576-2025</t>
        </is>
      </c>
      <c r="B12324" s="1" t="n">
        <v>45825.37471064815</v>
      </c>
      <c r="C12324" s="1" t="n">
        <v>46145</v>
      </c>
      <c r="D12324" t="inlineStr">
        <is>
          <t>VÄSTERBOTTENS LÄN</t>
        </is>
      </c>
      <c r="E12324" t="inlineStr">
        <is>
          <t>NORDMALING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29983-2025</t>
        </is>
      </c>
      <c r="B12325" s="1" t="n">
        <v>45826.49555555556</v>
      </c>
      <c r="C12325" s="1" t="n">
        <v>46145</v>
      </c>
      <c r="D12325" t="inlineStr">
        <is>
          <t>VÄSTERBOTTENS LÄN</t>
        </is>
      </c>
      <c r="E12325" t="inlineStr">
        <is>
          <t>ÅSELE</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29963-2025</t>
        </is>
      </c>
      <c r="B12326" s="1" t="n">
        <v>45826.48354166667</v>
      </c>
      <c r="C12326" s="1" t="n">
        <v>46145</v>
      </c>
      <c r="D12326" t="inlineStr">
        <is>
          <t>VÄSTERBOTTENS LÄN</t>
        </is>
      </c>
      <c r="E12326" t="inlineStr">
        <is>
          <t>ÅSELE</t>
        </is>
      </c>
      <c r="F12326" t="inlineStr">
        <is>
          <t>Sveaskog</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30043-2025</t>
        </is>
      </c>
      <c r="B12327" s="1" t="n">
        <v>45826</v>
      </c>
      <c r="C12327" s="1" t="n">
        <v>46145</v>
      </c>
      <c r="D12327" t="inlineStr">
        <is>
          <t>VÄSTERBOTTENS LÄN</t>
        </is>
      </c>
      <c r="E12327" t="inlineStr">
        <is>
          <t>ÅSELE</t>
        </is>
      </c>
      <c r="F12327" t="inlineStr">
        <is>
          <t>Sveaskog</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29849-2025</t>
        </is>
      </c>
      <c r="B12328" s="1" t="n">
        <v>45826.32945601852</v>
      </c>
      <c r="C12328" s="1" t="n">
        <v>46145</v>
      </c>
      <c r="D12328" t="inlineStr">
        <is>
          <t>VÄSTERBOTTENS LÄN</t>
        </is>
      </c>
      <c r="E12328" t="inlineStr">
        <is>
          <t>ÅSELE</t>
        </is>
      </c>
      <c r="F12328" t="inlineStr">
        <is>
          <t>Sveaskog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29912-2025</t>
        </is>
      </c>
      <c r="B12329" s="1" t="n">
        <v>45826.40885416666</v>
      </c>
      <c r="C12329" s="1" t="n">
        <v>46145</v>
      </c>
      <c r="D12329" t="inlineStr">
        <is>
          <t>VÄSTERBOTTENS LÄN</t>
        </is>
      </c>
      <c r="E12329" t="inlineStr">
        <is>
          <t>VÄNNÄS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29974-2025</t>
        </is>
      </c>
      <c r="B12330" s="1" t="n">
        <v>45826.49050925926</v>
      </c>
      <c r="C12330" s="1" t="n">
        <v>46145</v>
      </c>
      <c r="D12330" t="inlineStr">
        <is>
          <t>VÄSTERBOTTENS LÄN</t>
        </is>
      </c>
      <c r="E12330" t="inlineStr">
        <is>
          <t>VINDELN</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29517-2025</t>
        </is>
      </c>
      <c r="B12331" s="1" t="n">
        <v>45825</v>
      </c>
      <c r="C12331" s="1" t="n">
        <v>46145</v>
      </c>
      <c r="D12331" t="inlineStr">
        <is>
          <t>VÄSTERBOTTENS LÄN</t>
        </is>
      </c>
      <c r="E12331" t="inlineStr">
        <is>
          <t>VINDELN</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29942-2025</t>
        </is>
      </c>
      <c r="B12332" s="1" t="n">
        <v>45826.45702546297</v>
      </c>
      <c r="C12332" s="1" t="n">
        <v>46145</v>
      </c>
      <c r="D12332" t="inlineStr">
        <is>
          <t>VÄSTERBOTTENS LÄN</t>
        </is>
      </c>
      <c r="E12332" t="inlineStr">
        <is>
          <t>VILHELMINA</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29606-2025</t>
        </is>
      </c>
      <c r="B12333" s="1" t="n">
        <v>45825</v>
      </c>
      <c r="C12333" s="1" t="n">
        <v>46145</v>
      </c>
      <c r="D12333" t="inlineStr">
        <is>
          <t>VÄSTERBOTTENS LÄN</t>
        </is>
      </c>
      <c r="E12333" t="inlineStr">
        <is>
          <t>NORDMALING</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29616-2025</t>
        </is>
      </c>
      <c r="B12334" s="1" t="n">
        <v>45825.43400462963</v>
      </c>
      <c r="C12334" s="1" t="n">
        <v>46145</v>
      </c>
      <c r="D12334" t="inlineStr">
        <is>
          <t>VÄSTERBOTTENS LÄN</t>
        </is>
      </c>
      <c r="E12334" t="inlineStr">
        <is>
          <t>ROBERTSFORS</t>
        </is>
      </c>
      <c r="F12334" t="inlineStr">
        <is>
          <t>Holmen skog AB</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29617-2025</t>
        </is>
      </c>
      <c r="B12335" s="1" t="n">
        <v>45825.43520833334</v>
      </c>
      <c r="C12335" s="1" t="n">
        <v>46145</v>
      </c>
      <c r="D12335" t="inlineStr">
        <is>
          <t>VÄSTERBOTTENS LÄN</t>
        </is>
      </c>
      <c r="E12335" t="inlineStr">
        <is>
          <t>VINDELN</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29665-2025</t>
        </is>
      </c>
      <c r="B12336" s="1" t="n">
        <v>45825.49140046296</v>
      </c>
      <c r="C12336" s="1" t="n">
        <v>46145</v>
      </c>
      <c r="D12336" t="inlineStr">
        <is>
          <t>VÄSTERBOTTENS LÄN</t>
        </is>
      </c>
      <c r="E12336" t="inlineStr">
        <is>
          <t>SKELLEFTEÅ</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29569-2025</t>
        </is>
      </c>
      <c r="B12337" s="1" t="n">
        <v>45825.36783564815</v>
      </c>
      <c r="C12337" s="1" t="n">
        <v>46145</v>
      </c>
      <c r="D12337" t="inlineStr">
        <is>
          <t>VÄSTERBOTTENS LÄN</t>
        </is>
      </c>
      <c r="E12337" t="inlineStr">
        <is>
          <t>NORDMALING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29583-2025</t>
        </is>
      </c>
      <c r="B12338" s="1" t="n">
        <v>45825.38503472223</v>
      </c>
      <c r="C12338" s="1" t="n">
        <v>46145</v>
      </c>
      <c r="D12338" t="inlineStr">
        <is>
          <t>VÄSTERBOTTENS LÄN</t>
        </is>
      </c>
      <c r="E12338" t="inlineStr">
        <is>
          <t>UMEÅ</t>
        </is>
      </c>
      <c r="F12338" t="inlineStr">
        <is>
          <t>Holmen skog AB</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29812-2025</t>
        </is>
      </c>
      <c r="B12339" s="1" t="n">
        <v>45825.77450231482</v>
      </c>
      <c r="C12339" s="1" t="n">
        <v>46145</v>
      </c>
      <c r="D12339" t="inlineStr">
        <is>
          <t>VÄSTERBOTTENS LÄN</t>
        </is>
      </c>
      <c r="E12339" t="inlineStr">
        <is>
          <t>VINDELN</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29822-2025</t>
        </is>
      </c>
      <c r="B12340" s="1" t="n">
        <v>45825.85033564815</v>
      </c>
      <c r="C12340" s="1" t="n">
        <v>46145</v>
      </c>
      <c r="D12340" t="inlineStr">
        <is>
          <t>VÄSTERBOTTENS LÄN</t>
        </is>
      </c>
      <c r="E12340" t="inlineStr">
        <is>
          <t>NORDMALING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29843-2025</t>
        </is>
      </c>
      <c r="B12341" s="1" t="n">
        <v>45826.31524305556</v>
      </c>
      <c r="C12341" s="1" t="n">
        <v>46145</v>
      </c>
      <c r="D12341" t="inlineStr">
        <is>
          <t>VÄSTERBOTTENS LÄN</t>
        </is>
      </c>
      <c r="E12341" t="inlineStr">
        <is>
          <t>ÅSELE</t>
        </is>
      </c>
      <c r="F12341" t="inlineStr">
        <is>
          <t>Sveaskog</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29850-2025</t>
        </is>
      </c>
      <c r="B12342" s="1" t="n">
        <v>45826</v>
      </c>
      <c r="C12342" s="1" t="n">
        <v>46145</v>
      </c>
      <c r="D12342" t="inlineStr">
        <is>
          <t>VÄSTERBOTTENS LÄN</t>
        </is>
      </c>
      <c r="E12342" t="inlineStr">
        <is>
          <t>ÅSELE</t>
        </is>
      </c>
      <c r="F12342" t="inlineStr">
        <is>
          <t>Sveaskog</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29866-2025</t>
        </is>
      </c>
      <c r="B12343" s="1" t="n">
        <v>45826.35212962963</v>
      </c>
      <c r="C12343" s="1" t="n">
        <v>46145</v>
      </c>
      <c r="D12343" t="inlineStr">
        <is>
          <t>VÄSTERBOTTENS LÄN</t>
        </is>
      </c>
      <c r="E12343" t="inlineStr">
        <is>
          <t>LYCKSELE</t>
        </is>
      </c>
      <c r="F12343" t="inlineStr">
        <is>
          <t>Holmen skog AB</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29894-2025</t>
        </is>
      </c>
      <c r="B12344" s="1" t="n">
        <v>45826</v>
      </c>
      <c r="C12344" s="1" t="n">
        <v>46145</v>
      </c>
      <c r="D12344" t="inlineStr">
        <is>
          <t>VÄSTERBOTTENS LÄN</t>
        </is>
      </c>
      <c r="E12344" t="inlineStr">
        <is>
          <t>VINDELN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30037-2025</t>
        </is>
      </c>
      <c r="B12345" s="1" t="n">
        <v>45826.57112268519</v>
      </c>
      <c r="C12345" s="1" t="n">
        <v>46145</v>
      </c>
      <c r="D12345" t="inlineStr">
        <is>
          <t>VÄSTERBOTTENS LÄN</t>
        </is>
      </c>
      <c r="E12345" t="inlineStr">
        <is>
          <t>ÅSELE</t>
        </is>
      </c>
      <c r="F12345" t="inlineStr">
        <is>
          <t>Sveaskog</t>
        </is>
      </c>
      <c r="G12345" t="n">
        <v>8.9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30081-2025</t>
        </is>
      </c>
      <c r="B12346" s="1" t="n">
        <v>45826.65171296296</v>
      </c>
      <c r="C12346" s="1" t="n">
        <v>46145</v>
      </c>
      <c r="D12346" t="inlineStr">
        <is>
          <t>VÄSTERBOTTENS LÄN</t>
        </is>
      </c>
      <c r="E12346" t="inlineStr">
        <is>
          <t>SKELLEFTEÅ</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29507-2025</t>
        </is>
      </c>
      <c r="B12347" s="1" t="n">
        <v>45825</v>
      </c>
      <c r="C12347" s="1" t="n">
        <v>46145</v>
      </c>
      <c r="D12347" t="inlineStr">
        <is>
          <t>VÄSTERBOTTENS LÄN</t>
        </is>
      </c>
      <c r="E12347" t="inlineStr">
        <is>
          <t>VINDELN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29784-2025</t>
        </is>
      </c>
      <c r="B12348" s="1" t="n">
        <v>45825.65462962963</v>
      </c>
      <c r="C12348" s="1" t="n">
        <v>46145</v>
      </c>
      <c r="D12348" t="inlineStr">
        <is>
          <t>VÄSTERBOTTENS LÄN</t>
        </is>
      </c>
      <c r="E12348" t="inlineStr">
        <is>
          <t>LYCKSELE</t>
        </is>
      </c>
      <c r="F12348" t="inlineStr">
        <is>
          <t>Holmen skog AB</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29613-2025</t>
        </is>
      </c>
      <c r="B12349" s="1" t="n">
        <v>45825</v>
      </c>
      <c r="C12349" s="1" t="n">
        <v>46145</v>
      </c>
      <c r="D12349" t="inlineStr">
        <is>
          <t>VÄSTERBOTTENS LÄN</t>
        </is>
      </c>
      <c r="E12349" t="inlineStr">
        <is>
          <t>SKELLEFTEÅ</t>
        </is>
      </c>
      <c r="G12349" t="n">
        <v>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29694-2025</t>
        </is>
      </c>
      <c r="B12350" s="1" t="n">
        <v>45825.54637731481</v>
      </c>
      <c r="C12350" s="1" t="n">
        <v>46145</v>
      </c>
      <c r="D12350" t="inlineStr">
        <is>
          <t>VÄSTERBOTTENS LÄN</t>
        </is>
      </c>
      <c r="E12350" t="inlineStr">
        <is>
          <t>SKELLEFTEÅ</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29682-2025</t>
        </is>
      </c>
      <c r="B12351" s="1" t="n">
        <v>45825.51212962963</v>
      </c>
      <c r="C12351" s="1" t="n">
        <v>46145</v>
      </c>
      <c r="D12351" t="inlineStr">
        <is>
          <t>VÄSTERBOTTENS LÄN</t>
        </is>
      </c>
      <c r="E12351" t="inlineStr">
        <is>
          <t>NORSJÖ</t>
        </is>
      </c>
      <c r="G12351" t="n">
        <v>9.300000000000001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29712-2025</t>
        </is>
      </c>
      <c r="B12352" s="1" t="n">
        <v>45825.56524305556</v>
      </c>
      <c r="C12352" s="1" t="n">
        <v>46145</v>
      </c>
      <c r="D12352" t="inlineStr">
        <is>
          <t>VÄSTERBOTTENS LÄN</t>
        </is>
      </c>
      <c r="E12352" t="inlineStr">
        <is>
          <t>BJURHOLM</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29506-2025</t>
        </is>
      </c>
      <c r="B12353" s="1" t="n">
        <v>45825</v>
      </c>
      <c r="C12353" s="1" t="n">
        <v>46145</v>
      </c>
      <c r="D12353" t="inlineStr">
        <is>
          <t>VÄSTERBOTTENS LÄN</t>
        </is>
      </c>
      <c r="E12353" t="inlineStr">
        <is>
          <t>VINDELN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29663-2025</t>
        </is>
      </c>
      <c r="B12354" s="1" t="n">
        <v>45825.48967592593</v>
      </c>
      <c r="C12354" s="1" t="n">
        <v>46145</v>
      </c>
      <c r="D12354" t="inlineStr">
        <is>
          <t>VÄSTERBOTTENS LÄN</t>
        </is>
      </c>
      <c r="E12354" t="inlineStr">
        <is>
          <t>SKELLEFTEÅ</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29947-2025</t>
        </is>
      </c>
      <c r="B12355" s="1" t="n">
        <v>45826</v>
      </c>
      <c r="C12355" s="1" t="n">
        <v>46145</v>
      </c>
      <c r="D12355" t="inlineStr">
        <is>
          <t>VÄSTERBOTTENS LÄN</t>
        </is>
      </c>
      <c r="E12355" t="inlineStr">
        <is>
          <t>ÅSELE</t>
        </is>
      </c>
      <c r="F12355" t="inlineStr">
        <is>
          <t>Sveaskog</t>
        </is>
      </c>
      <c r="G12355" t="n">
        <v>15.4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29978-2025</t>
        </is>
      </c>
      <c r="B12356" s="1" t="n">
        <v>45826.49273148148</v>
      </c>
      <c r="C12356" s="1" t="n">
        <v>46145</v>
      </c>
      <c r="D12356" t="inlineStr">
        <is>
          <t>VÄSTERBOTTENS LÄN</t>
        </is>
      </c>
      <c r="E12356" t="inlineStr">
        <is>
          <t>ÅSELE</t>
        </is>
      </c>
      <c r="F12356" t="inlineStr">
        <is>
          <t>Sveaskog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29998-2025</t>
        </is>
      </c>
      <c r="B12357" s="1" t="n">
        <v>45826</v>
      </c>
      <c r="C12357" s="1" t="n">
        <v>46145</v>
      </c>
      <c r="D12357" t="inlineStr">
        <is>
          <t>VÄSTERBOTTENS LÄN</t>
        </is>
      </c>
      <c r="E12357" t="inlineStr">
        <is>
          <t>ÅSELE</t>
        </is>
      </c>
      <c r="F12357" t="inlineStr">
        <is>
          <t>Sveaskog</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30101-2025</t>
        </is>
      </c>
      <c r="B12358" s="1" t="n">
        <v>45826.68275462963</v>
      </c>
      <c r="C12358" s="1" t="n">
        <v>46145</v>
      </c>
      <c r="D12358" t="inlineStr">
        <is>
          <t>VÄSTERBOTTENS LÄN</t>
        </is>
      </c>
      <c r="E12358" t="inlineStr">
        <is>
          <t>LYCKSELE</t>
        </is>
      </c>
      <c r="F12358" t="inlineStr">
        <is>
          <t>Holmen skog AB</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29704-2025</t>
        </is>
      </c>
      <c r="B12359" s="1" t="n">
        <v>45825.55847222222</v>
      </c>
      <c r="C12359" s="1" t="n">
        <v>46145</v>
      </c>
      <c r="D12359" t="inlineStr">
        <is>
          <t>VÄSTERBOTTENS LÄN</t>
        </is>
      </c>
      <c r="E12359" t="inlineStr">
        <is>
          <t>UMEÅ</t>
        </is>
      </c>
      <c r="F12359" t="inlineStr">
        <is>
          <t>Holmen skog AB</t>
        </is>
      </c>
      <c r="G12359" t="n">
        <v>35.1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29750-2025</t>
        </is>
      </c>
      <c r="B12360" s="1" t="n">
        <v>45825.60854166667</v>
      </c>
      <c r="C12360" s="1" t="n">
        <v>46145</v>
      </c>
      <c r="D12360" t="inlineStr">
        <is>
          <t>VÄSTERBOTTENS LÄN</t>
        </is>
      </c>
      <c r="E12360" t="inlineStr">
        <is>
          <t>SKELLEFTEÅ</t>
        </is>
      </c>
      <c r="F12360" t="inlineStr">
        <is>
          <t>Holmen skog AB</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29757-2025</t>
        </is>
      </c>
      <c r="B12361" s="1" t="n">
        <v>45825.61582175926</v>
      </c>
      <c r="C12361" s="1" t="n">
        <v>46145</v>
      </c>
      <c r="D12361" t="inlineStr">
        <is>
          <t>VÄSTERBOTTENS LÄN</t>
        </is>
      </c>
      <c r="E12361" t="inlineStr">
        <is>
          <t>SKELLEFTEÅ</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29502-2025</t>
        </is>
      </c>
      <c r="B12362" s="1" t="n">
        <v>45825.29293981481</v>
      </c>
      <c r="C12362" s="1" t="n">
        <v>46145</v>
      </c>
      <c r="D12362" t="inlineStr">
        <is>
          <t>VÄSTERBOTTENS LÄN</t>
        </is>
      </c>
      <c r="E12362" t="inlineStr">
        <is>
          <t>UMEÅ</t>
        </is>
      </c>
      <c r="F12362" t="inlineStr">
        <is>
          <t>Holmen skog AB</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29531-2025</t>
        </is>
      </c>
      <c r="B12363" s="1" t="n">
        <v>45825.34444444445</v>
      </c>
      <c r="C12363" s="1" t="n">
        <v>46145</v>
      </c>
      <c r="D12363" t="inlineStr">
        <is>
          <t>VÄSTERBOTTENS LÄN</t>
        </is>
      </c>
      <c r="E12363" t="inlineStr">
        <is>
          <t>ÅSELE</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29573-2025</t>
        </is>
      </c>
      <c r="B12364" s="1" t="n">
        <v>45825.37140046297</v>
      </c>
      <c r="C12364" s="1" t="n">
        <v>46145</v>
      </c>
      <c r="D12364" t="inlineStr">
        <is>
          <t>VÄSTERBOTTENS LÄN</t>
        </is>
      </c>
      <c r="E12364" t="inlineStr">
        <is>
          <t>NORDMALING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29579-2025</t>
        </is>
      </c>
      <c r="B12365" s="1" t="n">
        <v>45825.37862268519</v>
      </c>
      <c r="C12365" s="1" t="n">
        <v>46145</v>
      </c>
      <c r="D12365" t="inlineStr">
        <is>
          <t>VÄSTERBOTTENS LÄN</t>
        </is>
      </c>
      <c r="E12365" t="inlineStr">
        <is>
          <t>NORDMALING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29604-2025</t>
        </is>
      </c>
      <c r="B12366" s="1" t="n">
        <v>45825.4179050926</v>
      </c>
      <c r="C12366" s="1" t="n">
        <v>46145</v>
      </c>
      <c r="D12366" t="inlineStr">
        <is>
          <t>VÄSTERBOTTENS LÄN</t>
        </is>
      </c>
      <c r="E12366" t="inlineStr">
        <is>
          <t>VINDELN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29801-2025</t>
        </is>
      </c>
      <c r="B12367" s="1" t="n">
        <v>45825.69819444444</v>
      </c>
      <c r="C12367" s="1" t="n">
        <v>46145</v>
      </c>
      <c r="D12367" t="inlineStr">
        <is>
          <t>VÄSTERBOTTENS LÄN</t>
        </is>
      </c>
      <c r="E12367" t="inlineStr">
        <is>
          <t>STORUMAN</t>
        </is>
      </c>
      <c r="G12367" t="n">
        <v>21.2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30195-2025</t>
        </is>
      </c>
      <c r="B12368" s="1" t="n">
        <v>45827.35383101852</v>
      </c>
      <c r="C12368" s="1" t="n">
        <v>46145</v>
      </c>
      <c r="D12368" t="inlineStr">
        <is>
          <t>VÄSTERBOTTENS LÄN</t>
        </is>
      </c>
      <c r="E12368" t="inlineStr">
        <is>
          <t>SKELLEFTEÅ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30263-2025</t>
        </is>
      </c>
      <c r="B12369" s="1" t="n">
        <v>45827.43445601852</v>
      </c>
      <c r="C12369" s="1" t="n">
        <v>46145</v>
      </c>
      <c r="D12369" t="inlineStr">
        <is>
          <t>VÄSTERBOTTENS LÄN</t>
        </is>
      </c>
      <c r="E12369" t="inlineStr">
        <is>
          <t>UMEÅ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30336-2025</t>
        </is>
      </c>
      <c r="B12370" s="1" t="n">
        <v>45827.51121527778</v>
      </c>
      <c r="C12370" s="1" t="n">
        <v>46145</v>
      </c>
      <c r="D12370" t="inlineStr">
        <is>
          <t>VÄSTERBOTTENS LÄN</t>
        </is>
      </c>
      <c r="E12370" t="inlineStr">
        <is>
          <t>LYCKSELE</t>
        </is>
      </c>
      <c r="F12370" t="inlineStr">
        <is>
          <t>SCA</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30344-2025</t>
        </is>
      </c>
      <c r="B12371" s="1" t="n">
        <v>45827</v>
      </c>
      <c r="C12371" s="1" t="n">
        <v>46145</v>
      </c>
      <c r="D12371" t="inlineStr">
        <is>
          <t>VÄSTERBOTTENS LÄN</t>
        </is>
      </c>
      <c r="E12371" t="inlineStr">
        <is>
          <t>ROBERTSFORS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30449-2025</t>
        </is>
      </c>
      <c r="B12372" s="1" t="n">
        <v>45827.66090277778</v>
      </c>
      <c r="C12372" s="1" t="n">
        <v>46145</v>
      </c>
      <c r="D12372" t="inlineStr">
        <is>
          <t>VÄSTERBOTTENS LÄN</t>
        </is>
      </c>
      <c r="E12372" t="inlineStr">
        <is>
          <t>VINDELN</t>
        </is>
      </c>
      <c r="F12372" t="inlineStr">
        <is>
          <t>Holmen skog AB</t>
        </is>
      </c>
      <c r="G12372" t="n">
        <v>7.8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30438-2025</t>
        </is>
      </c>
      <c r="B12373" s="1" t="n">
        <v>45827.64153935185</v>
      </c>
      <c r="C12373" s="1" t="n">
        <v>46145</v>
      </c>
      <c r="D12373" t="inlineStr">
        <is>
          <t>VÄSTERBOTTENS LÄN</t>
        </is>
      </c>
      <c r="E12373" t="inlineStr">
        <is>
          <t>SKELLEFTEÅ</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30426-2025</t>
        </is>
      </c>
      <c r="B12374" s="1" t="n">
        <v>45827.61538194444</v>
      </c>
      <c r="C12374" s="1" t="n">
        <v>46145</v>
      </c>
      <c r="D12374" t="inlineStr">
        <is>
          <t>VÄSTERBOTTENS LÄN</t>
        </is>
      </c>
      <c r="E12374" t="inlineStr">
        <is>
          <t>LYCKSELE</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30385-2025</t>
        </is>
      </c>
      <c r="B12375" s="1" t="n">
        <v>45827.5730787037</v>
      </c>
      <c r="C12375" s="1" t="n">
        <v>46145</v>
      </c>
      <c r="D12375" t="inlineStr">
        <is>
          <t>VÄSTERBOTTENS LÄN</t>
        </is>
      </c>
      <c r="E12375" t="inlineStr">
        <is>
          <t>LYCKSELE</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30154-2025</t>
        </is>
      </c>
      <c r="B12376" s="1" t="n">
        <v>45827.31850694444</v>
      </c>
      <c r="C12376" s="1" t="n">
        <v>46145</v>
      </c>
      <c r="D12376" t="inlineStr">
        <is>
          <t>VÄSTERBOTTENS LÄN</t>
        </is>
      </c>
      <c r="E12376" t="inlineStr">
        <is>
          <t>LYCKSELE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30163-2025</t>
        </is>
      </c>
      <c r="B12377" s="1" t="n">
        <v>45827.32722222222</v>
      </c>
      <c r="C12377" s="1" t="n">
        <v>46145</v>
      </c>
      <c r="D12377" t="inlineStr">
        <is>
          <t>VÄSTERBOTTENS LÄN</t>
        </is>
      </c>
      <c r="E12377" t="inlineStr">
        <is>
          <t>VÄNNÄS</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30183-2025</t>
        </is>
      </c>
      <c r="B12378" s="1" t="n">
        <v>45827.34677083333</v>
      </c>
      <c r="C12378" s="1" t="n">
        <v>46145</v>
      </c>
      <c r="D12378" t="inlineStr">
        <is>
          <t>VÄSTERBOTTENS LÄN</t>
        </is>
      </c>
      <c r="E12378" t="inlineStr">
        <is>
          <t>ÅSELE</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30258-2025</t>
        </is>
      </c>
      <c r="B12379" s="1" t="n">
        <v>45827.42743055556</v>
      </c>
      <c r="C12379" s="1" t="n">
        <v>46145</v>
      </c>
      <c r="D12379" t="inlineStr">
        <is>
          <t>VÄSTERBOTTENS LÄN</t>
        </is>
      </c>
      <c r="E12379" t="inlineStr">
        <is>
          <t>LYCKSELE</t>
        </is>
      </c>
      <c r="F12379" t="inlineStr">
        <is>
          <t>Holmen skog AB</t>
        </is>
      </c>
      <c r="G12379" t="n">
        <v>19.5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30172-2025</t>
        </is>
      </c>
      <c r="B12380" s="1" t="n">
        <v>45827</v>
      </c>
      <c r="C12380" s="1" t="n">
        <v>46145</v>
      </c>
      <c r="D12380" t="inlineStr">
        <is>
          <t>VÄSTERBOTTENS LÄN</t>
        </is>
      </c>
      <c r="E12380" t="inlineStr">
        <is>
          <t>SKELLEFTEÅ</t>
        </is>
      </c>
      <c r="F12380" t="inlineStr">
        <is>
          <t>Kyrkan</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30578-2025</t>
        </is>
      </c>
      <c r="B12381" s="1" t="n">
        <v>45831.41945601852</v>
      </c>
      <c r="C12381" s="1" t="n">
        <v>46145</v>
      </c>
      <c r="D12381" t="inlineStr">
        <is>
          <t>VÄSTERBOTTENS LÄN</t>
        </is>
      </c>
      <c r="E12381" t="inlineStr">
        <is>
          <t>LYCKSELE</t>
        </is>
      </c>
      <c r="F12381" t="inlineStr">
        <is>
          <t>Sveaskog</t>
        </is>
      </c>
      <c r="G12381" t="n">
        <v>17.8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30679-2025</t>
        </is>
      </c>
      <c r="B12382" s="1" t="n">
        <v>45831.52672453703</v>
      </c>
      <c r="C12382" s="1" t="n">
        <v>46145</v>
      </c>
      <c r="D12382" t="inlineStr">
        <is>
          <t>VÄSTERBOTTENS LÄN</t>
        </is>
      </c>
      <c r="E12382" t="inlineStr">
        <is>
          <t>VINDELN</t>
        </is>
      </c>
      <c r="F12382" t="inlineStr">
        <is>
          <t>Sveaskog</t>
        </is>
      </c>
      <c r="G12382" t="n">
        <v>16.4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30803-2025</t>
        </is>
      </c>
      <c r="B12383" s="1" t="n">
        <v>45831.65424768518</v>
      </c>
      <c r="C12383" s="1" t="n">
        <v>46145</v>
      </c>
      <c r="D12383" t="inlineStr">
        <is>
          <t>VÄSTERBOTTENS LÄN</t>
        </is>
      </c>
      <c r="E12383" t="inlineStr">
        <is>
          <t>UMEÅ</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31168-2025</t>
        </is>
      </c>
      <c r="B12384" s="1" t="n">
        <v>45832.66167824074</v>
      </c>
      <c r="C12384" s="1" t="n">
        <v>46145</v>
      </c>
      <c r="D12384" t="inlineStr">
        <is>
          <t>VÄSTERBOTTENS LÄN</t>
        </is>
      </c>
      <c r="E12384" t="inlineStr">
        <is>
          <t>SKELLEFTEÅ</t>
        </is>
      </c>
      <c r="F12384" t="inlineStr">
        <is>
          <t>Holmen skog AB</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31178-2025</t>
        </is>
      </c>
      <c r="B12385" s="1" t="n">
        <v>45832.67209490741</v>
      </c>
      <c r="C12385" s="1" t="n">
        <v>46145</v>
      </c>
      <c r="D12385" t="inlineStr">
        <is>
          <t>VÄSTERBOTTENS LÄN</t>
        </is>
      </c>
      <c r="E12385" t="inlineStr">
        <is>
          <t>SKELLEFTEÅ</t>
        </is>
      </c>
      <c r="F12385" t="inlineStr">
        <is>
          <t>Holmen skog AB</t>
        </is>
      </c>
      <c r="G12385" t="n">
        <v>19.2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30824-2025</t>
        </is>
      </c>
      <c r="B12386" s="1" t="n">
        <v>45831.6749537037</v>
      </c>
      <c r="C12386" s="1" t="n">
        <v>46145</v>
      </c>
      <c r="D12386" t="inlineStr">
        <is>
          <t>VÄSTERBOTTENS LÄN</t>
        </is>
      </c>
      <c r="E12386" t="inlineStr">
        <is>
          <t>NORDMALING</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31077-2025</t>
        </is>
      </c>
      <c r="B12387" s="1" t="n">
        <v>45831</v>
      </c>
      <c r="C12387" s="1" t="n">
        <v>46145</v>
      </c>
      <c r="D12387" t="inlineStr">
        <is>
          <t>VÄSTERBOTTENS LÄN</t>
        </is>
      </c>
      <c r="E12387" t="inlineStr">
        <is>
          <t>SKELLEFTEÅ</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30879-2025</t>
        </is>
      </c>
      <c r="B12388" s="1" t="n">
        <v>45832.34510416666</v>
      </c>
      <c r="C12388" s="1" t="n">
        <v>46145</v>
      </c>
      <c r="D12388" t="inlineStr">
        <is>
          <t>VÄSTERBOTTENS LÄN</t>
        </is>
      </c>
      <c r="E12388" t="inlineStr">
        <is>
          <t>ÅSELE</t>
        </is>
      </c>
      <c r="F12388" t="inlineStr">
        <is>
          <t>SCA</t>
        </is>
      </c>
      <c r="G12388" t="n">
        <v>19.5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30553-2025</t>
        </is>
      </c>
      <c r="B12389" s="1" t="n">
        <v>45831.38579861111</v>
      </c>
      <c r="C12389" s="1" t="n">
        <v>46145</v>
      </c>
      <c r="D12389" t="inlineStr">
        <is>
          <t>VÄSTERBOTTENS LÄN</t>
        </is>
      </c>
      <c r="E12389" t="inlineStr">
        <is>
          <t>VILHELMINA</t>
        </is>
      </c>
      <c r="F12389" t="inlineStr">
        <is>
          <t>SCA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30573-2025</t>
        </is>
      </c>
      <c r="B12390" s="1" t="n">
        <v>45831.41046296297</v>
      </c>
      <c r="C12390" s="1" t="n">
        <v>46145</v>
      </c>
      <c r="D12390" t="inlineStr">
        <is>
          <t>VÄSTERBOTTENS LÄN</t>
        </is>
      </c>
      <c r="E12390" t="inlineStr">
        <is>
          <t>LYCKSELE</t>
        </is>
      </c>
      <c r="F12390" t="inlineStr">
        <is>
          <t>Sveaskog</t>
        </is>
      </c>
      <c r="G12390" t="n">
        <v>16.6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30575-2025</t>
        </is>
      </c>
      <c r="B12391" s="1" t="n">
        <v>45831.41347222222</v>
      </c>
      <c r="C12391" s="1" t="n">
        <v>46145</v>
      </c>
      <c r="D12391" t="inlineStr">
        <is>
          <t>VÄSTERBOTTENS LÄN</t>
        </is>
      </c>
      <c r="E12391" t="inlineStr">
        <is>
          <t>NORSJÖ</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30763-2025</t>
        </is>
      </c>
      <c r="B12392" s="1" t="n">
        <v>45831.60331018519</v>
      </c>
      <c r="C12392" s="1" t="n">
        <v>46145</v>
      </c>
      <c r="D12392" t="inlineStr">
        <is>
          <t>VÄSTERBOTTENS LÄN</t>
        </is>
      </c>
      <c r="E12392" t="inlineStr">
        <is>
          <t>ÅSELE</t>
        </is>
      </c>
      <c r="F12392" t="inlineStr">
        <is>
          <t>Sveaskog</t>
        </is>
      </c>
      <c r="G12392" t="n">
        <v>15.1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30773-2025</t>
        </is>
      </c>
      <c r="B12393" s="1" t="n">
        <v>45831.61457175926</v>
      </c>
      <c r="C12393" s="1" t="n">
        <v>46145</v>
      </c>
      <c r="D12393" t="inlineStr">
        <is>
          <t>VÄSTERBOTTENS LÄN</t>
        </is>
      </c>
      <c r="E12393" t="inlineStr">
        <is>
          <t>ÅSELE</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31217-2025</t>
        </is>
      </c>
      <c r="B12394" s="1" t="n">
        <v>45832</v>
      </c>
      <c r="C12394" s="1" t="n">
        <v>46145</v>
      </c>
      <c r="D12394" t="inlineStr">
        <is>
          <t>VÄSTERBOTTENS LÄN</t>
        </is>
      </c>
      <c r="E12394" t="inlineStr">
        <is>
          <t>ÅSELE</t>
        </is>
      </c>
      <c r="G12394" t="n">
        <v>10.6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31108-2025</t>
        </is>
      </c>
      <c r="B12395" s="1" t="n">
        <v>45832</v>
      </c>
      <c r="C12395" s="1" t="n">
        <v>46145</v>
      </c>
      <c r="D12395" t="inlineStr">
        <is>
          <t>VÄSTERBOTTENS LÄN</t>
        </is>
      </c>
      <c r="E12395" t="inlineStr">
        <is>
          <t>SKELLEFTEÅ</t>
        </is>
      </c>
      <c r="F12395" t="inlineStr">
        <is>
          <t>Holmen skog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30913-2025</t>
        </is>
      </c>
      <c r="B12396" s="1" t="n">
        <v>45832.37649305556</v>
      </c>
      <c r="C12396" s="1" t="n">
        <v>46145</v>
      </c>
      <c r="D12396" t="inlineStr">
        <is>
          <t>VÄSTERBOTTENS LÄN</t>
        </is>
      </c>
      <c r="E12396" t="inlineStr">
        <is>
          <t>ROBERTSFORS</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30924-2025</t>
        </is>
      </c>
      <c r="B12397" s="1" t="n">
        <v>45832.3862037037</v>
      </c>
      <c r="C12397" s="1" t="n">
        <v>46145</v>
      </c>
      <c r="D12397" t="inlineStr">
        <is>
          <t>VÄSTERBOTTENS LÄN</t>
        </is>
      </c>
      <c r="E12397" t="inlineStr">
        <is>
          <t>VINDELN</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30865-2025</t>
        </is>
      </c>
      <c r="B12398" s="1" t="n">
        <v>45832.3215162037</v>
      </c>
      <c r="C12398" s="1" t="n">
        <v>46145</v>
      </c>
      <c r="D12398" t="inlineStr">
        <is>
          <t>VÄSTERBOTTENS LÄN</t>
        </is>
      </c>
      <c r="E12398" t="inlineStr">
        <is>
          <t>LYCKSELE</t>
        </is>
      </c>
      <c r="F12398" t="inlineStr">
        <is>
          <t>Sveaskog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26437-2025</t>
        </is>
      </c>
      <c r="B12399" s="1" t="n">
        <v>45807.40113425926</v>
      </c>
      <c r="C12399" s="1" t="n">
        <v>46145</v>
      </c>
      <c r="D12399" t="inlineStr">
        <is>
          <t>VÄSTERBOTTENS LÄN</t>
        </is>
      </c>
      <c r="E12399" t="inlineStr">
        <is>
          <t>ROBERTSFORS</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31045-2025</t>
        </is>
      </c>
      <c r="B12400" s="1" t="n">
        <v>45832.55502314815</v>
      </c>
      <c r="C12400" s="1" t="n">
        <v>46145</v>
      </c>
      <c r="D12400" t="inlineStr">
        <is>
          <t>VÄSTERBOTTENS LÄN</t>
        </is>
      </c>
      <c r="E12400" t="inlineStr">
        <is>
          <t>ROBERTSFORS</t>
        </is>
      </c>
      <c r="F12400" t="inlineStr">
        <is>
          <t>Holmen skog AB</t>
        </is>
      </c>
      <c r="G12400" t="n">
        <v>11.5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30632-2025</t>
        </is>
      </c>
      <c r="B12401" s="1" t="n">
        <v>45831.4783912037</v>
      </c>
      <c r="C12401" s="1" t="n">
        <v>46145</v>
      </c>
      <c r="D12401" t="inlineStr">
        <is>
          <t>VÄSTERBOTTENS LÄN</t>
        </is>
      </c>
      <c r="E12401" t="inlineStr">
        <is>
          <t>LYCKSELE</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30894-2025</t>
        </is>
      </c>
      <c r="B12402" s="1" t="n">
        <v>45832.3468287037</v>
      </c>
      <c r="C12402" s="1" t="n">
        <v>46145</v>
      </c>
      <c r="D12402" t="inlineStr">
        <is>
          <t>VÄSTERBOTTENS LÄN</t>
        </is>
      </c>
      <c r="E12402" t="inlineStr">
        <is>
          <t>NORSJÖ</t>
        </is>
      </c>
      <c r="G12402" t="n">
        <v>7.1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30900-2025</t>
        </is>
      </c>
      <c r="B12403" s="1" t="n">
        <v>45832.35804398148</v>
      </c>
      <c r="C12403" s="1" t="n">
        <v>46145</v>
      </c>
      <c r="D12403" t="inlineStr">
        <is>
          <t>VÄSTERBOTTENS LÄN</t>
        </is>
      </c>
      <c r="E12403" t="inlineStr">
        <is>
          <t>VINDELN</t>
        </is>
      </c>
      <c r="F12403" t="inlineStr">
        <is>
          <t>Holmen skog AB</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30940-2025</t>
        </is>
      </c>
      <c r="B12404" s="1" t="n">
        <v>45832</v>
      </c>
      <c r="C12404" s="1" t="n">
        <v>46145</v>
      </c>
      <c r="D12404" t="inlineStr">
        <is>
          <t>VÄSTERBOTTENS LÄN</t>
        </is>
      </c>
      <c r="E12404" t="inlineStr">
        <is>
          <t>ÅSELE</t>
        </is>
      </c>
      <c r="G12404" t="n">
        <v>10.1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30588-2025</t>
        </is>
      </c>
      <c r="B12405" s="1" t="n">
        <v>45831.42825231481</v>
      </c>
      <c r="C12405" s="1" t="n">
        <v>46145</v>
      </c>
      <c r="D12405" t="inlineStr">
        <is>
          <t>VÄSTERBOTTENS LÄN</t>
        </is>
      </c>
      <c r="E12405" t="inlineStr">
        <is>
          <t>NORSJÖ</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31224-2025</t>
        </is>
      </c>
      <c r="B12406" s="1" t="n">
        <v>45832</v>
      </c>
      <c r="C12406" s="1" t="n">
        <v>46145</v>
      </c>
      <c r="D12406" t="inlineStr">
        <is>
          <t>VÄSTERBOTTENS LÄN</t>
        </is>
      </c>
      <c r="E12406" t="inlineStr">
        <is>
          <t>ÅSELE</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30991-2025</t>
        </is>
      </c>
      <c r="B12407" s="1" t="n">
        <v>45832.48483796296</v>
      </c>
      <c r="C12407" s="1" t="n">
        <v>46145</v>
      </c>
      <c r="D12407" t="inlineStr">
        <is>
          <t>VÄSTERBOTTENS LÄN</t>
        </is>
      </c>
      <c r="E12407" t="inlineStr">
        <is>
          <t>VINDELN</t>
        </is>
      </c>
      <c r="F12407" t="inlineStr">
        <is>
          <t>Holmen skog AB</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31022-2025</t>
        </is>
      </c>
      <c r="B12408" s="1" t="n">
        <v>45832.51869212963</v>
      </c>
      <c r="C12408" s="1" t="n">
        <v>46145</v>
      </c>
      <c r="D12408" t="inlineStr">
        <is>
          <t>VÄSTERBOTTENS LÄN</t>
        </is>
      </c>
      <c r="E12408" t="inlineStr">
        <is>
          <t>LYCKSELE</t>
        </is>
      </c>
      <c r="F12408" t="inlineStr">
        <is>
          <t>Sveaskog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31037-2025</t>
        </is>
      </c>
      <c r="B12409" s="1" t="n">
        <v>45832.54769675926</v>
      </c>
      <c r="C12409" s="1" t="n">
        <v>46145</v>
      </c>
      <c r="D12409" t="inlineStr">
        <is>
          <t>VÄSTERBOTTENS LÄN</t>
        </is>
      </c>
      <c r="E12409" t="inlineStr">
        <is>
          <t>UMEÅ</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31110-2025</t>
        </is>
      </c>
      <c r="B12410" s="1" t="n">
        <v>45832.61085648148</v>
      </c>
      <c r="C12410" s="1" t="n">
        <v>46145</v>
      </c>
      <c r="D12410" t="inlineStr">
        <is>
          <t>VÄSTERBOTTENS LÄN</t>
        </is>
      </c>
      <c r="E12410" t="inlineStr">
        <is>
          <t>ROBERTSFORS</t>
        </is>
      </c>
      <c r="F12410" t="inlineStr">
        <is>
          <t>Holmen skog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30906-2025</t>
        </is>
      </c>
      <c r="B12411" s="1" t="n">
        <v>45832.36453703704</v>
      </c>
      <c r="C12411" s="1" t="n">
        <v>46145</v>
      </c>
      <c r="D12411" t="inlineStr">
        <is>
          <t>VÄSTERBOTTENS LÄN</t>
        </is>
      </c>
      <c r="E12411" t="inlineStr">
        <is>
          <t>LYCKSELE</t>
        </is>
      </c>
      <c r="F12411" t="inlineStr">
        <is>
          <t>Sveaskog</t>
        </is>
      </c>
      <c r="G12411" t="n">
        <v>20.1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30908-2025</t>
        </is>
      </c>
      <c r="B12412" s="1" t="n">
        <v>45832.36497685185</v>
      </c>
      <c r="C12412" s="1" t="n">
        <v>46145</v>
      </c>
      <c r="D12412" t="inlineStr">
        <is>
          <t>VÄSTERBOTTENS LÄN</t>
        </is>
      </c>
      <c r="E12412" t="inlineStr">
        <is>
          <t>VINDELN</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30487-2025</t>
        </is>
      </c>
      <c r="B12413" s="1" t="n">
        <v>45829.71057870371</v>
      </c>
      <c r="C12413" s="1" t="n">
        <v>46145</v>
      </c>
      <c r="D12413" t="inlineStr">
        <is>
          <t>VÄSTERBOTTENS LÄN</t>
        </is>
      </c>
      <c r="E12413" t="inlineStr">
        <is>
          <t>VINDELN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31154-2025</t>
        </is>
      </c>
      <c r="B12414" s="1" t="n">
        <v>45832.64778935185</v>
      </c>
      <c r="C12414" s="1" t="n">
        <v>46145</v>
      </c>
      <c r="D12414" t="inlineStr">
        <is>
          <t>VÄSTERBOTTENS LÄN</t>
        </is>
      </c>
      <c r="E12414" t="inlineStr">
        <is>
          <t>UMEÅ</t>
        </is>
      </c>
      <c r="F12414" t="inlineStr">
        <is>
          <t>Holmen skog AB</t>
        </is>
      </c>
      <c r="G12414" t="n">
        <v>28.5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30645-2025</t>
        </is>
      </c>
      <c r="B12415" s="1" t="n">
        <v>45831.48987268518</v>
      </c>
      <c r="C12415" s="1" t="n">
        <v>46145</v>
      </c>
      <c r="D12415" t="inlineStr">
        <is>
          <t>VÄSTERBOTTENS LÄN</t>
        </is>
      </c>
      <c r="E12415" t="inlineStr">
        <is>
          <t>UMEÅ</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30864-2025</t>
        </is>
      </c>
      <c r="B12416" s="1" t="n">
        <v>45832.31803240741</v>
      </c>
      <c r="C12416" s="1" t="n">
        <v>46145</v>
      </c>
      <c r="D12416" t="inlineStr">
        <is>
          <t>VÄSTERBOTTENS LÄN</t>
        </is>
      </c>
      <c r="E12416" t="inlineStr">
        <is>
          <t>LYCKSELE</t>
        </is>
      </c>
      <c r="F12416" t="inlineStr">
        <is>
          <t>Sveaskog</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30701-2025</t>
        </is>
      </c>
      <c r="B12417" s="1" t="n">
        <v>45831</v>
      </c>
      <c r="C12417" s="1" t="n">
        <v>46145</v>
      </c>
      <c r="D12417" t="inlineStr">
        <is>
          <t>VÄSTERBOTTENS LÄN</t>
        </is>
      </c>
      <c r="E12417" t="inlineStr">
        <is>
          <t>ÅSELE</t>
        </is>
      </c>
      <c r="F12417" t="inlineStr">
        <is>
          <t>Sveaskog</t>
        </is>
      </c>
      <c r="G12417" t="n">
        <v>14.2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30520-2025</t>
        </is>
      </c>
      <c r="B12418" s="1" t="n">
        <v>45831.34668981482</v>
      </c>
      <c r="C12418" s="1" t="n">
        <v>46145</v>
      </c>
      <c r="D12418" t="inlineStr">
        <is>
          <t>VÄSTERBOTTENS LÄN</t>
        </is>
      </c>
      <c r="E12418" t="inlineStr">
        <is>
          <t>SORSELE</t>
        </is>
      </c>
      <c r="G12418" t="n">
        <v>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30960-2025</t>
        </is>
      </c>
      <c r="B12419" s="1" t="n">
        <v>45832.44204861111</v>
      </c>
      <c r="C12419" s="1" t="n">
        <v>46145</v>
      </c>
      <c r="D12419" t="inlineStr">
        <is>
          <t>VÄSTERBOTTENS LÄN</t>
        </is>
      </c>
      <c r="E12419" t="inlineStr">
        <is>
          <t>UMEÅ</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30580-2025</t>
        </is>
      </c>
      <c r="B12420" s="1" t="n">
        <v>45831.42009259259</v>
      </c>
      <c r="C12420" s="1" t="n">
        <v>46145</v>
      </c>
      <c r="D12420" t="inlineStr">
        <is>
          <t>VÄSTERBOTTENS LÄN</t>
        </is>
      </c>
      <c r="E12420" t="inlineStr">
        <is>
          <t>VINDELN</t>
        </is>
      </c>
      <c r="F12420" t="inlineStr">
        <is>
          <t>Holmen skog AB</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30623-2025</t>
        </is>
      </c>
      <c r="B12421" s="1" t="n">
        <v>45831.47189814815</v>
      </c>
      <c r="C12421" s="1" t="n">
        <v>46145</v>
      </c>
      <c r="D12421" t="inlineStr">
        <is>
          <t>VÄSTERBOTTENS LÄN</t>
        </is>
      </c>
      <c r="E12421" t="inlineStr">
        <is>
          <t>LYCKSELE</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30672-2025</t>
        </is>
      </c>
      <c r="B12422" s="1" t="n">
        <v>45831.51869212963</v>
      </c>
      <c r="C12422" s="1" t="n">
        <v>46145</v>
      </c>
      <c r="D12422" t="inlineStr">
        <is>
          <t>VÄSTERBOTTENS LÄN</t>
        </is>
      </c>
      <c r="E12422" t="inlineStr">
        <is>
          <t>BJURHOLM</t>
        </is>
      </c>
      <c r="F12422" t="inlineStr">
        <is>
          <t>Sveaskog</t>
        </is>
      </c>
      <c r="G12422" t="n">
        <v>20.4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30675-2025</t>
        </is>
      </c>
      <c r="B12423" s="1" t="n">
        <v>45831.52111111111</v>
      </c>
      <c r="C12423" s="1" t="n">
        <v>46145</v>
      </c>
      <c r="D12423" t="inlineStr">
        <is>
          <t>VÄSTERBOTTENS LÄN</t>
        </is>
      </c>
      <c r="E12423" t="inlineStr">
        <is>
          <t>BJURHOLM</t>
        </is>
      </c>
      <c r="F12423" t="inlineStr">
        <is>
          <t>Sveaskog</t>
        </is>
      </c>
      <c r="G12423" t="n">
        <v>18.7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30945-2025</t>
        </is>
      </c>
      <c r="B12424" s="1" t="n">
        <v>45832.41233796296</v>
      </c>
      <c r="C12424" s="1" t="n">
        <v>46145</v>
      </c>
      <c r="D12424" t="inlineStr">
        <is>
          <t>VÄSTERBOTTENS LÄN</t>
        </is>
      </c>
      <c r="E12424" t="inlineStr">
        <is>
          <t>VINDELN</t>
        </is>
      </c>
      <c r="F12424" t="inlineStr">
        <is>
          <t>Holmen skog AB</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31371-2025</t>
        </is>
      </c>
      <c r="B12425" s="1" t="n">
        <v>45832</v>
      </c>
      <c r="C12425" s="1" t="n">
        <v>46145</v>
      </c>
      <c r="D12425" t="inlineStr">
        <is>
          <t>VÄSTERBOTTENS LÄN</t>
        </is>
      </c>
      <c r="E12425" t="inlineStr">
        <is>
          <t>ÅSELE</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31389-2025</t>
        </is>
      </c>
      <c r="B12426" s="1" t="n">
        <v>45832</v>
      </c>
      <c r="C12426" s="1" t="n">
        <v>46145</v>
      </c>
      <c r="D12426" t="inlineStr">
        <is>
          <t>VÄSTERBOTTENS LÄN</t>
        </is>
      </c>
      <c r="E12426" t="inlineStr">
        <is>
          <t>VINDELN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30744-2025</t>
        </is>
      </c>
      <c r="B12427" s="1" t="n">
        <v>45831.57969907407</v>
      </c>
      <c r="C12427" s="1" t="n">
        <v>46145</v>
      </c>
      <c r="D12427" t="inlineStr">
        <is>
          <t>VÄSTERBOTTENS LÄN</t>
        </is>
      </c>
      <c r="E12427" t="inlineStr">
        <is>
          <t>VINDELN</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30779-2025</t>
        </is>
      </c>
      <c r="B12428" s="1" t="n">
        <v>45831.62219907407</v>
      </c>
      <c r="C12428" s="1" t="n">
        <v>46145</v>
      </c>
      <c r="D12428" t="inlineStr">
        <is>
          <t>VÄSTERBOTTENS LÄN</t>
        </is>
      </c>
      <c r="E12428" t="inlineStr">
        <is>
          <t>ÅSELE</t>
        </is>
      </c>
      <c r="F12428" t="inlineStr">
        <is>
          <t>Sveaskog</t>
        </is>
      </c>
      <c r="G12428" t="n">
        <v>21.6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31080-2025</t>
        </is>
      </c>
      <c r="B12429" s="1" t="n">
        <v>45831</v>
      </c>
      <c r="C12429" s="1" t="n">
        <v>46145</v>
      </c>
      <c r="D12429" t="inlineStr">
        <is>
          <t>VÄSTERBOTTENS LÄN</t>
        </is>
      </c>
      <c r="E12429" t="inlineStr">
        <is>
          <t>ÅSELE</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30624-2025</t>
        </is>
      </c>
      <c r="B12430" s="1" t="n">
        <v>45831.4724074074</v>
      </c>
      <c r="C12430" s="1" t="n">
        <v>46145</v>
      </c>
      <c r="D12430" t="inlineStr">
        <is>
          <t>VÄSTERBOTTENS LÄN</t>
        </is>
      </c>
      <c r="E12430" t="inlineStr">
        <is>
          <t>LYCKSELE</t>
        </is>
      </c>
      <c r="F12430" t="inlineStr">
        <is>
          <t>Holmen skog AB</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30656-2025</t>
        </is>
      </c>
      <c r="B12431" s="1" t="n">
        <v>45831.50633101852</v>
      </c>
      <c r="C12431" s="1" t="n">
        <v>46145</v>
      </c>
      <c r="D12431" t="inlineStr">
        <is>
          <t>VÄSTERBOTTENS LÄN</t>
        </is>
      </c>
      <c r="E12431" t="inlineStr">
        <is>
          <t>LYCKSELE</t>
        </is>
      </c>
      <c r="F12431" t="inlineStr">
        <is>
          <t>Sveaskog</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31116-2025</t>
        </is>
      </c>
      <c r="B12432" s="1" t="n">
        <v>45832.61597222222</v>
      </c>
      <c r="C12432" s="1" t="n">
        <v>46145</v>
      </c>
      <c r="D12432" t="inlineStr">
        <is>
          <t>VÄSTERBOTTENS LÄN</t>
        </is>
      </c>
      <c r="E12432" t="inlineStr">
        <is>
          <t>BJURHOLM</t>
        </is>
      </c>
      <c r="G12432" t="n">
        <v>33.5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31044-2025</t>
        </is>
      </c>
      <c r="B12433" s="1" t="n">
        <v>45832.55402777778</v>
      </c>
      <c r="C12433" s="1" t="n">
        <v>46145</v>
      </c>
      <c r="D12433" t="inlineStr">
        <is>
          <t>VÄSTERBOTTENS LÄN</t>
        </is>
      </c>
      <c r="E12433" t="inlineStr">
        <is>
          <t>LYCKSELE</t>
        </is>
      </c>
      <c r="F12433" t="inlineStr">
        <is>
          <t>Sveaskog</t>
        </is>
      </c>
      <c r="G12433" t="n">
        <v>22.9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30790-2025</t>
        </is>
      </c>
      <c r="B12434" s="1" t="n">
        <v>45831.63315972222</v>
      </c>
      <c r="C12434" s="1" t="n">
        <v>46145</v>
      </c>
      <c r="D12434" t="inlineStr">
        <is>
          <t>VÄSTERBOTTENS LÄN</t>
        </is>
      </c>
      <c r="E12434" t="inlineStr">
        <is>
          <t>ROBERTSFORS</t>
        </is>
      </c>
      <c r="G12434" t="n">
        <v>8.800000000000001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31219-2025</t>
        </is>
      </c>
      <c r="B12435" s="1" t="n">
        <v>45832</v>
      </c>
      <c r="C12435" s="1" t="n">
        <v>46145</v>
      </c>
      <c r="D12435" t="inlineStr">
        <is>
          <t>VÄSTERBOTTENS LÄN</t>
        </is>
      </c>
      <c r="E12435" t="inlineStr">
        <is>
          <t>ÅSELE</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30901-2025</t>
        </is>
      </c>
      <c r="B12436" s="1" t="n">
        <v>45832.35980324074</v>
      </c>
      <c r="C12436" s="1" t="n">
        <v>46145</v>
      </c>
      <c r="D12436" t="inlineStr">
        <is>
          <t>VÄSTERBOTTENS LÄN</t>
        </is>
      </c>
      <c r="E12436" t="inlineStr">
        <is>
          <t>LYCKSELE</t>
        </is>
      </c>
      <c r="F12436" t="inlineStr">
        <is>
          <t>Sveaskog</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30758-2025</t>
        </is>
      </c>
      <c r="B12437" s="1" t="n">
        <v>45831.59677083333</v>
      </c>
      <c r="C12437" s="1" t="n">
        <v>46145</v>
      </c>
      <c r="D12437" t="inlineStr">
        <is>
          <t>VÄSTERBOTTENS LÄN</t>
        </is>
      </c>
      <c r="E12437" t="inlineStr">
        <is>
          <t>VINDELN</t>
        </is>
      </c>
      <c r="F12437" t="inlineStr">
        <is>
          <t>Holmen skog AB</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30558-2025</t>
        </is>
      </c>
      <c r="B12438" s="1" t="n">
        <v>45831.39336805556</v>
      </c>
      <c r="C12438" s="1" t="n">
        <v>46145</v>
      </c>
      <c r="D12438" t="inlineStr">
        <is>
          <t>VÄSTERBOTTENS LÄN</t>
        </is>
      </c>
      <c r="E12438" t="inlineStr">
        <is>
          <t>SORSELE</t>
        </is>
      </c>
      <c r="G12438" t="n">
        <v>8.1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31627-2025</t>
        </is>
      </c>
      <c r="B12439" s="1" t="n">
        <v>45834.30527777778</v>
      </c>
      <c r="C12439" s="1" t="n">
        <v>46145</v>
      </c>
      <c r="D12439" t="inlineStr">
        <is>
          <t>VÄSTERBOTTENS LÄN</t>
        </is>
      </c>
      <c r="E12439" t="inlineStr">
        <is>
          <t>SKELLEFTEÅ</t>
        </is>
      </c>
      <c r="F12439" t="inlineStr">
        <is>
          <t>Holmen skog AB</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31599-2025</t>
        </is>
      </c>
      <c r="B12440" s="1" t="n">
        <v>45833.72009259259</v>
      </c>
      <c r="C12440" s="1" t="n">
        <v>46145</v>
      </c>
      <c r="D12440" t="inlineStr">
        <is>
          <t>VÄSTERBOTTENS LÄN</t>
        </is>
      </c>
      <c r="E12440" t="inlineStr">
        <is>
          <t>UMEÅ</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31628-2025</t>
        </is>
      </c>
      <c r="B12441" s="1" t="n">
        <v>45834.30734953703</v>
      </c>
      <c r="C12441" s="1" t="n">
        <v>46145</v>
      </c>
      <c r="D12441" t="inlineStr">
        <is>
          <t>VÄSTERBOTTENS LÄN</t>
        </is>
      </c>
      <c r="E12441" t="inlineStr">
        <is>
          <t>SKELLEFTEÅ</t>
        </is>
      </c>
      <c r="F12441" t="inlineStr">
        <is>
          <t>Holmen skog AB</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31663-2025</t>
        </is>
      </c>
      <c r="B12442" s="1" t="n">
        <v>45834.35773148148</v>
      </c>
      <c r="C12442" s="1" t="n">
        <v>46145</v>
      </c>
      <c r="D12442" t="inlineStr">
        <is>
          <t>VÄSTERBOTTENS LÄN</t>
        </is>
      </c>
      <c r="E12442" t="inlineStr">
        <is>
          <t>VINDELN</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31670-2025</t>
        </is>
      </c>
      <c r="B12443" s="1" t="n">
        <v>45834.36549768518</v>
      </c>
      <c r="C12443" s="1" t="n">
        <v>46145</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31693-2025</t>
        </is>
      </c>
      <c r="B12444" s="1" t="n">
        <v>45834.40671296296</v>
      </c>
      <c r="C12444" s="1" t="n">
        <v>46145</v>
      </c>
      <c r="D12444" t="inlineStr">
        <is>
          <t>VÄSTERBOTTENS LÄN</t>
        </is>
      </c>
      <c r="E12444" t="inlineStr">
        <is>
          <t>LYCKSELE</t>
        </is>
      </c>
      <c r="F12444" t="inlineStr">
        <is>
          <t>SCA</t>
        </is>
      </c>
      <c r="G12444" t="n">
        <v>18.9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31835-2025</t>
        </is>
      </c>
      <c r="B12445" s="1" t="n">
        <v>45834.59436342592</v>
      </c>
      <c r="C12445" s="1" t="n">
        <v>46145</v>
      </c>
      <c r="D12445" t="inlineStr">
        <is>
          <t>VÄSTERBOTTENS LÄN</t>
        </is>
      </c>
      <c r="E12445" t="inlineStr">
        <is>
          <t>DOROTEA</t>
        </is>
      </c>
      <c r="F12445" t="inlineStr">
        <is>
          <t>SCA</t>
        </is>
      </c>
      <c r="G12445" t="n">
        <v>10.9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31797-2025</t>
        </is>
      </c>
      <c r="B12446" s="1" t="n">
        <v>45834.55078703703</v>
      </c>
      <c r="C12446" s="1" t="n">
        <v>46145</v>
      </c>
      <c r="D12446" t="inlineStr">
        <is>
          <t>VÄSTERBOTTENS LÄN</t>
        </is>
      </c>
      <c r="E12446" t="inlineStr">
        <is>
          <t>SKELLEFTEÅ</t>
        </is>
      </c>
      <c r="G12446" t="n">
        <v>19.1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31445-2025</t>
        </is>
      </c>
      <c r="B12447" s="1" t="n">
        <v>45833.51791666666</v>
      </c>
      <c r="C12447" s="1" t="n">
        <v>46145</v>
      </c>
      <c r="D12447" t="inlineStr">
        <is>
          <t>VÄSTERBOTTENS LÄN</t>
        </is>
      </c>
      <c r="E12447" t="inlineStr">
        <is>
          <t>ÅSELE</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31800-2025</t>
        </is>
      </c>
      <c r="B12448" s="1" t="n">
        <v>45834.55274305555</v>
      </c>
      <c r="C12448" s="1" t="n">
        <v>46145</v>
      </c>
      <c r="D12448" t="inlineStr">
        <is>
          <t>VÄSTERBOTTENS LÄN</t>
        </is>
      </c>
      <c r="E12448" t="inlineStr">
        <is>
          <t>LYCKSELE</t>
        </is>
      </c>
      <c r="F12448" t="inlineStr">
        <is>
          <t>SCA</t>
        </is>
      </c>
      <c r="G12448" t="n">
        <v>13.6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31520-2025</t>
        </is>
      </c>
      <c r="B12449" s="1" t="n">
        <v>45833.60758101852</v>
      </c>
      <c r="C12449" s="1" t="n">
        <v>46145</v>
      </c>
      <c r="D12449" t="inlineStr">
        <is>
          <t>VÄSTERBOTTENS LÄN</t>
        </is>
      </c>
      <c r="E12449" t="inlineStr">
        <is>
          <t>SKELLEFTEÅ</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17326-2024</t>
        </is>
      </c>
      <c r="B12450" s="1" t="n">
        <v>45414</v>
      </c>
      <c r="C12450" s="1" t="n">
        <v>46145</v>
      </c>
      <c r="D12450" t="inlineStr">
        <is>
          <t>VÄSTERBOTTENS LÄN</t>
        </is>
      </c>
      <c r="E12450" t="inlineStr">
        <is>
          <t>SORSELE</t>
        </is>
      </c>
      <c r="G12450" t="n">
        <v>18.2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17379-2024</t>
        </is>
      </c>
      <c r="B12451" s="1" t="n">
        <v>45414</v>
      </c>
      <c r="C12451" s="1" t="n">
        <v>46145</v>
      </c>
      <c r="D12451" t="inlineStr">
        <is>
          <t>VÄSTERBOTTENS LÄN</t>
        </is>
      </c>
      <c r="E12451" t="inlineStr">
        <is>
          <t>SORSELE</t>
        </is>
      </c>
      <c r="G12451" t="n">
        <v>48.8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31313-2025</t>
        </is>
      </c>
      <c r="B12452" s="1" t="n">
        <v>45833.39784722222</v>
      </c>
      <c r="C12452" s="1" t="n">
        <v>46145</v>
      </c>
      <c r="D12452" t="inlineStr">
        <is>
          <t>VÄSTERBOTTENS LÄN</t>
        </is>
      </c>
      <c r="E12452" t="inlineStr">
        <is>
          <t>ÅSELE</t>
        </is>
      </c>
      <c r="F12452" t="inlineStr">
        <is>
          <t>Holmen skog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17384-2024</t>
        </is>
      </c>
      <c r="B12453" s="1" t="n">
        <v>45414</v>
      </c>
      <c r="C12453" s="1" t="n">
        <v>46145</v>
      </c>
      <c r="D12453" t="inlineStr">
        <is>
          <t>VÄSTERBOTTENS LÄN</t>
        </is>
      </c>
      <c r="E12453" t="inlineStr">
        <is>
          <t>SORSELE</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31912-2025</t>
        </is>
      </c>
      <c r="B12454" s="1" t="n">
        <v>45834.70775462963</v>
      </c>
      <c r="C12454" s="1" t="n">
        <v>46145</v>
      </c>
      <c r="D12454" t="inlineStr">
        <is>
          <t>VÄSTERBOTTENS LÄN</t>
        </is>
      </c>
      <c r="E12454" t="inlineStr">
        <is>
          <t>ROBERTSFORS</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31251-2025</t>
        </is>
      </c>
      <c r="B12455" s="1" t="n">
        <v>45832.98082175926</v>
      </c>
      <c r="C12455" s="1" t="n">
        <v>46145</v>
      </c>
      <c r="D12455" t="inlineStr">
        <is>
          <t>VÄSTERBOTTENS LÄN</t>
        </is>
      </c>
      <c r="E12455" t="inlineStr">
        <is>
          <t>NORDMALING</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31257-2025</t>
        </is>
      </c>
      <c r="B12456" s="1" t="n">
        <v>45833.32091435185</v>
      </c>
      <c r="C12456" s="1" t="n">
        <v>46145</v>
      </c>
      <c r="D12456" t="inlineStr">
        <is>
          <t>VÄSTERBOTTENS LÄN</t>
        </is>
      </c>
      <c r="E12456" t="inlineStr">
        <is>
          <t>SKELLEFTEÅ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31287-2025</t>
        </is>
      </c>
      <c r="B12457" s="1" t="n">
        <v>45833.35861111111</v>
      </c>
      <c r="C12457" s="1" t="n">
        <v>46145</v>
      </c>
      <c r="D12457" t="inlineStr">
        <is>
          <t>VÄSTERBOTTENS LÄN</t>
        </is>
      </c>
      <c r="E12457" t="inlineStr">
        <is>
          <t>ROBERTSFORS</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31583-2025</t>
        </is>
      </c>
      <c r="B12458" s="1" t="n">
        <v>45833.68674768518</v>
      </c>
      <c r="C12458" s="1" t="n">
        <v>46145</v>
      </c>
      <c r="D12458" t="inlineStr">
        <is>
          <t>VÄSTERBOTTENS LÄN</t>
        </is>
      </c>
      <c r="E12458" t="inlineStr">
        <is>
          <t>NORSJÖ</t>
        </is>
      </c>
      <c r="F12458" t="inlineStr">
        <is>
          <t>Holmen skog AB</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31724-2025</t>
        </is>
      </c>
      <c r="B12459" s="1" t="n">
        <v>45834</v>
      </c>
      <c r="C12459" s="1" t="n">
        <v>46145</v>
      </c>
      <c r="D12459" t="inlineStr">
        <is>
          <t>VÄSTERBOTTENS LÄN</t>
        </is>
      </c>
      <c r="E12459" t="inlineStr">
        <is>
          <t>VILHELMINA</t>
        </is>
      </c>
      <c r="G12459" t="n">
        <v>19.7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31727-2025</t>
        </is>
      </c>
      <c r="B12460" s="1" t="n">
        <v>45834.46859953704</v>
      </c>
      <c r="C12460" s="1" t="n">
        <v>46145</v>
      </c>
      <c r="D12460" t="inlineStr">
        <is>
          <t>VÄSTERBOTTENS LÄN</t>
        </is>
      </c>
      <c r="E12460" t="inlineStr">
        <is>
          <t>SKELLEFTEÅ</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31730-2025</t>
        </is>
      </c>
      <c r="B12461" s="1" t="n">
        <v>45834</v>
      </c>
      <c r="C12461" s="1" t="n">
        <v>46145</v>
      </c>
      <c r="D12461" t="inlineStr">
        <is>
          <t>VÄSTERBOTTENS LÄN</t>
        </is>
      </c>
      <c r="E12461" t="inlineStr">
        <is>
          <t>VILHELMINA</t>
        </is>
      </c>
      <c r="F12461" t="inlineStr">
        <is>
          <t>SCA</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31271-2025</t>
        </is>
      </c>
      <c r="B12462" s="1" t="n">
        <v>45833.33717592592</v>
      </c>
      <c r="C12462" s="1" t="n">
        <v>46145</v>
      </c>
      <c r="D12462" t="inlineStr">
        <is>
          <t>VÄSTERBOTTENS LÄN</t>
        </is>
      </c>
      <c r="E12462" t="inlineStr">
        <is>
          <t>SKELLEFTEÅ</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31278-2025</t>
        </is>
      </c>
      <c r="B12463" s="1" t="n">
        <v>45833.34509259259</v>
      </c>
      <c r="C12463" s="1" t="n">
        <v>46145</v>
      </c>
      <c r="D12463" t="inlineStr">
        <is>
          <t>VÄSTERBOTTENS LÄN</t>
        </is>
      </c>
      <c r="E12463" t="inlineStr">
        <is>
          <t>ÅSELE</t>
        </is>
      </c>
      <c r="F12463" t="inlineStr">
        <is>
          <t>SCA</t>
        </is>
      </c>
      <c r="G12463" t="n">
        <v>10.5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31501-2025</t>
        </is>
      </c>
      <c r="B12464" s="1" t="n">
        <v>45833.59173611111</v>
      </c>
      <c r="C12464" s="1" t="n">
        <v>46145</v>
      </c>
      <c r="D12464" t="inlineStr">
        <is>
          <t>VÄSTERBOTTENS LÄN</t>
        </is>
      </c>
      <c r="E12464" t="inlineStr">
        <is>
          <t>NORSJÖ</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17365-2024</t>
        </is>
      </c>
      <c r="B12465" s="1" t="n">
        <v>45414</v>
      </c>
      <c r="C12465" s="1" t="n">
        <v>46145</v>
      </c>
      <c r="D12465" t="inlineStr">
        <is>
          <t>VÄSTERBOTTENS LÄN</t>
        </is>
      </c>
      <c r="E12465" t="inlineStr">
        <is>
          <t>SORSELE</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31897-2025</t>
        </is>
      </c>
      <c r="B12466" s="1" t="n">
        <v>45834.67758101852</v>
      </c>
      <c r="C12466" s="1" t="n">
        <v>46145</v>
      </c>
      <c r="D12466" t="inlineStr">
        <is>
          <t>VÄSTERBOTTENS LÄN</t>
        </is>
      </c>
      <c r="E12466" t="inlineStr">
        <is>
          <t>LYCKSELE</t>
        </is>
      </c>
      <c r="F12466" t="inlineStr">
        <is>
          <t>Holmen skog AB</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31512-2025</t>
        </is>
      </c>
      <c r="B12467" s="1" t="n">
        <v>45833.5987962963</v>
      </c>
      <c r="C12467" s="1" t="n">
        <v>46145</v>
      </c>
      <c r="D12467" t="inlineStr">
        <is>
          <t>VÄSTERBOTTENS LÄN</t>
        </is>
      </c>
      <c r="E12467" t="inlineStr">
        <is>
          <t>NORSJÖ</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31307-2025</t>
        </is>
      </c>
      <c r="B12468" s="1" t="n">
        <v>45833</v>
      </c>
      <c r="C12468" s="1" t="n">
        <v>46145</v>
      </c>
      <c r="D12468" t="inlineStr">
        <is>
          <t>VÄSTERBOTTENS LÄN</t>
        </is>
      </c>
      <c r="E12468" t="inlineStr">
        <is>
          <t>VILHELMINA</t>
        </is>
      </c>
      <c r="G12468" t="n">
        <v>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31743-2025</t>
        </is>
      </c>
      <c r="B12469" s="1" t="n">
        <v>45834.47671296296</v>
      </c>
      <c r="C12469" s="1" t="n">
        <v>46145</v>
      </c>
      <c r="D12469" t="inlineStr">
        <is>
          <t>VÄSTERBOTTENS LÄN</t>
        </is>
      </c>
      <c r="E12469" t="inlineStr">
        <is>
          <t>SKELLEFTEÅ</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31532-2025</t>
        </is>
      </c>
      <c r="B12470" s="1" t="n">
        <v>45833.61688657408</v>
      </c>
      <c r="C12470" s="1" t="n">
        <v>46145</v>
      </c>
      <c r="D12470" t="inlineStr">
        <is>
          <t>VÄSTERBOTTENS LÄN</t>
        </is>
      </c>
      <c r="E12470" t="inlineStr">
        <is>
          <t>DOROTEA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31779-2025</t>
        </is>
      </c>
      <c r="B12471" s="1" t="n">
        <v>45834.52873842593</v>
      </c>
      <c r="C12471" s="1" t="n">
        <v>46145</v>
      </c>
      <c r="D12471" t="inlineStr">
        <is>
          <t>VÄSTERBOTTENS LÄN</t>
        </is>
      </c>
      <c r="E12471" t="inlineStr">
        <is>
          <t>SKELLEFTEÅ</t>
        </is>
      </c>
      <c r="F12471" t="inlineStr">
        <is>
          <t>Holmen skog AB</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31510-2025</t>
        </is>
      </c>
      <c r="B12472" s="1" t="n">
        <v>45833.59679398148</v>
      </c>
      <c r="C12472" s="1" t="n">
        <v>46145</v>
      </c>
      <c r="D12472" t="inlineStr">
        <is>
          <t>VÄSTERBOTTENS LÄN</t>
        </is>
      </c>
      <c r="E12472" t="inlineStr">
        <is>
          <t>DOROTEA</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31637-2025</t>
        </is>
      </c>
      <c r="B12473" s="1" t="n">
        <v>45834.33939814815</v>
      </c>
      <c r="C12473" s="1" t="n">
        <v>46145</v>
      </c>
      <c r="D12473" t="inlineStr">
        <is>
          <t>VÄSTERBOTTENS LÄN</t>
        </is>
      </c>
      <c r="E12473" t="inlineStr">
        <is>
          <t>BJURHOLM</t>
        </is>
      </c>
      <c r="F12473" t="inlineStr">
        <is>
          <t>Holmen skog AB</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31717-2025</t>
        </is>
      </c>
      <c r="B12474" s="1" t="n">
        <v>45834.46008101852</v>
      </c>
      <c r="C12474" s="1" t="n">
        <v>46145</v>
      </c>
      <c r="D12474" t="inlineStr">
        <is>
          <t>VÄSTERBOTTENS LÄN</t>
        </is>
      </c>
      <c r="E12474" t="inlineStr">
        <is>
          <t>SKELLEFTEÅ</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31733-2025</t>
        </is>
      </c>
      <c r="B12475" s="1" t="n">
        <v>45834.47035879629</v>
      </c>
      <c r="C12475" s="1" t="n">
        <v>46145</v>
      </c>
      <c r="D12475" t="inlineStr">
        <is>
          <t>VÄSTERBOTTENS LÄN</t>
        </is>
      </c>
      <c r="E12475" t="inlineStr">
        <is>
          <t>VILHELMINA</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31739-2025</t>
        </is>
      </c>
      <c r="B12476" s="1" t="n">
        <v>45834.47350694444</v>
      </c>
      <c r="C12476" s="1" t="n">
        <v>46145</v>
      </c>
      <c r="D12476" t="inlineStr">
        <is>
          <t>VÄSTERBOTTENS LÄN</t>
        </is>
      </c>
      <c r="E12476" t="inlineStr">
        <is>
          <t>SKELLEFTEÅ</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31308-2025</t>
        </is>
      </c>
      <c r="B12477" s="1" t="n">
        <v>45833</v>
      </c>
      <c r="C12477" s="1" t="n">
        <v>46145</v>
      </c>
      <c r="D12477" t="inlineStr">
        <is>
          <t>VÄSTERBOTTENS LÄN</t>
        </is>
      </c>
      <c r="E12477" t="inlineStr">
        <is>
          <t>VILHELMINA</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31688-2025</t>
        </is>
      </c>
      <c r="B12478" s="1" t="n">
        <v>45834.40149305556</v>
      </c>
      <c r="C12478" s="1" t="n">
        <v>46145</v>
      </c>
      <c r="D12478" t="inlineStr">
        <is>
          <t>VÄSTERBOTTENS LÄN</t>
        </is>
      </c>
      <c r="E12478" t="inlineStr">
        <is>
          <t>SKELLEFTEÅ</t>
        </is>
      </c>
      <c r="F12478" t="inlineStr">
        <is>
          <t>Holmen skog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31859-2025</t>
        </is>
      </c>
      <c r="B12479" s="1" t="n">
        <v>45834.6284375</v>
      </c>
      <c r="C12479" s="1" t="n">
        <v>46145</v>
      </c>
      <c r="D12479" t="inlineStr">
        <is>
          <t>VÄSTERBOTTENS LÄN</t>
        </is>
      </c>
      <c r="E12479" t="inlineStr">
        <is>
          <t>UMEÅ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31725-2025</t>
        </is>
      </c>
      <c r="B12480" s="1" t="n">
        <v>45834</v>
      </c>
      <c r="C12480" s="1" t="n">
        <v>46145</v>
      </c>
      <c r="D12480" t="inlineStr">
        <is>
          <t>VÄSTERBOTTENS LÄN</t>
        </is>
      </c>
      <c r="E12480" t="inlineStr">
        <is>
          <t>NORSJÖ</t>
        </is>
      </c>
      <c r="F12480" t="inlineStr">
        <is>
          <t>Sveaskog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31241-2025</t>
        </is>
      </c>
      <c r="B12481" s="1" t="n">
        <v>45832.86366898148</v>
      </c>
      <c r="C12481" s="1" t="n">
        <v>46145</v>
      </c>
      <c r="D12481" t="inlineStr">
        <is>
          <t>VÄSTERBOTTENS LÄN</t>
        </is>
      </c>
      <c r="E12481" t="inlineStr">
        <is>
          <t>UMEÅ</t>
        </is>
      </c>
      <c r="F12481" t="inlineStr">
        <is>
          <t>Holmen skog AB</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31799-2025</t>
        </is>
      </c>
      <c r="B12482" s="1" t="n">
        <v>45834.55252314815</v>
      </c>
      <c r="C12482" s="1" t="n">
        <v>46145</v>
      </c>
      <c r="D12482" t="inlineStr">
        <is>
          <t>VÄSTERBOTTENS LÄN</t>
        </is>
      </c>
      <c r="E12482" t="inlineStr">
        <is>
          <t>DOROTEA</t>
        </is>
      </c>
      <c r="F12482" t="inlineStr">
        <is>
          <t>SCA</t>
        </is>
      </c>
      <c r="G12482" t="n">
        <v>7.5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28567-2025</t>
        </is>
      </c>
      <c r="B12483" s="1" t="n">
        <v>45819</v>
      </c>
      <c r="C12483" s="1" t="n">
        <v>46145</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32640-2025</t>
        </is>
      </c>
      <c r="B12484" s="1" t="n">
        <v>45838.65730324074</v>
      </c>
      <c r="C12484" s="1" t="n">
        <v>46145</v>
      </c>
      <c r="D12484" t="inlineStr">
        <is>
          <t>VÄSTERBOTTENS LÄN</t>
        </is>
      </c>
      <c r="E12484" t="inlineStr">
        <is>
          <t>SKELLEFTEÅ</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31988-2025</t>
        </is>
      </c>
      <c r="B12485" s="1" t="n">
        <v>45835.363125</v>
      </c>
      <c r="C12485" s="1" t="n">
        <v>46145</v>
      </c>
      <c r="D12485" t="inlineStr">
        <is>
          <t>VÄSTERBOTTENS LÄN</t>
        </is>
      </c>
      <c r="E12485" t="inlineStr">
        <is>
          <t>SKELLEFTEÅ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32066-2025</t>
        </is>
      </c>
      <c r="B12486" s="1" t="n">
        <v>45835.44824074074</v>
      </c>
      <c r="C12486" s="1" t="n">
        <v>46145</v>
      </c>
      <c r="D12486" t="inlineStr">
        <is>
          <t>VÄSTERBOTTENS LÄN</t>
        </is>
      </c>
      <c r="E12486" t="inlineStr">
        <is>
          <t>SKELLEFTEÅ</t>
        </is>
      </c>
      <c r="F12486" t="inlineStr">
        <is>
          <t>Holmen skog AB</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32455-2025</t>
        </is>
      </c>
      <c r="B12487" s="1" t="n">
        <v>45838.40053240741</v>
      </c>
      <c r="C12487" s="1" t="n">
        <v>46145</v>
      </c>
      <c r="D12487" t="inlineStr">
        <is>
          <t>VÄSTERBOTTENS LÄN</t>
        </is>
      </c>
      <c r="E12487" t="inlineStr">
        <is>
          <t>NORSJÖ</t>
        </is>
      </c>
      <c r="F12487" t="inlineStr">
        <is>
          <t>Holmen skog AB</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32158-2025</t>
        </is>
      </c>
      <c r="B12488" s="1" t="n">
        <v>45835.53893518518</v>
      </c>
      <c r="C12488" s="1" t="n">
        <v>46145</v>
      </c>
      <c r="D12488" t="inlineStr">
        <is>
          <t>VÄSTERBOTTENS LÄN</t>
        </is>
      </c>
      <c r="E12488" t="inlineStr">
        <is>
          <t>ROBERTSFORS</t>
        </is>
      </c>
      <c r="F12488" t="inlineStr">
        <is>
          <t>Holmen skog AB</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32198-2025</t>
        </is>
      </c>
      <c r="B12489" s="1" t="n">
        <v>45835.57682870371</v>
      </c>
      <c r="C12489" s="1" t="n">
        <v>46145</v>
      </c>
      <c r="D12489" t="inlineStr">
        <is>
          <t>VÄSTERBOTTENS LÄN</t>
        </is>
      </c>
      <c r="E12489" t="inlineStr">
        <is>
          <t>VINDELN</t>
        </is>
      </c>
      <c r="F12489" t="inlineStr">
        <is>
          <t>Sveaskog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31938-2025</t>
        </is>
      </c>
      <c r="B12490" s="1" t="n">
        <v>45835.29355324074</v>
      </c>
      <c r="C12490" s="1" t="n">
        <v>46145</v>
      </c>
      <c r="D12490" t="inlineStr">
        <is>
          <t>VÄSTERBOTTENS LÄN</t>
        </is>
      </c>
      <c r="E12490" t="inlineStr">
        <is>
          <t>SKELLEFTEÅ</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31970-2025</t>
        </is>
      </c>
      <c r="B12491" s="1" t="n">
        <v>45835.34858796297</v>
      </c>
      <c r="C12491" s="1" t="n">
        <v>46145</v>
      </c>
      <c r="D12491" t="inlineStr">
        <is>
          <t>VÄSTERBOTTENS LÄN</t>
        </is>
      </c>
      <c r="E12491" t="inlineStr">
        <is>
          <t>LYCKSELE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32499-2025</t>
        </is>
      </c>
      <c r="B12492" s="1" t="n">
        <v>45838.45792824074</v>
      </c>
      <c r="C12492" s="1" t="n">
        <v>46145</v>
      </c>
      <c r="D12492" t="inlineStr">
        <is>
          <t>VÄSTERBOTTENS LÄN</t>
        </is>
      </c>
      <c r="E12492" t="inlineStr">
        <is>
          <t>ROBERTSFORS</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32143-2025</t>
        </is>
      </c>
      <c r="B12493" s="1" t="n">
        <v>45835.52561342593</v>
      </c>
      <c r="C12493" s="1" t="n">
        <v>46145</v>
      </c>
      <c r="D12493" t="inlineStr">
        <is>
          <t>VÄSTERBOTTENS LÄN</t>
        </is>
      </c>
      <c r="E12493" t="inlineStr">
        <is>
          <t>ÅSELE</t>
        </is>
      </c>
      <c r="F12493" t="inlineStr">
        <is>
          <t>Holmen skog AB</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32450-2025</t>
        </is>
      </c>
      <c r="B12494" s="1" t="n">
        <v>45838.38953703704</v>
      </c>
      <c r="C12494" s="1" t="n">
        <v>46145</v>
      </c>
      <c r="D12494" t="inlineStr">
        <is>
          <t>VÄSTERBOTTENS LÄN</t>
        </is>
      </c>
      <c r="E12494" t="inlineStr">
        <is>
          <t>SKELLEFTEÅ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32522-2025</t>
        </is>
      </c>
      <c r="B12495" s="1" t="n">
        <v>45838.48564814815</v>
      </c>
      <c r="C12495" s="1" t="n">
        <v>46145</v>
      </c>
      <c r="D12495" t="inlineStr">
        <is>
          <t>VÄSTERBOTTENS LÄN</t>
        </is>
      </c>
      <c r="E12495" t="inlineStr">
        <is>
          <t>UMEÅ</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32229-2025</t>
        </is>
      </c>
      <c r="B12496" s="1" t="n">
        <v>45835.59662037037</v>
      </c>
      <c r="C12496" s="1" t="n">
        <v>46145</v>
      </c>
      <c r="D12496" t="inlineStr">
        <is>
          <t>VÄSTERBOTTENS LÄN</t>
        </is>
      </c>
      <c r="E12496" t="inlineStr">
        <is>
          <t>LYCKSELE</t>
        </is>
      </c>
      <c r="F12496" t="inlineStr">
        <is>
          <t>Sveaskog</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32239-2025</t>
        </is>
      </c>
      <c r="B12497" s="1" t="n">
        <v>45835.61503472222</v>
      </c>
      <c r="C12497" s="1" t="n">
        <v>46145</v>
      </c>
      <c r="D12497" t="inlineStr">
        <is>
          <t>VÄSTERBOTTENS LÄN</t>
        </is>
      </c>
      <c r="E12497" t="inlineStr">
        <is>
          <t>LYCKSELE</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32245-2025</t>
        </is>
      </c>
      <c r="B12498" s="1" t="n">
        <v>45835.61631944445</v>
      </c>
      <c r="C12498" s="1" t="n">
        <v>46145</v>
      </c>
      <c r="D12498" t="inlineStr">
        <is>
          <t>VÄSTERBOTTENS LÄN</t>
        </is>
      </c>
      <c r="E12498" t="inlineStr">
        <is>
          <t>VINDELN</t>
        </is>
      </c>
      <c r="F12498" t="inlineStr">
        <is>
          <t>Sveaskog</t>
        </is>
      </c>
      <c r="G12498" t="n">
        <v>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32263-2025</t>
        </is>
      </c>
      <c r="B12499" s="1" t="n">
        <v>45835</v>
      </c>
      <c r="C12499" s="1" t="n">
        <v>46145</v>
      </c>
      <c r="D12499" t="inlineStr">
        <is>
          <t>VÄSTERBOTTENS LÄN</t>
        </is>
      </c>
      <c r="E12499" t="inlineStr">
        <is>
          <t>ROBERTSFORS</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23360-2025</t>
        </is>
      </c>
      <c r="B12500" s="1" t="n">
        <v>45791</v>
      </c>
      <c r="C12500" s="1" t="n">
        <v>46145</v>
      </c>
      <c r="D12500" t="inlineStr">
        <is>
          <t>VÄSTERBOTTENS LÄN</t>
        </is>
      </c>
      <c r="E12500" t="inlineStr">
        <is>
          <t>VILHELMINA</t>
        </is>
      </c>
      <c r="F12500" t="inlineStr">
        <is>
          <t>SCA</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32639-2025</t>
        </is>
      </c>
      <c r="B12501" s="1" t="n">
        <v>45838.65726851852</v>
      </c>
      <c r="C12501" s="1" t="n">
        <v>46145</v>
      </c>
      <c r="D12501" t="inlineStr">
        <is>
          <t>VÄSTERBOTTENS LÄN</t>
        </is>
      </c>
      <c r="E12501" t="inlineStr">
        <is>
          <t>SKELLEFTEÅ</t>
        </is>
      </c>
      <c r="G12501" t="n">
        <v>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32584-2025</t>
        </is>
      </c>
      <c r="B12502" s="1" t="n">
        <v>45838.59995370371</v>
      </c>
      <c r="C12502" s="1" t="n">
        <v>46145</v>
      </c>
      <c r="D12502" t="inlineStr">
        <is>
          <t>VÄSTERBOTTENS LÄN</t>
        </is>
      </c>
      <c r="E12502" t="inlineStr">
        <is>
          <t>BJURHOLM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32638-2025</t>
        </is>
      </c>
      <c r="B12503" s="1" t="n">
        <v>45838.65724537037</v>
      </c>
      <c r="C12503" s="1" t="n">
        <v>46145</v>
      </c>
      <c r="D12503" t="inlineStr">
        <is>
          <t>VÄSTERBOTTENS LÄN</t>
        </is>
      </c>
      <c r="E12503" t="inlineStr">
        <is>
          <t>SKELLEFTEÅ</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32648-2025</t>
        </is>
      </c>
      <c r="B12504" s="1" t="n">
        <v>45838.67253472222</v>
      </c>
      <c r="C12504" s="1" t="n">
        <v>46145</v>
      </c>
      <c r="D12504" t="inlineStr">
        <is>
          <t>VÄSTERBOTTENS LÄN</t>
        </is>
      </c>
      <c r="E12504" t="inlineStr">
        <is>
          <t>ÅSELE</t>
        </is>
      </c>
      <c r="F12504" t="inlineStr">
        <is>
          <t>Holmen skog AB</t>
        </is>
      </c>
      <c r="G12504" t="n">
        <v>20</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32575-2025</t>
        </is>
      </c>
      <c r="B12505" s="1" t="n">
        <v>45838.585625</v>
      </c>
      <c r="C12505" s="1" t="n">
        <v>46145</v>
      </c>
      <c r="D12505" t="inlineStr">
        <is>
          <t>VÄSTERBOTTENS LÄN</t>
        </is>
      </c>
      <c r="E12505" t="inlineStr">
        <is>
          <t>NORDMALING</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32578-2025</t>
        </is>
      </c>
      <c r="B12506" s="1" t="n">
        <v>45838.59311342592</v>
      </c>
      <c r="C12506" s="1" t="n">
        <v>46145</v>
      </c>
      <c r="D12506" t="inlineStr">
        <is>
          <t>VÄSTERBOTTENS LÄN</t>
        </is>
      </c>
      <c r="E12506" t="inlineStr">
        <is>
          <t>SKELLEFTEÅ</t>
        </is>
      </c>
      <c r="F12506" t="inlineStr">
        <is>
          <t>Holmen skog AB</t>
        </is>
      </c>
      <c r="G12506" t="n">
        <v>12.3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31966-2025</t>
        </is>
      </c>
      <c r="B12507" s="1" t="n">
        <v>45835.34629629629</v>
      </c>
      <c r="C12507" s="1" t="n">
        <v>46145</v>
      </c>
      <c r="D12507" t="inlineStr">
        <is>
          <t>VÄSTERBOTTENS LÄN</t>
        </is>
      </c>
      <c r="E12507" t="inlineStr">
        <is>
          <t>NORDMALING</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32329-2025</t>
        </is>
      </c>
      <c r="B12508" s="1" t="n">
        <v>45836.48517361111</v>
      </c>
      <c r="C12508" s="1" t="n">
        <v>46145</v>
      </c>
      <c r="D12508" t="inlineStr">
        <is>
          <t>VÄSTERBOTTENS LÄN</t>
        </is>
      </c>
      <c r="E12508" t="inlineStr">
        <is>
          <t>SKELLEFTEÅ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32451-2025</t>
        </is>
      </c>
      <c r="B12509" s="1" t="n">
        <v>45838.39283564815</v>
      </c>
      <c r="C12509" s="1" t="n">
        <v>46145</v>
      </c>
      <c r="D12509" t="inlineStr">
        <is>
          <t>VÄSTERBOTTENS LÄN</t>
        </is>
      </c>
      <c r="E12509" t="inlineStr">
        <is>
          <t>SKELLEFTEÅ</t>
        </is>
      </c>
      <c r="F12509" t="inlineStr">
        <is>
          <t>Holmen skog AB</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32454-2025</t>
        </is>
      </c>
      <c r="B12510" s="1" t="n">
        <v>45838.40033564815</v>
      </c>
      <c r="C12510" s="1" t="n">
        <v>46145</v>
      </c>
      <c r="D12510" t="inlineStr">
        <is>
          <t>VÄSTERBOTTENS LÄN</t>
        </is>
      </c>
      <c r="E12510" t="inlineStr">
        <is>
          <t>LYCKSELE</t>
        </is>
      </c>
      <c r="F12510" t="inlineStr">
        <is>
          <t>Holmen skog AB</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32550-2025</t>
        </is>
      </c>
      <c r="B12511" s="1" t="n">
        <v>45838.54916666666</v>
      </c>
      <c r="C12511" s="1" t="n">
        <v>46145</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32614-2025</t>
        </is>
      </c>
      <c r="B12512" s="1" t="n">
        <v>45838.64195601852</v>
      </c>
      <c r="C12512" s="1" t="n">
        <v>46145</v>
      </c>
      <c r="D12512" t="inlineStr">
        <is>
          <t>VÄSTERBOTTENS LÄN</t>
        </is>
      </c>
      <c r="E12512" t="inlineStr">
        <is>
          <t>LYCKSELE</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32196-2025</t>
        </is>
      </c>
      <c r="B12513" s="1" t="n">
        <v>45835.57523148148</v>
      </c>
      <c r="C12513" s="1" t="n">
        <v>46145</v>
      </c>
      <c r="D12513" t="inlineStr">
        <is>
          <t>VÄSTERBOTTENS LÄN</t>
        </is>
      </c>
      <c r="E12513" t="inlineStr">
        <is>
          <t>STORUMAN</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32125-2025</t>
        </is>
      </c>
      <c r="B12514" s="1" t="n">
        <v>45835.49601851852</v>
      </c>
      <c r="C12514" s="1" t="n">
        <v>46145</v>
      </c>
      <c r="D12514" t="inlineStr">
        <is>
          <t>VÄSTERBOTTENS LÄN</t>
        </is>
      </c>
      <c r="E12514" t="inlineStr">
        <is>
          <t>UMEÅ</t>
        </is>
      </c>
      <c r="F12514" t="inlineStr">
        <is>
          <t>Holmen skog AB</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32202-2025</t>
        </is>
      </c>
      <c r="B12515" s="1" t="n">
        <v>45835.57872685185</v>
      </c>
      <c r="C12515" s="1" t="n">
        <v>46145</v>
      </c>
      <c r="D12515" t="inlineStr">
        <is>
          <t>VÄSTERBOTTENS LÄN</t>
        </is>
      </c>
      <c r="E12515" t="inlineStr">
        <is>
          <t>STORUMAN</t>
        </is>
      </c>
      <c r="F12515" t="inlineStr">
        <is>
          <t>Sveaskog</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32163-2025</t>
        </is>
      </c>
      <c r="B12516" s="1" t="n">
        <v>45835</v>
      </c>
      <c r="C12516" s="1" t="n">
        <v>46145</v>
      </c>
      <c r="D12516" t="inlineStr">
        <is>
          <t>VÄSTERBOTTENS LÄN</t>
        </is>
      </c>
      <c r="E12516" t="inlineStr">
        <is>
          <t>ROBERTSFORS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32170-2025</t>
        </is>
      </c>
      <c r="B12517" s="1" t="n">
        <v>45835</v>
      </c>
      <c r="C12517" s="1" t="n">
        <v>46145</v>
      </c>
      <c r="D12517" t="inlineStr">
        <is>
          <t>VÄSTERBOTTENS LÄN</t>
        </is>
      </c>
      <c r="E12517" t="inlineStr">
        <is>
          <t>ROBERTSFORS</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32259-2025</t>
        </is>
      </c>
      <c r="B12518" s="1" t="n">
        <v>45835.64210648148</v>
      </c>
      <c r="C12518" s="1" t="n">
        <v>46145</v>
      </c>
      <c r="D12518" t="inlineStr">
        <is>
          <t>VÄSTERBOTTENS LÄN</t>
        </is>
      </c>
      <c r="E12518" t="inlineStr">
        <is>
          <t>ÅSELE</t>
        </is>
      </c>
      <c r="F12518" t="inlineStr">
        <is>
          <t>Naturvårdsverket</t>
        </is>
      </c>
      <c r="G12518" t="n">
        <v>63.9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31986-2025</t>
        </is>
      </c>
      <c r="B12519" s="1" t="n">
        <v>45835.36210648148</v>
      </c>
      <c r="C12519" s="1" t="n">
        <v>46145</v>
      </c>
      <c r="D12519" t="inlineStr">
        <is>
          <t>VÄSTERBOTTENS LÄN</t>
        </is>
      </c>
      <c r="E12519" t="inlineStr">
        <is>
          <t>VÄNNÄS</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32551-2025</t>
        </is>
      </c>
      <c r="B12520" s="1" t="n">
        <v>45838.5503587963</v>
      </c>
      <c r="C12520" s="1" t="n">
        <v>46145</v>
      </c>
      <c r="D12520" t="inlineStr">
        <is>
          <t>VÄSTERBOTTENS LÄN</t>
        </is>
      </c>
      <c r="E12520" t="inlineStr">
        <is>
          <t>SKELLEFTEÅ</t>
        </is>
      </c>
      <c r="F12520" t="inlineStr">
        <is>
          <t>Holmen skog AB</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32311-2025</t>
        </is>
      </c>
      <c r="B12521" s="1" t="n">
        <v>45835.8281712963</v>
      </c>
      <c r="C12521" s="1" t="n">
        <v>46145</v>
      </c>
      <c r="D12521" t="inlineStr">
        <is>
          <t>VÄSTERBOTTENS LÄN</t>
        </is>
      </c>
      <c r="E12521" t="inlineStr">
        <is>
          <t>BJURHOLM</t>
        </is>
      </c>
      <c r="F12521" t="inlineStr">
        <is>
          <t>Holmen skog AB</t>
        </is>
      </c>
      <c r="G12521" t="n">
        <v>8.1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32313-2025</t>
        </is>
      </c>
      <c r="B12522" s="1" t="n">
        <v>45835.86921296296</v>
      </c>
      <c r="C12522" s="1" t="n">
        <v>46145</v>
      </c>
      <c r="D12522" t="inlineStr">
        <is>
          <t>VÄSTERBOTTENS LÄN</t>
        </is>
      </c>
      <c r="E12522" t="inlineStr">
        <is>
          <t>NORDMALING</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32316-2025</t>
        </is>
      </c>
      <c r="B12523" s="1" t="n">
        <v>45835.88451388889</v>
      </c>
      <c r="C12523" s="1" t="n">
        <v>46145</v>
      </c>
      <c r="D12523" t="inlineStr">
        <is>
          <t>VÄSTERBOTTENS LÄN</t>
        </is>
      </c>
      <c r="E12523" t="inlineStr">
        <is>
          <t>NORDMALING</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32232-2025</t>
        </is>
      </c>
      <c r="B12524" s="1" t="n">
        <v>45835.60241898148</v>
      </c>
      <c r="C12524" s="1" t="n">
        <v>46145</v>
      </c>
      <c r="D12524" t="inlineStr">
        <is>
          <t>VÄSTERBOTTENS LÄN</t>
        </is>
      </c>
      <c r="E12524" t="inlineStr">
        <is>
          <t>VINDELN</t>
        </is>
      </c>
      <c r="F12524" t="inlineStr">
        <is>
          <t>Sveaskog</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32262-2025</t>
        </is>
      </c>
      <c r="B12525" s="1" t="n">
        <v>45835.64796296296</v>
      </c>
      <c r="C12525" s="1" t="n">
        <v>46145</v>
      </c>
      <c r="D12525" t="inlineStr">
        <is>
          <t>VÄSTERBOTTENS LÄN</t>
        </is>
      </c>
      <c r="E12525" t="inlineStr">
        <is>
          <t>VINDELN</t>
        </is>
      </c>
      <c r="F12525" t="inlineStr">
        <is>
          <t>Sveaskog</t>
        </is>
      </c>
      <c r="G12525" t="n">
        <v>17.4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32289-2025</t>
        </is>
      </c>
      <c r="B12526" s="1" t="n">
        <v>45835.69831018519</v>
      </c>
      <c r="C12526" s="1" t="n">
        <v>46145</v>
      </c>
      <c r="D12526" t="inlineStr">
        <is>
          <t>VÄSTERBOTTENS LÄN</t>
        </is>
      </c>
      <c r="E12526" t="inlineStr">
        <is>
          <t>ÅSELE</t>
        </is>
      </c>
      <c r="F12526" t="inlineStr">
        <is>
          <t>SCA</t>
        </is>
      </c>
      <c r="G12526" t="n">
        <v>21.2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32292-2025</t>
        </is>
      </c>
      <c r="B12527" s="1" t="n">
        <v>45835.7030787037</v>
      </c>
      <c r="C12527" s="1" t="n">
        <v>46145</v>
      </c>
      <c r="D12527" t="inlineStr">
        <is>
          <t>VÄSTERBOTTENS LÄN</t>
        </is>
      </c>
      <c r="E12527" t="inlineStr">
        <is>
          <t>VINDELN</t>
        </is>
      </c>
      <c r="F12527" t="inlineStr">
        <is>
          <t>Holmen skog AB</t>
        </is>
      </c>
      <c r="G12527" t="n">
        <v>14.7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32601-2025</t>
        </is>
      </c>
      <c r="B12528" s="1" t="n">
        <v>45838.62275462963</v>
      </c>
      <c r="C12528" s="1" t="n">
        <v>46145</v>
      </c>
      <c r="D12528" t="inlineStr">
        <is>
          <t>VÄSTERBOTTENS LÄN</t>
        </is>
      </c>
      <c r="E12528" t="inlineStr">
        <is>
          <t>SKELLEFTEÅ</t>
        </is>
      </c>
      <c r="F12528" t="inlineStr">
        <is>
          <t>Holmen skog AB</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32108-2025</t>
        </is>
      </c>
      <c r="B12529" s="1" t="n">
        <v>45835.47898148148</v>
      </c>
      <c r="C12529" s="1" t="n">
        <v>46145</v>
      </c>
      <c r="D12529" t="inlineStr">
        <is>
          <t>VÄSTERBOTTENS LÄN</t>
        </is>
      </c>
      <c r="E12529" t="inlineStr">
        <is>
          <t>LYCKSELE</t>
        </is>
      </c>
      <c r="F12529" t="inlineStr">
        <is>
          <t>Holmen skog AB</t>
        </is>
      </c>
      <c r="G12529" t="n">
        <v>24.3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32486-2025</t>
        </is>
      </c>
      <c r="B12530" s="1" t="n">
        <v>45838.44112268519</v>
      </c>
      <c r="C12530" s="1" t="n">
        <v>46145</v>
      </c>
      <c r="D12530" t="inlineStr">
        <is>
          <t>VÄSTERBOTTENS LÄN</t>
        </is>
      </c>
      <c r="E12530" t="inlineStr">
        <is>
          <t>SKELLEFTEÅ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32487-2025</t>
        </is>
      </c>
      <c r="B12531" s="1" t="n">
        <v>45838.44355324074</v>
      </c>
      <c r="C12531" s="1" t="n">
        <v>46145</v>
      </c>
      <c r="D12531" t="inlineStr">
        <is>
          <t>VÄSTERBOTTENS LÄN</t>
        </is>
      </c>
      <c r="E12531" t="inlineStr">
        <is>
          <t>LYCKSELE</t>
        </is>
      </c>
      <c r="F12531" t="inlineStr">
        <is>
          <t>Holmen skog AB</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27557-2024</t>
        </is>
      </c>
      <c r="B12532" s="1" t="n">
        <v>45474.62798611111</v>
      </c>
      <c r="C12532" s="1" t="n">
        <v>46145</v>
      </c>
      <c r="D12532" t="inlineStr">
        <is>
          <t>VÄSTERBOTTENS LÄN</t>
        </is>
      </c>
      <c r="E12532" t="inlineStr">
        <is>
          <t>ROBERTSFORS</t>
        </is>
      </c>
      <c r="F12532" t="inlineStr">
        <is>
          <t>Holmen skog AB</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32619-2025</t>
        </is>
      </c>
      <c r="B12533" s="1" t="n">
        <v>45838.64458333333</v>
      </c>
      <c r="C12533" s="1" t="n">
        <v>46145</v>
      </c>
      <c r="D12533" t="inlineStr">
        <is>
          <t>VÄSTERBOTTENS LÄN</t>
        </is>
      </c>
      <c r="E12533" t="inlineStr">
        <is>
          <t>LYCKSELE</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31958-2025</t>
        </is>
      </c>
      <c r="B12534" s="1" t="n">
        <v>45835.34219907408</v>
      </c>
      <c r="C12534" s="1" t="n">
        <v>46145</v>
      </c>
      <c r="D12534" t="inlineStr">
        <is>
          <t>VÄSTERBOTTENS LÄN</t>
        </is>
      </c>
      <c r="E12534" t="inlineStr">
        <is>
          <t>SKELLEFTEÅ</t>
        </is>
      </c>
      <c r="F12534" t="inlineStr">
        <is>
          <t>Holmen skog AB</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31997-2025</t>
        </is>
      </c>
      <c r="B12535" s="1" t="n">
        <v>45835.37637731482</v>
      </c>
      <c r="C12535" s="1" t="n">
        <v>46145</v>
      </c>
      <c r="D12535" t="inlineStr">
        <is>
          <t>VÄSTERBOTTENS LÄN</t>
        </is>
      </c>
      <c r="E12535" t="inlineStr">
        <is>
          <t>SKELLEFTEÅ</t>
        </is>
      </c>
      <c r="F12535" t="inlineStr">
        <is>
          <t>Holmen skog AB</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32673-2025</t>
        </is>
      </c>
      <c r="B12536" s="1" t="n">
        <v>45838.70978009259</v>
      </c>
      <c r="C12536" s="1" t="n">
        <v>46145</v>
      </c>
      <c r="D12536" t="inlineStr">
        <is>
          <t>VÄSTERBOTTENS LÄN</t>
        </is>
      </c>
      <c r="E12536" t="inlineStr">
        <is>
          <t>ÅSELE</t>
        </is>
      </c>
      <c r="F12536" t="inlineStr">
        <is>
          <t>Holmen skog AB</t>
        </is>
      </c>
      <c r="G12536" t="n">
        <v>16.8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32431-2025</t>
        </is>
      </c>
      <c r="B12537" s="1" t="n">
        <v>45838.36606481481</v>
      </c>
      <c r="C12537" s="1" t="n">
        <v>46145</v>
      </c>
      <c r="D12537" t="inlineStr">
        <is>
          <t>VÄSTERBOTTENS LÄN</t>
        </is>
      </c>
      <c r="E12537" t="inlineStr">
        <is>
          <t>LYCKSELE</t>
        </is>
      </c>
      <c r="F12537" t="inlineStr">
        <is>
          <t>Holmen skog AB</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32409-2025</t>
        </is>
      </c>
      <c r="B12538" s="1" t="n">
        <v>45838.33060185185</v>
      </c>
      <c r="C12538" s="1" t="n">
        <v>46145</v>
      </c>
      <c r="D12538" t="inlineStr">
        <is>
          <t>VÄSTERBOTTENS LÄN</t>
        </is>
      </c>
      <c r="E12538" t="inlineStr">
        <is>
          <t>LYCKSELE</t>
        </is>
      </c>
      <c r="F12538" t="inlineStr">
        <is>
          <t>Holmen skog AB</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32415-2025</t>
        </is>
      </c>
      <c r="B12539" s="1" t="n">
        <v>45838.34214120371</v>
      </c>
      <c r="C12539" s="1" t="n">
        <v>46145</v>
      </c>
      <c r="D12539" t="inlineStr">
        <is>
          <t>VÄSTERBOTTENS LÄN</t>
        </is>
      </c>
      <c r="E12539" t="inlineStr">
        <is>
          <t>VINDELN</t>
        </is>
      </c>
      <c r="G12539" t="n">
        <v>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32485-2025</t>
        </is>
      </c>
      <c r="B12540" s="1" t="n">
        <v>45838.43662037037</v>
      </c>
      <c r="C12540" s="1" t="n">
        <v>46145</v>
      </c>
      <c r="D12540" t="inlineStr">
        <is>
          <t>VÄSTERBOTTENS LÄN</t>
        </is>
      </c>
      <c r="E12540" t="inlineStr">
        <is>
          <t>SKELLEFTEÅ</t>
        </is>
      </c>
      <c r="F12540" t="inlineStr">
        <is>
          <t>Holmen skog AB</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32305-2025</t>
        </is>
      </c>
      <c r="B12541" s="1" t="n">
        <v>45835.71929398148</v>
      </c>
      <c r="C12541" s="1" t="n">
        <v>46145</v>
      </c>
      <c r="D12541" t="inlineStr">
        <is>
          <t>VÄSTERBOTTENS LÄN</t>
        </is>
      </c>
      <c r="E12541" t="inlineStr">
        <is>
          <t>VINDELN</t>
        </is>
      </c>
      <c r="F12541" t="inlineStr">
        <is>
          <t>SCA</t>
        </is>
      </c>
      <c r="G12541" t="n">
        <v>15.2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32314-2025</t>
        </is>
      </c>
      <c r="B12542" s="1" t="n">
        <v>45835.87006944444</v>
      </c>
      <c r="C12542" s="1" t="n">
        <v>46145</v>
      </c>
      <c r="D12542" t="inlineStr">
        <is>
          <t>VÄSTERBOTTENS LÄN</t>
        </is>
      </c>
      <c r="E12542" t="inlineStr">
        <is>
          <t>BJURHOLM</t>
        </is>
      </c>
      <c r="F12542" t="inlineStr">
        <is>
          <t>Holmen skog AB</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32315-2025</t>
        </is>
      </c>
      <c r="B12543" s="1" t="n">
        <v>45835.878125</v>
      </c>
      <c r="C12543" s="1" t="n">
        <v>46145</v>
      </c>
      <c r="D12543" t="inlineStr">
        <is>
          <t>VÄSTERBOTTENS LÄN</t>
        </is>
      </c>
      <c r="E12543" t="inlineStr">
        <is>
          <t>NORDMALING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32446-2025</t>
        </is>
      </c>
      <c r="B12544" s="1" t="n">
        <v>45838.38635416667</v>
      </c>
      <c r="C12544" s="1" t="n">
        <v>46145</v>
      </c>
      <c r="D12544" t="inlineStr">
        <is>
          <t>VÄSTERBOTTENS LÄN</t>
        </is>
      </c>
      <c r="E12544" t="inlineStr">
        <is>
          <t>VINDELN</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32047-2025</t>
        </is>
      </c>
      <c r="B12545" s="1" t="n">
        <v>45835.44034722223</v>
      </c>
      <c r="C12545" s="1" t="n">
        <v>46145</v>
      </c>
      <c r="D12545" t="inlineStr">
        <is>
          <t>VÄSTERBOTTENS LÄN</t>
        </is>
      </c>
      <c r="E12545" t="inlineStr">
        <is>
          <t>SKELLEFTEÅ</t>
        </is>
      </c>
      <c r="F12545" t="inlineStr">
        <is>
          <t>Holmen skog AB</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32773-2025</t>
        </is>
      </c>
      <c r="B12546" s="1" t="n">
        <v>45839.46233796296</v>
      </c>
      <c r="C12546" s="1" t="n">
        <v>46145</v>
      </c>
      <c r="D12546" t="inlineStr">
        <is>
          <t>VÄSTERBOTTENS LÄN</t>
        </is>
      </c>
      <c r="E12546" t="inlineStr">
        <is>
          <t>ROBERTSFORS</t>
        </is>
      </c>
      <c r="F12546" t="inlineStr">
        <is>
          <t>Holmen skog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32781-2025</t>
        </is>
      </c>
      <c r="B12547" s="1" t="n">
        <v>45839.47243055556</v>
      </c>
      <c r="C12547" s="1" t="n">
        <v>46145</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32783-2025</t>
        </is>
      </c>
      <c r="B12548" s="1" t="n">
        <v>45839.47989583333</v>
      </c>
      <c r="C12548" s="1" t="n">
        <v>46145</v>
      </c>
      <c r="D12548" t="inlineStr">
        <is>
          <t>VÄSTERBOTTENS LÄN</t>
        </is>
      </c>
      <c r="E12548" t="inlineStr">
        <is>
          <t>LYCKSELE</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32814-2025</t>
        </is>
      </c>
      <c r="B12549" s="1" t="n">
        <v>45839.5271875</v>
      </c>
      <c r="C12549" s="1" t="n">
        <v>46145</v>
      </c>
      <c r="D12549" t="inlineStr">
        <is>
          <t>VÄSTERBOTTENS LÄN</t>
        </is>
      </c>
      <c r="E12549" t="inlineStr">
        <is>
          <t>ROBERTSFORS</t>
        </is>
      </c>
      <c r="G12549" t="n">
        <v>7.6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33262-2025</t>
        </is>
      </c>
      <c r="B12550" s="1" t="n">
        <v>45840.67768518518</v>
      </c>
      <c r="C12550" s="1" t="n">
        <v>46145</v>
      </c>
      <c r="D12550" t="inlineStr">
        <is>
          <t>VÄSTERBOTTENS LÄN</t>
        </is>
      </c>
      <c r="E12550" t="inlineStr">
        <is>
          <t>DOROTEA</t>
        </is>
      </c>
      <c r="F12550" t="inlineStr">
        <is>
          <t>SCA</t>
        </is>
      </c>
      <c r="G12550" t="n">
        <v>17.4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33020-2025</t>
        </is>
      </c>
      <c r="B12551" s="1" t="n">
        <v>45840.37125</v>
      </c>
      <c r="C12551" s="1" t="n">
        <v>46145</v>
      </c>
      <c r="D12551" t="inlineStr">
        <is>
          <t>VÄSTERBOTTENS LÄN</t>
        </is>
      </c>
      <c r="E12551" t="inlineStr">
        <is>
          <t>NORSJÖ</t>
        </is>
      </c>
      <c r="G12551" t="n">
        <v>19.1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33142-2025</t>
        </is>
      </c>
      <c r="B12552" s="1" t="n">
        <v>45840</v>
      </c>
      <c r="C12552" s="1" t="n">
        <v>46145</v>
      </c>
      <c r="D12552" t="inlineStr">
        <is>
          <t>VÄSTERBOTTENS LÄN</t>
        </is>
      </c>
      <c r="E12552" t="inlineStr">
        <is>
          <t>VILHELMINA</t>
        </is>
      </c>
      <c r="G12552" t="n">
        <v>15.2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33154-2025</t>
        </is>
      </c>
      <c r="B12553" s="1" t="n">
        <v>45840.55459490741</v>
      </c>
      <c r="C12553" s="1" t="n">
        <v>46145</v>
      </c>
      <c r="D12553" t="inlineStr">
        <is>
          <t>VÄSTERBOTTENS LÄN</t>
        </is>
      </c>
      <c r="E12553" t="inlineStr">
        <is>
          <t>SKELLEFTEÅ</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33216-2025</t>
        </is>
      </c>
      <c r="B12554" s="1" t="n">
        <v>45840.63201388889</v>
      </c>
      <c r="C12554" s="1" t="n">
        <v>46145</v>
      </c>
      <c r="D12554" t="inlineStr">
        <is>
          <t>VÄSTERBOTTENS LÄN</t>
        </is>
      </c>
      <c r="E12554" t="inlineStr">
        <is>
          <t>NORDMALING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32780-2025</t>
        </is>
      </c>
      <c r="B12555" s="1" t="n">
        <v>45839.46975694445</v>
      </c>
      <c r="C12555" s="1" t="n">
        <v>46145</v>
      </c>
      <c r="D12555" t="inlineStr">
        <is>
          <t>VÄSTERBOTTENS LÄN</t>
        </is>
      </c>
      <c r="E12555" t="inlineStr">
        <is>
          <t>SKELLEFTEÅ</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33052-2025</t>
        </is>
      </c>
      <c r="B12556" s="1" t="n">
        <v>45840.42515046296</v>
      </c>
      <c r="C12556" s="1" t="n">
        <v>46145</v>
      </c>
      <c r="D12556" t="inlineStr">
        <is>
          <t>VÄSTERBOTTENS LÄN</t>
        </is>
      </c>
      <c r="E12556" t="inlineStr">
        <is>
          <t>LYCKSELE</t>
        </is>
      </c>
      <c r="F12556" t="inlineStr">
        <is>
          <t>Sveaskog</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32947-2025</t>
        </is>
      </c>
      <c r="B12557" s="1" t="n">
        <v>45839</v>
      </c>
      <c r="C12557" s="1" t="n">
        <v>46145</v>
      </c>
      <c r="D12557" t="inlineStr">
        <is>
          <t>VÄSTERBOTTENS LÄN</t>
        </is>
      </c>
      <c r="E12557" t="inlineStr">
        <is>
          <t>VILHELMINA</t>
        </is>
      </c>
      <c r="G12557" t="n">
        <v>19.1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29263-2025</t>
        </is>
      </c>
      <c r="B12558" s="1" t="n">
        <v>45824.39538194444</v>
      </c>
      <c r="C12558" s="1" t="n">
        <v>46145</v>
      </c>
      <c r="D12558" t="inlineStr">
        <is>
          <t>VÄSTERBOTTENS LÄN</t>
        </is>
      </c>
      <c r="E12558" t="inlineStr">
        <is>
          <t>SKELLEFTEÅ</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32714-2025</t>
        </is>
      </c>
      <c r="B12559" s="1" t="n">
        <v>45839.37024305556</v>
      </c>
      <c r="C12559" s="1" t="n">
        <v>46145</v>
      </c>
      <c r="D12559" t="inlineStr">
        <is>
          <t>VÄSTERBOTTENS LÄN</t>
        </is>
      </c>
      <c r="E12559" t="inlineStr">
        <is>
          <t>ÅSELE</t>
        </is>
      </c>
      <c r="G12559" t="n">
        <v>19.1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33198-2025</t>
        </is>
      </c>
      <c r="B12560" s="1" t="n">
        <v>45840.6047800926</v>
      </c>
      <c r="C12560" s="1" t="n">
        <v>46145</v>
      </c>
      <c r="D12560" t="inlineStr">
        <is>
          <t>VÄSTERBOTTENS LÄN</t>
        </is>
      </c>
      <c r="E12560" t="inlineStr">
        <is>
          <t>UMEÅ</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32752-2025</t>
        </is>
      </c>
      <c r="B12561" s="1" t="n">
        <v>45839.42896990741</v>
      </c>
      <c r="C12561" s="1" t="n">
        <v>46145</v>
      </c>
      <c r="D12561" t="inlineStr">
        <is>
          <t>VÄSTERBOTTENS LÄN</t>
        </is>
      </c>
      <c r="E12561" t="inlineStr">
        <is>
          <t>LYCKSELE</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32820-2025</t>
        </is>
      </c>
      <c r="B12562" s="1" t="n">
        <v>45839.53807870371</v>
      </c>
      <c r="C12562" s="1" t="n">
        <v>46145</v>
      </c>
      <c r="D12562" t="inlineStr">
        <is>
          <t>VÄSTERBOTTENS LÄN</t>
        </is>
      </c>
      <c r="E12562" t="inlineStr">
        <is>
          <t>ROBERTSFORS</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32810-2025</t>
        </is>
      </c>
      <c r="B12563" s="1" t="n">
        <v>45839.51207175926</v>
      </c>
      <c r="C12563" s="1" t="n">
        <v>46145</v>
      </c>
      <c r="D12563" t="inlineStr">
        <is>
          <t>VÄSTERBOTTENS LÄN</t>
        </is>
      </c>
      <c r="E12563" t="inlineStr">
        <is>
          <t>ÅSELE</t>
        </is>
      </c>
      <c r="F12563" t="inlineStr">
        <is>
          <t>Holmen skog AB</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32828-2025</t>
        </is>
      </c>
      <c r="B12564" s="1" t="n">
        <v>45839.54767361111</v>
      </c>
      <c r="C12564" s="1" t="n">
        <v>46145</v>
      </c>
      <c r="D12564" t="inlineStr">
        <is>
          <t>VÄSTERBOTTENS LÄN</t>
        </is>
      </c>
      <c r="E12564" t="inlineStr">
        <is>
          <t>ROBERTSFORS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32843-2025</t>
        </is>
      </c>
      <c r="B12565" s="1" t="n">
        <v>45839.57009259259</v>
      </c>
      <c r="C12565" s="1" t="n">
        <v>46145</v>
      </c>
      <c r="D12565" t="inlineStr">
        <is>
          <t>VÄSTERBOTTENS LÄN</t>
        </is>
      </c>
      <c r="E12565" t="inlineStr">
        <is>
          <t>ROBERTSFORS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33073-2025</t>
        </is>
      </c>
      <c r="B12566" s="1" t="n">
        <v>45840.45332175926</v>
      </c>
      <c r="C12566" s="1" t="n">
        <v>46145</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33085-2025</t>
        </is>
      </c>
      <c r="B12567" s="1" t="n">
        <v>45840.46704861111</v>
      </c>
      <c r="C12567" s="1" t="n">
        <v>46145</v>
      </c>
      <c r="D12567" t="inlineStr">
        <is>
          <t>VÄSTERBOTTENS LÄN</t>
        </is>
      </c>
      <c r="E12567" t="inlineStr">
        <is>
          <t>UMEÅ</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31955-2025</t>
        </is>
      </c>
      <c r="B12568" s="1" t="n">
        <v>45835</v>
      </c>
      <c r="C12568" s="1" t="n">
        <v>46145</v>
      </c>
      <c r="D12568" t="inlineStr">
        <is>
          <t>VÄSTERBOTTENS LÄN</t>
        </is>
      </c>
      <c r="E12568" t="inlineStr">
        <is>
          <t>SKELLEFTEÅ</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33167-2025</t>
        </is>
      </c>
      <c r="B12569" s="1" t="n">
        <v>45840.57563657407</v>
      </c>
      <c r="C12569" s="1" t="n">
        <v>46145</v>
      </c>
      <c r="D12569" t="inlineStr">
        <is>
          <t>VÄSTERBOTTENS LÄN</t>
        </is>
      </c>
      <c r="E12569" t="inlineStr">
        <is>
          <t>NORSJÖ</t>
        </is>
      </c>
      <c r="F12569" t="inlineStr">
        <is>
          <t>Holmen skog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33193-2025</t>
        </is>
      </c>
      <c r="B12570" s="1" t="n">
        <v>45840.60122685185</v>
      </c>
      <c r="C12570" s="1" t="n">
        <v>46145</v>
      </c>
      <c r="D12570" t="inlineStr">
        <is>
          <t>VÄSTERBOTTENS LÄN</t>
        </is>
      </c>
      <c r="E12570" t="inlineStr">
        <is>
          <t>UMEÅ</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33210-2025</t>
        </is>
      </c>
      <c r="B12571" s="1" t="n">
        <v>45840.62734953704</v>
      </c>
      <c r="C12571" s="1" t="n">
        <v>46145</v>
      </c>
      <c r="D12571" t="inlineStr">
        <is>
          <t>VÄSTERBOTTENS LÄN</t>
        </is>
      </c>
      <c r="E12571" t="inlineStr">
        <is>
          <t>UMEÅ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32927-2025</t>
        </is>
      </c>
      <c r="B12572" s="1" t="n">
        <v>45839.66170138889</v>
      </c>
      <c r="C12572" s="1" t="n">
        <v>46145</v>
      </c>
      <c r="D12572" t="inlineStr">
        <is>
          <t>VÄSTERBOTTENS LÄN</t>
        </is>
      </c>
      <c r="E12572" t="inlineStr">
        <is>
          <t>STORUMAN</t>
        </is>
      </c>
      <c r="F12572" t="inlineStr">
        <is>
          <t>Sveaskog</t>
        </is>
      </c>
      <c r="G12572" t="n">
        <v>5.2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32931-2025</t>
        </is>
      </c>
      <c r="B12573" s="1" t="n">
        <v>45839.66858796297</v>
      </c>
      <c r="C12573" s="1" t="n">
        <v>46145</v>
      </c>
      <c r="D12573" t="inlineStr">
        <is>
          <t>VÄSTERBOTTENS LÄN</t>
        </is>
      </c>
      <c r="E12573" t="inlineStr">
        <is>
          <t>SKELLEFTEÅ</t>
        </is>
      </c>
      <c r="F12573" t="inlineStr">
        <is>
          <t>Holmen skog AB</t>
        </is>
      </c>
      <c r="G12573" t="n">
        <v>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32823-2025</t>
        </is>
      </c>
      <c r="B12574" s="1" t="n">
        <v>45839.54072916666</v>
      </c>
      <c r="C12574" s="1" t="n">
        <v>46145</v>
      </c>
      <c r="D12574" t="inlineStr">
        <is>
          <t>VÄSTERBOTTENS LÄN</t>
        </is>
      </c>
      <c r="E12574" t="inlineStr">
        <is>
          <t>ROBERTSFORS</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32826-2025</t>
        </is>
      </c>
      <c r="B12575" s="1" t="n">
        <v>45839.54482638889</v>
      </c>
      <c r="C12575" s="1" t="n">
        <v>46145</v>
      </c>
      <c r="D12575" t="inlineStr">
        <is>
          <t>VÄSTERBOTTENS LÄN</t>
        </is>
      </c>
      <c r="E12575" t="inlineStr">
        <is>
          <t>ROBERTSFORS</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32933-2025</t>
        </is>
      </c>
      <c r="B12576" s="1" t="n">
        <v>45839.67144675926</v>
      </c>
      <c r="C12576" s="1" t="n">
        <v>46145</v>
      </c>
      <c r="D12576" t="inlineStr">
        <is>
          <t>VÄSTERBOTTENS LÄN</t>
        </is>
      </c>
      <c r="E12576" t="inlineStr">
        <is>
          <t>SKELLEFTEÅ</t>
        </is>
      </c>
      <c r="F12576" t="inlineStr">
        <is>
          <t>Holmen skog AB</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32722-2025</t>
        </is>
      </c>
      <c r="B12577" s="1" t="n">
        <v>45839.38622685185</v>
      </c>
      <c r="C12577" s="1" t="n">
        <v>46145</v>
      </c>
      <c r="D12577" t="inlineStr">
        <is>
          <t>VÄSTERBOTTENS LÄN</t>
        </is>
      </c>
      <c r="E12577" t="inlineStr">
        <is>
          <t>LYCKSELE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33213-2025</t>
        </is>
      </c>
      <c r="B12578" s="1" t="n">
        <v>45840.62851851852</v>
      </c>
      <c r="C12578" s="1" t="n">
        <v>46145</v>
      </c>
      <c r="D12578" t="inlineStr">
        <is>
          <t>VÄSTERBOTTENS LÄN</t>
        </is>
      </c>
      <c r="E12578" t="inlineStr">
        <is>
          <t>NORDMALING</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33227-2025</t>
        </is>
      </c>
      <c r="B12579" s="1" t="n">
        <v>45840.63763888889</v>
      </c>
      <c r="C12579" s="1" t="n">
        <v>46145</v>
      </c>
      <c r="D12579" t="inlineStr">
        <is>
          <t>VÄSTERBOTTENS LÄN</t>
        </is>
      </c>
      <c r="E12579" t="inlineStr">
        <is>
          <t>NORDMALING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33267-2025</t>
        </is>
      </c>
      <c r="B12580" s="1" t="n">
        <v>45840.67862268518</v>
      </c>
      <c r="C12580" s="1" t="n">
        <v>46145</v>
      </c>
      <c r="D12580" t="inlineStr">
        <is>
          <t>VÄSTERBOTTENS LÄN</t>
        </is>
      </c>
      <c r="E12580" t="inlineStr">
        <is>
          <t>DOROTEA</t>
        </is>
      </c>
      <c r="F12580" t="inlineStr">
        <is>
          <t>SCA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32941-2025</t>
        </is>
      </c>
      <c r="B12581" s="1" t="n">
        <v>45839.67783564814</v>
      </c>
      <c r="C12581" s="1" t="n">
        <v>46145</v>
      </c>
      <c r="D12581" t="inlineStr">
        <is>
          <t>VÄSTERBOTTENS LÄN</t>
        </is>
      </c>
      <c r="E12581" t="inlineStr">
        <is>
          <t>LYCKSELE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32955-2025</t>
        </is>
      </c>
      <c r="B12582" s="1" t="n">
        <v>45839</v>
      </c>
      <c r="C12582" s="1" t="n">
        <v>46145</v>
      </c>
      <c r="D12582" t="inlineStr">
        <is>
          <t>VÄSTERBOTTENS LÄN</t>
        </is>
      </c>
      <c r="E12582" t="inlineStr">
        <is>
          <t>SKELLEFTEÅ</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28365-2025</t>
        </is>
      </c>
      <c r="B12583" s="1" t="n">
        <v>45818.83288194444</v>
      </c>
      <c r="C12583" s="1" t="n">
        <v>46145</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32891-2025</t>
        </is>
      </c>
      <c r="B12584" s="1" t="n">
        <v>45839.60825231481</v>
      </c>
      <c r="C12584" s="1" t="n">
        <v>46145</v>
      </c>
      <c r="D12584" t="inlineStr">
        <is>
          <t>VÄSTERBOTTENS LÄN</t>
        </is>
      </c>
      <c r="E12584" t="inlineStr">
        <is>
          <t>ÅSELE</t>
        </is>
      </c>
      <c r="F12584" t="inlineStr">
        <is>
          <t>Holmen skog AB</t>
        </is>
      </c>
      <c r="G12584" t="n">
        <v>18.8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33242-2025</t>
        </is>
      </c>
      <c r="B12585" s="1" t="n">
        <v>45840.65033564815</v>
      </c>
      <c r="C12585" s="1" t="n">
        <v>46145</v>
      </c>
      <c r="D12585" t="inlineStr">
        <is>
          <t>VÄSTERBOTTENS LÄN</t>
        </is>
      </c>
      <c r="E12585" t="inlineStr">
        <is>
          <t>NORSJÖ</t>
        </is>
      </c>
      <c r="F12585" t="inlineStr">
        <is>
          <t>Holmen skog AB</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32439-2025</t>
        </is>
      </c>
      <c r="B12586" s="1" t="n">
        <v>45838.3827662037</v>
      </c>
      <c r="C12586" s="1" t="n">
        <v>46145</v>
      </c>
      <c r="D12586" t="inlineStr">
        <is>
          <t>VÄSTERBOTTENS LÄN</t>
        </is>
      </c>
      <c r="E12586" t="inlineStr">
        <is>
          <t>NORSJÖ</t>
        </is>
      </c>
      <c r="F12586" t="inlineStr">
        <is>
          <t>Holmen skog AB</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32801-2025</t>
        </is>
      </c>
      <c r="B12587" s="1" t="n">
        <v>45839.49627314815</v>
      </c>
      <c r="C12587" s="1" t="n">
        <v>46145</v>
      </c>
      <c r="D12587" t="inlineStr">
        <is>
          <t>VÄSTERBOTTENS LÄN</t>
        </is>
      </c>
      <c r="E12587" t="inlineStr">
        <is>
          <t>ROBERTSFORS</t>
        </is>
      </c>
      <c r="F12587" t="inlineStr">
        <is>
          <t>Holmen skog AB</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33091-2025</t>
        </is>
      </c>
      <c r="B12588" s="1" t="n">
        <v>45840.46914351852</v>
      </c>
      <c r="C12588" s="1" t="n">
        <v>46145</v>
      </c>
      <c r="D12588" t="inlineStr">
        <is>
          <t>VÄSTERBOTTENS LÄN</t>
        </is>
      </c>
      <c r="E12588" t="inlineStr">
        <is>
          <t>DOROTEA</t>
        </is>
      </c>
      <c r="F12588" t="inlineStr">
        <is>
          <t>SCA</t>
        </is>
      </c>
      <c r="G12588" t="n">
        <v>5.6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33104-2025</t>
        </is>
      </c>
      <c r="B12589" s="1" t="n">
        <v>45840.48296296296</v>
      </c>
      <c r="C12589" s="1" t="n">
        <v>46145</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32945-2025</t>
        </is>
      </c>
      <c r="B12590" s="1" t="n">
        <v>45839.68309027778</v>
      </c>
      <c r="C12590" s="1" t="n">
        <v>46145</v>
      </c>
      <c r="D12590" t="inlineStr">
        <is>
          <t>VÄSTERBOTTENS LÄN</t>
        </is>
      </c>
      <c r="E12590" t="inlineStr">
        <is>
          <t>ÅSELE</t>
        </is>
      </c>
      <c r="F12590" t="inlineStr">
        <is>
          <t>Holmen skog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33067-2025</t>
        </is>
      </c>
      <c r="B12591" s="1" t="n">
        <v>45840.44748842593</v>
      </c>
      <c r="C12591" s="1" t="n">
        <v>46145</v>
      </c>
      <c r="D12591" t="inlineStr">
        <is>
          <t>VÄSTERBOTTENS LÄN</t>
        </is>
      </c>
      <c r="E12591" t="inlineStr">
        <is>
          <t>LYCKSELE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30053-2025</t>
        </is>
      </c>
      <c r="B12592" s="1" t="n">
        <v>45826.60013888889</v>
      </c>
      <c r="C12592" s="1" t="n">
        <v>46145</v>
      </c>
      <c r="D12592" t="inlineStr">
        <is>
          <t>VÄSTERBOTTENS LÄN</t>
        </is>
      </c>
      <c r="E12592" t="inlineStr">
        <is>
          <t>UMEÅ</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33220-2025</t>
        </is>
      </c>
      <c r="B12593" s="1" t="n">
        <v>45840.63465277778</v>
      </c>
      <c r="C12593" s="1" t="n">
        <v>46145</v>
      </c>
      <c r="D12593" t="inlineStr">
        <is>
          <t>VÄSTERBOTTENS LÄN</t>
        </is>
      </c>
      <c r="E12593" t="inlineStr">
        <is>
          <t>NORDMALING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32976-2025</t>
        </is>
      </c>
      <c r="B12594" s="1" t="n">
        <v>45839.79112268519</v>
      </c>
      <c r="C12594" s="1" t="n">
        <v>46145</v>
      </c>
      <c r="D12594" t="inlineStr">
        <is>
          <t>VÄSTERBOTTENS LÄN</t>
        </is>
      </c>
      <c r="E12594" t="inlineStr">
        <is>
          <t>ÅSELE</t>
        </is>
      </c>
      <c r="F12594" t="inlineStr">
        <is>
          <t>Holmen skog AB</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33303-2025</t>
        </is>
      </c>
      <c r="B12595" s="1" t="n">
        <v>45841.29267361111</v>
      </c>
      <c r="C12595" s="1" t="n">
        <v>46145</v>
      </c>
      <c r="D12595" t="inlineStr">
        <is>
          <t>VÄSTERBOTTENS LÄN</t>
        </is>
      </c>
      <c r="E12595" t="inlineStr">
        <is>
          <t>SKELLEFTEÅ</t>
        </is>
      </c>
      <c r="G12595" t="n">
        <v>8.800000000000001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33305-2025</t>
        </is>
      </c>
      <c r="B12596" s="1" t="n">
        <v>45841.30456018518</v>
      </c>
      <c r="C12596" s="1" t="n">
        <v>46145</v>
      </c>
      <c r="D12596" t="inlineStr">
        <is>
          <t>VÄSTERBOTTENS LÄN</t>
        </is>
      </c>
      <c r="E12596" t="inlineStr">
        <is>
          <t>SKELLEFTEÅ</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33966-2025</t>
        </is>
      </c>
      <c r="B12597" s="1" t="n">
        <v>45842.75030092592</v>
      </c>
      <c r="C12597" s="1" t="n">
        <v>46145</v>
      </c>
      <c r="D12597" t="inlineStr">
        <is>
          <t>VÄSTERBOTTENS LÄN</t>
        </is>
      </c>
      <c r="E12597" t="inlineStr">
        <is>
          <t>LYCKSELE</t>
        </is>
      </c>
      <c r="G12597" t="n">
        <v>12.5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33711-2025</t>
        </is>
      </c>
      <c r="B12598" s="1" t="n">
        <v>45841.83383101852</v>
      </c>
      <c r="C12598" s="1" t="n">
        <v>46145</v>
      </c>
      <c r="D12598" t="inlineStr">
        <is>
          <t>VÄSTERBOTTENS LÄN</t>
        </is>
      </c>
      <c r="E12598" t="inlineStr">
        <is>
          <t>ÅSELE</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33943-2025</t>
        </is>
      </c>
      <c r="B12599" s="1" t="n">
        <v>45842.64652777778</v>
      </c>
      <c r="C12599" s="1" t="n">
        <v>46145</v>
      </c>
      <c r="D12599" t="inlineStr">
        <is>
          <t>VÄSTERBOTTENS LÄN</t>
        </is>
      </c>
      <c r="E12599" t="inlineStr">
        <is>
          <t>NORSJÖ</t>
        </is>
      </c>
      <c r="F12599" t="inlineStr">
        <is>
          <t>Holmen skog AB</t>
        </is>
      </c>
      <c r="G12599" t="n">
        <v>12.3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33860-2025</t>
        </is>
      </c>
      <c r="B12600" s="1" t="n">
        <v>45842.52545138889</v>
      </c>
      <c r="C12600" s="1" t="n">
        <v>46145</v>
      </c>
      <c r="D12600" t="inlineStr">
        <is>
          <t>VÄSTERBOTTENS LÄN</t>
        </is>
      </c>
      <c r="E12600" t="inlineStr">
        <is>
          <t>VINDELN</t>
        </is>
      </c>
      <c r="F12600" t="inlineStr">
        <is>
          <t>Sveaskog</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33657-2025</t>
        </is>
      </c>
      <c r="B12601" s="1" t="n">
        <v>45841.66048611111</v>
      </c>
      <c r="C12601" s="1" t="n">
        <v>46145</v>
      </c>
      <c r="D12601" t="inlineStr">
        <is>
          <t>VÄSTERBOTTENS LÄN</t>
        </is>
      </c>
      <c r="E12601" t="inlineStr">
        <is>
          <t>VINDELN</t>
        </is>
      </c>
      <c r="F12601" t="inlineStr">
        <is>
          <t>Holmen skog AB</t>
        </is>
      </c>
      <c r="G12601" t="n">
        <v>11.7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33319-2025</t>
        </is>
      </c>
      <c r="B12602" s="1" t="n">
        <v>45841</v>
      </c>
      <c r="C12602" s="1" t="n">
        <v>46145</v>
      </c>
      <c r="D12602" t="inlineStr">
        <is>
          <t>VÄSTERBOTTENS LÄN</t>
        </is>
      </c>
      <c r="E12602" t="inlineStr">
        <is>
          <t>VILHELMINA</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33320-2025</t>
        </is>
      </c>
      <c r="B12603" s="1" t="n">
        <v>45841.34461805555</v>
      </c>
      <c r="C12603" s="1" t="n">
        <v>46145</v>
      </c>
      <c r="D12603" t="inlineStr">
        <is>
          <t>VÄSTERBOTTENS LÄN</t>
        </is>
      </c>
      <c r="E12603" t="inlineStr">
        <is>
          <t>VILHELMINA</t>
        </is>
      </c>
      <c r="F12603" t="inlineStr">
        <is>
          <t>SCA</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33368-2025</t>
        </is>
      </c>
      <c r="B12604" s="1" t="n">
        <v>45841.38987268518</v>
      </c>
      <c r="C12604" s="1" t="n">
        <v>46145</v>
      </c>
      <c r="D12604" t="inlineStr">
        <is>
          <t>VÄSTERBOTTENS LÄN</t>
        </is>
      </c>
      <c r="E12604" t="inlineStr">
        <is>
          <t>ROBERTSFORS</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33527-2025</t>
        </is>
      </c>
      <c r="B12605" s="1" t="n">
        <v>45841.54920138889</v>
      </c>
      <c r="C12605" s="1" t="n">
        <v>46145</v>
      </c>
      <c r="D12605" t="inlineStr">
        <is>
          <t>VÄSTERBOTTENS LÄN</t>
        </is>
      </c>
      <c r="E12605" t="inlineStr">
        <is>
          <t>LYCKSELE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33579-2025</t>
        </is>
      </c>
      <c r="B12606" s="1" t="n">
        <v>45841.59310185185</v>
      </c>
      <c r="C12606" s="1" t="n">
        <v>46145</v>
      </c>
      <c r="D12606" t="inlineStr">
        <is>
          <t>VÄSTERBOTTENS LÄN</t>
        </is>
      </c>
      <c r="E12606" t="inlineStr">
        <is>
          <t>SKELLEFTEÅ</t>
        </is>
      </c>
      <c r="F12606" t="inlineStr">
        <is>
          <t>Holmen skog AB</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33599-2025</t>
        </is>
      </c>
      <c r="B12607" s="1" t="n">
        <v>45841.60773148148</v>
      </c>
      <c r="C12607" s="1" t="n">
        <v>46145</v>
      </c>
      <c r="D12607" t="inlineStr">
        <is>
          <t>VÄSTERBOTTENS LÄN</t>
        </is>
      </c>
      <c r="E12607" t="inlineStr">
        <is>
          <t>NORDMALING</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33346-2025</t>
        </is>
      </c>
      <c r="B12608" s="1" t="n">
        <v>45841.36670138889</v>
      </c>
      <c r="C12608" s="1" t="n">
        <v>46145</v>
      </c>
      <c r="D12608" t="inlineStr">
        <is>
          <t>VÄSTERBOTTENS LÄN</t>
        </is>
      </c>
      <c r="E12608" t="inlineStr">
        <is>
          <t>LYCKSELE</t>
        </is>
      </c>
      <c r="F12608" t="inlineStr">
        <is>
          <t>Sveaskog</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33301-2025</t>
        </is>
      </c>
      <c r="B12609" s="1" t="n">
        <v>45841.28633101852</v>
      </c>
      <c r="C12609" s="1" t="n">
        <v>46145</v>
      </c>
      <c r="D12609" t="inlineStr">
        <is>
          <t>VÄSTERBOTTENS LÄN</t>
        </is>
      </c>
      <c r="E12609" t="inlineStr">
        <is>
          <t>ROBERTSFORS</t>
        </is>
      </c>
      <c r="F12609" t="inlineStr">
        <is>
          <t>Holmen skog AB</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33304-2025</t>
        </is>
      </c>
      <c r="B12610" s="1" t="n">
        <v>45841.29636574074</v>
      </c>
      <c r="C12610" s="1" t="n">
        <v>46145</v>
      </c>
      <c r="D12610" t="inlineStr">
        <is>
          <t>VÄSTERBOTTENS LÄN</t>
        </is>
      </c>
      <c r="E12610" t="inlineStr">
        <is>
          <t>SKELLEFTEÅ</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33892-2025</t>
        </is>
      </c>
      <c r="B12611" s="1" t="n">
        <v>45842.5753125</v>
      </c>
      <c r="C12611" s="1" t="n">
        <v>46145</v>
      </c>
      <c r="D12611" t="inlineStr">
        <is>
          <t>VÄSTERBOTTENS LÄN</t>
        </is>
      </c>
      <c r="E12611" t="inlineStr">
        <is>
          <t>SKELLEFTEÅ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33878-2025</t>
        </is>
      </c>
      <c r="B12612" s="1" t="n">
        <v>45842.55579861111</v>
      </c>
      <c r="C12612" s="1" t="n">
        <v>46145</v>
      </c>
      <c r="D12612" t="inlineStr">
        <is>
          <t>VÄSTERBOTTENS LÄN</t>
        </is>
      </c>
      <c r="E12612" t="inlineStr">
        <is>
          <t>VINDELN</t>
        </is>
      </c>
      <c r="F12612" t="inlineStr">
        <is>
          <t>Sveaskog</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33881-2025</t>
        </is>
      </c>
      <c r="B12613" s="1" t="n">
        <v>45842.5657175926</v>
      </c>
      <c r="C12613" s="1" t="n">
        <v>46145</v>
      </c>
      <c r="D12613" t="inlineStr">
        <is>
          <t>VÄSTERBOTTENS LÄN</t>
        </is>
      </c>
      <c r="E12613" t="inlineStr">
        <is>
          <t>STORUMAN</t>
        </is>
      </c>
      <c r="F12613" t="inlineStr">
        <is>
          <t>Sveaskog</t>
        </is>
      </c>
      <c r="G12613" t="n">
        <v>12.9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33901-2025</t>
        </is>
      </c>
      <c r="B12614" s="1" t="n">
        <v>45842.59473379629</v>
      </c>
      <c r="C12614" s="1" t="n">
        <v>46145</v>
      </c>
      <c r="D12614" t="inlineStr">
        <is>
          <t>VÄSTERBOTTENS LÄN</t>
        </is>
      </c>
      <c r="E12614" t="inlineStr">
        <is>
          <t>NORSJÖ</t>
        </is>
      </c>
      <c r="F12614" t="inlineStr">
        <is>
          <t>Sveaskog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33894-2025</t>
        </is>
      </c>
      <c r="B12615" s="1" t="n">
        <v>45842.58432870371</v>
      </c>
      <c r="C12615" s="1" t="n">
        <v>46145</v>
      </c>
      <c r="D12615" t="inlineStr">
        <is>
          <t>VÄSTERBOTTENS LÄN</t>
        </is>
      </c>
      <c r="E12615" t="inlineStr">
        <is>
          <t>NORSJÖ</t>
        </is>
      </c>
      <c r="F12615" t="inlineStr">
        <is>
          <t>Holmen skog AB</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33787-2025</t>
        </is>
      </c>
      <c r="B12616" s="1" t="n">
        <v>45842.41072916667</v>
      </c>
      <c r="C12616" s="1" t="n">
        <v>46145</v>
      </c>
      <c r="D12616" t="inlineStr">
        <is>
          <t>VÄSTERBOTTENS LÄN</t>
        </is>
      </c>
      <c r="E12616" t="inlineStr">
        <is>
          <t>NORSJÖ</t>
        </is>
      </c>
      <c r="F12616" t="inlineStr">
        <is>
          <t>Holmen skog AB</t>
        </is>
      </c>
      <c r="G12616" t="n">
        <v>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33467-2025</t>
        </is>
      </c>
      <c r="B12617" s="1" t="n">
        <v>45841.48503472222</v>
      </c>
      <c r="C12617" s="1" t="n">
        <v>46145</v>
      </c>
      <c r="D12617" t="inlineStr">
        <is>
          <t>VÄSTERBOTTENS LÄN</t>
        </is>
      </c>
      <c r="E12617" t="inlineStr">
        <is>
          <t>LYCKSELE</t>
        </is>
      </c>
      <c r="F12617" t="inlineStr">
        <is>
          <t>Holmen skog AB</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33615-2025</t>
        </is>
      </c>
      <c r="B12618" s="1" t="n">
        <v>45841.621875</v>
      </c>
      <c r="C12618" s="1" t="n">
        <v>46145</v>
      </c>
      <c r="D12618" t="inlineStr">
        <is>
          <t>VÄSTERBOTTENS LÄN</t>
        </is>
      </c>
      <c r="E12618" t="inlineStr">
        <is>
          <t>NORSJÖ</t>
        </is>
      </c>
      <c r="F12618" t="inlineStr">
        <is>
          <t>Holmen skog AB</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33413-2025</t>
        </is>
      </c>
      <c r="B12619" s="1" t="n">
        <v>45841.43574074074</v>
      </c>
      <c r="C12619" s="1" t="n">
        <v>46145</v>
      </c>
      <c r="D12619" t="inlineStr">
        <is>
          <t>VÄSTERBOTTENS LÄN</t>
        </is>
      </c>
      <c r="E12619" t="inlineStr">
        <is>
          <t>VINDELN</t>
        </is>
      </c>
      <c r="F12619" t="inlineStr">
        <is>
          <t>Holmen skog AB</t>
        </is>
      </c>
      <c r="G12619" t="n">
        <v>6.9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33788-2025</t>
        </is>
      </c>
      <c r="B12620" s="1" t="n">
        <v>45842</v>
      </c>
      <c r="C12620" s="1" t="n">
        <v>46145</v>
      </c>
      <c r="D12620" t="inlineStr">
        <is>
          <t>VÄSTERBOTTENS LÄN</t>
        </is>
      </c>
      <c r="E12620" t="inlineStr">
        <is>
          <t>ÅSELE</t>
        </is>
      </c>
      <c r="F12620" t="inlineStr">
        <is>
          <t>Holmen skog AB</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33893-2025</t>
        </is>
      </c>
      <c r="B12621" s="1" t="n">
        <v>45842.57553240741</v>
      </c>
      <c r="C12621" s="1" t="n">
        <v>46145</v>
      </c>
      <c r="D12621" t="inlineStr">
        <is>
          <t>VÄSTERBOTTENS LÄN</t>
        </is>
      </c>
      <c r="E12621" t="inlineStr">
        <is>
          <t>NORSJÖ</t>
        </is>
      </c>
      <c r="F12621" t="inlineStr">
        <is>
          <t>Holmen skog AB</t>
        </is>
      </c>
      <c r="G12621" t="n">
        <v>13.2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33785-2025</t>
        </is>
      </c>
      <c r="B12622" s="1" t="n">
        <v>45842.40923611111</v>
      </c>
      <c r="C12622" s="1" t="n">
        <v>46145</v>
      </c>
      <c r="D12622" t="inlineStr">
        <is>
          <t>VÄSTERBOTTENS LÄN</t>
        </is>
      </c>
      <c r="E12622" t="inlineStr">
        <is>
          <t>SKELLEFTEÅ</t>
        </is>
      </c>
      <c r="F12622" t="inlineStr">
        <is>
          <t>Holmen skog AB</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33800-2025</t>
        </is>
      </c>
      <c r="B12623" s="1" t="n">
        <v>45842.44159722222</v>
      </c>
      <c r="C12623" s="1" t="n">
        <v>46145</v>
      </c>
      <c r="D12623" t="inlineStr">
        <is>
          <t>VÄSTERBOTTENS LÄN</t>
        </is>
      </c>
      <c r="E12623" t="inlineStr">
        <is>
          <t>SKELLEFTEÅ</t>
        </is>
      </c>
      <c r="F12623" t="inlineStr">
        <is>
          <t>Holmen skog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33381-2025</t>
        </is>
      </c>
      <c r="B12624" s="1" t="n">
        <v>45841.40428240741</v>
      </c>
      <c r="C12624" s="1" t="n">
        <v>46145</v>
      </c>
      <c r="D12624" t="inlineStr">
        <is>
          <t>VÄSTERBOTTENS LÄN</t>
        </is>
      </c>
      <c r="E12624" t="inlineStr">
        <is>
          <t>LYCKSELE</t>
        </is>
      </c>
      <c r="F12624" t="inlineStr">
        <is>
          <t>Holmen skog AB</t>
        </is>
      </c>
      <c r="G12624" t="n">
        <v>11.6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33431-2025</t>
        </is>
      </c>
      <c r="B12625" s="1" t="n">
        <v>45841.44836805556</v>
      </c>
      <c r="C12625" s="1" t="n">
        <v>46145</v>
      </c>
      <c r="D12625" t="inlineStr">
        <is>
          <t>VÄSTERBOTTENS LÄN</t>
        </is>
      </c>
      <c r="E12625" t="inlineStr">
        <is>
          <t>LYCKSELE</t>
        </is>
      </c>
      <c r="G12625" t="n">
        <v>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33415-2025</t>
        </is>
      </c>
      <c r="B12626" s="1" t="n">
        <v>45841.4374537037</v>
      </c>
      <c r="C12626" s="1" t="n">
        <v>46145</v>
      </c>
      <c r="D12626" t="inlineStr">
        <is>
          <t>VÄSTERBOTTENS LÄN</t>
        </is>
      </c>
      <c r="E12626" t="inlineStr">
        <is>
          <t>LYCKSELE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33457-2025</t>
        </is>
      </c>
      <c r="B12627" s="1" t="n">
        <v>45841.47648148148</v>
      </c>
      <c r="C12627" s="1" t="n">
        <v>46145</v>
      </c>
      <c r="D12627" t="inlineStr">
        <is>
          <t>VÄSTERBOTTENS LÄN</t>
        </is>
      </c>
      <c r="E12627" t="inlineStr">
        <is>
          <t>VINDELN</t>
        </is>
      </c>
      <c r="F12627" t="inlineStr">
        <is>
          <t>Holmen skog AB</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33920-2025</t>
        </is>
      </c>
      <c r="B12628" s="1" t="n">
        <v>45842.61521990741</v>
      </c>
      <c r="C12628" s="1" t="n">
        <v>46145</v>
      </c>
      <c r="D12628" t="inlineStr">
        <is>
          <t>VÄSTERBOTTENS LÄN</t>
        </is>
      </c>
      <c r="E12628" t="inlineStr">
        <is>
          <t>NORSJÖ</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33938-2025</t>
        </is>
      </c>
      <c r="B12629" s="1" t="n">
        <v>45842.63664351852</v>
      </c>
      <c r="C12629" s="1" t="n">
        <v>46145</v>
      </c>
      <c r="D12629" t="inlineStr">
        <is>
          <t>VÄSTERBOTTENS LÄN</t>
        </is>
      </c>
      <c r="E12629" t="inlineStr">
        <is>
          <t>NORDMALING</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33795-2025</t>
        </is>
      </c>
      <c r="B12630" s="1" t="n">
        <v>45842.43515046296</v>
      </c>
      <c r="C12630" s="1" t="n">
        <v>46145</v>
      </c>
      <c r="D12630" t="inlineStr">
        <is>
          <t>VÄSTERBOTTENS LÄN</t>
        </is>
      </c>
      <c r="E12630" t="inlineStr">
        <is>
          <t>UMEÅ</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33810-2025</t>
        </is>
      </c>
      <c r="B12631" s="1" t="n">
        <v>45842.45144675926</v>
      </c>
      <c r="C12631" s="1" t="n">
        <v>46145</v>
      </c>
      <c r="D12631" t="inlineStr">
        <is>
          <t>VÄSTERBOTTENS LÄN</t>
        </is>
      </c>
      <c r="E12631" t="inlineStr">
        <is>
          <t>SKELLEFTEÅ</t>
        </is>
      </c>
      <c r="F12631" t="inlineStr">
        <is>
          <t>Holmen skog AB</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33375-2025</t>
        </is>
      </c>
      <c r="B12632" s="1" t="n">
        <v>45841.39737268518</v>
      </c>
      <c r="C12632" s="1" t="n">
        <v>46145</v>
      </c>
      <c r="D12632" t="inlineStr">
        <is>
          <t>VÄSTERBOTTENS LÄN</t>
        </is>
      </c>
      <c r="E12632" t="inlineStr">
        <is>
          <t>ROBERTSFORS</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33545-2025</t>
        </is>
      </c>
      <c r="B12633" s="1" t="n">
        <v>45841.56859953704</v>
      </c>
      <c r="C12633" s="1" t="n">
        <v>46145</v>
      </c>
      <c r="D12633" t="inlineStr">
        <is>
          <t>VÄSTERBOTTENS LÄN</t>
        </is>
      </c>
      <c r="E12633" t="inlineStr">
        <is>
          <t>VINDELN</t>
        </is>
      </c>
      <c r="F12633" t="inlineStr">
        <is>
          <t>Holmen skog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45689-2022</t>
        </is>
      </c>
      <c r="B12634" s="1" t="n">
        <v>44845.95304398148</v>
      </c>
      <c r="C12634" s="1" t="n">
        <v>46145</v>
      </c>
      <c r="D12634" t="inlineStr">
        <is>
          <t>VÄSTERBOTTENS LÄN</t>
        </is>
      </c>
      <c r="E12634" t="inlineStr">
        <is>
          <t>ÅSELE</t>
        </is>
      </c>
      <c r="F12634" t="inlineStr">
        <is>
          <t>SCA</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33641-2025</t>
        </is>
      </c>
      <c r="B12635" s="1" t="n">
        <v>45841.65045138889</v>
      </c>
      <c r="C12635" s="1" t="n">
        <v>46145</v>
      </c>
      <c r="D12635" t="inlineStr">
        <is>
          <t>VÄSTERBOTTENS LÄN</t>
        </is>
      </c>
      <c r="E12635" t="inlineStr">
        <is>
          <t>VILHELMINA</t>
        </is>
      </c>
      <c r="G12635" t="n">
        <v>7.3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33453-2025</t>
        </is>
      </c>
      <c r="B12636" s="1" t="n">
        <v>45841.46954861111</v>
      </c>
      <c r="C12636" s="1" t="n">
        <v>46145</v>
      </c>
      <c r="D12636" t="inlineStr">
        <is>
          <t>VÄSTERBOTTENS LÄN</t>
        </is>
      </c>
      <c r="E12636" t="inlineStr">
        <is>
          <t>LYCKSELE</t>
        </is>
      </c>
      <c r="F12636" t="inlineStr">
        <is>
          <t>SCA</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33871-2025</t>
        </is>
      </c>
      <c r="B12637" s="1" t="n">
        <v>45842.54415509259</v>
      </c>
      <c r="C12637" s="1" t="n">
        <v>46145</v>
      </c>
      <c r="D12637" t="inlineStr">
        <is>
          <t>VÄSTERBOTTENS LÄN</t>
        </is>
      </c>
      <c r="E12637" t="inlineStr">
        <is>
          <t>VINDELN</t>
        </is>
      </c>
      <c r="F12637" t="inlineStr">
        <is>
          <t>Sveaskog</t>
        </is>
      </c>
      <c r="G12637" t="n">
        <v>13.5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33918-2025</t>
        </is>
      </c>
      <c r="B12638" s="1" t="n">
        <v>45842.61505787037</v>
      </c>
      <c r="C12638" s="1" t="n">
        <v>46145</v>
      </c>
      <c r="D12638" t="inlineStr">
        <is>
          <t>VÄSTERBOTTENS LÄN</t>
        </is>
      </c>
      <c r="E12638" t="inlineStr">
        <is>
          <t>SKELLEFTEÅ</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33710-2025</t>
        </is>
      </c>
      <c r="B12639" s="1" t="n">
        <v>45841.83299768518</v>
      </c>
      <c r="C12639" s="1" t="n">
        <v>46145</v>
      </c>
      <c r="D12639" t="inlineStr">
        <is>
          <t>VÄSTERBOTTENS LÄN</t>
        </is>
      </c>
      <c r="E12639" t="inlineStr">
        <is>
          <t>ÅSELE</t>
        </is>
      </c>
      <c r="G12639" t="n">
        <v>13.7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33736-2025</t>
        </is>
      </c>
      <c r="B12640" s="1" t="n">
        <v>45842.33180555556</v>
      </c>
      <c r="C12640" s="1" t="n">
        <v>46145</v>
      </c>
      <c r="D12640" t="inlineStr">
        <is>
          <t>VÄSTERBOTTENS LÄN</t>
        </is>
      </c>
      <c r="E12640" t="inlineStr">
        <is>
          <t>SKELLEFTEÅ</t>
        </is>
      </c>
      <c r="F12640" t="inlineStr">
        <is>
          <t>Holmen skog AB</t>
        </is>
      </c>
      <c r="G12640" t="n">
        <v>6.3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33737-2025</t>
        </is>
      </c>
      <c r="B12641" s="1" t="n">
        <v>45842.33768518519</v>
      </c>
      <c r="C12641" s="1" t="n">
        <v>46145</v>
      </c>
      <c r="D12641" t="inlineStr">
        <is>
          <t>VÄSTERBOTTENS LÄN</t>
        </is>
      </c>
      <c r="E12641" t="inlineStr">
        <is>
          <t>SKELLEFTEÅ</t>
        </is>
      </c>
      <c r="F12641" t="inlineStr">
        <is>
          <t>Holmen skog AB</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33805-2025</t>
        </is>
      </c>
      <c r="B12642" s="1" t="n">
        <v>45842.44846064815</v>
      </c>
      <c r="C12642" s="1" t="n">
        <v>46145</v>
      </c>
      <c r="D12642" t="inlineStr">
        <is>
          <t>VÄSTERBOTTENS LÄN</t>
        </is>
      </c>
      <c r="E12642" t="inlineStr">
        <is>
          <t>DOROTEA</t>
        </is>
      </c>
      <c r="F12642" t="inlineStr">
        <is>
          <t>SCA</t>
        </is>
      </c>
      <c r="G12642" t="n">
        <v>20.5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33423-2025</t>
        </is>
      </c>
      <c r="B12643" s="1" t="n">
        <v>45841.44326388889</v>
      </c>
      <c r="C12643" s="1" t="n">
        <v>46145</v>
      </c>
      <c r="D12643" t="inlineStr">
        <is>
          <t>VÄSTERBOTTENS LÄN</t>
        </is>
      </c>
      <c r="E12643" t="inlineStr">
        <is>
          <t>LYCKSELE</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33389-2025</t>
        </is>
      </c>
      <c r="B12644" s="1" t="n">
        <v>45841.40692129629</v>
      </c>
      <c r="C12644" s="1" t="n">
        <v>46145</v>
      </c>
      <c r="D12644" t="inlineStr">
        <is>
          <t>VÄSTERBOTTENS LÄN</t>
        </is>
      </c>
      <c r="E12644" t="inlineStr">
        <is>
          <t>NORSJÖ</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34457-2025</t>
        </is>
      </c>
      <c r="B12645" s="1" t="n">
        <v>45846</v>
      </c>
      <c r="C12645" s="1" t="n">
        <v>46145</v>
      </c>
      <c r="D12645" t="inlineStr">
        <is>
          <t>VÄSTERBOTTENS LÄN</t>
        </is>
      </c>
      <c r="E12645" t="inlineStr">
        <is>
          <t>NORSJÖ</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34503-2025</t>
        </is>
      </c>
      <c r="B12646" s="1" t="n">
        <v>45846</v>
      </c>
      <c r="C12646" s="1" t="n">
        <v>46145</v>
      </c>
      <c r="D12646" t="inlineStr">
        <is>
          <t>VÄSTERBOTTENS LÄN</t>
        </is>
      </c>
      <c r="E12646" t="inlineStr">
        <is>
          <t>DOROTEA</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34601-2025</t>
        </is>
      </c>
      <c r="B12647" s="1" t="n">
        <v>45846</v>
      </c>
      <c r="C12647" s="1" t="n">
        <v>46145</v>
      </c>
      <c r="D12647" t="inlineStr">
        <is>
          <t>VÄSTERBOTTENS LÄN</t>
        </is>
      </c>
      <c r="E12647" t="inlineStr">
        <is>
          <t>NORDMALING</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54712-2024</t>
        </is>
      </c>
      <c r="B12648" s="1" t="n">
        <v>45617</v>
      </c>
      <c r="C12648" s="1" t="n">
        <v>46145</v>
      </c>
      <c r="D12648" t="inlineStr">
        <is>
          <t>VÄSTERBOTTENS LÄN</t>
        </is>
      </c>
      <c r="E12648" t="inlineStr">
        <is>
          <t>NORSJÖ</t>
        </is>
      </c>
      <c r="G12648" t="n">
        <v>16.6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34437-2025</t>
        </is>
      </c>
      <c r="B12649" s="1" t="n">
        <v>45846.68461805556</v>
      </c>
      <c r="C12649" s="1" t="n">
        <v>46145</v>
      </c>
      <c r="D12649" t="inlineStr">
        <is>
          <t>VÄSTERBOTTENS LÄN</t>
        </is>
      </c>
      <c r="E12649" t="inlineStr">
        <is>
          <t>SKELLEFTEÅ</t>
        </is>
      </c>
      <c r="F12649" t="inlineStr">
        <is>
          <t>Holmen skog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34362-2025</t>
        </is>
      </c>
      <c r="B12650" s="1" t="n">
        <v>45846.48827546297</v>
      </c>
      <c r="C12650" s="1" t="n">
        <v>46145</v>
      </c>
      <c r="D12650" t="inlineStr">
        <is>
          <t>VÄSTERBOTTENS LÄN</t>
        </is>
      </c>
      <c r="E12650" t="inlineStr">
        <is>
          <t>SKELLEFTEÅ</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34295-2025</t>
        </is>
      </c>
      <c r="B12651" s="1" t="n">
        <v>45846.34438657408</v>
      </c>
      <c r="C12651" s="1" t="n">
        <v>46145</v>
      </c>
      <c r="D12651" t="inlineStr">
        <is>
          <t>VÄSTERBOTTENS LÄN</t>
        </is>
      </c>
      <c r="E12651" t="inlineStr">
        <is>
          <t>ÅSELE</t>
        </is>
      </c>
      <c r="F12651" t="inlineStr">
        <is>
          <t>SCA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34564-2025</t>
        </is>
      </c>
      <c r="B12652" s="1" t="n">
        <v>45846</v>
      </c>
      <c r="C12652" s="1" t="n">
        <v>46145</v>
      </c>
      <c r="D12652" t="inlineStr">
        <is>
          <t>VÄSTERBOTTENS LÄN</t>
        </is>
      </c>
      <c r="E12652" t="inlineStr">
        <is>
          <t>NORSJÖ</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33994-2025</t>
        </is>
      </c>
      <c r="B12653" s="1" t="n">
        <v>45843.66199074074</v>
      </c>
      <c r="C12653" s="1" t="n">
        <v>46145</v>
      </c>
      <c r="D12653" t="inlineStr">
        <is>
          <t>VÄSTERBOTTENS LÄN</t>
        </is>
      </c>
      <c r="E12653" t="inlineStr">
        <is>
          <t>SKELLEFTEÅ</t>
        </is>
      </c>
      <c r="G12653" t="n">
        <v>13.2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34290-2025</t>
        </is>
      </c>
      <c r="B12654" s="1" t="n">
        <v>45846.33505787037</v>
      </c>
      <c r="C12654" s="1" t="n">
        <v>46145</v>
      </c>
      <c r="D12654" t="inlineStr">
        <is>
          <t>VÄSTERBOTTENS LÄN</t>
        </is>
      </c>
      <c r="E12654" t="inlineStr">
        <is>
          <t>UMEÅ</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31736-2024</t>
        </is>
      </c>
      <c r="B12655" s="1" t="n">
        <v>45509.37478009259</v>
      </c>
      <c r="C12655" s="1" t="n">
        <v>46145</v>
      </c>
      <c r="D12655" t="inlineStr">
        <is>
          <t>VÄSTERBOTTENS LÄN</t>
        </is>
      </c>
      <c r="E12655" t="inlineStr">
        <is>
          <t>ROBERTSFORS</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34279-2025</t>
        </is>
      </c>
      <c r="B12656" s="1" t="n">
        <v>45846.26190972222</v>
      </c>
      <c r="C12656" s="1" t="n">
        <v>46145</v>
      </c>
      <c r="D12656" t="inlineStr">
        <is>
          <t>VÄSTERBOTTENS LÄN</t>
        </is>
      </c>
      <c r="E12656" t="inlineStr">
        <is>
          <t>DOROTEA</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34315-2025</t>
        </is>
      </c>
      <c r="B12657" s="1" t="n">
        <v>45846.4034837963</v>
      </c>
      <c r="C12657" s="1" t="n">
        <v>46145</v>
      </c>
      <c r="D12657" t="inlineStr">
        <is>
          <t>VÄSTERBOTTENS LÄN</t>
        </is>
      </c>
      <c r="E12657" t="inlineStr">
        <is>
          <t>SKELLEFTEÅ</t>
        </is>
      </c>
      <c r="G12657" t="n">
        <v>10.8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34347-2025</t>
        </is>
      </c>
      <c r="B12658" s="1" t="n">
        <v>45846.4693287037</v>
      </c>
      <c r="C12658" s="1" t="n">
        <v>46145</v>
      </c>
      <c r="D12658" t="inlineStr">
        <is>
          <t>VÄSTERBOTTENS LÄN</t>
        </is>
      </c>
      <c r="E12658" t="inlineStr">
        <is>
          <t>BJURHOLM</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34413-2025</t>
        </is>
      </c>
      <c r="B12659" s="1" t="n">
        <v>45845</v>
      </c>
      <c r="C12659" s="1" t="n">
        <v>46145</v>
      </c>
      <c r="D12659" t="inlineStr">
        <is>
          <t>VÄSTERBOTTENS LÄN</t>
        </is>
      </c>
      <c r="E12659" t="inlineStr">
        <is>
          <t>VILHELMINA</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33982-2025</t>
        </is>
      </c>
      <c r="B12660" s="1" t="n">
        <v>45843.36505787037</v>
      </c>
      <c r="C12660" s="1" t="n">
        <v>46145</v>
      </c>
      <c r="D12660" t="inlineStr">
        <is>
          <t>VÄSTERBOTTENS LÄN</t>
        </is>
      </c>
      <c r="E12660" t="inlineStr">
        <is>
          <t>DOROTEA</t>
        </is>
      </c>
      <c r="F12660" t="inlineStr">
        <is>
          <t>SCA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34336-2025</t>
        </is>
      </c>
      <c r="B12661" s="1" t="n">
        <v>45846.45319444445</v>
      </c>
      <c r="C12661" s="1" t="n">
        <v>46145</v>
      </c>
      <c r="D12661" t="inlineStr">
        <is>
          <t>VÄSTERBOTTENS LÄN</t>
        </is>
      </c>
      <c r="E12661" t="inlineStr">
        <is>
          <t>BJURHOLM</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34273-2025</t>
        </is>
      </c>
      <c r="B12662" s="1" t="n">
        <v>45845.85751157408</v>
      </c>
      <c r="C12662" s="1" t="n">
        <v>46145</v>
      </c>
      <c r="D12662" t="inlineStr">
        <is>
          <t>VÄSTERBOTTENS LÄN</t>
        </is>
      </c>
      <c r="E12662" t="inlineStr">
        <is>
          <t>SKELLEFTEÅ</t>
        </is>
      </c>
      <c r="G12662" t="n">
        <v>28.4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33992-2025</t>
        </is>
      </c>
      <c r="B12663" s="1" t="n">
        <v>45843.61037037037</v>
      </c>
      <c r="C12663" s="1" t="n">
        <v>46145</v>
      </c>
      <c r="D12663" t="inlineStr">
        <is>
          <t>VÄSTERBOTTENS LÄN</t>
        </is>
      </c>
      <c r="E12663" t="inlineStr">
        <is>
          <t>LYCKSELE</t>
        </is>
      </c>
      <c r="F12663" t="inlineStr">
        <is>
          <t>Sveaskog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34405-2025</t>
        </is>
      </c>
      <c r="B12664" s="1" t="n">
        <v>45846.6277662037</v>
      </c>
      <c r="C12664" s="1" t="n">
        <v>46145</v>
      </c>
      <c r="D12664" t="inlineStr">
        <is>
          <t>VÄSTERBOTTENS LÄN</t>
        </is>
      </c>
      <c r="E12664" t="inlineStr">
        <is>
          <t>SKELLEFTEÅ</t>
        </is>
      </c>
      <c r="G12664" t="n">
        <v>13.6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10074-2025</t>
        </is>
      </c>
      <c r="B12665" s="1" t="n">
        <v>45719</v>
      </c>
      <c r="C12665" s="1" t="n">
        <v>46145</v>
      </c>
      <c r="D12665" t="inlineStr">
        <is>
          <t>VÄSTERBOTTENS LÄN</t>
        </is>
      </c>
      <c r="E12665" t="inlineStr">
        <is>
          <t>SKELLEFTEÅ</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34446-2025</t>
        </is>
      </c>
      <c r="B12666" s="1" t="n">
        <v>45845</v>
      </c>
      <c r="C12666" s="1" t="n">
        <v>46145</v>
      </c>
      <c r="D12666" t="inlineStr">
        <is>
          <t>VÄSTERBOTTENS LÄN</t>
        </is>
      </c>
      <c r="E12666" t="inlineStr">
        <is>
          <t>BJURHOLM</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34056-2025</t>
        </is>
      </c>
      <c r="B12667" s="1" t="n">
        <v>45845.41228009259</v>
      </c>
      <c r="C12667" s="1" t="n">
        <v>46145</v>
      </c>
      <c r="D12667" t="inlineStr">
        <is>
          <t>VÄSTERBOTTENS LÄN</t>
        </is>
      </c>
      <c r="E12667" t="inlineStr">
        <is>
          <t>SKELLEFTEÅ</t>
        </is>
      </c>
      <c r="F12667" t="inlineStr">
        <is>
          <t>Holmen skog AB</t>
        </is>
      </c>
      <c r="G12667" t="n">
        <v>11.3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34082-2025</t>
        </is>
      </c>
      <c r="B12668" s="1" t="n">
        <v>45845.46190972222</v>
      </c>
      <c r="C12668" s="1" t="n">
        <v>46145</v>
      </c>
      <c r="D12668" t="inlineStr">
        <is>
          <t>VÄSTERBOTTENS LÄN</t>
        </is>
      </c>
      <c r="E12668" t="inlineStr">
        <is>
          <t>SKELLEFTEÅ</t>
        </is>
      </c>
      <c r="F12668" t="inlineStr">
        <is>
          <t>Holmen skog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34110-2025</t>
        </is>
      </c>
      <c r="B12669" s="1" t="n">
        <v>45845.49877314815</v>
      </c>
      <c r="C12669" s="1" t="n">
        <v>46145</v>
      </c>
      <c r="D12669" t="inlineStr">
        <is>
          <t>VÄSTERBOTTENS LÄN</t>
        </is>
      </c>
      <c r="E12669" t="inlineStr">
        <is>
          <t>LYCKSELE</t>
        </is>
      </c>
      <c r="F12669" t="inlineStr">
        <is>
          <t>Holmen skog AB</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34027-2025</t>
        </is>
      </c>
      <c r="B12670" s="1" t="n">
        <v>45845.35981481482</v>
      </c>
      <c r="C12670" s="1" t="n">
        <v>46145</v>
      </c>
      <c r="D12670" t="inlineStr">
        <is>
          <t>VÄSTERBOTTENS LÄN</t>
        </is>
      </c>
      <c r="E12670" t="inlineStr">
        <is>
          <t>SKELLEFTEÅ</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33715-2024</t>
        </is>
      </c>
      <c r="B12671" s="1" t="n">
        <v>45520.53451388889</v>
      </c>
      <c r="C12671" s="1" t="n">
        <v>46145</v>
      </c>
      <c r="D12671" t="inlineStr">
        <is>
          <t>VÄSTERBOTTENS LÄN</t>
        </is>
      </c>
      <c r="E12671" t="inlineStr">
        <is>
          <t>LYCKSELE</t>
        </is>
      </c>
      <c r="F12671" t="inlineStr">
        <is>
          <t>Sveaskog</t>
        </is>
      </c>
      <c r="G12671" t="n">
        <v>10.1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31737-2024</t>
        </is>
      </c>
      <c r="B12672" s="1" t="n">
        <v>45509.37478009259</v>
      </c>
      <c r="C12672" s="1" t="n">
        <v>46145</v>
      </c>
      <c r="D12672" t="inlineStr">
        <is>
          <t>VÄSTERBOTTENS LÄN</t>
        </is>
      </c>
      <c r="E12672" t="inlineStr">
        <is>
          <t>ROBERTSFORS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34274-2025</t>
        </is>
      </c>
      <c r="B12673" s="1" t="n">
        <v>45845.86229166666</v>
      </c>
      <c r="C12673" s="1" t="n">
        <v>46145</v>
      </c>
      <c r="D12673" t="inlineStr">
        <is>
          <t>VÄSTERBOTTENS LÄN</t>
        </is>
      </c>
      <c r="E12673" t="inlineStr">
        <is>
          <t>SKELLEFTEÅ</t>
        </is>
      </c>
      <c r="G12673" t="n">
        <v>15.3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34039-2025</t>
        </is>
      </c>
      <c r="B12674" s="1" t="n">
        <v>45845.37259259259</v>
      </c>
      <c r="C12674" s="1" t="n">
        <v>46145</v>
      </c>
      <c r="D12674" t="inlineStr">
        <is>
          <t>VÄSTERBOTTENS LÄN</t>
        </is>
      </c>
      <c r="E12674" t="inlineStr">
        <is>
          <t>UMEÅ</t>
        </is>
      </c>
      <c r="F12674" t="inlineStr">
        <is>
          <t>Holmen skog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34061-2025</t>
        </is>
      </c>
      <c r="B12675" s="1" t="n">
        <v>45845.42341435186</v>
      </c>
      <c r="C12675" s="1" t="n">
        <v>46145</v>
      </c>
      <c r="D12675" t="inlineStr">
        <is>
          <t>VÄSTERBOTTENS LÄN</t>
        </is>
      </c>
      <c r="E12675" t="inlineStr">
        <is>
          <t>UMEÅ</t>
        </is>
      </c>
      <c r="F12675" t="inlineStr">
        <is>
          <t>Holmen skog AB</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34017-2025</t>
        </is>
      </c>
      <c r="B12676" s="1" t="n">
        <v>45845.33821759259</v>
      </c>
      <c r="C12676" s="1" t="n">
        <v>46145</v>
      </c>
      <c r="D12676" t="inlineStr">
        <is>
          <t>VÄSTERBOTTENS LÄN</t>
        </is>
      </c>
      <c r="E12676" t="inlineStr">
        <is>
          <t>LYCKSELE</t>
        </is>
      </c>
      <c r="F12676" t="inlineStr">
        <is>
          <t>Sveaskog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28688-2025</t>
        </is>
      </c>
      <c r="B12677" s="1" t="n">
        <v>45819</v>
      </c>
      <c r="C12677" s="1" t="n">
        <v>46145</v>
      </c>
      <c r="D12677" t="inlineStr">
        <is>
          <t>VÄSTERBOTTENS LÄN</t>
        </is>
      </c>
      <c r="E12677" t="inlineStr">
        <is>
          <t>ROBERTSFORS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34253-2025</t>
        </is>
      </c>
      <c r="B12678" s="1" t="n">
        <v>45845</v>
      </c>
      <c r="C12678" s="1" t="n">
        <v>46145</v>
      </c>
      <c r="D12678" t="inlineStr">
        <is>
          <t>VÄSTERBOTTENS LÄN</t>
        </is>
      </c>
      <c r="E12678" t="inlineStr">
        <is>
          <t>VILHELMINA</t>
        </is>
      </c>
      <c r="G12678" t="n">
        <v>14.3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33991-2025</t>
        </is>
      </c>
      <c r="B12679" s="1" t="n">
        <v>45843.60467592593</v>
      </c>
      <c r="C12679" s="1" t="n">
        <v>46145</v>
      </c>
      <c r="D12679" t="inlineStr">
        <is>
          <t>VÄSTERBOTTENS LÄN</t>
        </is>
      </c>
      <c r="E12679" t="inlineStr">
        <is>
          <t>LYCKSELE</t>
        </is>
      </c>
      <c r="F12679" t="inlineStr">
        <is>
          <t>Sveaskog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34774-2025</t>
        </is>
      </c>
      <c r="B12680" s="1" t="n">
        <v>45848.65680555555</v>
      </c>
      <c r="C12680" s="1" t="n">
        <v>46145</v>
      </c>
      <c r="D12680" t="inlineStr">
        <is>
          <t>VÄSTERBOTTENS LÄN</t>
        </is>
      </c>
      <c r="E12680" t="inlineStr">
        <is>
          <t>UMEÅ</t>
        </is>
      </c>
      <c r="G12680" t="n">
        <v>21.6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34471-2025</t>
        </is>
      </c>
      <c r="B12681" s="1" t="n">
        <v>45847</v>
      </c>
      <c r="C12681" s="1" t="n">
        <v>46145</v>
      </c>
      <c r="D12681" t="inlineStr">
        <is>
          <t>VÄSTERBOTTENS LÄN</t>
        </is>
      </c>
      <c r="E12681" t="inlineStr">
        <is>
          <t>SKELLEFTEÅ</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34724-2025</t>
        </is>
      </c>
      <c r="B12682" s="1" t="n">
        <v>45848.55504629629</v>
      </c>
      <c r="C12682" s="1" t="n">
        <v>46145</v>
      </c>
      <c r="D12682" t="inlineStr">
        <is>
          <t>VÄSTERBOTTENS LÄN</t>
        </is>
      </c>
      <c r="E12682" t="inlineStr">
        <is>
          <t>SKELLEFTEÅ</t>
        </is>
      </c>
      <c r="F12682" t="inlineStr">
        <is>
          <t>Holmen skog AB</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34465-2025</t>
        </is>
      </c>
      <c r="B12683" s="1" t="n">
        <v>45847.34548611111</v>
      </c>
      <c r="C12683" s="1" t="n">
        <v>46145</v>
      </c>
      <c r="D12683" t="inlineStr">
        <is>
          <t>VÄSTERBOTTENS LÄN</t>
        </is>
      </c>
      <c r="E12683" t="inlineStr">
        <is>
          <t>LYCKSELE</t>
        </is>
      </c>
      <c r="F12683" t="inlineStr">
        <is>
          <t>SCA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34667-2025</t>
        </is>
      </c>
      <c r="B12684" s="1" t="n">
        <v>45848.38278935185</v>
      </c>
      <c r="C12684" s="1" t="n">
        <v>46145</v>
      </c>
      <c r="D12684" t="inlineStr">
        <is>
          <t>VÄSTERBOTTENS LÄN</t>
        </is>
      </c>
      <c r="E12684" t="inlineStr">
        <is>
          <t>ÅSELE</t>
        </is>
      </c>
      <c r="F12684" t="inlineStr">
        <is>
          <t>Holmen skog AB</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34787-2025</t>
        </is>
      </c>
      <c r="B12685" s="1" t="n">
        <v>45848.67791666667</v>
      </c>
      <c r="C12685" s="1" t="n">
        <v>46145</v>
      </c>
      <c r="D12685" t="inlineStr">
        <is>
          <t>VÄSTERBOTTENS LÄN</t>
        </is>
      </c>
      <c r="E12685" t="inlineStr">
        <is>
          <t>UMEÅ</t>
        </is>
      </c>
      <c r="G12685" t="n">
        <v>8.6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34716-2025</t>
        </is>
      </c>
      <c r="B12686" s="1" t="n">
        <v>45848.52747685185</v>
      </c>
      <c r="C12686" s="1" t="n">
        <v>46145</v>
      </c>
      <c r="D12686" t="inlineStr">
        <is>
          <t>VÄSTERBOTTENS LÄN</t>
        </is>
      </c>
      <c r="E12686" t="inlineStr">
        <is>
          <t>SKELLEFTEÅ</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34301-2025</t>
        </is>
      </c>
      <c r="B12687" s="1" t="n">
        <v>45846.34537037037</v>
      </c>
      <c r="C12687" s="1" t="n">
        <v>46145</v>
      </c>
      <c r="D12687" t="inlineStr">
        <is>
          <t>VÄSTERBOTTENS LÄN</t>
        </is>
      </c>
      <c r="E12687" t="inlineStr">
        <is>
          <t>ÅSELE</t>
        </is>
      </c>
      <c r="F12687" t="inlineStr">
        <is>
          <t>SCA</t>
        </is>
      </c>
      <c r="G12687" t="n">
        <v>27.4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34569-2025</t>
        </is>
      </c>
      <c r="B12688" s="1" t="n">
        <v>45847.58480324074</v>
      </c>
      <c r="C12688" s="1" t="n">
        <v>46145</v>
      </c>
      <c r="D12688" t="inlineStr">
        <is>
          <t>VÄSTERBOTTENS LÄN</t>
        </is>
      </c>
      <c r="E12688" t="inlineStr">
        <is>
          <t>VILHELMINA</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34657-2025</t>
        </is>
      </c>
      <c r="B12689" s="1" t="n">
        <v>45848.36267361111</v>
      </c>
      <c r="C12689" s="1" t="n">
        <v>46145</v>
      </c>
      <c r="D12689" t="inlineStr">
        <is>
          <t>VÄSTERBOTTENS LÄN</t>
        </is>
      </c>
      <c r="E12689" t="inlineStr">
        <is>
          <t>SKELLEFTEÅ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34659-2025</t>
        </is>
      </c>
      <c r="B12690" s="1" t="n">
        <v>45848.36859953704</v>
      </c>
      <c r="C12690" s="1" t="n">
        <v>46145</v>
      </c>
      <c r="D12690" t="inlineStr">
        <is>
          <t>VÄSTERBOTTENS LÄN</t>
        </is>
      </c>
      <c r="E12690" t="inlineStr">
        <is>
          <t>ÅSELE</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34661-2025</t>
        </is>
      </c>
      <c r="B12691" s="1" t="n">
        <v>45848.3715625</v>
      </c>
      <c r="C12691" s="1" t="n">
        <v>46145</v>
      </c>
      <c r="D12691" t="inlineStr">
        <is>
          <t>VÄSTERBOTTENS LÄN</t>
        </is>
      </c>
      <c r="E12691" t="inlineStr">
        <is>
          <t>ÅSELE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34672-2025</t>
        </is>
      </c>
      <c r="B12692" s="1" t="n">
        <v>45847</v>
      </c>
      <c r="C12692" s="1" t="n">
        <v>46145</v>
      </c>
      <c r="D12692" t="inlineStr">
        <is>
          <t>VÄSTERBOTTENS LÄN</t>
        </is>
      </c>
      <c r="E12692" t="inlineStr">
        <is>
          <t>SKELLEFTEÅ</t>
        </is>
      </c>
      <c r="G12692" t="n">
        <v>12.8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34678-2025</t>
        </is>
      </c>
      <c r="B12693" s="1" t="n">
        <v>45848.42638888889</v>
      </c>
      <c r="C12693" s="1" t="n">
        <v>46145</v>
      </c>
      <c r="D12693" t="inlineStr">
        <is>
          <t>VÄSTERBOTTENS LÄN</t>
        </is>
      </c>
      <c r="E12693" t="inlineStr">
        <is>
          <t>SKELLEFTEÅ</t>
        </is>
      </c>
      <c r="F12693" t="inlineStr">
        <is>
          <t>Holmen skog AB</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34542-2025</t>
        </is>
      </c>
      <c r="B12694" s="1" t="n">
        <v>45847.53211805555</v>
      </c>
      <c r="C12694" s="1" t="n">
        <v>46145</v>
      </c>
      <c r="D12694" t="inlineStr">
        <is>
          <t>VÄSTERBOTTENS LÄN</t>
        </is>
      </c>
      <c r="E12694" t="inlineStr">
        <is>
          <t>VILHELMINA</t>
        </is>
      </c>
      <c r="F12694" t="inlineStr">
        <is>
          <t>SCA</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34681-2025</t>
        </is>
      </c>
      <c r="B12695" s="1" t="n">
        <v>45848.42844907408</v>
      </c>
      <c r="C12695" s="1" t="n">
        <v>46145</v>
      </c>
      <c r="D12695" t="inlineStr">
        <is>
          <t>VÄSTERBOTTENS LÄN</t>
        </is>
      </c>
      <c r="E12695" t="inlineStr">
        <is>
          <t>DOROTEA</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34791-2025</t>
        </is>
      </c>
      <c r="B12696" s="1" t="n">
        <v>45848</v>
      </c>
      <c r="C12696" s="1" t="n">
        <v>46145</v>
      </c>
      <c r="D12696" t="inlineStr">
        <is>
          <t>VÄSTERBOTTENS LÄN</t>
        </is>
      </c>
      <c r="E12696" t="inlineStr">
        <is>
          <t>SKELLEFTEÅ</t>
        </is>
      </c>
      <c r="G12696" t="n">
        <v>15.9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34755-2025</t>
        </is>
      </c>
      <c r="B12697" s="1" t="n">
        <v>45848.62711805556</v>
      </c>
      <c r="C12697" s="1" t="n">
        <v>46145</v>
      </c>
      <c r="D12697" t="inlineStr">
        <is>
          <t>VÄSTERBOTTENS LÄN</t>
        </is>
      </c>
      <c r="E12697" t="inlineStr">
        <is>
          <t>ROBERTSFORS</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34536-2025</t>
        </is>
      </c>
      <c r="B12698" s="1" t="n">
        <v>45847.5141087963</v>
      </c>
      <c r="C12698" s="1" t="n">
        <v>46145</v>
      </c>
      <c r="D12698" t="inlineStr">
        <is>
          <t>VÄSTERBOTTENS LÄN</t>
        </is>
      </c>
      <c r="E12698" t="inlineStr">
        <is>
          <t>SKELLEFTEÅ</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34682-2025</t>
        </is>
      </c>
      <c r="B12699" s="1" t="n">
        <v>45848.42857638889</v>
      </c>
      <c r="C12699" s="1" t="n">
        <v>46145</v>
      </c>
      <c r="D12699" t="inlineStr">
        <is>
          <t>VÄSTERBOTTENS LÄN</t>
        </is>
      </c>
      <c r="E12699" t="inlineStr">
        <is>
          <t>DOROTEA</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34504-2025</t>
        </is>
      </c>
      <c r="B12700" s="1" t="n">
        <v>45847.43788194445</v>
      </c>
      <c r="C12700" s="1" t="n">
        <v>46145</v>
      </c>
      <c r="D12700" t="inlineStr">
        <is>
          <t>VÄSTERBOTTENS LÄN</t>
        </is>
      </c>
      <c r="E12700" t="inlineStr">
        <is>
          <t>LYCKSELE</t>
        </is>
      </c>
      <c r="F12700" t="inlineStr">
        <is>
          <t>Holmen skog AB</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34563-2025</t>
        </is>
      </c>
      <c r="B12701" s="1" t="n">
        <v>45847.57950231482</v>
      </c>
      <c r="C12701" s="1" t="n">
        <v>46145</v>
      </c>
      <c r="D12701" t="inlineStr">
        <is>
          <t>VÄSTERBOTTENS LÄN</t>
        </is>
      </c>
      <c r="E12701" t="inlineStr">
        <is>
          <t>VILHELMINA</t>
        </is>
      </c>
      <c r="G12701" t="n">
        <v>20.6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34604-2025</t>
        </is>
      </c>
      <c r="B12702" s="1" t="n">
        <v>45847.6568287037</v>
      </c>
      <c r="C12702" s="1" t="n">
        <v>46145</v>
      </c>
      <c r="D12702" t="inlineStr">
        <is>
          <t>VÄSTERBOTTENS LÄN</t>
        </is>
      </c>
      <c r="E12702" t="inlineStr">
        <is>
          <t>DOROTEA</t>
        </is>
      </c>
      <c r="F12702" t="inlineStr">
        <is>
          <t>SCA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34489-2025</t>
        </is>
      </c>
      <c r="B12703" s="1" t="n">
        <v>45847.40707175926</v>
      </c>
      <c r="C12703" s="1" t="n">
        <v>46145</v>
      </c>
      <c r="D12703" t="inlineStr">
        <is>
          <t>VÄSTERBOTTENS LÄN</t>
        </is>
      </c>
      <c r="E12703" t="inlineStr">
        <is>
          <t>DOROTEA</t>
        </is>
      </c>
      <c r="F12703" t="inlineStr">
        <is>
          <t>SCA</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34488-2025</t>
        </is>
      </c>
      <c r="B12704" s="1" t="n">
        <v>45847.40681712963</v>
      </c>
      <c r="C12704" s="1" t="n">
        <v>46145</v>
      </c>
      <c r="D12704" t="inlineStr">
        <is>
          <t>VÄSTERBOTTENS LÄN</t>
        </is>
      </c>
      <c r="E12704" t="inlineStr">
        <is>
          <t>DOROTEA</t>
        </is>
      </c>
      <c r="F12704" t="inlineStr">
        <is>
          <t>SCA</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34519-2025</t>
        </is>
      </c>
      <c r="B12705" s="1" t="n">
        <v>45847.46929398148</v>
      </c>
      <c r="C12705" s="1" t="n">
        <v>46145</v>
      </c>
      <c r="D12705" t="inlineStr">
        <is>
          <t>VÄSTERBOTTENS LÄN</t>
        </is>
      </c>
      <c r="E12705" t="inlineStr">
        <is>
          <t>VINDELN</t>
        </is>
      </c>
      <c r="F12705" t="inlineStr">
        <is>
          <t>SCA</t>
        </is>
      </c>
      <c r="G12705" t="n">
        <v>13.6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34740-2025</t>
        </is>
      </c>
      <c r="B12706" s="1" t="n">
        <v>45848.60824074074</v>
      </c>
      <c r="C12706" s="1" t="n">
        <v>46145</v>
      </c>
      <c r="D12706" t="inlineStr">
        <is>
          <t>VÄSTERBOTTENS LÄN</t>
        </is>
      </c>
      <c r="E12706" t="inlineStr">
        <is>
          <t>ROBERTSFORS</t>
        </is>
      </c>
      <c r="F12706" t="inlineStr">
        <is>
          <t>Holmen skog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34918-2025</t>
        </is>
      </c>
      <c r="B12707" s="1" t="n">
        <v>45849.54935185185</v>
      </c>
      <c r="C12707" s="1" t="n">
        <v>46145</v>
      </c>
      <c r="D12707" t="inlineStr">
        <is>
          <t>VÄSTERBOTTENS LÄN</t>
        </is>
      </c>
      <c r="E12707" t="inlineStr">
        <is>
          <t>LYCKSELE</t>
        </is>
      </c>
      <c r="F12707" t="inlineStr">
        <is>
          <t>Sveaskog</t>
        </is>
      </c>
      <c r="G12707" t="n">
        <v>9.300000000000001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34940-2025</t>
        </is>
      </c>
      <c r="B12708" s="1" t="n">
        <v>45849.58274305556</v>
      </c>
      <c r="C12708" s="1" t="n">
        <v>46145</v>
      </c>
      <c r="D12708" t="inlineStr">
        <is>
          <t>VÄSTERBOTTENS LÄN</t>
        </is>
      </c>
      <c r="E12708" t="inlineStr">
        <is>
          <t>LYCKSELE</t>
        </is>
      </c>
      <c r="F12708" t="inlineStr">
        <is>
          <t>Sveaskog</t>
        </is>
      </c>
      <c r="G12708" t="n">
        <v>7.2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34961-2025</t>
        </is>
      </c>
      <c r="B12709" s="1" t="n">
        <v>45849.62559027778</v>
      </c>
      <c r="C12709" s="1" t="n">
        <v>46145</v>
      </c>
      <c r="D12709" t="inlineStr">
        <is>
          <t>VÄSTERBOTTENS LÄN</t>
        </is>
      </c>
      <c r="E12709" t="inlineStr">
        <is>
          <t>LYCKSELE</t>
        </is>
      </c>
      <c r="F12709" t="inlineStr">
        <is>
          <t>Sveaskog</t>
        </is>
      </c>
      <c r="G12709" t="n">
        <v>10</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34909-2025</t>
        </is>
      </c>
      <c r="B12710" s="1" t="n">
        <v>45849.53079861111</v>
      </c>
      <c r="C12710" s="1" t="n">
        <v>46145</v>
      </c>
      <c r="D12710" t="inlineStr">
        <is>
          <t>VÄSTERBOTTENS LÄN</t>
        </is>
      </c>
      <c r="E12710" t="inlineStr">
        <is>
          <t>NORSJÖ</t>
        </is>
      </c>
      <c r="F12710" t="inlineStr">
        <is>
          <t>Holmen skog AB</t>
        </is>
      </c>
      <c r="G12710" t="n">
        <v>21.2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34955-2025</t>
        </is>
      </c>
      <c r="B12711" s="1" t="n">
        <v>45849.60534722222</v>
      </c>
      <c r="C12711" s="1" t="n">
        <v>46145</v>
      </c>
      <c r="D12711" t="inlineStr">
        <is>
          <t>VÄSTERBOTTENS LÄN</t>
        </is>
      </c>
      <c r="E12711" t="inlineStr">
        <is>
          <t>LYCKSELE</t>
        </is>
      </c>
      <c r="F12711" t="inlineStr">
        <is>
          <t>Sveaskog</t>
        </is>
      </c>
      <c r="G12711" t="n">
        <v>9.4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34852-2025</t>
        </is>
      </c>
      <c r="B12712" s="1" t="n">
        <v>45849.42777777778</v>
      </c>
      <c r="C12712" s="1" t="n">
        <v>46145</v>
      </c>
      <c r="D12712" t="inlineStr">
        <is>
          <t>VÄSTERBOTTENS LÄN</t>
        </is>
      </c>
      <c r="E12712" t="inlineStr">
        <is>
          <t>ÅSELE</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34857-2025</t>
        </is>
      </c>
      <c r="B12713" s="1" t="n">
        <v>45849.4284837963</v>
      </c>
      <c r="C12713" s="1" t="n">
        <v>46145</v>
      </c>
      <c r="D12713" t="inlineStr">
        <is>
          <t>VÄSTERBOTTENS LÄN</t>
        </is>
      </c>
      <c r="E12713" t="inlineStr">
        <is>
          <t>DOROTEA</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35090-2025</t>
        </is>
      </c>
      <c r="B12714" s="1" t="n">
        <v>45852.52563657407</v>
      </c>
      <c r="C12714" s="1" t="n">
        <v>46145</v>
      </c>
      <c r="D12714" t="inlineStr">
        <is>
          <t>VÄSTERBOTTENS LÄN</t>
        </is>
      </c>
      <c r="E12714" t="inlineStr">
        <is>
          <t>SKELLEFTEÅ</t>
        </is>
      </c>
      <c r="F12714" t="inlineStr">
        <is>
          <t>Holmen skog AB</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34863-2025</t>
        </is>
      </c>
      <c r="B12715" s="1" t="n">
        <v>45849</v>
      </c>
      <c r="C12715" s="1" t="n">
        <v>46145</v>
      </c>
      <c r="D12715" t="inlineStr">
        <is>
          <t>VÄSTERBOTTENS LÄN</t>
        </is>
      </c>
      <c r="E12715" t="inlineStr">
        <is>
          <t>LYCKSELE</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34883-2025</t>
        </is>
      </c>
      <c r="B12716" s="1" t="n">
        <v>45849.46943287037</v>
      </c>
      <c r="C12716" s="1" t="n">
        <v>46145</v>
      </c>
      <c r="D12716" t="inlineStr">
        <is>
          <t>VÄSTERBOTTENS LÄN</t>
        </is>
      </c>
      <c r="E12716" t="inlineStr">
        <is>
          <t>ÅSELE</t>
        </is>
      </c>
      <c r="F12716" t="inlineStr">
        <is>
          <t>SCA</t>
        </is>
      </c>
      <c r="G12716" t="n">
        <v>13.3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34915-2025</t>
        </is>
      </c>
      <c r="B12717" s="1" t="n">
        <v>45849.54143518519</v>
      </c>
      <c r="C12717" s="1" t="n">
        <v>46145</v>
      </c>
      <c r="D12717" t="inlineStr">
        <is>
          <t>VÄSTERBOTTENS LÄN</t>
        </is>
      </c>
      <c r="E12717" t="inlineStr">
        <is>
          <t>LYCKSELE</t>
        </is>
      </c>
      <c r="F12717" t="inlineStr">
        <is>
          <t>Sveaskog</t>
        </is>
      </c>
      <c r="G12717" t="n">
        <v>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35072-2025</t>
        </is>
      </c>
      <c r="B12718" s="1" t="n">
        <v>45852.47277777778</v>
      </c>
      <c r="C12718" s="1" t="n">
        <v>46145</v>
      </c>
      <c r="D12718" t="inlineStr">
        <is>
          <t>VÄSTERBOTTENS LÄN</t>
        </is>
      </c>
      <c r="E12718" t="inlineStr">
        <is>
          <t>STORUMAN</t>
        </is>
      </c>
      <c r="F12718" t="inlineStr">
        <is>
          <t>Holmen skog AB</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34843-2025</t>
        </is>
      </c>
      <c r="B12719" s="1" t="n">
        <v>45849.40900462963</v>
      </c>
      <c r="C12719" s="1" t="n">
        <v>46145</v>
      </c>
      <c r="D12719" t="inlineStr">
        <is>
          <t>VÄSTERBOTTENS LÄN</t>
        </is>
      </c>
      <c r="E12719" t="inlineStr">
        <is>
          <t>ÅSELE</t>
        </is>
      </c>
      <c r="F12719" t="inlineStr">
        <is>
          <t>Sveaskog</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34896-2025</t>
        </is>
      </c>
      <c r="B12720" s="1" t="n">
        <v>45849.49472222223</v>
      </c>
      <c r="C12720" s="1" t="n">
        <v>46145</v>
      </c>
      <c r="D12720" t="inlineStr">
        <is>
          <t>VÄSTERBOTTENS LÄN</t>
        </is>
      </c>
      <c r="E12720" t="inlineStr">
        <is>
          <t>LYCKSELE</t>
        </is>
      </c>
      <c r="F12720" t="inlineStr">
        <is>
          <t>Sveaskog</t>
        </is>
      </c>
      <c r="G12720" t="n">
        <v>19.6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34900-2025</t>
        </is>
      </c>
      <c r="B12721" s="1" t="n">
        <v>45849.5046875</v>
      </c>
      <c r="C12721" s="1" t="n">
        <v>46145</v>
      </c>
      <c r="D12721" t="inlineStr">
        <is>
          <t>VÄSTERBOTTENS LÄN</t>
        </is>
      </c>
      <c r="E12721" t="inlineStr">
        <is>
          <t>ÅSELE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34905-2025</t>
        </is>
      </c>
      <c r="B12722" s="1" t="n">
        <v>45849.51625</v>
      </c>
      <c r="C12722" s="1" t="n">
        <v>46145</v>
      </c>
      <c r="D12722" t="inlineStr">
        <is>
          <t>VÄSTERBOTTENS LÄN</t>
        </is>
      </c>
      <c r="E12722" t="inlineStr">
        <is>
          <t>LYCKSELE</t>
        </is>
      </c>
      <c r="F12722" t="inlineStr">
        <is>
          <t>Sveaskog</t>
        </is>
      </c>
      <c r="G12722" t="n">
        <v>6.9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34856-2025</t>
        </is>
      </c>
      <c r="B12723" s="1" t="n">
        <v>45849.42844907408</v>
      </c>
      <c r="C12723" s="1" t="n">
        <v>46145</v>
      </c>
      <c r="D12723" t="inlineStr">
        <is>
          <t>VÄSTERBOTTENS LÄN</t>
        </is>
      </c>
      <c r="E12723" t="inlineStr">
        <is>
          <t>DOROTEA</t>
        </is>
      </c>
      <c r="F12723" t="inlineStr">
        <is>
          <t>SCA</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34904-2025</t>
        </is>
      </c>
      <c r="B12724" s="1" t="n">
        <v>45849.51297453704</v>
      </c>
      <c r="C12724" s="1" t="n">
        <v>46145</v>
      </c>
      <c r="D12724" t="inlineStr">
        <is>
          <t>VÄSTERBOTTENS LÄN</t>
        </is>
      </c>
      <c r="E12724" t="inlineStr">
        <is>
          <t>ÅSELE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34924-2025</t>
        </is>
      </c>
      <c r="B12725" s="1" t="n">
        <v>45849.55733796296</v>
      </c>
      <c r="C12725" s="1" t="n">
        <v>46145</v>
      </c>
      <c r="D12725" t="inlineStr">
        <is>
          <t>VÄSTERBOTTENS LÄN</t>
        </is>
      </c>
      <c r="E12725" t="inlineStr">
        <is>
          <t>LYCKSELE</t>
        </is>
      </c>
      <c r="F12725" t="inlineStr">
        <is>
          <t>Sveaskog</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34888-2025</t>
        </is>
      </c>
      <c r="B12726" s="1" t="n">
        <v>45849.47910879629</v>
      </c>
      <c r="C12726" s="1" t="n">
        <v>46145</v>
      </c>
      <c r="D12726" t="inlineStr">
        <is>
          <t>VÄSTERBOTTENS LÄN</t>
        </is>
      </c>
      <c r="E12726" t="inlineStr">
        <is>
          <t>SORSELE</t>
        </is>
      </c>
      <c r="G12726" t="n">
        <v>11.7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34946-2025</t>
        </is>
      </c>
      <c r="B12727" s="1" t="n">
        <v>45849.59119212963</v>
      </c>
      <c r="C12727" s="1" t="n">
        <v>46145</v>
      </c>
      <c r="D12727" t="inlineStr">
        <is>
          <t>VÄSTERBOTTENS LÄN</t>
        </is>
      </c>
      <c r="E12727" t="inlineStr">
        <is>
          <t>LYCKSELE</t>
        </is>
      </c>
      <c r="F12727" t="inlineStr">
        <is>
          <t>Sveaskog</t>
        </is>
      </c>
      <c r="G12727" t="n">
        <v>15.2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35082-2025</t>
        </is>
      </c>
      <c r="B12728" s="1" t="n">
        <v>45852.49337962963</v>
      </c>
      <c r="C12728" s="1" t="n">
        <v>46145</v>
      </c>
      <c r="D12728" t="inlineStr">
        <is>
          <t>VÄSTERBOTTENS LÄN</t>
        </is>
      </c>
      <c r="E12728" t="inlineStr">
        <is>
          <t>STORUMAN</t>
        </is>
      </c>
      <c r="F12728" t="inlineStr">
        <is>
          <t>Holmen skog AB</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35093-2025</t>
        </is>
      </c>
      <c r="B12729" s="1" t="n">
        <v>45852.53199074074</v>
      </c>
      <c r="C12729" s="1" t="n">
        <v>46145</v>
      </c>
      <c r="D12729" t="inlineStr">
        <is>
          <t>VÄSTERBOTTENS LÄN</t>
        </is>
      </c>
      <c r="E12729" t="inlineStr">
        <is>
          <t>DOROTEA</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34954-2025</t>
        </is>
      </c>
      <c r="B12730" s="1" t="n">
        <v>45849.60525462963</v>
      </c>
      <c r="C12730" s="1" t="n">
        <v>46145</v>
      </c>
      <c r="D12730" t="inlineStr">
        <is>
          <t>VÄSTERBOTTENS LÄN</t>
        </is>
      </c>
      <c r="E12730" t="inlineStr">
        <is>
          <t>LYCKSELE</t>
        </is>
      </c>
      <c r="F12730" t="inlineStr">
        <is>
          <t>Holmen skog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62047-2024</t>
        </is>
      </c>
      <c r="B12731" s="1" t="n">
        <v>45656.36306712963</v>
      </c>
      <c r="C12731" s="1" t="n">
        <v>46145</v>
      </c>
      <c r="D12731" t="inlineStr">
        <is>
          <t>VÄSTERBOTTENS LÄN</t>
        </is>
      </c>
      <c r="E12731" t="inlineStr">
        <is>
          <t>SKELLEFTEÅ</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29264-2025</t>
        </is>
      </c>
      <c r="B12732" s="1" t="n">
        <v>45824.39657407408</v>
      </c>
      <c r="C12732" s="1" t="n">
        <v>46145</v>
      </c>
      <c r="D12732" t="inlineStr">
        <is>
          <t>VÄSTERBOTTENS LÄN</t>
        </is>
      </c>
      <c r="E12732" t="inlineStr">
        <is>
          <t>SKELLEFTEÅ</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34804-2025</t>
        </is>
      </c>
      <c r="B12733" s="1" t="n">
        <v>45849.31851851852</v>
      </c>
      <c r="C12733" s="1" t="n">
        <v>46145</v>
      </c>
      <c r="D12733" t="inlineStr">
        <is>
          <t>VÄSTERBOTTENS LÄN</t>
        </is>
      </c>
      <c r="E12733" t="inlineStr">
        <is>
          <t>NORDMALING</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35057-2025</t>
        </is>
      </c>
      <c r="B12734" s="1" t="n">
        <v>45852.40655092592</v>
      </c>
      <c r="C12734" s="1" t="n">
        <v>46145</v>
      </c>
      <c r="D12734" t="inlineStr">
        <is>
          <t>VÄSTERBOTTENS LÄN</t>
        </is>
      </c>
      <c r="E12734" t="inlineStr">
        <is>
          <t>NORDMALING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34926-2025</t>
        </is>
      </c>
      <c r="B12735" s="1" t="n">
        <v>45849.55927083334</v>
      </c>
      <c r="C12735" s="1" t="n">
        <v>46145</v>
      </c>
      <c r="D12735" t="inlineStr">
        <is>
          <t>VÄSTERBOTTENS LÄN</t>
        </is>
      </c>
      <c r="E12735" t="inlineStr">
        <is>
          <t>LYCKSELE</t>
        </is>
      </c>
      <c r="F12735" t="inlineStr">
        <is>
          <t>Sveaskog</t>
        </is>
      </c>
      <c r="G12735" t="n">
        <v>12.4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35130-2025</t>
        </is>
      </c>
      <c r="B12736" s="1" t="n">
        <v>45852.63579861111</v>
      </c>
      <c r="C12736" s="1" t="n">
        <v>46145</v>
      </c>
      <c r="D12736" t="inlineStr">
        <is>
          <t>VÄSTERBOTTENS LÄN</t>
        </is>
      </c>
      <c r="E12736" t="inlineStr">
        <is>
          <t>LYCKSELE</t>
        </is>
      </c>
      <c r="F12736" t="inlineStr">
        <is>
          <t>SCA</t>
        </is>
      </c>
      <c r="G12736" t="n">
        <v>6.2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35067-2025</t>
        </is>
      </c>
      <c r="B12737" s="1" t="n">
        <v>45852.45567129629</v>
      </c>
      <c r="C12737" s="1" t="n">
        <v>46145</v>
      </c>
      <c r="D12737" t="inlineStr">
        <is>
          <t>VÄSTERBOTTENS LÄN</t>
        </is>
      </c>
      <c r="E12737" t="inlineStr">
        <is>
          <t>STORUMAN</t>
        </is>
      </c>
      <c r="F12737" t="inlineStr">
        <is>
          <t>Holmen skog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34808-2025</t>
        </is>
      </c>
      <c r="B12738" s="1" t="n">
        <v>45849.34042824074</v>
      </c>
      <c r="C12738" s="1" t="n">
        <v>46145</v>
      </c>
      <c r="D12738" t="inlineStr">
        <is>
          <t>VÄSTERBOTTENS LÄN</t>
        </is>
      </c>
      <c r="E12738" t="inlineStr">
        <is>
          <t>ÅSELE</t>
        </is>
      </c>
      <c r="F12738" t="inlineStr">
        <is>
          <t>Holmen skog AB</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35125-2025</t>
        </is>
      </c>
      <c r="B12739" s="1" t="n">
        <v>45852.61484953704</v>
      </c>
      <c r="C12739" s="1" t="n">
        <v>46145</v>
      </c>
      <c r="D12739" t="inlineStr">
        <is>
          <t>VÄSTERBOTTENS LÄN</t>
        </is>
      </c>
      <c r="E12739" t="inlineStr">
        <is>
          <t>ROBERTSFORS</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35224-2025</t>
        </is>
      </c>
      <c r="B12740" s="1" t="n">
        <v>45853.57020833333</v>
      </c>
      <c r="C12740" s="1" t="n">
        <v>46145</v>
      </c>
      <c r="D12740" t="inlineStr">
        <is>
          <t>VÄSTERBOTTENS LÄN</t>
        </is>
      </c>
      <c r="E12740" t="inlineStr">
        <is>
          <t>ROBERTSFORS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35303-2025</t>
        </is>
      </c>
      <c r="B12741" s="1" t="n">
        <v>45854.42938657408</v>
      </c>
      <c r="C12741" s="1" t="n">
        <v>46145</v>
      </c>
      <c r="D12741" t="inlineStr">
        <is>
          <t>VÄSTERBOTTENS LÄN</t>
        </is>
      </c>
      <c r="E12741" t="inlineStr">
        <is>
          <t>LYCKSELE</t>
        </is>
      </c>
      <c r="F12741" t="inlineStr">
        <is>
          <t>Sveaskog</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35242-2025</t>
        </is>
      </c>
      <c r="B12742" s="1" t="n">
        <v>45853.62052083333</v>
      </c>
      <c r="C12742" s="1" t="n">
        <v>46145</v>
      </c>
      <c r="D12742" t="inlineStr">
        <is>
          <t>VÄSTERBOTTENS LÄN</t>
        </is>
      </c>
      <c r="E12742" t="inlineStr">
        <is>
          <t>LYCKSELE</t>
        </is>
      </c>
      <c r="F12742" t="inlineStr">
        <is>
          <t>Sveaskog</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35281-2025</t>
        </is>
      </c>
      <c r="B12743" s="1" t="n">
        <v>45854.33944444444</v>
      </c>
      <c r="C12743" s="1" t="n">
        <v>46145</v>
      </c>
      <c r="D12743" t="inlineStr">
        <is>
          <t>VÄSTERBOTTENS LÄN</t>
        </is>
      </c>
      <c r="E12743" t="inlineStr">
        <is>
          <t>ÅSELE</t>
        </is>
      </c>
      <c r="F12743" t="inlineStr">
        <is>
          <t>Holmen skog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35285-2025</t>
        </is>
      </c>
      <c r="B12744" s="1" t="n">
        <v>45854</v>
      </c>
      <c r="C12744" s="1" t="n">
        <v>46145</v>
      </c>
      <c r="D12744" t="inlineStr">
        <is>
          <t>VÄSTERBOTTENS LÄN</t>
        </is>
      </c>
      <c r="E12744" t="inlineStr">
        <is>
          <t>VILHELMINA</t>
        </is>
      </c>
      <c r="F12744" t="inlineStr">
        <is>
          <t>SCA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35298-2025</t>
        </is>
      </c>
      <c r="B12745" s="1" t="n">
        <v>45854.40681712963</v>
      </c>
      <c r="C12745" s="1" t="n">
        <v>46145</v>
      </c>
      <c r="D12745" t="inlineStr">
        <is>
          <t>VÄSTERBOTTENS LÄN</t>
        </is>
      </c>
      <c r="E12745" t="inlineStr">
        <is>
          <t>DOROTEA</t>
        </is>
      </c>
      <c r="F12745" t="inlineStr">
        <is>
          <t>SCA</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35333-2025</t>
        </is>
      </c>
      <c r="B12746" s="1" t="n">
        <v>45854.57376157407</v>
      </c>
      <c r="C12746" s="1" t="n">
        <v>46145</v>
      </c>
      <c r="D12746" t="inlineStr">
        <is>
          <t>VÄSTERBOTTENS LÄN</t>
        </is>
      </c>
      <c r="E12746" t="inlineStr">
        <is>
          <t>LYCKSELE</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35287-2025</t>
        </is>
      </c>
      <c r="B12747" s="1" t="n">
        <v>45854.3653587963</v>
      </c>
      <c r="C12747" s="1" t="n">
        <v>46145</v>
      </c>
      <c r="D12747" t="inlineStr">
        <is>
          <t>VÄSTERBOTTENS LÄN</t>
        </is>
      </c>
      <c r="E12747" t="inlineStr">
        <is>
          <t>VILHELMINA</t>
        </is>
      </c>
      <c r="F12747" t="inlineStr">
        <is>
          <t>SCA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35288-2025</t>
        </is>
      </c>
      <c r="B12748" s="1" t="n">
        <v>45854.36543981481</v>
      </c>
      <c r="C12748" s="1" t="n">
        <v>46145</v>
      </c>
      <c r="D12748" t="inlineStr">
        <is>
          <t>VÄSTERBOTTENS LÄN</t>
        </is>
      </c>
      <c r="E12748" t="inlineStr">
        <is>
          <t>VILHELMINA</t>
        </is>
      </c>
      <c r="F12748" t="inlineStr">
        <is>
          <t>SCA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7398-2025</t>
        </is>
      </c>
      <c r="B12749" s="1" t="n">
        <v>45705</v>
      </c>
      <c r="C12749" s="1" t="n">
        <v>46145</v>
      </c>
      <c r="D12749" t="inlineStr">
        <is>
          <t>VÄSTERBOTTENS LÄN</t>
        </is>
      </c>
      <c r="E12749" t="inlineStr">
        <is>
          <t>LYCKSELE</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35225-2025</t>
        </is>
      </c>
      <c r="B12750" s="1" t="n">
        <v>45853.57862268519</v>
      </c>
      <c r="C12750" s="1" t="n">
        <v>46145</v>
      </c>
      <c r="D12750" t="inlineStr">
        <is>
          <t>VÄSTERBOTTENS LÄN</t>
        </is>
      </c>
      <c r="E12750" t="inlineStr">
        <is>
          <t>LYCKSELE</t>
        </is>
      </c>
      <c r="F12750" t="inlineStr">
        <is>
          <t>Sveaskog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35227-2025</t>
        </is>
      </c>
      <c r="B12751" s="1" t="n">
        <v>45853.58521990741</v>
      </c>
      <c r="C12751" s="1" t="n">
        <v>46145</v>
      </c>
      <c r="D12751" t="inlineStr">
        <is>
          <t>VÄSTERBOTTENS LÄN</t>
        </is>
      </c>
      <c r="E12751" t="inlineStr">
        <is>
          <t>LYCKSELE</t>
        </is>
      </c>
      <c r="F12751" t="inlineStr">
        <is>
          <t>Sveaskog</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35234-2025</t>
        </is>
      </c>
      <c r="B12752" s="1" t="n">
        <v>45853.6025</v>
      </c>
      <c r="C12752" s="1" t="n">
        <v>46145</v>
      </c>
      <c r="D12752" t="inlineStr">
        <is>
          <t>VÄSTERBOTTENS LÄN</t>
        </is>
      </c>
      <c r="E12752" t="inlineStr">
        <is>
          <t>LYCKSELE</t>
        </is>
      </c>
      <c r="F12752" t="inlineStr">
        <is>
          <t>Sveaskog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35192-2025</t>
        </is>
      </c>
      <c r="B12753" s="1" t="n">
        <v>45853.35604166667</v>
      </c>
      <c r="C12753" s="1" t="n">
        <v>46145</v>
      </c>
      <c r="D12753" t="inlineStr">
        <is>
          <t>VÄSTERBOTTENS LÄN</t>
        </is>
      </c>
      <c r="E12753" t="inlineStr">
        <is>
          <t>LYCKSELE</t>
        </is>
      </c>
      <c r="F12753" t="inlineStr">
        <is>
          <t>Sveaskog</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35236-2025</t>
        </is>
      </c>
      <c r="B12754" s="1" t="n">
        <v>45853.60569444444</v>
      </c>
      <c r="C12754" s="1" t="n">
        <v>46145</v>
      </c>
      <c r="D12754" t="inlineStr">
        <is>
          <t>VÄSTERBOTTENS LÄN</t>
        </is>
      </c>
      <c r="E12754" t="inlineStr">
        <is>
          <t>LYCKSELE</t>
        </is>
      </c>
      <c r="F12754" t="inlineStr">
        <is>
          <t>Sveaskog</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35232-2025</t>
        </is>
      </c>
      <c r="B12755" s="1" t="n">
        <v>45853.59733796296</v>
      </c>
      <c r="C12755" s="1" t="n">
        <v>46145</v>
      </c>
      <c r="D12755" t="inlineStr">
        <is>
          <t>VÄSTERBOTTENS LÄN</t>
        </is>
      </c>
      <c r="E12755" t="inlineStr">
        <is>
          <t>LYCKSELE</t>
        </is>
      </c>
      <c r="F12755" t="inlineStr">
        <is>
          <t>Sveaskog</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35237-2025</t>
        </is>
      </c>
      <c r="B12756" s="1" t="n">
        <v>45853.61248842593</v>
      </c>
      <c r="C12756" s="1" t="n">
        <v>46145</v>
      </c>
      <c r="D12756" t="inlineStr">
        <is>
          <t>VÄSTERBOTTENS LÄN</t>
        </is>
      </c>
      <c r="E12756" t="inlineStr">
        <is>
          <t>LYCKSELE</t>
        </is>
      </c>
      <c r="F12756" t="inlineStr">
        <is>
          <t>Sveaskog</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35248-2025</t>
        </is>
      </c>
      <c r="B12757" s="1" t="n">
        <v>45853.65667824074</v>
      </c>
      <c r="C12757" s="1" t="n">
        <v>46145</v>
      </c>
      <c r="D12757" t="inlineStr">
        <is>
          <t>VÄSTERBOTTENS LÄN</t>
        </is>
      </c>
      <c r="E12757" t="inlineStr">
        <is>
          <t>MALÅ</t>
        </is>
      </c>
      <c r="F12757" t="inlineStr">
        <is>
          <t>SCA</t>
        </is>
      </c>
      <c r="G12757" t="n">
        <v>6.2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35291-2025</t>
        </is>
      </c>
      <c r="B12758" s="1" t="n">
        <v>45854.38577546296</v>
      </c>
      <c r="C12758" s="1" t="n">
        <v>46145</v>
      </c>
      <c r="D12758" t="inlineStr">
        <is>
          <t>VÄSTERBOTTENS LÄN</t>
        </is>
      </c>
      <c r="E12758" t="inlineStr">
        <is>
          <t>DOROTEA</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35332-2025</t>
        </is>
      </c>
      <c r="B12759" s="1" t="n">
        <v>45854.57362268519</v>
      </c>
      <c r="C12759" s="1" t="n">
        <v>46145</v>
      </c>
      <c r="D12759" t="inlineStr">
        <is>
          <t>VÄSTERBOTTENS LÄN</t>
        </is>
      </c>
      <c r="E12759" t="inlineStr">
        <is>
          <t>LYCKSELE</t>
        </is>
      </c>
      <c r="F12759" t="inlineStr">
        <is>
          <t>SCA</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31216-2025</t>
        </is>
      </c>
      <c r="B12760" s="1" t="n">
        <v>45832.74711805556</v>
      </c>
      <c r="C12760" s="1" t="n">
        <v>46145</v>
      </c>
      <c r="D12760" t="inlineStr">
        <is>
          <t>VÄSTERBOTTENS LÄN</t>
        </is>
      </c>
      <c r="E12760" t="inlineStr">
        <is>
          <t>NORDMALING</t>
        </is>
      </c>
      <c r="G12760" t="n">
        <v>10.8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35230-2025</t>
        </is>
      </c>
      <c r="B12761" s="1" t="n">
        <v>45853.59447916667</v>
      </c>
      <c r="C12761" s="1" t="n">
        <v>46145</v>
      </c>
      <c r="D12761" t="inlineStr">
        <is>
          <t>VÄSTERBOTTENS LÄN</t>
        </is>
      </c>
      <c r="E12761" t="inlineStr">
        <is>
          <t>VILHELMINA</t>
        </is>
      </c>
      <c r="F12761" t="inlineStr">
        <is>
          <t>SCA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35231-2025</t>
        </is>
      </c>
      <c r="B12762" s="1" t="n">
        <v>45853.59453703704</v>
      </c>
      <c r="C12762" s="1" t="n">
        <v>46145</v>
      </c>
      <c r="D12762" t="inlineStr">
        <is>
          <t>VÄSTERBOTTENS LÄN</t>
        </is>
      </c>
      <c r="E12762" t="inlineStr">
        <is>
          <t>VILHELMINA</t>
        </is>
      </c>
      <c r="F12762" t="inlineStr">
        <is>
          <t>SCA</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35223-2025</t>
        </is>
      </c>
      <c r="B12763" s="1" t="n">
        <v>45853.55226851852</v>
      </c>
      <c r="C12763" s="1" t="n">
        <v>46145</v>
      </c>
      <c r="D12763" t="inlineStr">
        <is>
          <t>VÄSTERBOTTENS LÄN</t>
        </is>
      </c>
      <c r="E12763" t="inlineStr">
        <is>
          <t>SKELLEFTEÅ</t>
        </is>
      </c>
      <c r="F12763" t="inlineStr">
        <is>
          <t>Holmen skog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35565-2025</t>
        </is>
      </c>
      <c r="B12764" s="1" t="n">
        <v>45856.55130787037</v>
      </c>
      <c r="C12764" s="1" t="n">
        <v>46145</v>
      </c>
      <c r="D12764" t="inlineStr">
        <is>
          <t>VÄSTERBOTTENS LÄN</t>
        </is>
      </c>
      <c r="E12764" t="inlineStr">
        <is>
          <t>ROBERTSFORS</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35418-2025</t>
        </is>
      </c>
      <c r="B12765" s="1" t="n">
        <v>45855.40684027778</v>
      </c>
      <c r="C12765" s="1" t="n">
        <v>46145</v>
      </c>
      <c r="D12765" t="inlineStr">
        <is>
          <t>VÄSTERBOTTENS LÄN</t>
        </is>
      </c>
      <c r="E12765" t="inlineStr">
        <is>
          <t>DOROTEA</t>
        </is>
      </c>
      <c r="F12765" t="inlineStr">
        <is>
          <t>SCA</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35446-2025</t>
        </is>
      </c>
      <c r="B12766" s="1" t="n">
        <v>45855.54017361111</v>
      </c>
      <c r="C12766" s="1" t="n">
        <v>46145</v>
      </c>
      <c r="D12766" t="inlineStr">
        <is>
          <t>VÄSTERBOTTENS LÄN</t>
        </is>
      </c>
      <c r="E12766" t="inlineStr">
        <is>
          <t>NORSJÖ</t>
        </is>
      </c>
      <c r="F12766" t="inlineStr">
        <is>
          <t>Sveaskog</t>
        </is>
      </c>
      <c r="G12766" t="n">
        <v>12.9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35457-2025</t>
        </is>
      </c>
      <c r="B12767" s="1" t="n">
        <v>45855</v>
      </c>
      <c r="C12767" s="1" t="n">
        <v>46145</v>
      </c>
      <c r="D12767" t="inlineStr">
        <is>
          <t>VÄSTERBOTTENS LÄN</t>
        </is>
      </c>
      <c r="E12767" t="inlineStr">
        <is>
          <t>DOROTEA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35554-2025</t>
        </is>
      </c>
      <c r="B12768" s="1" t="n">
        <v>45856</v>
      </c>
      <c r="C12768" s="1" t="n">
        <v>46145</v>
      </c>
      <c r="D12768" t="inlineStr">
        <is>
          <t>VÄSTERBOTTENS LÄN</t>
        </is>
      </c>
      <c r="E12768" t="inlineStr">
        <is>
          <t>ÅSELE</t>
        </is>
      </c>
      <c r="F12768" t="inlineStr">
        <is>
          <t>Holmen skog AB</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35553-2025</t>
        </is>
      </c>
      <c r="B12769" s="1" t="n">
        <v>45856.50510416667</v>
      </c>
      <c r="C12769" s="1" t="n">
        <v>46145</v>
      </c>
      <c r="D12769" t="inlineStr">
        <is>
          <t>VÄSTERBOTTENS LÄN</t>
        </is>
      </c>
      <c r="E12769" t="inlineStr">
        <is>
          <t>ROBERTSFORS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35456-2025</t>
        </is>
      </c>
      <c r="B12770" s="1" t="n">
        <v>45855</v>
      </c>
      <c r="C12770" s="1" t="n">
        <v>46145</v>
      </c>
      <c r="D12770" t="inlineStr">
        <is>
          <t>VÄSTERBOTTENS LÄN</t>
        </is>
      </c>
      <c r="E12770" t="inlineStr">
        <is>
          <t>DOROTEA</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35556-2025</t>
        </is>
      </c>
      <c r="B12771" s="1" t="n">
        <v>45856.52092592593</v>
      </c>
      <c r="C12771" s="1" t="n">
        <v>46145</v>
      </c>
      <c r="D12771" t="inlineStr">
        <is>
          <t>VÄSTERBOTTENS LÄN</t>
        </is>
      </c>
      <c r="E12771" t="inlineStr">
        <is>
          <t>ÅSELE</t>
        </is>
      </c>
      <c r="F12771" t="inlineStr">
        <is>
          <t>Naturvårdsverket</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35562-2025</t>
        </is>
      </c>
      <c r="B12772" s="1" t="n">
        <v>45856.54179398148</v>
      </c>
      <c r="C12772" s="1" t="n">
        <v>46145</v>
      </c>
      <c r="D12772" t="inlineStr">
        <is>
          <t>VÄSTERBOTTENS LÄN</t>
        </is>
      </c>
      <c r="E12772" t="inlineStr">
        <is>
          <t>ROBERTSFORS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35566-2025</t>
        </is>
      </c>
      <c r="B12773" s="1" t="n">
        <v>45856.55252314815</v>
      </c>
      <c r="C12773" s="1" t="n">
        <v>46145</v>
      </c>
      <c r="D12773" t="inlineStr">
        <is>
          <t>VÄSTERBOTTENS LÄN</t>
        </is>
      </c>
      <c r="E12773" t="inlineStr">
        <is>
          <t>LYCKSELE</t>
        </is>
      </c>
      <c r="F12773" t="inlineStr">
        <is>
          <t>SCA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35560-2025</t>
        </is>
      </c>
      <c r="B12774" s="1" t="n">
        <v>45856.53145833333</v>
      </c>
      <c r="C12774" s="1" t="n">
        <v>46145</v>
      </c>
      <c r="D12774" t="inlineStr">
        <is>
          <t>VÄSTERBOTTENS LÄN</t>
        </is>
      </c>
      <c r="E12774" t="inlineStr">
        <is>
          <t>ROBERTSFORS</t>
        </is>
      </c>
      <c r="G12774" t="n">
        <v>13.1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35543-2025</t>
        </is>
      </c>
      <c r="B12775" s="1" t="n">
        <v>45856.47466435185</v>
      </c>
      <c r="C12775" s="1" t="n">
        <v>46145</v>
      </c>
      <c r="D12775" t="inlineStr">
        <is>
          <t>VÄSTERBOTTENS LÄN</t>
        </is>
      </c>
      <c r="E12775" t="inlineStr">
        <is>
          <t>ROBERTSFORS</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35547-2025</t>
        </is>
      </c>
      <c r="B12776" s="1" t="n">
        <v>45856.48679398148</v>
      </c>
      <c r="C12776" s="1" t="n">
        <v>46145</v>
      </c>
      <c r="D12776" t="inlineStr">
        <is>
          <t>VÄSTERBOTTENS LÄN</t>
        </is>
      </c>
      <c r="E12776" t="inlineStr">
        <is>
          <t>ROBERTSFORS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35549-2025</t>
        </is>
      </c>
      <c r="B12777" s="1" t="n">
        <v>45856.49295138889</v>
      </c>
      <c r="C12777" s="1" t="n">
        <v>46145</v>
      </c>
      <c r="D12777" t="inlineStr">
        <is>
          <t>VÄSTERBOTTENS LÄN</t>
        </is>
      </c>
      <c r="E12777" t="inlineStr">
        <is>
          <t>ÅSELE</t>
        </is>
      </c>
      <c r="F12777" t="inlineStr">
        <is>
          <t>Naturvårdsverket</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27688-2025</t>
        </is>
      </c>
      <c r="B12778" s="1" t="n">
        <v>45813</v>
      </c>
      <c r="C12778" s="1" t="n">
        <v>46145</v>
      </c>
      <c r="D12778" t="inlineStr">
        <is>
          <t>VÄSTERBOTTENS LÄN</t>
        </is>
      </c>
      <c r="E12778" t="inlineStr">
        <is>
          <t>LYCKSELE</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35433-2025</t>
        </is>
      </c>
      <c r="B12779" s="1" t="n">
        <v>45855.4525462963</v>
      </c>
      <c r="C12779" s="1" t="n">
        <v>46145</v>
      </c>
      <c r="D12779" t="inlineStr">
        <is>
          <t>VÄSTERBOTTENS LÄN</t>
        </is>
      </c>
      <c r="E12779" t="inlineStr">
        <is>
          <t>SKELLEFTEÅ</t>
        </is>
      </c>
      <c r="F12779" t="inlineStr">
        <is>
          <t>Holmen skog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35437-2025</t>
        </is>
      </c>
      <c r="B12780" s="1" t="n">
        <v>45855</v>
      </c>
      <c r="C12780" s="1" t="n">
        <v>46145</v>
      </c>
      <c r="D12780" t="inlineStr">
        <is>
          <t>VÄSTERBOTTENS LÄN</t>
        </is>
      </c>
      <c r="E12780" t="inlineStr">
        <is>
          <t>DOROTEA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35438-2025</t>
        </is>
      </c>
      <c r="B12781" s="1" t="n">
        <v>45855</v>
      </c>
      <c r="C12781" s="1" t="n">
        <v>46145</v>
      </c>
      <c r="D12781" t="inlineStr">
        <is>
          <t>VÄSTERBOTTENS LÄN</t>
        </is>
      </c>
      <c r="E12781" t="inlineStr">
        <is>
          <t>DOROTEA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35458-2025</t>
        </is>
      </c>
      <c r="B12782" s="1" t="n">
        <v>45855</v>
      </c>
      <c r="C12782" s="1" t="n">
        <v>46145</v>
      </c>
      <c r="D12782" t="inlineStr">
        <is>
          <t>VÄSTERBOTTENS LÄN</t>
        </is>
      </c>
      <c r="E12782" t="inlineStr">
        <is>
          <t>DOROTEA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48611-2023</t>
        </is>
      </c>
      <c r="B12783" s="1" t="n">
        <v>45202</v>
      </c>
      <c r="C12783" s="1" t="n">
        <v>46145</v>
      </c>
      <c r="D12783" t="inlineStr">
        <is>
          <t>VÄSTERBOTTENS LÄN</t>
        </is>
      </c>
      <c r="E12783" t="inlineStr">
        <is>
          <t>NORSJÖ</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35428-2025</t>
        </is>
      </c>
      <c r="B12784" s="1" t="n">
        <v>45855.44019675926</v>
      </c>
      <c r="C12784" s="1" t="n">
        <v>46145</v>
      </c>
      <c r="D12784" t="inlineStr">
        <is>
          <t>VÄSTERBOTTENS LÄN</t>
        </is>
      </c>
      <c r="E12784" t="inlineStr">
        <is>
          <t>SKELLEFTEÅ</t>
        </is>
      </c>
      <c r="F12784" t="inlineStr">
        <is>
          <t>Holmen skog AB</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35514-2025</t>
        </is>
      </c>
      <c r="B12785" s="1" t="n">
        <v>45856.3653125</v>
      </c>
      <c r="C12785" s="1" t="n">
        <v>46145</v>
      </c>
      <c r="D12785" t="inlineStr">
        <is>
          <t>VÄSTERBOTTENS LÄN</t>
        </is>
      </c>
      <c r="E12785" t="inlineStr">
        <is>
          <t>STORUMAN</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35444-2025</t>
        </is>
      </c>
      <c r="B12786" s="1" t="n">
        <v>45855.53179398148</v>
      </c>
      <c r="C12786" s="1" t="n">
        <v>46145</v>
      </c>
      <c r="D12786" t="inlineStr">
        <is>
          <t>VÄSTERBOTTENS LÄN</t>
        </is>
      </c>
      <c r="E12786" t="inlineStr">
        <is>
          <t>DOROTEA</t>
        </is>
      </c>
      <c r="F12786" t="inlineStr">
        <is>
          <t>SCA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48423-2023</t>
        </is>
      </c>
      <c r="B12787" s="1" t="n">
        <v>45205</v>
      </c>
      <c r="C12787" s="1" t="n">
        <v>46145</v>
      </c>
      <c r="D12787" t="inlineStr">
        <is>
          <t>VÄSTERBOTTENS LÄN</t>
        </is>
      </c>
      <c r="E12787" t="inlineStr">
        <is>
          <t>VILHELMINA</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35586-2025</t>
        </is>
      </c>
      <c r="B12788" s="1" t="n">
        <v>45857.46918981482</v>
      </c>
      <c r="C12788" s="1" t="n">
        <v>46145</v>
      </c>
      <c r="D12788" t="inlineStr">
        <is>
          <t>VÄSTERBOTTENS LÄN</t>
        </is>
      </c>
      <c r="E12788" t="inlineStr">
        <is>
          <t>VINDELN</t>
        </is>
      </c>
      <c r="F12788" t="inlineStr">
        <is>
          <t>SCA</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35604-2025</t>
        </is>
      </c>
      <c r="B12789" s="1" t="n">
        <v>45859.32412037037</v>
      </c>
      <c r="C12789" s="1" t="n">
        <v>46145</v>
      </c>
      <c r="D12789" t="inlineStr">
        <is>
          <t>VÄSTERBOTTENS LÄN</t>
        </is>
      </c>
      <c r="E12789" t="inlineStr">
        <is>
          <t>LYCKSELE</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35728-2025</t>
        </is>
      </c>
      <c r="B12790" s="1" t="n">
        <v>45860.46180555555</v>
      </c>
      <c r="C12790" s="1" t="n">
        <v>46145</v>
      </c>
      <c r="D12790" t="inlineStr">
        <is>
          <t>VÄSTERBOTTENS LÄN</t>
        </is>
      </c>
      <c r="E12790" t="inlineStr">
        <is>
          <t>MALÅ</t>
        </is>
      </c>
      <c r="F12790" t="inlineStr">
        <is>
          <t>Sveaskog</t>
        </is>
      </c>
      <c r="G12790" t="n">
        <v>14.8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35730-2025</t>
        </is>
      </c>
      <c r="B12791" s="1" t="n">
        <v>45860.46853009259</v>
      </c>
      <c r="C12791" s="1" t="n">
        <v>46145</v>
      </c>
      <c r="D12791" t="inlineStr">
        <is>
          <t>VÄSTERBOTTENS LÄN</t>
        </is>
      </c>
      <c r="E12791" t="inlineStr">
        <is>
          <t>SORSELE</t>
        </is>
      </c>
      <c r="F12791" t="inlineStr">
        <is>
          <t>Sveaskog</t>
        </is>
      </c>
      <c r="G12791" t="n">
        <v>10.7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29267-2025</t>
        </is>
      </c>
      <c r="B12792" s="1" t="n">
        <v>45824.40275462963</v>
      </c>
      <c r="C12792" s="1" t="n">
        <v>46145</v>
      </c>
      <c r="D12792" t="inlineStr">
        <is>
          <t>VÄSTERBOTTENS LÄN</t>
        </is>
      </c>
      <c r="E12792" t="inlineStr">
        <is>
          <t>SKELLEFTEÅ</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59993-2024</t>
        </is>
      </c>
      <c r="B12793" s="1" t="n">
        <v>45642.40476851852</v>
      </c>
      <c r="C12793" s="1" t="n">
        <v>46145</v>
      </c>
      <c r="D12793" t="inlineStr">
        <is>
          <t>VÄSTERBOTTENS LÄN</t>
        </is>
      </c>
      <c r="E12793" t="inlineStr">
        <is>
          <t>SKELLEFTEÅ</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29524-2025</t>
        </is>
      </c>
      <c r="B12794" s="1" t="n">
        <v>45825.33515046296</v>
      </c>
      <c r="C12794" s="1" t="n">
        <v>46145</v>
      </c>
      <c r="D12794" t="inlineStr">
        <is>
          <t>VÄSTERBOTTENS LÄN</t>
        </is>
      </c>
      <c r="E12794" t="inlineStr">
        <is>
          <t>NORSJÖ</t>
        </is>
      </c>
      <c r="G12794" t="n">
        <v>11.7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63084-2023</t>
        </is>
      </c>
      <c r="B12795" s="1" t="n">
        <v>45272</v>
      </c>
      <c r="C12795" s="1" t="n">
        <v>46145</v>
      </c>
      <c r="D12795" t="inlineStr">
        <is>
          <t>VÄSTERBOTTENS LÄN</t>
        </is>
      </c>
      <c r="E12795" t="inlineStr">
        <is>
          <t>DOROTEA</t>
        </is>
      </c>
      <c r="G12795" t="n">
        <v>11.4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35711-2025</t>
        </is>
      </c>
      <c r="B12796" s="1" t="n">
        <v>45860</v>
      </c>
      <c r="C12796" s="1" t="n">
        <v>46145</v>
      </c>
      <c r="D12796" t="inlineStr">
        <is>
          <t>VÄSTERBOTTENS LÄN</t>
        </is>
      </c>
      <c r="E12796" t="inlineStr">
        <is>
          <t>STORUMAN</t>
        </is>
      </c>
      <c r="F12796" t="inlineStr">
        <is>
          <t>Holmen skog AB</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35598-2025</t>
        </is>
      </c>
      <c r="B12797" s="1" t="n">
        <v>45858.7578125</v>
      </c>
      <c r="C12797" s="1" t="n">
        <v>46145</v>
      </c>
      <c r="D12797" t="inlineStr">
        <is>
          <t>VÄSTERBOTTENS LÄN</t>
        </is>
      </c>
      <c r="E12797" t="inlineStr">
        <is>
          <t>NORSJÖ</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35633-2025</t>
        </is>
      </c>
      <c r="B12798" s="1" t="n">
        <v>45859.45072916667</v>
      </c>
      <c r="C12798" s="1" t="n">
        <v>46145</v>
      </c>
      <c r="D12798" t="inlineStr">
        <is>
          <t>VÄSTERBOTTENS LÄN</t>
        </is>
      </c>
      <c r="E12798" t="inlineStr">
        <is>
          <t>SKELLEFTEÅ</t>
        </is>
      </c>
      <c r="F12798" t="inlineStr">
        <is>
          <t>Holmen skog AB</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20997-2024</t>
        </is>
      </c>
      <c r="B12799" s="1" t="n">
        <v>45439.61412037037</v>
      </c>
      <c r="C12799" s="1" t="n">
        <v>46145</v>
      </c>
      <c r="D12799" t="inlineStr">
        <is>
          <t>VÄSTERBOTTENS LÄN</t>
        </is>
      </c>
      <c r="E12799" t="inlineStr">
        <is>
          <t>NORSJÖ</t>
        </is>
      </c>
      <c r="F12799" t="inlineStr">
        <is>
          <t>Holmen skog AB</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35662-2025</t>
        </is>
      </c>
      <c r="B12800" s="1" t="n">
        <v>45859.61498842593</v>
      </c>
      <c r="C12800" s="1" t="n">
        <v>46145</v>
      </c>
      <c r="D12800" t="inlineStr">
        <is>
          <t>VÄSTERBOTTENS LÄN</t>
        </is>
      </c>
      <c r="E12800" t="inlineStr">
        <is>
          <t>LYCKSELE</t>
        </is>
      </c>
      <c r="F12800" t="inlineStr">
        <is>
          <t>Sveaskog</t>
        </is>
      </c>
      <c r="G12800" t="n">
        <v>20.8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35701-2025</t>
        </is>
      </c>
      <c r="B12801" s="1" t="n">
        <v>45860.35930555555</v>
      </c>
      <c r="C12801" s="1" t="n">
        <v>46145</v>
      </c>
      <c r="D12801" t="inlineStr">
        <is>
          <t>VÄSTERBOTTENS LÄN</t>
        </is>
      </c>
      <c r="E12801" t="inlineStr">
        <is>
          <t>SORSELE</t>
        </is>
      </c>
      <c r="F12801" t="inlineStr">
        <is>
          <t>Sveaskog</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55264-2024</t>
        </is>
      </c>
      <c r="B12802" s="1" t="n">
        <v>45620</v>
      </c>
      <c r="C12802" s="1" t="n">
        <v>46145</v>
      </c>
      <c r="D12802" t="inlineStr">
        <is>
          <t>VÄSTERBOTTENS LÄN</t>
        </is>
      </c>
      <c r="E12802" t="inlineStr">
        <is>
          <t>NORSJÖ</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1136-2025</t>
        </is>
      </c>
      <c r="B12803" s="1" t="n">
        <v>45666</v>
      </c>
      <c r="C12803" s="1" t="n">
        <v>46145</v>
      </c>
      <c r="D12803" t="inlineStr">
        <is>
          <t>VÄSTERBOTTENS LÄN</t>
        </is>
      </c>
      <c r="E12803" t="inlineStr">
        <is>
          <t>ÅSELE</t>
        </is>
      </c>
      <c r="G12803" t="n">
        <v>18.6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35628-2025</t>
        </is>
      </c>
      <c r="B12804" s="1" t="n">
        <v>45859.44616898148</v>
      </c>
      <c r="C12804" s="1" t="n">
        <v>46145</v>
      </c>
      <c r="D12804" t="inlineStr">
        <is>
          <t>VÄSTERBOTTENS LÄN</t>
        </is>
      </c>
      <c r="E12804" t="inlineStr">
        <is>
          <t>NORSJÖ</t>
        </is>
      </c>
      <c r="F12804" t="inlineStr">
        <is>
          <t>Holmen skog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35723-2025</t>
        </is>
      </c>
      <c r="B12805" s="1" t="n">
        <v>45860.44605324074</v>
      </c>
      <c r="C12805" s="1" t="n">
        <v>46145</v>
      </c>
      <c r="D12805" t="inlineStr">
        <is>
          <t>VÄSTERBOTTENS LÄN</t>
        </is>
      </c>
      <c r="E12805" t="inlineStr">
        <is>
          <t>MALÅ</t>
        </is>
      </c>
      <c r="F12805" t="inlineStr">
        <is>
          <t>Sveaskog</t>
        </is>
      </c>
      <c r="G12805" t="n">
        <v>14.7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35726-2025</t>
        </is>
      </c>
      <c r="B12806" s="1" t="n">
        <v>45860.45328703704</v>
      </c>
      <c r="C12806" s="1" t="n">
        <v>46145</v>
      </c>
      <c r="D12806" t="inlineStr">
        <is>
          <t>VÄSTERBOTTENS LÄN</t>
        </is>
      </c>
      <c r="E12806" t="inlineStr">
        <is>
          <t>MALÅ</t>
        </is>
      </c>
      <c r="F12806" t="inlineStr">
        <is>
          <t>Sveaskog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48604-2023</t>
        </is>
      </c>
      <c r="B12807" s="1" t="n">
        <v>45202</v>
      </c>
      <c r="C12807" s="1" t="n">
        <v>46145</v>
      </c>
      <c r="D12807" t="inlineStr">
        <is>
          <t>VÄSTERBOTTENS LÄN</t>
        </is>
      </c>
      <c r="E12807" t="inlineStr">
        <is>
          <t>NORSJÖ</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35709-2025</t>
        </is>
      </c>
      <c r="B12808" s="1" t="n">
        <v>45860.37709490741</v>
      </c>
      <c r="C12808" s="1" t="n">
        <v>46145</v>
      </c>
      <c r="D12808" t="inlineStr">
        <is>
          <t>VÄSTERBOTTENS LÄN</t>
        </is>
      </c>
      <c r="E12808" t="inlineStr">
        <is>
          <t>SORSELE</t>
        </is>
      </c>
      <c r="F12808" t="inlineStr">
        <is>
          <t>Sveaskog</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35752-2025</t>
        </is>
      </c>
      <c r="B12809" s="1" t="n">
        <v>45860.57265046296</v>
      </c>
      <c r="C12809" s="1" t="n">
        <v>46145</v>
      </c>
      <c r="D12809" t="inlineStr">
        <is>
          <t>VÄSTERBOTTENS LÄN</t>
        </is>
      </c>
      <c r="E12809" t="inlineStr">
        <is>
          <t>STORUMAN</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19870-2024</t>
        </is>
      </c>
      <c r="B12810" s="1" t="n">
        <v>45433.45328703704</v>
      </c>
      <c r="C12810" s="1" t="n">
        <v>46145</v>
      </c>
      <c r="D12810" t="inlineStr">
        <is>
          <t>VÄSTERBOTTENS LÄN</t>
        </is>
      </c>
      <c r="E12810" t="inlineStr">
        <is>
          <t>NORSJÖ</t>
        </is>
      </c>
      <c r="F12810" t="inlineStr">
        <is>
          <t>Holmen skog AB</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35679-2025</t>
        </is>
      </c>
      <c r="B12811" s="1" t="n">
        <v>45859.65673611111</v>
      </c>
      <c r="C12811" s="1" t="n">
        <v>46145</v>
      </c>
      <c r="D12811" t="inlineStr">
        <is>
          <t>VÄSTERBOTTENS LÄN</t>
        </is>
      </c>
      <c r="E12811" t="inlineStr">
        <is>
          <t>NORDMALING</t>
        </is>
      </c>
      <c r="F12811" t="inlineStr">
        <is>
          <t>SCA</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35748-2025</t>
        </is>
      </c>
      <c r="B12812" s="1" t="n">
        <v>45860.56612268519</v>
      </c>
      <c r="C12812" s="1" t="n">
        <v>46145</v>
      </c>
      <c r="D12812" t="inlineStr">
        <is>
          <t>VÄSTERBOTTENS LÄN</t>
        </is>
      </c>
      <c r="E12812" t="inlineStr">
        <is>
          <t>VINDELN</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35697-2025</t>
        </is>
      </c>
      <c r="B12813" s="1" t="n">
        <v>45860.3481712963</v>
      </c>
      <c r="C12813" s="1" t="n">
        <v>46145</v>
      </c>
      <c r="D12813" t="inlineStr">
        <is>
          <t>VÄSTERBOTTENS LÄN</t>
        </is>
      </c>
      <c r="E12813" t="inlineStr">
        <is>
          <t>SORSELE</t>
        </is>
      </c>
      <c r="F12813" t="inlineStr">
        <is>
          <t>Sveaskog</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63319-2023</t>
        </is>
      </c>
      <c r="B12814" s="1" t="n">
        <v>45273</v>
      </c>
      <c r="C12814" s="1" t="n">
        <v>46145</v>
      </c>
      <c r="D12814" t="inlineStr">
        <is>
          <t>VÄSTERBOTTENS LÄN</t>
        </is>
      </c>
      <c r="E12814" t="inlineStr">
        <is>
          <t>NORSJÖ</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35729-2025</t>
        </is>
      </c>
      <c r="B12815" s="1" t="n">
        <v>45860.46461805556</v>
      </c>
      <c r="C12815" s="1" t="n">
        <v>46145</v>
      </c>
      <c r="D12815" t="inlineStr">
        <is>
          <t>VÄSTERBOTTENS LÄN</t>
        </is>
      </c>
      <c r="E12815" t="inlineStr">
        <is>
          <t>NORSJÖ</t>
        </is>
      </c>
      <c r="F12815" t="inlineStr">
        <is>
          <t>Sveaskog</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26927-2024</t>
        </is>
      </c>
      <c r="B12816" s="1" t="n">
        <v>45470.93131944445</v>
      </c>
      <c r="C12816" s="1" t="n">
        <v>46145</v>
      </c>
      <c r="D12816" t="inlineStr">
        <is>
          <t>VÄSTERBOTTENS LÄN</t>
        </is>
      </c>
      <c r="E12816" t="inlineStr">
        <is>
          <t>NORDMALING</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35606-2025</t>
        </is>
      </c>
      <c r="B12817" s="1" t="n">
        <v>45859.32984953704</v>
      </c>
      <c r="C12817" s="1" t="n">
        <v>46145</v>
      </c>
      <c r="D12817" t="inlineStr">
        <is>
          <t>VÄSTERBOTTENS LÄN</t>
        </is>
      </c>
      <c r="E12817" t="inlineStr">
        <is>
          <t>LYCKSELE</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35600-2025</t>
        </is>
      </c>
      <c r="B12818" s="1" t="n">
        <v>45858.86798611111</v>
      </c>
      <c r="C12818" s="1" t="n">
        <v>46145</v>
      </c>
      <c r="D12818" t="inlineStr">
        <is>
          <t>VÄSTERBOTTENS LÄN</t>
        </is>
      </c>
      <c r="E12818" t="inlineStr">
        <is>
          <t>NORDMALING</t>
        </is>
      </c>
      <c r="G12818" t="n">
        <v>13.4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35630-2025</t>
        </is>
      </c>
      <c r="B12819" s="1" t="n">
        <v>45859.44861111111</v>
      </c>
      <c r="C12819" s="1" t="n">
        <v>46145</v>
      </c>
      <c r="D12819" t="inlineStr">
        <is>
          <t>VÄSTERBOTTENS LÄN</t>
        </is>
      </c>
      <c r="E12819" t="inlineStr">
        <is>
          <t>DOROTEA</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35631-2025</t>
        </is>
      </c>
      <c r="B12820" s="1" t="n">
        <v>45859.44880787037</v>
      </c>
      <c r="C12820" s="1" t="n">
        <v>46145</v>
      </c>
      <c r="D12820" t="inlineStr">
        <is>
          <t>VÄSTERBOTTENS LÄN</t>
        </is>
      </c>
      <c r="E12820" t="inlineStr">
        <is>
          <t>DOROTEA</t>
        </is>
      </c>
      <c r="F12820" t="inlineStr">
        <is>
          <t>SCA</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35772-2025</t>
        </is>
      </c>
      <c r="B12821" s="1" t="n">
        <v>45860.67483796296</v>
      </c>
      <c r="C12821" s="1" t="n">
        <v>46145</v>
      </c>
      <c r="D12821" t="inlineStr">
        <is>
          <t>VÄSTERBOTTENS LÄN</t>
        </is>
      </c>
      <c r="E12821" t="inlineStr">
        <is>
          <t>SKELLEFTEÅ</t>
        </is>
      </c>
      <c r="F12821" t="inlineStr">
        <is>
          <t>Holmen skog AB</t>
        </is>
      </c>
      <c r="G12821" t="n">
        <v>12.4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22782-2025</t>
        </is>
      </c>
      <c r="B12822" s="1" t="n">
        <v>45789.63767361111</v>
      </c>
      <c r="C12822" s="1" t="n">
        <v>46145</v>
      </c>
      <c r="D12822" t="inlineStr">
        <is>
          <t>VÄSTERBOTTENS LÄN</t>
        </is>
      </c>
      <c r="E12822" t="inlineStr">
        <is>
          <t>ROBERTSFORS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44375-2023</t>
        </is>
      </c>
      <c r="B12823" s="1" t="n">
        <v>45188.9247800926</v>
      </c>
      <c r="C12823" s="1" t="n">
        <v>46145</v>
      </c>
      <c r="D12823" t="inlineStr">
        <is>
          <t>VÄSTERBOTTENS LÄN</t>
        </is>
      </c>
      <c r="E12823" t="inlineStr">
        <is>
          <t>LYCKSELE</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35671-2025</t>
        </is>
      </c>
      <c r="B12824" s="1" t="n">
        <v>45859.62431712963</v>
      </c>
      <c r="C12824" s="1" t="n">
        <v>46145</v>
      </c>
      <c r="D12824" t="inlineStr">
        <is>
          <t>VÄSTERBOTTENS LÄN</t>
        </is>
      </c>
      <c r="E12824" t="inlineStr">
        <is>
          <t>LYCKSELE</t>
        </is>
      </c>
      <c r="F12824" t="inlineStr">
        <is>
          <t>Sveaskog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24181-2025</t>
        </is>
      </c>
      <c r="B12825" s="1" t="n">
        <v>45796.78885416667</v>
      </c>
      <c r="C12825" s="1" t="n">
        <v>46145</v>
      </c>
      <c r="D12825" t="inlineStr">
        <is>
          <t>VÄSTERBOTTENS LÄN</t>
        </is>
      </c>
      <c r="E12825" t="inlineStr">
        <is>
          <t>SKELLEFTEÅ</t>
        </is>
      </c>
      <c r="G12825" t="n">
        <v>12.5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35625-2024</t>
        </is>
      </c>
      <c r="B12826" s="1" t="n">
        <v>45531.73709490741</v>
      </c>
      <c r="C12826" s="1" t="n">
        <v>46145</v>
      </c>
      <c r="D12826" t="inlineStr">
        <is>
          <t>VÄSTERBOTTENS LÄN</t>
        </is>
      </c>
      <c r="E12826" t="inlineStr">
        <is>
          <t>UMEÅ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25690-2025</t>
        </is>
      </c>
      <c r="B12827" s="1" t="n">
        <v>45803.66153935185</v>
      </c>
      <c r="C12827" s="1" t="n">
        <v>46145</v>
      </c>
      <c r="D12827" t="inlineStr">
        <is>
          <t>VÄSTERBOTTENS LÄN</t>
        </is>
      </c>
      <c r="E12827" t="inlineStr">
        <is>
          <t>UMEÅ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12694-2025</t>
        </is>
      </c>
      <c r="B12828" s="1" t="n">
        <v>45733.46015046296</v>
      </c>
      <c r="C12828" s="1" t="n">
        <v>46145</v>
      </c>
      <c r="D12828" t="inlineStr">
        <is>
          <t>VÄSTERBOTTENS LÄN</t>
        </is>
      </c>
      <c r="E12828" t="inlineStr">
        <is>
          <t>SKELLEFTEÅ</t>
        </is>
      </c>
      <c r="F12828" t="inlineStr">
        <is>
          <t>Kommuner</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35841-2025</t>
        </is>
      </c>
      <c r="B12829" s="1" t="n">
        <v>45861.55245370371</v>
      </c>
      <c r="C12829" s="1" t="n">
        <v>46145</v>
      </c>
      <c r="D12829" t="inlineStr">
        <is>
          <t>VÄSTERBOTTENS LÄN</t>
        </is>
      </c>
      <c r="E12829" t="inlineStr">
        <is>
          <t>LYCKSELE</t>
        </is>
      </c>
      <c r="F12829" t="inlineStr">
        <is>
          <t>SCA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35848-2025</t>
        </is>
      </c>
      <c r="B12830" s="1" t="n">
        <v>45861.58435185185</v>
      </c>
      <c r="C12830" s="1" t="n">
        <v>46145</v>
      </c>
      <c r="D12830" t="inlineStr">
        <is>
          <t>VÄSTERBOTTENS LÄN</t>
        </is>
      </c>
      <c r="E12830" t="inlineStr">
        <is>
          <t>MALÅ</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35851-2025</t>
        </is>
      </c>
      <c r="B12831" s="1" t="n">
        <v>45861.60244212963</v>
      </c>
      <c r="C12831" s="1" t="n">
        <v>46145</v>
      </c>
      <c r="D12831" t="inlineStr">
        <is>
          <t>VÄSTERBOTTENS LÄN</t>
        </is>
      </c>
      <c r="E12831" t="inlineStr">
        <is>
          <t>MALÅ</t>
        </is>
      </c>
      <c r="F12831" t="inlineStr">
        <is>
          <t>Sveaskog</t>
        </is>
      </c>
      <c r="G12831" t="n">
        <v>7.5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35888-2025</t>
        </is>
      </c>
      <c r="B12832" s="1" t="n">
        <v>45862.44034722223</v>
      </c>
      <c r="C12832" s="1" t="n">
        <v>46145</v>
      </c>
      <c r="D12832" t="inlineStr">
        <is>
          <t>VÄSTERBOTTENS LÄN</t>
        </is>
      </c>
      <c r="E12832" t="inlineStr">
        <is>
          <t>VILHELMINA</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35834-2025</t>
        </is>
      </c>
      <c r="B12833" s="1" t="n">
        <v>45861.53163194445</v>
      </c>
      <c r="C12833" s="1" t="n">
        <v>46145</v>
      </c>
      <c r="D12833" t="inlineStr">
        <is>
          <t>VÄSTERBOTTENS LÄN</t>
        </is>
      </c>
      <c r="E12833" t="inlineStr">
        <is>
          <t>VINDELN</t>
        </is>
      </c>
      <c r="F12833" t="inlineStr">
        <is>
          <t>SCA</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35844-2025</t>
        </is>
      </c>
      <c r="B12834" s="1" t="n">
        <v>45861.55707175926</v>
      </c>
      <c r="C12834" s="1" t="n">
        <v>46145</v>
      </c>
      <c r="D12834" t="inlineStr">
        <is>
          <t>VÄSTERBOTTENS LÄN</t>
        </is>
      </c>
      <c r="E12834" t="inlineStr">
        <is>
          <t>MALÅ</t>
        </is>
      </c>
      <c r="F12834" t="inlineStr">
        <is>
          <t>Sveaskog</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34399-2024</t>
        </is>
      </c>
      <c r="B12835" s="1" t="n">
        <v>45525</v>
      </c>
      <c r="C12835" s="1" t="n">
        <v>46145</v>
      </c>
      <c r="D12835" t="inlineStr">
        <is>
          <t>VÄSTERBOTTENS LÄN</t>
        </is>
      </c>
      <c r="E12835" t="inlineStr">
        <is>
          <t>STORUMAN</t>
        </is>
      </c>
      <c r="F12835" t="inlineStr">
        <is>
          <t>Övriga statliga verk och myndigheter</t>
        </is>
      </c>
      <c r="G12835" t="n">
        <v>10.6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35833-2025</t>
        </is>
      </c>
      <c r="B12836" s="1" t="n">
        <v>45861.51261574074</v>
      </c>
      <c r="C12836" s="1" t="n">
        <v>46145</v>
      </c>
      <c r="D12836" t="inlineStr">
        <is>
          <t>VÄSTERBOTTENS LÄN</t>
        </is>
      </c>
      <c r="E12836" t="inlineStr">
        <is>
          <t>LYCKSELE</t>
        </is>
      </c>
      <c r="F12836" t="inlineStr">
        <is>
          <t>Sveaskog</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35842-2025</t>
        </is>
      </c>
      <c r="B12837" s="1" t="n">
        <v>45861.55259259259</v>
      </c>
      <c r="C12837" s="1" t="n">
        <v>46145</v>
      </c>
      <c r="D12837" t="inlineStr">
        <is>
          <t>VÄSTERBOTTENS LÄN</t>
        </is>
      </c>
      <c r="E12837" t="inlineStr">
        <is>
          <t>VINDELN</t>
        </is>
      </c>
      <c r="F12837" t="inlineStr">
        <is>
          <t>SCA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35887-2025</t>
        </is>
      </c>
      <c r="B12838" s="1" t="n">
        <v>45862.43923611111</v>
      </c>
      <c r="C12838" s="1" t="n">
        <v>46145</v>
      </c>
      <c r="D12838" t="inlineStr">
        <is>
          <t>VÄSTERBOTTENS LÄN</t>
        </is>
      </c>
      <c r="E12838" t="inlineStr">
        <is>
          <t>SKELLEFTEÅ</t>
        </is>
      </c>
      <c r="F12838" t="inlineStr">
        <is>
          <t>Holmen skog AB</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35886-2025</t>
        </is>
      </c>
      <c r="B12839" s="1" t="n">
        <v>45862</v>
      </c>
      <c r="C12839" s="1" t="n">
        <v>46145</v>
      </c>
      <c r="D12839" t="inlineStr">
        <is>
          <t>VÄSTERBOTTENS LÄN</t>
        </is>
      </c>
      <c r="E12839" t="inlineStr">
        <is>
          <t>VILHELMINA</t>
        </is>
      </c>
      <c r="G12839" t="n">
        <v>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35860-2025</t>
        </is>
      </c>
      <c r="B12840" s="1" t="n">
        <v>45861.63883101852</v>
      </c>
      <c r="C12840" s="1" t="n">
        <v>46145</v>
      </c>
      <c r="D12840" t="inlineStr">
        <is>
          <t>VÄSTERBOTTENS LÄN</t>
        </is>
      </c>
      <c r="E12840" t="inlineStr">
        <is>
          <t>LYCKSELE</t>
        </is>
      </c>
      <c r="F12840" t="inlineStr">
        <is>
          <t>Holmen skog AB</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47135-2023</t>
        </is>
      </c>
      <c r="B12841" s="1" t="n">
        <v>45196</v>
      </c>
      <c r="C12841" s="1" t="n">
        <v>46145</v>
      </c>
      <c r="D12841" t="inlineStr">
        <is>
          <t>VÄSTERBOTTENS LÄN</t>
        </is>
      </c>
      <c r="E12841" t="inlineStr">
        <is>
          <t>STORUMAN</t>
        </is>
      </c>
      <c r="G12841" t="n">
        <v>30.4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35923-2025</t>
        </is>
      </c>
      <c r="B12842" s="1" t="n">
        <v>45862.57084490741</v>
      </c>
      <c r="C12842" s="1" t="n">
        <v>46145</v>
      </c>
      <c r="D12842" t="inlineStr">
        <is>
          <t>VÄSTERBOTTENS LÄN</t>
        </is>
      </c>
      <c r="E12842" t="inlineStr">
        <is>
          <t>SKELLEFTEÅ</t>
        </is>
      </c>
      <c r="F12842" t="inlineStr">
        <is>
          <t>Holmen skog AB</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35811-2025</t>
        </is>
      </c>
      <c r="B12843" s="1" t="n">
        <v>45861.43084490741</v>
      </c>
      <c r="C12843" s="1" t="n">
        <v>46145</v>
      </c>
      <c r="D12843" t="inlineStr">
        <is>
          <t>VÄSTERBOTTENS LÄN</t>
        </is>
      </c>
      <c r="E12843" t="inlineStr">
        <is>
          <t>SKELLEFTEÅ</t>
        </is>
      </c>
      <c r="F12843" t="inlineStr">
        <is>
          <t>Holmen skog AB</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35920-2025</t>
        </is>
      </c>
      <c r="B12844" s="1" t="n">
        <v>45862.56438657407</v>
      </c>
      <c r="C12844" s="1" t="n">
        <v>46145</v>
      </c>
      <c r="D12844" t="inlineStr">
        <is>
          <t>VÄSTERBOTTENS LÄN</t>
        </is>
      </c>
      <c r="E12844" t="inlineStr">
        <is>
          <t>LYCKSELE</t>
        </is>
      </c>
      <c r="F12844" t="inlineStr">
        <is>
          <t>Holmen skog AB</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35925-2025</t>
        </is>
      </c>
      <c r="B12845" s="1" t="n">
        <v>45862.5902662037</v>
      </c>
      <c r="C12845" s="1" t="n">
        <v>46145</v>
      </c>
      <c r="D12845" t="inlineStr">
        <is>
          <t>VÄSTERBOTTENS LÄN</t>
        </is>
      </c>
      <c r="E12845" t="inlineStr">
        <is>
          <t>SKELLEFTEÅ</t>
        </is>
      </c>
      <c r="F12845" t="inlineStr">
        <is>
          <t>Holmen skog AB</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35852-2025</t>
        </is>
      </c>
      <c r="B12846" s="1" t="n">
        <v>45861.60447916666</v>
      </c>
      <c r="C12846" s="1" t="n">
        <v>46145</v>
      </c>
      <c r="D12846" t="inlineStr">
        <is>
          <t>VÄSTERBOTTENS LÄN</t>
        </is>
      </c>
      <c r="E12846" t="inlineStr">
        <is>
          <t>MALÅ</t>
        </is>
      </c>
      <c r="F12846" t="inlineStr">
        <is>
          <t>Sveaskog</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35853-2025</t>
        </is>
      </c>
      <c r="B12847" s="1" t="n">
        <v>45861.61166666666</v>
      </c>
      <c r="C12847" s="1" t="n">
        <v>46145</v>
      </c>
      <c r="D12847" t="inlineStr">
        <is>
          <t>VÄSTERBOTTENS LÄN</t>
        </is>
      </c>
      <c r="E12847" t="inlineStr">
        <is>
          <t>MALÅ</t>
        </is>
      </c>
      <c r="F12847" t="inlineStr">
        <is>
          <t>Sveaskog</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41320-2024</t>
        </is>
      </c>
      <c r="B12848" s="1" t="n">
        <v>45559</v>
      </c>
      <c r="C12848" s="1" t="n">
        <v>46145</v>
      </c>
      <c r="D12848" t="inlineStr">
        <is>
          <t>VÄSTERBOTTENS LÄN</t>
        </is>
      </c>
      <c r="E12848" t="inlineStr">
        <is>
          <t>SKELLEFTEÅ</t>
        </is>
      </c>
      <c r="G12848" t="n">
        <v>24.7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35845-2025</t>
        </is>
      </c>
      <c r="B12849" s="1" t="n">
        <v>45861.56920138889</v>
      </c>
      <c r="C12849" s="1" t="n">
        <v>46145</v>
      </c>
      <c r="D12849" t="inlineStr">
        <is>
          <t>VÄSTERBOTTENS LÄN</t>
        </is>
      </c>
      <c r="E12849" t="inlineStr">
        <is>
          <t>MALÅ</t>
        </is>
      </c>
      <c r="F12849" t="inlineStr">
        <is>
          <t>Sveaskog</t>
        </is>
      </c>
      <c r="G12849" t="n">
        <v>10.9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35850-2025</t>
        </is>
      </c>
      <c r="B12850" s="1" t="n">
        <v>45861.5971875</v>
      </c>
      <c r="C12850" s="1" t="n">
        <v>46145</v>
      </c>
      <c r="D12850" t="inlineStr">
        <is>
          <t>VÄSTERBOTTENS LÄN</t>
        </is>
      </c>
      <c r="E12850" t="inlineStr">
        <is>
          <t>MALÅ</t>
        </is>
      </c>
      <c r="F12850" t="inlineStr">
        <is>
          <t>Sveaskog</t>
        </is>
      </c>
      <c r="G12850" t="n">
        <v>11.4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35856-2025</t>
        </is>
      </c>
      <c r="B12851" s="1" t="n">
        <v>45861.61929398148</v>
      </c>
      <c r="C12851" s="1" t="n">
        <v>46145</v>
      </c>
      <c r="D12851" t="inlineStr">
        <is>
          <t>VÄSTERBOTTENS LÄN</t>
        </is>
      </c>
      <c r="E12851" t="inlineStr">
        <is>
          <t>MALÅ</t>
        </is>
      </c>
      <c r="F12851" t="inlineStr">
        <is>
          <t>Sveaskog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35914-2025</t>
        </is>
      </c>
      <c r="B12852" s="1" t="n">
        <v>45862.5441087963</v>
      </c>
      <c r="C12852" s="1" t="n">
        <v>46145</v>
      </c>
      <c r="D12852" t="inlineStr">
        <is>
          <t>VÄSTERBOTTENS LÄN</t>
        </is>
      </c>
      <c r="E12852" t="inlineStr">
        <is>
          <t>SKELLEFTEÅ</t>
        </is>
      </c>
      <c r="F12852" t="inlineStr">
        <is>
          <t>Holmen skog AB</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35972-2025</t>
        </is>
      </c>
      <c r="B12853" s="1" t="n">
        <v>45863.42079861111</v>
      </c>
      <c r="C12853" s="1" t="n">
        <v>46145</v>
      </c>
      <c r="D12853" t="inlineStr">
        <is>
          <t>VÄSTERBOTTENS LÄN</t>
        </is>
      </c>
      <c r="E12853" t="inlineStr">
        <is>
          <t>VINDELN</t>
        </is>
      </c>
      <c r="F12853" t="inlineStr">
        <is>
          <t>Holmen skog AB</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35992-2025</t>
        </is>
      </c>
      <c r="B12854" s="1" t="n">
        <v>45863.4765162037</v>
      </c>
      <c r="C12854" s="1" t="n">
        <v>46145</v>
      </c>
      <c r="D12854" t="inlineStr">
        <is>
          <t>VÄSTERBOTTENS LÄN</t>
        </is>
      </c>
      <c r="E12854" t="inlineStr">
        <is>
          <t>STORUMAN</t>
        </is>
      </c>
      <c r="F12854" t="inlineStr">
        <is>
          <t>Holmen skog AB</t>
        </is>
      </c>
      <c r="G12854" t="n">
        <v>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36056-2025</t>
        </is>
      </c>
      <c r="B12855" s="1" t="n">
        <v>45866.39083333333</v>
      </c>
      <c r="C12855" s="1" t="n">
        <v>46145</v>
      </c>
      <c r="D12855" t="inlineStr">
        <is>
          <t>VÄSTERBOTTENS LÄN</t>
        </is>
      </c>
      <c r="E12855" t="inlineStr">
        <is>
          <t>UMEÅ</t>
        </is>
      </c>
      <c r="F12855" t="inlineStr">
        <is>
          <t>Holmen skog AB</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36084-2025</t>
        </is>
      </c>
      <c r="B12856" s="1" t="n">
        <v>45866.460625</v>
      </c>
      <c r="C12856" s="1" t="n">
        <v>46145</v>
      </c>
      <c r="D12856" t="inlineStr">
        <is>
          <t>VÄSTERBOTTENS LÄN</t>
        </is>
      </c>
      <c r="E12856" t="inlineStr">
        <is>
          <t>UMEÅ</t>
        </is>
      </c>
      <c r="F12856" t="inlineStr">
        <is>
          <t>Holmen skog AB</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36114-2025</t>
        </is>
      </c>
      <c r="B12857" s="1" t="n">
        <v>45866.57740740741</v>
      </c>
      <c r="C12857" s="1" t="n">
        <v>46145</v>
      </c>
      <c r="D12857" t="inlineStr">
        <is>
          <t>VÄSTERBOTTENS LÄN</t>
        </is>
      </c>
      <c r="E12857" t="inlineStr">
        <is>
          <t>UMEÅ</t>
        </is>
      </c>
      <c r="F12857" t="inlineStr">
        <is>
          <t>Holmen skog AB</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36124-2025</t>
        </is>
      </c>
      <c r="B12858" s="1" t="n">
        <v>45866.61493055556</v>
      </c>
      <c r="C12858" s="1" t="n">
        <v>46145</v>
      </c>
      <c r="D12858" t="inlineStr">
        <is>
          <t>VÄSTERBOTTENS LÄN</t>
        </is>
      </c>
      <c r="E12858" t="inlineStr">
        <is>
          <t>LYCKSELE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35954-2025</t>
        </is>
      </c>
      <c r="B12859" s="1" t="n">
        <v>45863.31778935185</v>
      </c>
      <c r="C12859" s="1" t="n">
        <v>46145</v>
      </c>
      <c r="D12859" t="inlineStr">
        <is>
          <t>VÄSTERBOTTENS LÄN</t>
        </is>
      </c>
      <c r="E12859" t="inlineStr">
        <is>
          <t>SKELLEFTEÅ</t>
        </is>
      </c>
      <c r="F12859" t="inlineStr">
        <is>
          <t>Holmen skog AB</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35988-2025</t>
        </is>
      </c>
      <c r="B12860" s="1" t="n">
        <v>45863.46273148148</v>
      </c>
      <c r="C12860" s="1" t="n">
        <v>46145</v>
      </c>
      <c r="D12860" t="inlineStr">
        <is>
          <t>VÄSTERBOTTENS LÄN</t>
        </is>
      </c>
      <c r="E12860" t="inlineStr">
        <is>
          <t>SKELLEFTEÅ</t>
        </is>
      </c>
      <c r="F12860" t="inlineStr">
        <is>
          <t>Holmen skog AB</t>
        </is>
      </c>
      <c r="G12860" t="n">
        <v>17.8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36125-2025</t>
        </is>
      </c>
      <c r="B12861" s="1" t="n">
        <v>45866.61515046296</v>
      </c>
      <c r="C12861" s="1" t="n">
        <v>46145</v>
      </c>
      <c r="D12861" t="inlineStr">
        <is>
          <t>VÄSTERBOTTENS LÄN</t>
        </is>
      </c>
      <c r="E12861" t="inlineStr">
        <is>
          <t>DOROTEA</t>
        </is>
      </c>
      <c r="F12861" t="inlineStr">
        <is>
          <t>SCA</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25099-2025</t>
        </is>
      </c>
      <c r="B12862" s="1" t="n">
        <v>45800</v>
      </c>
      <c r="C12862" s="1" t="n">
        <v>46145</v>
      </c>
      <c r="D12862" t="inlineStr">
        <is>
          <t>VÄSTERBOTTENS LÄN</t>
        </is>
      </c>
      <c r="E12862" t="inlineStr">
        <is>
          <t>BJURHOLM</t>
        </is>
      </c>
      <c r="F12862" t="inlineStr">
        <is>
          <t>SCA</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36077-2025</t>
        </is>
      </c>
      <c r="B12863" s="1" t="n">
        <v>45866.44303240741</v>
      </c>
      <c r="C12863" s="1" t="n">
        <v>46145</v>
      </c>
      <c r="D12863" t="inlineStr">
        <is>
          <t>VÄSTERBOTTENS LÄN</t>
        </is>
      </c>
      <c r="E12863" t="inlineStr">
        <is>
          <t>NORDMALING</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35983-2025</t>
        </is>
      </c>
      <c r="B12864" s="1" t="n">
        <v>45863.44965277778</v>
      </c>
      <c r="C12864" s="1" t="n">
        <v>46145</v>
      </c>
      <c r="D12864" t="inlineStr">
        <is>
          <t>VÄSTERBOTTENS LÄN</t>
        </is>
      </c>
      <c r="E12864" t="inlineStr">
        <is>
          <t>ÅSELE</t>
        </is>
      </c>
      <c r="F12864" t="inlineStr">
        <is>
          <t>Holmen skog AB</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35976-2025</t>
        </is>
      </c>
      <c r="B12865" s="1" t="n">
        <v>45863.44001157407</v>
      </c>
      <c r="C12865" s="1" t="n">
        <v>46145</v>
      </c>
      <c r="D12865" t="inlineStr">
        <is>
          <t>VÄSTERBOTTENS LÄN</t>
        </is>
      </c>
      <c r="E12865" t="inlineStr">
        <is>
          <t>ÅSELE</t>
        </is>
      </c>
      <c r="F12865" t="inlineStr">
        <is>
          <t>Holmen skog AB</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35989-2025</t>
        </is>
      </c>
      <c r="B12866" s="1" t="n">
        <v>45863.46831018518</v>
      </c>
      <c r="C12866" s="1" t="n">
        <v>46145</v>
      </c>
      <c r="D12866" t="inlineStr">
        <is>
          <t>VÄSTERBOTTENS LÄN</t>
        </is>
      </c>
      <c r="E12866" t="inlineStr">
        <is>
          <t>STORUMAN</t>
        </is>
      </c>
      <c r="F12866" t="inlineStr">
        <is>
          <t>Holmen skog AB</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35990-2025</t>
        </is>
      </c>
      <c r="B12867" s="1" t="n">
        <v>45863.47090277778</v>
      </c>
      <c r="C12867" s="1" t="n">
        <v>46145</v>
      </c>
      <c r="D12867" t="inlineStr">
        <is>
          <t>VÄSTERBOTTENS LÄN</t>
        </is>
      </c>
      <c r="E12867" t="inlineStr">
        <is>
          <t>LYCKSELE</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36111-2025</t>
        </is>
      </c>
      <c r="B12868" s="1" t="n">
        <v>45866.57357638889</v>
      </c>
      <c r="C12868" s="1" t="n">
        <v>46145</v>
      </c>
      <c r="D12868" t="inlineStr">
        <is>
          <t>VÄSTERBOTTENS LÄN</t>
        </is>
      </c>
      <c r="E12868" t="inlineStr">
        <is>
          <t>DOROTEA</t>
        </is>
      </c>
      <c r="F12868" t="inlineStr">
        <is>
          <t>SCA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36088-2025</t>
        </is>
      </c>
      <c r="B12869" s="1" t="n">
        <v>45866.47144675926</v>
      </c>
      <c r="C12869" s="1" t="n">
        <v>46145</v>
      </c>
      <c r="D12869" t="inlineStr">
        <is>
          <t>VÄSTERBOTTENS LÄN</t>
        </is>
      </c>
      <c r="E12869" t="inlineStr">
        <is>
          <t>NORDMALING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36096-2025</t>
        </is>
      </c>
      <c r="B12870" s="1" t="n">
        <v>45866.49025462963</v>
      </c>
      <c r="C12870" s="1" t="n">
        <v>46145</v>
      </c>
      <c r="D12870" t="inlineStr">
        <is>
          <t>VÄSTERBOTTENS LÄN</t>
        </is>
      </c>
      <c r="E12870" t="inlineStr">
        <is>
          <t>DOROTEA</t>
        </is>
      </c>
      <c r="F12870" t="inlineStr">
        <is>
          <t>SCA</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36129-2025</t>
        </is>
      </c>
      <c r="B12871" s="1" t="n">
        <v>45866.62015046296</v>
      </c>
      <c r="C12871" s="1" t="n">
        <v>46145</v>
      </c>
      <c r="D12871" t="inlineStr">
        <is>
          <t>VÄSTERBOTTENS LÄN</t>
        </is>
      </c>
      <c r="E12871" t="inlineStr">
        <is>
          <t>NORDMALING</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35951-2025</t>
        </is>
      </c>
      <c r="B12872" s="1" t="n">
        <v>45863.30952546297</v>
      </c>
      <c r="C12872" s="1" t="n">
        <v>46145</v>
      </c>
      <c r="D12872" t="inlineStr">
        <is>
          <t>VÄSTERBOTTENS LÄN</t>
        </is>
      </c>
      <c r="E12872" t="inlineStr">
        <is>
          <t>SKELLEFTEÅ</t>
        </is>
      </c>
      <c r="F12872" t="inlineStr">
        <is>
          <t>Holmen skog AB</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62743-2023</t>
        </is>
      </c>
      <c r="B12873" s="1" t="n">
        <v>45271.61415509259</v>
      </c>
      <c r="C12873" s="1" t="n">
        <v>46145</v>
      </c>
      <c r="D12873" t="inlineStr">
        <is>
          <t>VÄSTERBOTTENS LÄN</t>
        </is>
      </c>
      <c r="E12873" t="inlineStr">
        <is>
          <t>NORSJÖ</t>
        </is>
      </c>
      <c r="F12873" t="inlineStr">
        <is>
          <t>Holmen skog AB</t>
        </is>
      </c>
      <c r="G12873" t="n">
        <v>12.2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36104-2025</t>
        </is>
      </c>
      <c r="B12874" s="1" t="n">
        <v>45866.55498842592</v>
      </c>
      <c r="C12874" s="1" t="n">
        <v>46145</v>
      </c>
      <c r="D12874" t="inlineStr">
        <is>
          <t>VÄSTERBOTTENS LÄN</t>
        </is>
      </c>
      <c r="E12874" t="inlineStr">
        <is>
          <t>BJURHOLM</t>
        </is>
      </c>
      <c r="G12874" t="n">
        <v>9.800000000000001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16156-2025</t>
        </is>
      </c>
      <c r="B12875" s="1" t="n">
        <v>45750.49013888889</v>
      </c>
      <c r="C12875" s="1" t="n">
        <v>46145</v>
      </c>
      <c r="D12875" t="inlineStr">
        <is>
          <t>VÄSTERBOTTENS LÄN</t>
        </is>
      </c>
      <c r="E12875" t="inlineStr">
        <is>
          <t>SKELLEFTEÅ</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36314-2025</t>
        </is>
      </c>
      <c r="B12876" s="1" t="n">
        <v>45868.34462962963</v>
      </c>
      <c r="C12876" s="1" t="n">
        <v>46145</v>
      </c>
      <c r="D12876" t="inlineStr">
        <is>
          <t>VÄSTERBOTTENS LÄN</t>
        </is>
      </c>
      <c r="E12876" t="inlineStr">
        <is>
          <t>VINDELN</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36363-2025</t>
        </is>
      </c>
      <c r="B12877" s="1" t="n">
        <v>45867</v>
      </c>
      <c r="C12877" s="1" t="n">
        <v>46145</v>
      </c>
      <c r="D12877" t="inlineStr">
        <is>
          <t>VÄSTERBOTTENS LÄN</t>
        </is>
      </c>
      <c r="E12877" t="inlineStr">
        <is>
          <t>DOROTEA</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36372-2025</t>
        </is>
      </c>
      <c r="B12878" s="1" t="n">
        <v>45867</v>
      </c>
      <c r="C12878" s="1" t="n">
        <v>46145</v>
      </c>
      <c r="D12878" t="inlineStr">
        <is>
          <t>VÄSTERBOTTENS LÄN</t>
        </is>
      </c>
      <c r="E12878" t="inlineStr">
        <is>
          <t>ÅSELE</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36370-2025</t>
        </is>
      </c>
      <c r="B12879" s="1" t="n">
        <v>45867</v>
      </c>
      <c r="C12879" s="1" t="n">
        <v>46145</v>
      </c>
      <c r="D12879" t="inlineStr">
        <is>
          <t>VÄSTERBOTTENS LÄN</t>
        </is>
      </c>
      <c r="E12879" t="inlineStr">
        <is>
          <t>ÅSELE</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36376-2025</t>
        </is>
      </c>
      <c r="B12880" s="1" t="n">
        <v>45868.56623842593</v>
      </c>
      <c r="C12880" s="1" t="n">
        <v>46145</v>
      </c>
      <c r="D12880" t="inlineStr">
        <is>
          <t>VÄSTERBOTTENS LÄN</t>
        </is>
      </c>
      <c r="E12880" t="inlineStr">
        <is>
          <t>ÅSELE</t>
        </is>
      </c>
      <c r="F12880" t="inlineStr">
        <is>
          <t>Holmen skog AB</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36155-2025</t>
        </is>
      </c>
      <c r="B12881" s="1" t="n">
        <v>45867.34467592592</v>
      </c>
      <c r="C12881" s="1" t="n">
        <v>46145</v>
      </c>
      <c r="D12881" t="inlineStr">
        <is>
          <t>VÄSTERBOTTENS LÄN</t>
        </is>
      </c>
      <c r="E12881" t="inlineStr">
        <is>
          <t>VINDELN</t>
        </is>
      </c>
      <c r="F12881" t="inlineStr">
        <is>
          <t>SCA</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36281-2025</t>
        </is>
      </c>
      <c r="B12882" s="1" t="n">
        <v>45867.64376157407</v>
      </c>
      <c r="C12882" s="1" t="n">
        <v>46145</v>
      </c>
      <c r="D12882" t="inlineStr">
        <is>
          <t>VÄSTERBOTTENS LÄN</t>
        </is>
      </c>
      <c r="E12882" t="inlineStr">
        <is>
          <t>NORDMALING</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35832-2025</t>
        </is>
      </c>
      <c r="B12883" s="1" t="n">
        <v>45861.50935185186</v>
      </c>
      <c r="C12883" s="1" t="n">
        <v>46145</v>
      </c>
      <c r="D12883" t="inlineStr">
        <is>
          <t>VÄSTERBOTTENS LÄN</t>
        </is>
      </c>
      <c r="E12883" t="inlineStr">
        <is>
          <t>LYCKSELE</t>
        </is>
      </c>
      <c r="F12883" t="inlineStr">
        <is>
          <t>Sveaskog</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36154-2025</t>
        </is>
      </c>
      <c r="B12884" s="1" t="n">
        <v>45867.34443287037</v>
      </c>
      <c r="C12884" s="1" t="n">
        <v>46145</v>
      </c>
      <c r="D12884" t="inlineStr">
        <is>
          <t>VÄSTERBOTTENS LÄN</t>
        </is>
      </c>
      <c r="E12884" t="inlineStr">
        <is>
          <t>ÅSELE</t>
        </is>
      </c>
      <c r="F12884" t="inlineStr">
        <is>
          <t>SCA</t>
        </is>
      </c>
      <c r="G12884" t="n">
        <v>19.9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36278-2025</t>
        </is>
      </c>
      <c r="B12885" s="1" t="n">
        <v>45867</v>
      </c>
      <c r="C12885" s="1" t="n">
        <v>46145</v>
      </c>
      <c r="D12885" t="inlineStr">
        <is>
          <t>VÄSTERBOTTENS LÄN</t>
        </is>
      </c>
      <c r="E12885" t="inlineStr">
        <is>
          <t>ÅSELE</t>
        </is>
      </c>
      <c r="F12885" t="inlineStr">
        <is>
          <t>SCA</t>
        </is>
      </c>
      <c r="G12885" t="n">
        <v>11.3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29492-2025</t>
        </is>
      </c>
      <c r="B12886" s="1" t="n">
        <v>45824.78887731482</v>
      </c>
      <c r="C12886" s="1" t="n">
        <v>46145</v>
      </c>
      <c r="D12886" t="inlineStr">
        <is>
          <t>VÄSTERBOTTENS LÄN</t>
        </is>
      </c>
      <c r="E12886" t="inlineStr">
        <is>
          <t>SORSELE</t>
        </is>
      </c>
      <c r="G12886" t="n">
        <v>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36334-2025</t>
        </is>
      </c>
      <c r="B12887" s="1" t="n">
        <v>45868.43071759259</v>
      </c>
      <c r="C12887" s="1" t="n">
        <v>46145</v>
      </c>
      <c r="D12887" t="inlineStr">
        <is>
          <t>VÄSTERBOTTENS LÄN</t>
        </is>
      </c>
      <c r="E12887" t="inlineStr">
        <is>
          <t>UMEÅ</t>
        </is>
      </c>
      <c r="F12887" t="inlineStr">
        <is>
          <t>Holmen skog AB</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36309-2025</t>
        </is>
      </c>
      <c r="B12888" s="1" t="n">
        <v>45868.33694444445</v>
      </c>
      <c r="C12888" s="1" t="n">
        <v>46145</v>
      </c>
      <c r="D12888" t="inlineStr">
        <is>
          <t>VÄSTERBOTTENS LÄN</t>
        </is>
      </c>
      <c r="E12888" t="inlineStr">
        <is>
          <t>UMEÅ</t>
        </is>
      </c>
      <c r="F12888" t="inlineStr">
        <is>
          <t>Holmen skog AB</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36217-2025</t>
        </is>
      </c>
      <c r="B12889" s="1" t="n">
        <v>45867.49550925926</v>
      </c>
      <c r="C12889" s="1" t="n">
        <v>46145</v>
      </c>
      <c r="D12889" t="inlineStr">
        <is>
          <t>VÄSTERBOTTENS LÄN</t>
        </is>
      </c>
      <c r="E12889" t="inlineStr">
        <is>
          <t>UMEÅ</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36198-2025</t>
        </is>
      </c>
      <c r="B12890" s="1" t="n">
        <v>45867.43743055555</v>
      </c>
      <c r="C12890" s="1" t="n">
        <v>46145</v>
      </c>
      <c r="D12890" t="inlineStr">
        <is>
          <t>VÄSTERBOTTENS LÄN</t>
        </is>
      </c>
      <c r="E12890" t="inlineStr">
        <is>
          <t>ÅSELE</t>
        </is>
      </c>
      <c r="F12890" t="inlineStr">
        <is>
          <t>Holmen skog AB</t>
        </is>
      </c>
      <c r="G12890" t="n">
        <v>14.9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36413-2025</t>
        </is>
      </c>
      <c r="B12891" s="1" t="n">
        <v>45868.69234953704</v>
      </c>
      <c r="C12891" s="1" t="n">
        <v>46145</v>
      </c>
      <c r="D12891" t="inlineStr">
        <is>
          <t>VÄSTERBOTTENS LÄN</t>
        </is>
      </c>
      <c r="E12891" t="inlineStr">
        <is>
          <t>ÅSELE</t>
        </is>
      </c>
      <c r="F12891" t="inlineStr">
        <is>
          <t>Holmen skog AB</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36215-2025</t>
        </is>
      </c>
      <c r="B12892" s="1" t="n">
        <v>45867.49079861111</v>
      </c>
      <c r="C12892" s="1" t="n">
        <v>46145</v>
      </c>
      <c r="D12892" t="inlineStr">
        <is>
          <t>VÄSTERBOTTENS LÄN</t>
        </is>
      </c>
      <c r="E12892" t="inlineStr">
        <is>
          <t>SKELLEFTEÅ</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36220-2025</t>
        </is>
      </c>
      <c r="B12893" s="1" t="n">
        <v>45867.505</v>
      </c>
      <c r="C12893" s="1" t="n">
        <v>46145</v>
      </c>
      <c r="D12893" t="inlineStr">
        <is>
          <t>VÄSTERBOTTENS LÄN</t>
        </is>
      </c>
      <c r="E12893" t="inlineStr">
        <is>
          <t>ÅSELE</t>
        </is>
      </c>
      <c r="F12893" t="inlineStr">
        <is>
          <t>Holmen skog AB</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36233-2025</t>
        </is>
      </c>
      <c r="B12894" s="1" t="n">
        <v>45867.54707175926</v>
      </c>
      <c r="C12894" s="1" t="n">
        <v>46145</v>
      </c>
      <c r="D12894" t="inlineStr">
        <is>
          <t>VÄSTERBOTTENS LÄN</t>
        </is>
      </c>
      <c r="E12894" t="inlineStr">
        <is>
          <t>UMEÅ</t>
        </is>
      </c>
      <c r="F12894" t="inlineStr">
        <is>
          <t>Holmen skog AB</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36262-2025</t>
        </is>
      </c>
      <c r="B12895" s="1" t="n">
        <v>45867.61493055556</v>
      </c>
      <c r="C12895" s="1" t="n">
        <v>46145</v>
      </c>
      <c r="D12895" t="inlineStr">
        <is>
          <t>VÄSTERBOTTENS LÄN</t>
        </is>
      </c>
      <c r="E12895" t="inlineStr">
        <is>
          <t>VINDELN</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36264-2025</t>
        </is>
      </c>
      <c r="B12896" s="1" t="n">
        <v>45867.61530092593</v>
      </c>
      <c r="C12896" s="1" t="n">
        <v>46145</v>
      </c>
      <c r="D12896" t="inlineStr">
        <is>
          <t>VÄSTERBOTTENS LÄN</t>
        </is>
      </c>
      <c r="E12896" t="inlineStr">
        <is>
          <t>BJURHOLM</t>
        </is>
      </c>
      <c r="F12896" t="inlineStr">
        <is>
          <t>SCA</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36315-2025</t>
        </is>
      </c>
      <c r="B12897" s="1" t="n">
        <v>45868</v>
      </c>
      <c r="C12897" s="1" t="n">
        <v>46145</v>
      </c>
      <c r="D12897" t="inlineStr">
        <is>
          <t>VÄSTERBOTTENS LÄN</t>
        </is>
      </c>
      <c r="E12897" t="inlineStr">
        <is>
          <t>ÅSELE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36174-2025</t>
        </is>
      </c>
      <c r="B12898" s="1" t="n">
        <v>45867.39787037037</v>
      </c>
      <c r="C12898" s="1" t="n">
        <v>46145</v>
      </c>
      <c r="D12898" t="inlineStr">
        <is>
          <t>VÄSTERBOTTENS LÄN</t>
        </is>
      </c>
      <c r="E12898" t="inlineStr">
        <is>
          <t>ÅSELE</t>
        </is>
      </c>
      <c r="F12898" t="inlineStr">
        <is>
          <t>Holmen skog AB</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36301-2025</t>
        </is>
      </c>
      <c r="B12899" s="1" t="n">
        <v>45867.70578703703</v>
      </c>
      <c r="C12899" s="1" t="n">
        <v>46145</v>
      </c>
      <c r="D12899" t="inlineStr">
        <is>
          <t>VÄSTERBOTTENS LÄN</t>
        </is>
      </c>
      <c r="E12899" t="inlineStr">
        <is>
          <t>ÅSELE</t>
        </is>
      </c>
      <c r="F12899" t="inlineStr">
        <is>
          <t>Holmen skog AB</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36161-2025</t>
        </is>
      </c>
      <c r="B12900" s="1" t="n">
        <v>45867.3653587963</v>
      </c>
      <c r="C12900" s="1" t="n">
        <v>46145</v>
      </c>
      <c r="D12900" t="inlineStr">
        <is>
          <t>VÄSTERBOTTENS LÄN</t>
        </is>
      </c>
      <c r="E12900" t="inlineStr">
        <is>
          <t>DOROTEA</t>
        </is>
      </c>
      <c r="F12900" t="inlineStr">
        <is>
          <t>SCA</t>
        </is>
      </c>
      <c r="G12900" t="n">
        <v>14.2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36176-2025</t>
        </is>
      </c>
      <c r="B12901" s="1" t="n">
        <v>45867</v>
      </c>
      <c r="C12901" s="1" t="n">
        <v>46145</v>
      </c>
      <c r="D12901" t="inlineStr">
        <is>
          <t>VÄSTERBOTTENS LÄN</t>
        </is>
      </c>
      <c r="E12901" t="inlineStr">
        <is>
          <t>SORSELE</t>
        </is>
      </c>
      <c r="G12901" t="n">
        <v>22.7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36393-2025</t>
        </is>
      </c>
      <c r="B12902" s="1" t="n">
        <v>45868.61376157407</v>
      </c>
      <c r="C12902" s="1" t="n">
        <v>46145</v>
      </c>
      <c r="D12902" t="inlineStr">
        <is>
          <t>VÄSTERBOTTENS LÄN</t>
        </is>
      </c>
      <c r="E12902" t="inlineStr">
        <is>
          <t>ÅSELE</t>
        </is>
      </c>
      <c r="F12902" t="inlineStr">
        <is>
          <t>Holmen skog AB</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36398-2025</t>
        </is>
      </c>
      <c r="B12903" s="1" t="n">
        <v>45868.63600694444</v>
      </c>
      <c r="C12903" s="1" t="n">
        <v>46145</v>
      </c>
      <c r="D12903" t="inlineStr">
        <is>
          <t>VÄSTERBOTTENS LÄN</t>
        </is>
      </c>
      <c r="E12903" t="inlineStr">
        <is>
          <t>LYCKSELE</t>
        </is>
      </c>
      <c r="F12903" t="inlineStr">
        <is>
          <t>SCA</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36151-2025</t>
        </is>
      </c>
      <c r="B12904" s="1" t="n">
        <v>45867.31869212963</v>
      </c>
      <c r="C12904" s="1" t="n">
        <v>46145</v>
      </c>
      <c r="D12904" t="inlineStr">
        <is>
          <t>VÄSTERBOTTENS LÄN</t>
        </is>
      </c>
      <c r="E12904" t="inlineStr">
        <is>
          <t>VINDELN</t>
        </is>
      </c>
      <c r="F12904" t="inlineStr">
        <is>
          <t>Holmen skog AB</t>
        </is>
      </c>
      <c r="G12904" t="n">
        <v>8.1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36162-2025</t>
        </is>
      </c>
      <c r="B12905" s="1" t="n">
        <v>45867.36557870371</v>
      </c>
      <c r="C12905" s="1" t="n">
        <v>46145</v>
      </c>
      <c r="D12905" t="inlineStr">
        <is>
          <t>VÄSTERBOTTENS LÄN</t>
        </is>
      </c>
      <c r="E12905" t="inlineStr">
        <is>
          <t>DOROTEA</t>
        </is>
      </c>
      <c r="F12905" t="inlineStr">
        <is>
          <t>SCA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36286-2025</t>
        </is>
      </c>
      <c r="B12906" s="1" t="n">
        <v>45867.65657407408</v>
      </c>
      <c r="C12906" s="1" t="n">
        <v>46145</v>
      </c>
      <c r="D12906" t="inlineStr">
        <is>
          <t>VÄSTERBOTTENS LÄN</t>
        </is>
      </c>
      <c r="E12906" t="inlineStr">
        <is>
          <t>MALÅ</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36400-2025</t>
        </is>
      </c>
      <c r="B12907" s="1" t="n">
        <v>45868</v>
      </c>
      <c r="C12907" s="1" t="n">
        <v>46145</v>
      </c>
      <c r="D12907" t="inlineStr">
        <is>
          <t>VÄSTERBOTTENS LÄN</t>
        </is>
      </c>
      <c r="E12907" t="inlineStr">
        <is>
          <t>ÅSELE</t>
        </is>
      </c>
      <c r="F12907" t="inlineStr">
        <is>
          <t>Holmen skog AB</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36381-2025</t>
        </is>
      </c>
      <c r="B12908" s="1" t="n">
        <v>45868.5740162037</v>
      </c>
      <c r="C12908" s="1" t="n">
        <v>46145</v>
      </c>
      <c r="D12908" t="inlineStr">
        <is>
          <t>VÄSTERBOTTENS LÄN</t>
        </is>
      </c>
      <c r="E12908" t="inlineStr">
        <is>
          <t>SORSELE</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36296-2025</t>
        </is>
      </c>
      <c r="B12909" s="1" t="n">
        <v>45867.68413194444</v>
      </c>
      <c r="C12909" s="1" t="n">
        <v>46145</v>
      </c>
      <c r="D12909" t="inlineStr">
        <is>
          <t>VÄSTERBOTTENS LÄN</t>
        </is>
      </c>
      <c r="E12909" t="inlineStr">
        <is>
          <t>ÅSELE</t>
        </is>
      </c>
      <c r="F12909" t="inlineStr">
        <is>
          <t>Holmen skog AB</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36275-2025</t>
        </is>
      </c>
      <c r="B12910" s="1" t="n">
        <v>45867.63604166666</v>
      </c>
      <c r="C12910" s="1" t="n">
        <v>46145</v>
      </c>
      <c r="D12910" t="inlineStr">
        <is>
          <t>VÄSTERBOTTENS LÄN</t>
        </is>
      </c>
      <c r="E12910" t="inlineStr">
        <is>
          <t>ÅSELE</t>
        </is>
      </c>
      <c r="F12910" t="inlineStr">
        <is>
          <t>SCA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42536-2024</t>
        </is>
      </c>
      <c r="B12911" s="1" t="n">
        <v>45565.58391203704</v>
      </c>
      <c r="C12911" s="1" t="n">
        <v>46145</v>
      </c>
      <c r="D12911" t="inlineStr">
        <is>
          <t>VÄSTERBOTTENS LÄN</t>
        </is>
      </c>
      <c r="E12911" t="inlineStr">
        <is>
          <t>BJURHOLM</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36542-2025</t>
        </is>
      </c>
      <c r="B12912" s="1" t="n">
        <v>45869.6568287037</v>
      </c>
      <c r="C12912" s="1" t="n">
        <v>46145</v>
      </c>
      <c r="D12912" t="inlineStr">
        <is>
          <t>VÄSTERBOTTENS LÄN</t>
        </is>
      </c>
      <c r="E12912" t="inlineStr">
        <is>
          <t>LYCKSELE</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43817-2025</t>
        </is>
      </c>
      <c r="B12913" s="1" t="n">
        <v>45912</v>
      </c>
      <c r="C12913" s="1" t="n">
        <v>46145</v>
      </c>
      <c r="D12913" t="inlineStr">
        <is>
          <t>VÄSTERBOTTENS LÄN</t>
        </is>
      </c>
      <c r="E12913" t="inlineStr">
        <is>
          <t>VILHELMINA</t>
        </is>
      </c>
      <c r="G12913" t="n">
        <v>23.1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36580-2025</t>
        </is>
      </c>
      <c r="B12914" s="1" t="n">
        <v>45870.42599537037</v>
      </c>
      <c r="C12914" s="1" t="n">
        <v>46145</v>
      </c>
      <c r="D12914" t="inlineStr">
        <is>
          <t>VÄSTERBOTTENS LÄN</t>
        </is>
      </c>
      <c r="E12914" t="inlineStr">
        <is>
          <t>MALÅ</t>
        </is>
      </c>
      <c r="F12914" t="inlineStr">
        <is>
          <t>Sveaskog</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36439-2025</t>
        </is>
      </c>
      <c r="B12915" s="1" t="n">
        <v>45869.38572916666</v>
      </c>
      <c r="C12915" s="1" t="n">
        <v>46145</v>
      </c>
      <c r="D12915" t="inlineStr">
        <is>
          <t>VÄSTERBOTTENS LÄN</t>
        </is>
      </c>
      <c r="E12915" t="inlineStr">
        <is>
          <t>LYCKSELE</t>
        </is>
      </c>
      <c r="F12915" t="inlineStr">
        <is>
          <t>Holmen skog AB</t>
        </is>
      </c>
      <c r="G12915" t="n">
        <v>14.3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36550-2025</t>
        </is>
      </c>
      <c r="B12916" s="1" t="n">
        <v>45870.32920138889</v>
      </c>
      <c r="C12916" s="1" t="n">
        <v>46145</v>
      </c>
      <c r="D12916" t="inlineStr">
        <is>
          <t>VÄSTERBOTTENS LÄN</t>
        </is>
      </c>
      <c r="E12916" t="inlineStr">
        <is>
          <t>NORSJÖ</t>
        </is>
      </c>
      <c r="F12916" t="inlineStr">
        <is>
          <t>Sveaskog</t>
        </is>
      </c>
      <c r="G12916" t="n">
        <v>8.9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36594-2025</t>
        </is>
      </c>
      <c r="B12917" s="1" t="n">
        <v>45870.51164351852</v>
      </c>
      <c r="C12917" s="1" t="n">
        <v>46145</v>
      </c>
      <c r="D12917" t="inlineStr">
        <is>
          <t>VÄSTERBOTTENS LÄN</t>
        </is>
      </c>
      <c r="E12917" t="inlineStr">
        <is>
          <t>ROBERTSFORS</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36609-2025</t>
        </is>
      </c>
      <c r="B12918" s="1" t="n">
        <v>45870.57207175926</v>
      </c>
      <c r="C12918" s="1" t="n">
        <v>46145</v>
      </c>
      <c r="D12918" t="inlineStr">
        <is>
          <t>VÄSTERBOTTENS LÄN</t>
        </is>
      </c>
      <c r="E12918" t="inlineStr">
        <is>
          <t>ÅSELE</t>
        </is>
      </c>
      <c r="F12918" t="inlineStr">
        <is>
          <t>Holmen skog AB</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36467-2025</t>
        </is>
      </c>
      <c r="B12919" s="1" t="n">
        <v>45869.47054398148</v>
      </c>
      <c r="C12919" s="1" t="n">
        <v>46145</v>
      </c>
      <c r="D12919" t="inlineStr">
        <is>
          <t>VÄSTERBOTTENS LÄN</t>
        </is>
      </c>
      <c r="E12919" t="inlineStr">
        <is>
          <t>ÅSELE</t>
        </is>
      </c>
      <c r="F12919" t="inlineStr">
        <is>
          <t>Holmen skog AB</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36578-2025</t>
        </is>
      </c>
      <c r="B12920" s="1" t="n">
        <v>45870.41876157407</v>
      </c>
      <c r="C12920" s="1" t="n">
        <v>46145</v>
      </c>
      <c r="D12920" t="inlineStr">
        <is>
          <t>VÄSTERBOTTENS LÄN</t>
        </is>
      </c>
      <c r="E12920" t="inlineStr">
        <is>
          <t>UMEÅ</t>
        </is>
      </c>
      <c r="F12920" t="inlineStr">
        <is>
          <t>Holmen skog AB</t>
        </is>
      </c>
      <c r="G12920" t="n">
        <v>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36559-2025</t>
        </is>
      </c>
      <c r="B12921" s="1" t="n">
        <v>45870.36071759259</v>
      </c>
      <c r="C12921" s="1" t="n">
        <v>46145</v>
      </c>
      <c r="D12921" t="inlineStr">
        <is>
          <t>VÄSTERBOTTENS LÄN</t>
        </is>
      </c>
      <c r="E12921" t="inlineStr">
        <is>
          <t>ÅSELE</t>
        </is>
      </c>
      <c r="F12921" t="inlineStr">
        <is>
          <t>Holmen skog AB</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36613-2025</t>
        </is>
      </c>
      <c r="B12922" s="1" t="n">
        <v>45870.60596064815</v>
      </c>
      <c r="C12922" s="1" t="n">
        <v>46145</v>
      </c>
      <c r="D12922" t="inlineStr">
        <is>
          <t>VÄSTERBOTTENS LÄN</t>
        </is>
      </c>
      <c r="E12922" t="inlineStr">
        <is>
          <t>NORSJÖ</t>
        </is>
      </c>
      <c r="F12922" t="inlineStr">
        <is>
          <t>Sveaskog</t>
        </is>
      </c>
      <c r="G12922" t="n">
        <v>10.8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36634-2025</t>
        </is>
      </c>
      <c r="B12923" s="1" t="n">
        <v>45870.69335648148</v>
      </c>
      <c r="C12923" s="1" t="n">
        <v>46145</v>
      </c>
      <c r="D12923" t="inlineStr">
        <is>
          <t>VÄSTERBOTTENS LÄN</t>
        </is>
      </c>
      <c r="E12923" t="inlineStr">
        <is>
          <t>ÅSELE</t>
        </is>
      </c>
      <c r="F12923" t="inlineStr">
        <is>
          <t>Holmen skog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36569-2025</t>
        </is>
      </c>
      <c r="B12924" s="1" t="n">
        <v>45870</v>
      </c>
      <c r="C12924" s="1" t="n">
        <v>46145</v>
      </c>
      <c r="D12924" t="inlineStr">
        <is>
          <t>VÄSTERBOTTENS LÄN</t>
        </is>
      </c>
      <c r="E12924" t="inlineStr">
        <is>
          <t>VILHELMINA</t>
        </is>
      </c>
      <c r="F12924" t="inlineStr">
        <is>
          <t>SCA</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36576-2025</t>
        </is>
      </c>
      <c r="B12925" s="1" t="n">
        <v>45870.41331018518</v>
      </c>
      <c r="C12925" s="1" t="n">
        <v>46145</v>
      </c>
      <c r="D12925" t="inlineStr">
        <is>
          <t>VÄSTERBOTTENS LÄN</t>
        </is>
      </c>
      <c r="E12925" t="inlineStr">
        <is>
          <t>ÅSELE</t>
        </is>
      </c>
      <c r="F12925" t="inlineStr">
        <is>
          <t>Holmen skog AB</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36583-2025</t>
        </is>
      </c>
      <c r="B12926" s="1" t="n">
        <v>45870.43251157407</v>
      </c>
      <c r="C12926" s="1" t="n">
        <v>46145</v>
      </c>
      <c r="D12926" t="inlineStr">
        <is>
          <t>VÄSTERBOTTENS LÄN</t>
        </is>
      </c>
      <c r="E12926" t="inlineStr">
        <is>
          <t>MALÅ</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36495-2025</t>
        </is>
      </c>
      <c r="B12927" s="1" t="n">
        <v>45869</v>
      </c>
      <c r="C12927" s="1" t="n">
        <v>46145</v>
      </c>
      <c r="D12927" t="inlineStr">
        <is>
          <t>VÄSTERBOTTENS LÄN</t>
        </is>
      </c>
      <c r="E12927" t="inlineStr">
        <is>
          <t>SORSELE</t>
        </is>
      </c>
      <c r="F12927" t="inlineStr">
        <is>
          <t>Sveaskog</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36845-2025</t>
        </is>
      </c>
      <c r="B12928" s="1" t="n">
        <v>45874.38578703703</v>
      </c>
      <c r="C12928" s="1" t="n">
        <v>46145</v>
      </c>
      <c r="D12928" t="inlineStr">
        <is>
          <t>VÄSTERBOTTENS LÄN</t>
        </is>
      </c>
      <c r="E12928" t="inlineStr">
        <is>
          <t>DOROTEA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36901-2025</t>
        </is>
      </c>
      <c r="B12929" s="1" t="n">
        <v>45874.48631944445</v>
      </c>
      <c r="C12929" s="1" t="n">
        <v>46145</v>
      </c>
      <c r="D12929" t="inlineStr">
        <is>
          <t>VÄSTERBOTTENS LÄN</t>
        </is>
      </c>
      <c r="E12929" t="inlineStr">
        <is>
          <t>BJURHOLM</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36903-2025</t>
        </is>
      </c>
      <c r="B12930" s="1" t="n">
        <v>45874.48923611111</v>
      </c>
      <c r="C12930" s="1" t="n">
        <v>46145</v>
      </c>
      <c r="D12930" t="inlineStr">
        <is>
          <t>VÄSTERBOTTENS LÄN</t>
        </is>
      </c>
      <c r="E12930" t="inlineStr">
        <is>
          <t>SKELLEFTEÅ</t>
        </is>
      </c>
      <c r="F12930" t="inlineStr">
        <is>
          <t>Sveaskog</t>
        </is>
      </c>
      <c r="G12930" t="n">
        <v>20.5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36905-2025</t>
        </is>
      </c>
      <c r="B12931" s="1" t="n">
        <v>45874.49083333334</v>
      </c>
      <c r="C12931" s="1" t="n">
        <v>46145</v>
      </c>
      <c r="D12931" t="inlineStr">
        <is>
          <t>VÄSTERBOTTENS LÄN</t>
        </is>
      </c>
      <c r="E12931" t="inlineStr">
        <is>
          <t>UMEÅ</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23170-2024</t>
        </is>
      </c>
      <c r="B12932" s="1" t="n">
        <v>45450.92833333334</v>
      </c>
      <c r="C12932" s="1" t="n">
        <v>46145</v>
      </c>
      <c r="D12932" t="inlineStr">
        <is>
          <t>VÄSTERBOTTENS LÄN</t>
        </is>
      </c>
      <c r="E12932" t="inlineStr">
        <is>
          <t>NORSJÖ</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36888-2025</t>
        </is>
      </c>
      <c r="B12933" s="1" t="n">
        <v>45874.44873842593</v>
      </c>
      <c r="C12933" s="1" t="n">
        <v>46145</v>
      </c>
      <c r="D12933" t="inlineStr">
        <is>
          <t>VÄSTERBOTTENS LÄN</t>
        </is>
      </c>
      <c r="E12933" t="inlineStr">
        <is>
          <t>SKELLEFTEÅ</t>
        </is>
      </c>
      <c r="F12933" t="inlineStr">
        <is>
          <t>Holmen skog AB</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36739-2025</t>
        </is>
      </c>
      <c r="B12934" s="1" t="n">
        <v>45873.53224537037</v>
      </c>
      <c r="C12934" s="1" t="n">
        <v>46145</v>
      </c>
      <c r="D12934" t="inlineStr">
        <is>
          <t>VÄSTERBOTTENS LÄN</t>
        </is>
      </c>
      <c r="E12934" t="inlineStr">
        <is>
          <t>UMEÅ</t>
        </is>
      </c>
      <c r="F12934" t="inlineStr">
        <is>
          <t>Kommuner</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36762-2025</t>
        </is>
      </c>
      <c r="B12935" s="1" t="n">
        <v>45873.57332175926</v>
      </c>
      <c r="C12935" s="1" t="n">
        <v>46145</v>
      </c>
      <c r="D12935" t="inlineStr">
        <is>
          <t>VÄSTERBOTTENS LÄN</t>
        </is>
      </c>
      <c r="E12935" t="inlineStr">
        <is>
          <t>SKELLEFTEÅ</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36801-2025</t>
        </is>
      </c>
      <c r="B12936" s="1" t="n">
        <v>45873.66607638889</v>
      </c>
      <c r="C12936" s="1" t="n">
        <v>46145</v>
      </c>
      <c r="D12936" t="inlineStr">
        <is>
          <t>VÄSTERBOTTENS LÄN</t>
        </is>
      </c>
      <c r="E12936" t="inlineStr">
        <is>
          <t>VÄNNÄS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36925-2025</t>
        </is>
      </c>
      <c r="B12937" s="1" t="n">
        <v>45874.5504050926</v>
      </c>
      <c r="C12937" s="1" t="n">
        <v>46145</v>
      </c>
      <c r="D12937" t="inlineStr">
        <is>
          <t>VÄSTERBOTTENS LÄN</t>
        </is>
      </c>
      <c r="E12937" t="inlineStr">
        <is>
          <t>SKELLEFTEÅ</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36952-2025</t>
        </is>
      </c>
      <c r="B12938" s="1" t="n">
        <v>45874.6078587963</v>
      </c>
      <c r="C12938" s="1" t="n">
        <v>46145</v>
      </c>
      <c r="D12938" t="inlineStr">
        <is>
          <t>VÄSTERBOTTENS LÄN</t>
        </is>
      </c>
      <c r="E12938" t="inlineStr">
        <is>
          <t>ÅSELE</t>
        </is>
      </c>
      <c r="G12938" t="n">
        <v>10.6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36832-2025</t>
        </is>
      </c>
      <c r="B12939" s="1" t="n">
        <v>45874.34928240741</v>
      </c>
      <c r="C12939" s="1" t="n">
        <v>46145</v>
      </c>
      <c r="D12939" t="inlineStr">
        <is>
          <t>VÄSTERBOTTENS LÄN</t>
        </is>
      </c>
      <c r="E12939" t="inlineStr">
        <is>
          <t>NORDMALING</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36813-2025</t>
        </is>
      </c>
      <c r="B12940" s="1" t="n">
        <v>45873</v>
      </c>
      <c r="C12940" s="1" t="n">
        <v>46145</v>
      </c>
      <c r="D12940" t="inlineStr">
        <is>
          <t>VÄSTERBOTTENS LÄN</t>
        </is>
      </c>
      <c r="E12940" t="inlineStr">
        <is>
          <t>ROBERTSFORS</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36848-2025</t>
        </is>
      </c>
      <c r="B12941" s="1" t="n">
        <v>45874.38707175926</v>
      </c>
      <c r="C12941" s="1" t="n">
        <v>46145</v>
      </c>
      <c r="D12941" t="inlineStr">
        <is>
          <t>VÄSTERBOTTENS LÄN</t>
        </is>
      </c>
      <c r="E12941" t="inlineStr">
        <is>
          <t>SKELLEFTEÅ</t>
        </is>
      </c>
      <c r="F12941" t="inlineStr">
        <is>
          <t>Holmen skog AB</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36942-2025</t>
        </is>
      </c>
      <c r="B12942" s="1" t="n">
        <v>45874.59280092592</v>
      </c>
      <c r="C12942" s="1" t="n">
        <v>46145</v>
      </c>
      <c r="D12942" t="inlineStr">
        <is>
          <t>VÄSTERBOTTENS LÄN</t>
        </is>
      </c>
      <c r="E12942" t="inlineStr">
        <is>
          <t>STORUMAN</t>
        </is>
      </c>
      <c r="G12942" t="n">
        <v>14.4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36945-2025</t>
        </is>
      </c>
      <c r="B12943" s="1" t="n">
        <v>45874.5946875</v>
      </c>
      <c r="C12943" s="1" t="n">
        <v>46145</v>
      </c>
      <c r="D12943" t="inlineStr">
        <is>
          <t>VÄSTERBOTTENS LÄN</t>
        </is>
      </c>
      <c r="E12943" t="inlineStr">
        <is>
          <t>DOROTEA</t>
        </is>
      </c>
      <c r="F12943" t="inlineStr">
        <is>
          <t>SCA</t>
        </is>
      </c>
      <c r="G12943" t="n">
        <v>4.7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36973-2025</t>
        </is>
      </c>
      <c r="B12944" s="1" t="n">
        <v>45874.63747685185</v>
      </c>
      <c r="C12944" s="1" t="n">
        <v>46145</v>
      </c>
      <c r="D12944" t="inlineStr">
        <is>
          <t>VÄSTERBOTTENS LÄN</t>
        </is>
      </c>
      <c r="E12944" t="inlineStr">
        <is>
          <t>VILHELMINA</t>
        </is>
      </c>
      <c r="F12944" t="inlineStr">
        <is>
          <t>SCA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36977-2025</t>
        </is>
      </c>
      <c r="B12945" s="1" t="n">
        <v>45874.6445949074</v>
      </c>
      <c r="C12945" s="1" t="n">
        <v>46145</v>
      </c>
      <c r="D12945" t="inlineStr">
        <is>
          <t>VÄSTERBOTTENS LÄN</t>
        </is>
      </c>
      <c r="E12945" t="inlineStr">
        <is>
          <t>DOROTEA</t>
        </is>
      </c>
      <c r="G12945" t="n">
        <v>20.5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17867-2025</t>
        </is>
      </c>
      <c r="B12946" s="1" t="n">
        <v>45758.63064814815</v>
      </c>
      <c r="C12946" s="1" t="n">
        <v>46145</v>
      </c>
      <c r="D12946" t="inlineStr">
        <is>
          <t>VÄSTERBOTTENS LÄN</t>
        </is>
      </c>
      <c r="E12946" t="inlineStr">
        <is>
          <t>BJURHOLM</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36902-2025</t>
        </is>
      </c>
      <c r="B12947" s="1" t="n">
        <v>45874.48899305556</v>
      </c>
      <c r="C12947" s="1" t="n">
        <v>46145</v>
      </c>
      <c r="D12947" t="inlineStr">
        <is>
          <t>VÄSTERBOTTENS LÄN</t>
        </is>
      </c>
      <c r="E12947" t="inlineStr">
        <is>
          <t>UMEÅ</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32059-2024</t>
        </is>
      </c>
      <c r="B12948" s="1" t="n">
        <v>45510.97013888889</v>
      </c>
      <c r="C12948" s="1" t="n">
        <v>46145</v>
      </c>
      <c r="D12948" t="inlineStr">
        <is>
          <t>VÄSTERBOTTENS LÄN</t>
        </is>
      </c>
      <c r="E12948" t="inlineStr">
        <is>
          <t>ÅSELE</t>
        </is>
      </c>
      <c r="F12948" t="inlineStr">
        <is>
          <t>SCA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36969-2025</t>
        </is>
      </c>
      <c r="B12949" s="1" t="n">
        <v>45874.63686342593</v>
      </c>
      <c r="C12949" s="1" t="n">
        <v>46145</v>
      </c>
      <c r="D12949" t="inlineStr">
        <is>
          <t>VÄSTERBOTTENS LÄN</t>
        </is>
      </c>
      <c r="E12949" t="inlineStr">
        <is>
          <t>VINDELN</t>
        </is>
      </c>
      <c r="F12949" t="inlineStr">
        <is>
          <t>SCA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36809-2025</t>
        </is>
      </c>
      <c r="B12950" s="1" t="n">
        <v>45873.71912037037</v>
      </c>
      <c r="C12950" s="1" t="n">
        <v>46145</v>
      </c>
      <c r="D12950" t="inlineStr">
        <is>
          <t>VÄSTERBOTTENS LÄN</t>
        </is>
      </c>
      <c r="E12950" t="inlineStr">
        <is>
          <t>BJURHOLM</t>
        </is>
      </c>
      <c r="F12950" t="inlineStr">
        <is>
          <t>SCA</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36689-2025</t>
        </is>
      </c>
      <c r="B12951" s="1" t="n">
        <v>45873.42712962963</v>
      </c>
      <c r="C12951" s="1" t="n">
        <v>46145</v>
      </c>
      <c r="D12951" t="inlineStr">
        <is>
          <t>VÄSTERBOTTENS LÄN</t>
        </is>
      </c>
      <c r="E12951" t="inlineStr">
        <is>
          <t>LYCKSELE</t>
        </is>
      </c>
      <c r="F12951" t="inlineStr">
        <is>
          <t>Sveaskog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36709-2025</t>
        </is>
      </c>
      <c r="B12952" s="1" t="n">
        <v>45873.46443287037</v>
      </c>
      <c r="C12952" s="1" t="n">
        <v>46145</v>
      </c>
      <c r="D12952" t="inlineStr">
        <is>
          <t>VÄSTERBOTTENS LÄN</t>
        </is>
      </c>
      <c r="E12952" t="inlineStr">
        <is>
          <t>LYCKSELE</t>
        </is>
      </c>
      <c r="F12952" t="inlineStr">
        <is>
          <t>Holmen skog AB</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36669-2025</t>
        </is>
      </c>
      <c r="B12953" s="1" t="n">
        <v>45873</v>
      </c>
      <c r="C12953" s="1" t="n">
        <v>46145</v>
      </c>
      <c r="D12953" t="inlineStr">
        <is>
          <t>VÄSTERBOTTENS LÄN</t>
        </is>
      </c>
      <c r="E12953" t="inlineStr">
        <is>
          <t>VILHELMINA</t>
        </is>
      </c>
      <c r="G12953" t="n">
        <v>12.5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36712-2025</t>
        </is>
      </c>
      <c r="B12954" s="1" t="n">
        <v>45873.46689814814</v>
      </c>
      <c r="C12954" s="1" t="n">
        <v>46145</v>
      </c>
      <c r="D12954" t="inlineStr">
        <is>
          <t>VÄSTERBOTTENS LÄN</t>
        </is>
      </c>
      <c r="E12954" t="inlineStr">
        <is>
          <t>ROBERTSFORS</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36761-2025</t>
        </is>
      </c>
      <c r="B12955" s="1" t="n">
        <v>45873.57328703703</v>
      </c>
      <c r="C12955" s="1" t="n">
        <v>46145</v>
      </c>
      <c r="D12955" t="inlineStr">
        <is>
          <t>VÄSTERBOTTENS LÄN</t>
        </is>
      </c>
      <c r="E12955" t="inlineStr">
        <is>
          <t>SKELLEFTEÅ</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36791-2025</t>
        </is>
      </c>
      <c r="B12956" s="1" t="n">
        <v>45873</v>
      </c>
      <c r="C12956" s="1" t="n">
        <v>46145</v>
      </c>
      <c r="D12956" t="inlineStr">
        <is>
          <t>VÄSTERBOTTENS LÄN</t>
        </is>
      </c>
      <c r="E12956" t="inlineStr">
        <is>
          <t>DOROTEA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28808-2025</t>
        </is>
      </c>
      <c r="B12957" s="1" t="n">
        <v>45820.51743055556</v>
      </c>
      <c r="C12957" s="1" t="n">
        <v>46145</v>
      </c>
      <c r="D12957" t="inlineStr">
        <is>
          <t>VÄSTERBOTTENS LÄN</t>
        </is>
      </c>
      <c r="E12957" t="inlineStr">
        <is>
          <t>NORSJÖ</t>
        </is>
      </c>
      <c r="F12957" t="inlineStr">
        <is>
          <t>Holmen skog AB</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46662-2023</t>
        </is>
      </c>
      <c r="B12958" s="1" t="n">
        <v>45198.47061342592</v>
      </c>
      <c r="C12958" s="1" t="n">
        <v>46145</v>
      </c>
      <c r="D12958" t="inlineStr">
        <is>
          <t>VÄSTERBOTTENS LÄN</t>
        </is>
      </c>
      <c r="E12958" t="inlineStr">
        <is>
          <t>BJURHOLM</t>
        </is>
      </c>
      <c r="F12958" t="inlineStr">
        <is>
          <t>Holmen skog AB</t>
        </is>
      </c>
      <c r="G12958" t="n">
        <v>10.1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17858-2023</t>
        </is>
      </c>
      <c r="B12959" s="1" t="n">
        <v>45037.94150462963</v>
      </c>
      <c r="C12959" s="1" t="n">
        <v>46145</v>
      </c>
      <c r="D12959" t="inlineStr">
        <is>
          <t>VÄSTERBOTTENS LÄN</t>
        </is>
      </c>
      <c r="E12959" t="inlineStr">
        <is>
          <t>ÅSELE</t>
        </is>
      </c>
      <c r="F12959" t="inlineStr">
        <is>
          <t>SCA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23996-2022</t>
        </is>
      </c>
      <c r="B12960" s="1" t="n">
        <v>44722</v>
      </c>
      <c r="C12960" s="1" t="n">
        <v>46145</v>
      </c>
      <c r="D12960" t="inlineStr">
        <is>
          <t>VÄSTERBOTTENS LÄN</t>
        </is>
      </c>
      <c r="E12960" t="inlineStr">
        <is>
          <t>ÅSELE</t>
        </is>
      </c>
      <c r="F12960" t="inlineStr">
        <is>
          <t>SCA</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36844-2025</t>
        </is>
      </c>
      <c r="B12961" s="1" t="n">
        <v>45874.38576388889</v>
      </c>
      <c r="C12961" s="1" t="n">
        <v>46145</v>
      </c>
      <c r="D12961" t="inlineStr">
        <is>
          <t>VÄSTERBOTTENS LÄN</t>
        </is>
      </c>
      <c r="E12961" t="inlineStr">
        <is>
          <t>DOROTEA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36702-2025</t>
        </is>
      </c>
      <c r="B12962" s="1" t="n">
        <v>45873.44997685185</v>
      </c>
      <c r="C12962" s="1" t="n">
        <v>46145</v>
      </c>
      <c r="D12962" t="inlineStr">
        <is>
          <t>VÄSTERBOTTENS LÄN</t>
        </is>
      </c>
      <c r="E12962" t="inlineStr">
        <is>
          <t>LYCKSELE</t>
        </is>
      </c>
      <c r="F12962" t="inlineStr">
        <is>
          <t>Sveaskog</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36746-2025</t>
        </is>
      </c>
      <c r="B12963" s="1" t="n">
        <v>45873.54766203704</v>
      </c>
      <c r="C12963" s="1" t="n">
        <v>46145</v>
      </c>
      <c r="D12963" t="inlineStr">
        <is>
          <t>VÄSTERBOTTENS LÄN</t>
        </is>
      </c>
      <c r="E12963" t="inlineStr">
        <is>
          <t>UMEÅ</t>
        </is>
      </c>
      <c r="F12963" t="inlineStr">
        <is>
          <t>Kommuner</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36747-2025</t>
        </is>
      </c>
      <c r="B12964" s="1" t="n">
        <v>45873.54780092592</v>
      </c>
      <c r="C12964" s="1" t="n">
        <v>46145</v>
      </c>
      <c r="D12964" t="inlineStr">
        <is>
          <t>VÄSTERBOTTENS LÄN</t>
        </is>
      </c>
      <c r="E12964" t="inlineStr">
        <is>
          <t>UMEÅ</t>
        </is>
      </c>
      <c r="F12964" t="inlineStr">
        <is>
          <t>Holmen skog AB</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36951-2025</t>
        </is>
      </c>
      <c r="B12965" s="1" t="n">
        <v>45874.60371527778</v>
      </c>
      <c r="C12965" s="1" t="n">
        <v>46145</v>
      </c>
      <c r="D12965" t="inlineStr">
        <is>
          <t>VÄSTERBOTTENS LÄN</t>
        </is>
      </c>
      <c r="E12965" t="inlineStr">
        <is>
          <t>STORUMAN</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36954-2025</t>
        </is>
      </c>
      <c r="B12966" s="1" t="n">
        <v>45874.61121527778</v>
      </c>
      <c r="C12966" s="1" t="n">
        <v>46145</v>
      </c>
      <c r="D12966" t="inlineStr">
        <is>
          <t>VÄSTERBOTTENS LÄN</t>
        </is>
      </c>
      <c r="E12966" t="inlineStr">
        <is>
          <t>SKELLEFTEÅ</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36955-2025</t>
        </is>
      </c>
      <c r="B12967" s="1" t="n">
        <v>45874.61203703703</v>
      </c>
      <c r="C12967" s="1" t="n">
        <v>46145</v>
      </c>
      <c r="D12967" t="inlineStr">
        <is>
          <t>VÄSTERBOTTENS LÄN</t>
        </is>
      </c>
      <c r="E12967" t="inlineStr">
        <is>
          <t>ÅSELE</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36984-2025</t>
        </is>
      </c>
      <c r="B12968" s="1" t="n">
        <v>45874.64811342592</v>
      </c>
      <c r="C12968" s="1" t="n">
        <v>46145</v>
      </c>
      <c r="D12968" t="inlineStr">
        <is>
          <t>VÄSTERBOTTENS LÄN</t>
        </is>
      </c>
      <c r="E12968" t="inlineStr">
        <is>
          <t>DOROTEA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36763-2025</t>
        </is>
      </c>
      <c r="B12969" s="1" t="n">
        <v>45873.5733912037</v>
      </c>
      <c r="C12969" s="1" t="n">
        <v>46145</v>
      </c>
      <c r="D12969" t="inlineStr">
        <is>
          <t>VÄSTERBOTTENS LÄN</t>
        </is>
      </c>
      <c r="E12969" t="inlineStr">
        <is>
          <t>SKELLEFTEÅ</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36818-2025</t>
        </is>
      </c>
      <c r="B12970" s="1" t="n">
        <v>45873.78482638889</v>
      </c>
      <c r="C12970" s="1" t="n">
        <v>46145</v>
      </c>
      <c r="D12970" t="inlineStr">
        <is>
          <t>VÄSTERBOTTENS LÄN</t>
        </is>
      </c>
      <c r="E12970" t="inlineStr">
        <is>
          <t>ROBERTSFORS</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36828-2025</t>
        </is>
      </c>
      <c r="B12971" s="1" t="n">
        <v>45874.33908564815</v>
      </c>
      <c r="C12971" s="1" t="n">
        <v>46145</v>
      </c>
      <c r="D12971" t="inlineStr">
        <is>
          <t>VÄSTERBOTTENS LÄN</t>
        </is>
      </c>
      <c r="E12971" t="inlineStr">
        <is>
          <t>STORUMAN</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36922-2025</t>
        </is>
      </c>
      <c r="B12972" s="1" t="n">
        <v>45874.53983796296</v>
      </c>
      <c r="C12972" s="1" t="n">
        <v>46145</v>
      </c>
      <c r="D12972" t="inlineStr">
        <is>
          <t>VÄSTERBOTTENS LÄN</t>
        </is>
      </c>
      <c r="E12972" t="inlineStr">
        <is>
          <t>STORUMAN</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36787-2025</t>
        </is>
      </c>
      <c r="B12973" s="1" t="n">
        <v>45873.6340162037</v>
      </c>
      <c r="C12973" s="1" t="n">
        <v>46145</v>
      </c>
      <c r="D12973" t="inlineStr">
        <is>
          <t>VÄSTERBOTTENS LÄN</t>
        </is>
      </c>
      <c r="E12973" t="inlineStr">
        <is>
          <t>LYCKSELE</t>
        </is>
      </c>
      <c r="F12973" t="inlineStr">
        <is>
          <t>Sveaskog</t>
        </is>
      </c>
      <c r="G12973" t="n">
        <v>20.1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36837-2025</t>
        </is>
      </c>
      <c r="B12974" s="1" t="n">
        <v>45874.36677083333</v>
      </c>
      <c r="C12974" s="1" t="n">
        <v>46145</v>
      </c>
      <c r="D12974" t="inlineStr">
        <is>
          <t>VÄSTERBOTTENS LÄN</t>
        </is>
      </c>
      <c r="E12974" t="inlineStr">
        <is>
          <t>ÅSELE</t>
        </is>
      </c>
      <c r="G12974" t="n">
        <v>8.4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36871-2025</t>
        </is>
      </c>
      <c r="B12975" s="1" t="n">
        <v>45874.42888888889</v>
      </c>
      <c r="C12975" s="1" t="n">
        <v>46145</v>
      </c>
      <c r="D12975" t="inlineStr">
        <is>
          <t>VÄSTERBOTTENS LÄN</t>
        </is>
      </c>
      <c r="E12975" t="inlineStr">
        <is>
          <t>DOROTEA</t>
        </is>
      </c>
      <c r="F12975" t="inlineStr">
        <is>
          <t>SCA</t>
        </is>
      </c>
      <c r="G12975" t="n">
        <v>7.3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36716-2025</t>
        </is>
      </c>
      <c r="B12976" s="1" t="n">
        <v>45873.46920138889</v>
      </c>
      <c r="C12976" s="1" t="n">
        <v>46145</v>
      </c>
      <c r="D12976" t="inlineStr">
        <is>
          <t>VÄSTERBOTTENS LÄN</t>
        </is>
      </c>
      <c r="E12976" t="inlineStr">
        <is>
          <t>NORDMALING</t>
        </is>
      </c>
      <c r="G12976" t="n">
        <v>2.9</v>
      </c>
      <c r="H12976" t="n">
        <v>0</v>
      </c>
      <c r="I12976" t="n">
        <v>0</v>
      </c>
      <c r="J12976" t="n">
        <v>0</v>
      </c>
      <c r="K12976" t="n">
        <v>0</v>
      </c>
      <c r="L12976" t="n">
        <v>0</v>
      </c>
      <c r="M12976" t="n">
        <v>0</v>
      </c>
      <c r="N12976" t="n">
        <v>0</v>
      </c>
      <c r="O12976" t="n">
        <v>0</v>
      </c>
      <c r="P12976" t="n">
        <v>0</v>
      </c>
      <c r="Q12976" t="n">
        <v>0</v>
      </c>
      <c r="R12976" s="2" t="inlineStr"/>
    </row>
    <row r="12977">
      <c r="A12977" t="inlineStr">
        <is>
          <t>A 36720-2025</t>
        </is>
      </c>
      <c r="B12977" s="1" t="n">
        <v>45873.47204861111</v>
      </c>
      <c r="C12977" s="1" t="n">
        <v>46145</v>
      </c>
      <c r="D12977" t="inlineStr">
        <is>
          <t>VÄSTERBOTTENS LÄN</t>
        </is>
      </c>
      <c r="E12977" t="inlineStr">
        <is>
          <t>ROBERTSFORS</t>
        </is>
      </c>
      <c r="G12977" t="n">
        <v>2.2</v>
      </c>
      <c r="H12977" t="n">
        <v>0</v>
      </c>
      <c r="I12977" t="n">
        <v>0</v>
      </c>
      <c r="J12977" t="n">
        <v>0</v>
      </c>
      <c r="K12977" t="n">
        <v>0</v>
      </c>
      <c r="L12977" t="n">
        <v>0</v>
      </c>
      <c r="M12977" t="n">
        <v>0</v>
      </c>
      <c r="N12977" t="n">
        <v>0</v>
      </c>
      <c r="O12977" t="n">
        <v>0</v>
      </c>
      <c r="P12977" t="n">
        <v>0</v>
      </c>
      <c r="Q12977" t="n">
        <v>0</v>
      </c>
      <c r="R12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2026-05-03T11:00:27Z</dcterms:created>
  <dcterms:modified xmlns:dcterms="http://purl.org/dc/terms/" xmlns:xsi="http://www.w3.org/2001/XMLSchema-instance" xsi:type="dcterms:W3CDTF">2026-05-03T11:00:39Z</dcterms:modified>
</cp:coreProperties>
</file>